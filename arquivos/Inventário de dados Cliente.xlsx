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GUIDE"/>
    <sheet r:id="rId2" sheetId="2" name="Inf LGPD"/>
    <sheet r:id="rId3" sheetId="3" name="Introdução"/>
    <sheet r:id="rId4" sheetId="4" name="Base Legal"/>
    <sheet r:id="rId5" sheetId="5" name="Mapeamento"/>
    <sheet r:id="rId6" sheetId="6" name="Plan2"/>
    <sheet r:id="rId7" sheetId="7" name="Riscos e Recomendações"/>
    <sheet r:id="rId8" sheetId="8" name="Sistemas"/>
    <sheet r:id="rId9" sheetId="9" name="Estatisticas"/>
    <sheet r:id="rId10" sheetId="10" name="Dinamicas"/>
    <sheet r:id="rId11" sheetId="11" name="Classificação GAPS"/>
    <sheet r:id="rId12" sheetId="12" name="Tabela Dinâmica"/>
    <sheet r:id="rId13" sheetId="13" name="Plan6"/>
    <sheet r:id="rId14" sheetId="14" name="Plan1"/>
    <sheet r:id="rId15" sheetId="15" name="Áreas x Processos"/>
    <sheet r:id="rId16" sheetId="16" name="Sheet2"/>
  </sheets>
  <definedNames>
    <definedName name="apa">[1]Parâmetros!$A$4:$A$7</definedName>
    <definedName name="SegmentaçãodeDados_O_dado_pessoal_é_utilizado_para_estudo_ou_formação_de_perfil_comportamental?" localSheetId="1">#REF!</definedName>
    <definedName name="SegmentaçãodeDados_Nome_da_Área_de_Negócio">#REF!</definedName>
    <definedName name="xxx" localSheetId="1">#REF!</definedName>
    <definedName name="SegmentaçãodeDados_Há_método_de_destruição_do_dado?" localSheetId="1">#REF!</definedName>
    <definedName name="Z_8CF8A174_E1EE_482B_95B1_AA0894B2019E_.wvu.Rows" localSheetId="1">'Inf LGPD'!$104:$111</definedName>
    <definedName name="opção" localSheetId="1">Plan1!$B$5:$B$6</definedName>
    <definedName name="SegmentaçãodeDados_Utiliza_algum_tipo_de_dado_de_menores_de_18_anos?">#REF!</definedName>
    <definedName name="SegmentaçãodeDados_Há_compartilhamento_de_dados_com_Terceiros_e_ou_Prestadores_de_Serviços?" localSheetId="1">#REF!</definedName>
    <definedName name="SegmentaçãodeDados_Há_compartilhamento_de_dados_com_Terceiros_e_ou_Prestadores_de_Serviços?">#REF!</definedName>
    <definedName name="SegmentaçãodeDados_Há_método_de_destruição_do_dado?">#REF!</definedName>
    <definedName name="SegmentaçãodeDados_Utiliza_algum_tipo_de_dado_pessoal_sensível?">#REF!</definedName>
    <definedName name="xxx">#REF!</definedName>
    <definedName name="SegmentaçãodeDados_O_dado_pessoal_é_utilizado_para_estudo_ou_formação_de_perfil_comportamental?">#REF!</definedName>
    <definedName name="SegmentaçãodeDados_Há_solicitação_de_consentimento_para_o_titular_do_dado_quanto_a_coleta_e_tratamento?">#REF!</definedName>
    <definedName name="SegmentaçãodeDados_Nome_do_Processo" localSheetId="1">#REF!</definedName>
    <definedName name="GAPS">#REF!</definedName>
    <definedName name="SegmentaçãodeDados_Há_solicitação_de_consentimento_para_o_titular_do_dado_quanto_a_coleta_e_tratamento?" localSheetId="1">#REF!</definedName>
    <definedName name="SegmentaçãodeDados_Utiliza_algum_tipo_de_dado_pessoal_sensível?" localSheetId="1">#REF!</definedName>
    <definedName name="gravidade">#REF!</definedName>
    <definedName name="Outro">#REF!</definedName>
    <definedName name="gravidade" localSheetId="1">#REF!</definedName>
    <definedName name="op">#REF!</definedName>
    <definedName name="Opção">#REF!</definedName>
    <definedName name="Outro" localSheetId="1">#REF!</definedName>
    <definedName name="SegmentaçãodeDados_Utiliza_algum_tipo_de_dado_de_menores_de_18_anos?" localSheetId="1">#REF!</definedName>
    <definedName name="SegmentaçãodeDados_Nome_da_Área_de_Negócio" localSheetId="1">#REF!</definedName>
    <definedName name="SegmentaçãodeDados_Nome_do_Processo">#REF!</definedName>
    <definedName name="_xlnm._FilterDatabase" localSheetId="6">'Riscos e Recomendações'!$B$3:$E$200</definedName>
    <definedName name="_xlnm._FilterDatabase" localSheetId="7">Sistemas!$B$2:$D$75</definedName>
    <definedName name="_xlnm._FilterDatabase" localSheetId="12">Plan6!$A$1:$L$92</definedName>
    <definedName name="_xlnm._FilterDatabase" localSheetId="15">Sheet2!$A$1:$Z$53</definedName>
  </definedNames>
  <calcPr fullCalcOnLoad="1"/>
</workbook>
</file>

<file path=xl/sharedStrings.xml><?xml version="1.0" encoding="utf-8"?>
<sst xmlns="http://schemas.openxmlformats.org/spreadsheetml/2006/main" count="2097" uniqueCount="605">
  <si>
    <t>Natureza</t>
  </si>
  <si>
    <t>Escopo</t>
  </si>
  <si>
    <t>Contexto</t>
  </si>
  <si>
    <t>Finalidade</t>
  </si>
  <si>
    <t>4 - Partes Interessadas Consultadas</t>
  </si>
  <si>
    <t>5 - Necessidade e Proporcionalidade</t>
  </si>
  <si>
    <t xml:space="preserve">
CAMPO O
CAMPO S
CAMPOS W - - AD
CAMPOS C
CAMPOS AK - AL</t>
  </si>
  <si>
    <t>Levantamento dos Processos GGF</t>
  </si>
  <si>
    <t>ID</t>
  </si>
  <si>
    <t>Área</t>
  </si>
  <si>
    <t xml:space="preserve"> Processo</t>
  </si>
  <si>
    <t>Possui Dado Pessoal ?</t>
  </si>
  <si>
    <t>Processo</t>
  </si>
  <si>
    <t>Subprocesso</t>
  </si>
  <si>
    <t>Suprocessos</t>
  </si>
  <si>
    <t>Mecanização e Suprimentos</t>
  </si>
  <si>
    <t>Compras</t>
  </si>
  <si>
    <t xml:space="preserve">Cadastro e autorização de compras </t>
  </si>
  <si>
    <t>Fiscal</t>
  </si>
  <si>
    <t>Cadastro</t>
  </si>
  <si>
    <t>Importação de Documentos</t>
  </si>
  <si>
    <t>Controladoria</t>
  </si>
  <si>
    <t>Contábil</t>
  </si>
  <si>
    <t>Recebimento de mercadoria no estoque</t>
  </si>
  <si>
    <t>Financeiro</t>
  </si>
  <si>
    <t>Folha de Pagamento</t>
  </si>
  <si>
    <t>Cadastro Clientes e Fornecedores</t>
  </si>
  <si>
    <t>Comercial</t>
  </si>
  <si>
    <t>Rescisão de Contrato</t>
  </si>
  <si>
    <t>Processos de realizar a conciliação e o registro contábil.</t>
  </si>
  <si>
    <t>Jurídico</t>
  </si>
  <si>
    <t>Férias</t>
  </si>
  <si>
    <t>Conferência e Fechamento da Folha de Pagamento</t>
  </si>
  <si>
    <t>Logística</t>
  </si>
  <si>
    <t>Autorização de Pagamento para Terceiros</t>
  </si>
  <si>
    <t>Planejamento Agrícola</t>
  </si>
  <si>
    <t>Contratos de Trading</t>
  </si>
  <si>
    <t>Processar Férias e/ou 13º Salário</t>
  </si>
  <si>
    <t>Recursos Humanos</t>
  </si>
  <si>
    <t xml:space="preserve">Pagamento de PPR </t>
  </si>
  <si>
    <t>Pagamento e Emissão de Nota Fiscal</t>
  </si>
  <si>
    <t>TI Infra</t>
  </si>
  <si>
    <t xml:space="preserve">Pagamento Frete subcontratados </t>
  </si>
  <si>
    <t>Pagamento de PPR em caso de rescisão</t>
  </si>
  <si>
    <t>TI Sistemas</t>
  </si>
  <si>
    <t>Comercialização de grãos à Pessoas físicas</t>
  </si>
  <si>
    <t>Pagamento e Emissão de Nota Fiscal Pessoa Física</t>
  </si>
  <si>
    <t>Gestão de Contratos</t>
  </si>
  <si>
    <t xml:space="preserve">Pagamento de Frete subcontratados </t>
  </si>
  <si>
    <t>Ações Judiciais</t>
  </si>
  <si>
    <t>Comercialização de grãos, arrendamento e/ou aquisição de áreas à Pessoas físicas</t>
  </si>
  <si>
    <t>Contratação de Conselheiros Externos</t>
  </si>
  <si>
    <t>Análise de Contratos e Documentos</t>
  </si>
  <si>
    <t>Protocolo de documentos em Cartórios</t>
  </si>
  <si>
    <t>Assinatura de Contratos</t>
  </si>
  <si>
    <t>Elaboração de minutas de documentos particulares</t>
  </si>
  <si>
    <t>Ações Judiciais e Acompanhamento dos Processos</t>
  </si>
  <si>
    <t>Elaboração de minutas de documentos públicos</t>
  </si>
  <si>
    <t>Contratação de Fornecedores</t>
  </si>
  <si>
    <t>Protocolo de documentação em Cartórios</t>
  </si>
  <si>
    <t xml:space="preserve">Comprovante de Entrega </t>
  </si>
  <si>
    <t>Formulação de Contratos, Recibos, Declarações e outros documentos particulares</t>
  </si>
  <si>
    <t>Controle e Recebimento de NF</t>
  </si>
  <si>
    <t>Formulação e aprovação de Procurações e Escrituras e outros documentos públicos</t>
  </si>
  <si>
    <t>Emissão de notas (Nfe e NfSe, Cte, Ciot e Mdfe)</t>
  </si>
  <si>
    <t>Contratação de Fornecedores (Fretes)</t>
  </si>
  <si>
    <t>Pagamento de Fretes</t>
  </si>
  <si>
    <t>Contratação de Prestadores de Serviços</t>
  </si>
  <si>
    <t xml:space="preserve">Contratação de prestadores de serviço para GGF Agro (munck Plantio)
</t>
  </si>
  <si>
    <t>Recrutamento e Seleção</t>
  </si>
  <si>
    <t>Pagamento dos fretes de subcontratação por outras transportadoras</t>
  </si>
  <si>
    <t>Admissão</t>
  </si>
  <si>
    <t>Contratação de prestadores de serviços</t>
  </si>
  <si>
    <t>Benefícios</t>
  </si>
  <si>
    <t>Receituário Agronômico</t>
  </si>
  <si>
    <t>Contratação de Terceiros</t>
  </si>
  <si>
    <t>Décimo Terceiro</t>
  </si>
  <si>
    <t>Acessos</t>
  </si>
  <si>
    <t>Inclusão dos Benefícios</t>
  </si>
  <si>
    <t>Afastamento</t>
  </si>
  <si>
    <t>Rescisão</t>
  </si>
  <si>
    <t xml:space="preserve"> Medicina Ocupacional</t>
  </si>
  <si>
    <t>Pagamento do 13º Salário</t>
  </si>
  <si>
    <t>Abertura de CAT</t>
  </si>
  <si>
    <t>Criação de Usuário</t>
  </si>
  <si>
    <t>Gestão de Frequência</t>
  </si>
  <si>
    <t>Afastamento Inferior a 15 dias</t>
  </si>
  <si>
    <t>Medicina Ocupacional</t>
  </si>
  <si>
    <t>Afastamento Superior a 15 dias</t>
  </si>
  <si>
    <t>PPR</t>
  </si>
  <si>
    <t>Processar Rescisão</t>
  </si>
  <si>
    <t>Rede Social</t>
  </si>
  <si>
    <t>Controle e Análise dos Dados de Saúde</t>
  </si>
  <si>
    <t>Pagamento de PPR</t>
  </si>
  <si>
    <t>Recolhimento de Informações de Saúde</t>
  </si>
  <si>
    <t>Compra de Passagem</t>
  </si>
  <si>
    <t>Agendamento de ASO</t>
  </si>
  <si>
    <t>Reembolso</t>
  </si>
  <si>
    <t>Certificação Digital</t>
  </si>
  <si>
    <t>Documentação Ambiental</t>
  </si>
  <si>
    <t>Agendamento e Acompanhamento de Tratamentos Médicos Necessários</t>
  </si>
  <si>
    <t>Pagamento do PPR em caso de Rescisão</t>
  </si>
  <si>
    <t>Rede Social Corporativa</t>
  </si>
  <si>
    <t>Compra de Passagem em caso de admissão/demissão</t>
  </si>
  <si>
    <t>Reembolso dos gastos nos processos de entrevista com os candidatos</t>
  </si>
  <si>
    <t>Liberação de Licenças de Software</t>
  </si>
  <si>
    <t>Liberação de Acesso</t>
  </si>
  <si>
    <t>Nome da área de negócio</t>
  </si>
  <si>
    <t xml:space="preserve"> Nome do responsável pelo processo</t>
  </si>
  <si>
    <t>Nome do processo</t>
  </si>
  <si>
    <t>Nome do sub-processo</t>
  </si>
  <si>
    <t>Utiliza algum tipo de dado pessoal?</t>
  </si>
  <si>
    <t>Quais dados?</t>
  </si>
  <si>
    <t>Utiliza dado sensível ? (Sim ou Não)</t>
  </si>
  <si>
    <t>Quais dados sensíveis?</t>
  </si>
  <si>
    <t xml:space="preserve">Utiliza algum tipo de dado de menores de 18 anos? </t>
  </si>
  <si>
    <t>Descreva os dados de menores de 18 anos.</t>
  </si>
  <si>
    <t>Operações</t>
  </si>
  <si>
    <t>Antônio Andrade e Cicero Carlos</t>
  </si>
  <si>
    <t>Conferência de cofre</t>
  </si>
  <si>
    <t>Cofre caixa troco</t>
  </si>
  <si>
    <t xml:space="preserve">Sim </t>
  </si>
  <si>
    <t>Assinatura</t>
  </si>
  <si>
    <t>Não</t>
  </si>
  <si>
    <t>NA</t>
  </si>
  <si>
    <t>Cofre boca de lobo</t>
  </si>
  <si>
    <t>Assinatura, nome e número de identificação (RG, CPF ou matrícula)</t>
  </si>
  <si>
    <t>Caixa</t>
  </si>
  <si>
    <t>Abertura de caixas</t>
  </si>
  <si>
    <t>Usuário e senha</t>
  </si>
  <si>
    <t xml:space="preserve">Dados Sensiveis </t>
  </si>
  <si>
    <t>Fechamento de caixa</t>
  </si>
  <si>
    <t xml:space="preserve">Dados de Menores de 18 anos </t>
  </si>
  <si>
    <t>Reimpressão de ingresso</t>
  </si>
  <si>
    <t>Gerente: Usuário e senha do gerente
Cliente: código do ingresso do cinema (identifica o titular) e o CPF do cliente</t>
  </si>
  <si>
    <t>Sim</t>
  </si>
  <si>
    <t>Código do ingresso do cinema (identifica o titular) e o CPF do cliente</t>
  </si>
  <si>
    <t xml:space="preserve">Não realiza tratamento de dados sensiveis </t>
  </si>
  <si>
    <t>Impressão de ingressos</t>
  </si>
  <si>
    <t>Nome</t>
  </si>
  <si>
    <t>Cancelamento de cupom</t>
  </si>
  <si>
    <t>Pagamento duplicado</t>
  </si>
  <si>
    <t>Nome, e-mail e 6 primeiros e 4 ultimos números do cartão</t>
  </si>
  <si>
    <t>Cortesias Autoridade</t>
  </si>
  <si>
    <t>Nome e rubrica do cliente e gerente, número do documento que dá direito à cortesia e assinatura do gerente</t>
  </si>
  <si>
    <t>Cortesia Permanente</t>
  </si>
  <si>
    <t>Nome e rubrica do cliente e gerente, número da carteirinha que dá direito à cortesia e assinatura do gerente</t>
  </si>
  <si>
    <t xml:space="preserve">Cortesia Funcionário </t>
  </si>
  <si>
    <t>Nome e rubrica do cliente e gerente, número da matrícula que dá direito à cortesia e assinatura do gerente</t>
  </si>
  <si>
    <t>Prestação de Serviços no cinema</t>
  </si>
  <si>
    <t>Acesso ao shopping/cinema</t>
  </si>
  <si>
    <t>CPF, nome e foto</t>
  </si>
  <si>
    <t>Foto</t>
  </si>
  <si>
    <t>Compras e suprimentos</t>
  </si>
  <si>
    <t>Altayde Correa e Erika Guimarães</t>
  </si>
  <si>
    <t>Análise de fornecedores</t>
  </si>
  <si>
    <t>PJ: CNPJ, Endereço completo, IE, IM, telefone, e-mail, dados bancários, dados de entrega (nome, RG, CPF e placa do carro que acessará o cinema) e contrato social (no caso de cadastro do fornecedor)
PF: CPF, RG, e-mail, nome, endereço, telefone e dados bancários</t>
  </si>
  <si>
    <t>Cadastro de fornecedor</t>
  </si>
  <si>
    <t>Pessoa Jurídica: CNPJ, Endereço completo, IE, IM, telefone, e-mail, dados bancários, e contrato social (no caso de cadastro do fornecedor)
Pessoa Física: CPF, RG, e-mail, nome, endereço, telefone e dados bancários</t>
  </si>
  <si>
    <t>Recebimento de mercadoria</t>
  </si>
  <si>
    <t>Nome, RG, CPF e placa do carro</t>
  </si>
  <si>
    <t>Aquisição de bens próprios</t>
  </si>
  <si>
    <t>Kinoplex: CNPJ, telefone e endereço
Colaborador: E-mail e nome</t>
  </si>
  <si>
    <t xml:space="preserve">Programação </t>
  </si>
  <si>
    <t>Silvia Rocha</t>
  </si>
  <si>
    <t>Programação dos filmes</t>
  </si>
  <si>
    <t>Programação de filmes</t>
  </si>
  <si>
    <t>Eventos externos</t>
  </si>
  <si>
    <t>Trabalho externo</t>
  </si>
  <si>
    <t>Nome, CPF, RG e data de nascimento</t>
  </si>
  <si>
    <t>Contrato de transporte</t>
  </si>
  <si>
    <t>Nome, CPF e endereço</t>
  </si>
  <si>
    <t>Reembolso de despesas</t>
  </si>
  <si>
    <t>Solicitação do reembolso de despesas</t>
  </si>
  <si>
    <t>CPF, RG, e-mail, nome, endereço, telefone e dados bancários</t>
  </si>
  <si>
    <t>Nathália Bonifácio</t>
  </si>
  <si>
    <t>Contencioso</t>
  </si>
  <si>
    <t>Recebimento da notificação</t>
  </si>
  <si>
    <t>Nome completo do autor e do réu, CPF, RG, Endereço residencial, e-mail de contato</t>
  </si>
  <si>
    <t>Contratos</t>
  </si>
  <si>
    <t>Análise e elaboração dos contratos</t>
  </si>
  <si>
    <t>Nome completo, endereço de e-mail pessoal e CPF</t>
  </si>
  <si>
    <t>Documentos Fiscais</t>
  </si>
  <si>
    <t>Renovação de documentos fiscais</t>
  </si>
  <si>
    <t xml:space="preserve">Os dados pessoais solicitados para a emissão de documentos fiscais são: nome completo dos representantes legais, RG, endereço e CPF
</t>
  </si>
  <si>
    <t>Edgar Augusto</t>
  </si>
  <si>
    <t>Base de dados</t>
  </si>
  <si>
    <t>Captura de dados a partir do Site Kinoplex / ingresso.com</t>
  </si>
  <si>
    <t xml:space="preserve">Nome, CPF, e-mail, endereço completo, sexo, CEP e data de nascimento </t>
  </si>
  <si>
    <t>Sexo</t>
  </si>
  <si>
    <t xml:space="preserve">Nome, sexo e data de nascimento </t>
  </si>
  <si>
    <t>Captura de dados a partir do Sistema Zoox</t>
  </si>
  <si>
    <t>Nome, CPF, telefone, sexo, data de nascimento e e-mail</t>
  </si>
  <si>
    <t>Sistema TOTVS</t>
  </si>
  <si>
    <t>Cliente: Nome, CPF, e-mail, endereço completo, sexo, CEP, data de nascimento e dados bancários - suprimentos, comercial, financeiro TI 
Fornecedores PJ: CNPJ, Endereço completo, Iscrição Estadual, Iscrição Municipal, telefone, e-mail, dados bancários, dados de entrega (nome, RG, CPF e placa do carro que acessará o cinema) e contrato social (no caso de cadastro do fornecedor) - suprimentos, financeiro TI (para cadastros de fornecedores)
Fornecedores PF: CPF, RG, e-mail, nome, endereço, telefone e dados bancários
Colaboradores: Foto, nome, Naturalidade, data de nascimento, estado civil, sexo, raça, naturalidade, fumante, grau de instrução, tipo sanguíneo, e-mail, código do usuário, tipo de deficiência, telefone, CPF, RG, titulo de eleitor, carteira de trabalho, certificado de reservista. Informações dos dependentes</t>
  </si>
  <si>
    <t>Dados bancários, foto, sexo, raça, fuamnte, tipo sanguíneo, tipo de deficiência</t>
  </si>
  <si>
    <t>Sim, jovem aprendiz e dependentes</t>
  </si>
  <si>
    <t xml:space="preserve">Curriculo, ficha de cadastro e provas, carteira de trabalho e previdência social, foto, RG, CPF, CPF(cônjuge e filhos), PIS ou cartão cidadão, título de eleitor, caderneta de vacinação, certidão de nascimento ou casamento, certificado de reservista, certificado/comprovante de escolaride, comprovante de residência, cartão da conta bancário ou extrato da conta, cartão do SUS, exame médico admissional, sexo, e-mail, nome completo, endereço completo, telefone residencial e celular, data de nascimento, data de nascimento (dependentes - filhos, companheiro, cônjuge), estado cívil, nacionalidade, naturalidade, nome do pai, nome da mãe, tipo de deficiência, assinatura </t>
  </si>
  <si>
    <t>Identificação de cliente fidelidade</t>
  </si>
  <si>
    <t>Nome e CPF</t>
  </si>
  <si>
    <t>Sim, acima de 16 anos</t>
  </si>
  <si>
    <t>Cintia Raad</t>
  </si>
  <si>
    <t>Certificado Digital</t>
  </si>
  <si>
    <t>Gestão de certificado digital</t>
  </si>
  <si>
    <t>Biometria, nome, CPF, endereço, RG, e-mail, comprovante de residência, login, senha e Estatuto Social</t>
  </si>
  <si>
    <t>Biometria</t>
  </si>
  <si>
    <t>Utilização certificado digital - esfera Federal</t>
  </si>
  <si>
    <t>Receita Federal</t>
  </si>
  <si>
    <t>Para processos digitais - envio de documentação como Estatuto Social, CFP, e-mail, preenchimento de formulário próprio com assinaturas eletrônicas.</t>
  </si>
  <si>
    <t>Utilização certificado digital - esfera Estadual</t>
  </si>
  <si>
    <t>Secretaria de Fazenda (Sefaz)</t>
  </si>
  <si>
    <t>Utilização certificado digital - esfera Municipal</t>
  </si>
  <si>
    <t>Prefeituras</t>
  </si>
  <si>
    <t>Emissão de NFSe</t>
  </si>
  <si>
    <t>CPF do cliente na NFSe (venda de ingressos)</t>
  </si>
  <si>
    <t>CPF</t>
  </si>
  <si>
    <t>Contabilidade</t>
  </si>
  <si>
    <t>Francisco de Assis</t>
  </si>
  <si>
    <t>ECF (Escrituração Contábil Fiscal)</t>
  </si>
  <si>
    <t>Declaração anual para Receita Federal</t>
  </si>
  <si>
    <t>Informe de rendimento (CPF, nome, salário) 
Sócios - CPF, nome e lucro pago</t>
  </si>
  <si>
    <t>Sim, sócio</t>
  </si>
  <si>
    <r>
      <t/>
    </r>
    <r>
      <rPr>
        <sz val="10"/>
        <color rgb="FF000000"/>
        <rFont val="Tahoma"/>
        <family val="2"/>
      </rPr>
      <t xml:space="preserve">Informe de rendimento (CPF, nome, salário) 
Sócios - CPF, nome e lucro pago
</t>
    </r>
    <r>
      <rPr>
        <sz val="10"/>
        <color rgb="FF000000"/>
        <rFont val="Tahoma"/>
        <family val="2"/>
      </rPr>
      <t xml:space="preserve">
CPF e qualificação do responsável legal (mãe)</t>
    </r>
  </si>
  <si>
    <t>Pagamento de lucro</t>
  </si>
  <si>
    <t>CPF, nome e o valor do lucro e porcentagem de participação do sócio</t>
  </si>
  <si>
    <r>
      <t/>
    </r>
    <r>
      <rPr>
        <sz val="10"/>
        <color rgb="FF000000"/>
        <rFont val="Tahoma"/>
        <family val="2"/>
      </rPr>
      <t xml:space="preserve">Nome e CPF
</t>
    </r>
    <r>
      <rPr>
        <sz val="10"/>
        <color rgb="FF000000"/>
        <rFont val="Tahoma"/>
        <family val="2"/>
      </rPr>
      <t>CPF e qualificação do responsável legal (mãe)</t>
    </r>
  </si>
  <si>
    <t>Conferência de folha de pagamento</t>
  </si>
  <si>
    <r>
      <t/>
    </r>
    <r>
      <rPr>
        <sz val="10"/>
        <color rgb="FF000000"/>
        <rFont val="Tahoma"/>
        <family val="2"/>
      </rPr>
      <t xml:space="preserve">- No caso de adiantamento recebe relatório com matrícula, local onde o colaborador trabalha e valor. 
- No caso de rescisão, recebe matricula e nome. 
- No caso pensão judicial, recebe a matrícula de quem está pagando e </t>
    </r>
    <r>
      <rPr>
        <sz val="10"/>
        <color rgb="FF000000"/>
        <rFont val="Tahoma"/>
        <family val="2"/>
      </rPr>
      <t>consegue visiualizar no sistema TOTVS</t>
    </r>
    <r>
      <rPr>
        <sz val="10"/>
        <color rgb="FF2e75b5"/>
        <rFont val="Tahoma"/>
        <family val="2"/>
      </rPr>
      <t xml:space="preserve"> </t>
    </r>
    <r>
      <rPr>
        <sz val="10"/>
        <color rgb="FF000000"/>
        <rFont val="Tahoma"/>
        <family val="2"/>
      </rPr>
      <t>o nome de quem está recebendo.</t>
    </r>
  </si>
  <si>
    <t>Não, mas consiguem ver as informações disponibilizadas no sistema TOTVS para pagamento e o recibo (ver com o DP e Financeiro quais são as informações)</t>
  </si>
  <si>
    <t>Michelle Andrade</t>
  </si>
  <si>
    <t>Pagamentos</t>
  </si>
  <si>
    <t xml:space="preserve">Pagamento de fornecedores </t>
  </si>
  <si>
    <t xml:space="preserve">Dados bancários, e-mail, nome completo, CPF, inscrição estadual, inscrição municipal, endereço completo e telefone  
</t>
  </si>
  <si>
    <t>Dados Bancários</t>
  </si>
  <si>
    <t>Atualização cadastral</t>
  </si>
  <si>
    <t>Atualização cadastral das empresas e holdings (SERISA, COMÉRCIO REUNIDO, GRL, SIAL, YSR)</t>
  </si>
  <si>
    <t>Nome completo, RG, CPF, endereço, estado civil e assinatura</t>
  </si>
  <si>
    <t>Termo de responsabilidade do cofre</t>
  </si>
  <si>
    <t>Nome completo, RG, CPF, endereço completo, estado civil, nacionalidade, assinatura, cargo</t>
  </si>
  <si>
    <t>Orçamento Gerencial</t>
  </si>
  <si>
    <t>Leonizia Santos</t>
  </si>
  <si>
    <t>Orçamento</t>
  </si>
  <si>
    <t>Planejamento orçamentário</t>
  </si>
  <si>
    <t>Nome completo, cargos e salário</t>
  </si>
  <si>
    <t xml:space="preserve">Não </t>
  </si>
  <si>
    <t>Aluguel de locação</t>
  </si>
  <si>
    <t>Pagamento aos shoppings</t>
  </si>
  <si>
    <t>Nome completo, CPF, RG</t>
  </si>
  <si>
    <t>Cadastro para pagamentos para prestadores de serviços (light, neoenergia, CPFL, ...)</t>
  </si>
  <si>
    <t>Nome completo, CPF, e-mail e telefone</t>
  </si>
  <si>
    <t>Bomboniere</t>
  </si>
  <si>
    <t>Marcel/Elaine</t>
  </si>
  <si>
    <t>Compra de suprimentos</t>
  </si>
  <si>
    <t>Solicitação de cadastro de fornecedores</t>
  </si>
  <si>
    <r>
      <t/>
    </r>
    <r>
      <rPr>
        <sz val="10"/>
        <color rgb="FF000000"/>
        <rFont val="Tahoma"/>
        <family val="2"/>
      </rPr>
      <t xml:space="preserve">PJ: CNPJ, Endereço completo, IE, IM, telefone, e-mail, dados bancários, dados de entrega (nome, RG, CPF e placa do carro que acessará o cinema) e contrato social (no caso de cadastro do fornecedor)
</t>
    </r>
    <r>
      <rPr>
        <sz val="10"/>
        <color rgb="FF000000"/>
        <rFont val="Tahoma"/>
        <family val="2"/>
      </rPr>
      <t xml:space="preserve">
PF: CPF, RG, e-mail, nome, endereço, telefone e dados bancários</t>
    </r>
  </si>
  <si>
    <t xml:space="preserve">Riscos </t>
  </si>
  <si>
    <t>Lídia Silva</t>
  </si>
  <si>
    <t>Auditoria Operacional</t>
  </si>
  <si>
    <t>Licenciamento do corpo de bombeiros</t>
  </si>
  <si>
    <t>Nome, CPF e RG</t>
  </si>
  <si>
    <t>Compliance</t>
  </si>
  <si>
    <t>Recebimento e análise dos relatos</t>
  </si>
  <si>
    <t>Nome completo, foto e print de conversa do WhatsApp (Primeiro nome ou número do celular)</t>
  </si>
  <si>
    <t>Tratativa que demandam atuação da área</t>
  </si>
  <si>
    <t>Imagens das áreas que o cinema possui monitoramento</t>
  </si>
  <si>
    <t>Tratativa pelo faleconosco</t>
  </si>
  <si>
    <t>Elizabeth Tinoco</t>
  </si>
  <si>
    <t>Vendas</t>
  </si>
  <si>
    <t>Eventos (aniversário infantil, eventos corporativo, projeto escola)</t>
  </si>
  <si>
    <t>CPF, endereço, e-mail, nome completo, CNPJ e razão social</t>
  </si>
  <si>
    <t>Nome, CPF, RG e placa de carro</t>
  </si>
  <si>
    <t>Nome (no caso de não saber o nome do responsável)</t>
  </si>
  <si>
    <t>Venda de ingressos corporativos</t>
  </si>
  <si>
    <t>CPF, endereço, e-mail, nome completo, telefone fixo e móvel</t>
  </si>
  <si>
    <t>Negociações</t>
  </si>
  <si>
    <t>Negociações com novos parceiros</t>
  </si>
  <si>
    <t>Nome completo, Responsáveis legais, cargo, CPF</t>
  </si>
  <si>
    <t>Marketing</t>
  </si>
  <si>
    <t>Verônica Themudo</t>
  </si>
  <si>
    <t>Cadastros</t>
  </si>
  <si>
    <t>Cadastro site (kinéfilo)</t>
  </si>
  <si>
    <t>CPF, Nome completo, Endereço, Sexo, Data de nascimento</t>
  </si>
  <si>
    <t>Sim, não há restrição na data de nascimento (GAP)</t>
  </si>
  <si>
    <t>CPF, Nome completo, Endereço, Sexo, Data de nascimento.</t>
  </si>
  <si>
    <t>Cadastro ingresso.com</t>
  </si>
  <si>
    <t>Nome, e-mail e CPF</t>
  </si>
  <si>
    <t xml:space="preserve">CPF e nome </t>
  </si>
  <si>
    <t>Premiação</t>
  </si>
  <si>
    <t>Nome, RG, CPF, Endereço completo, Telefone e Assinatura</t>
  </si>
  <si>
    <t>Sim, no caso premiações menores</t>
  </si>
  <si>
    <t>Verificar</t>
  </si>
  <si>
    <t>Programa de fidelidade</t>
  </si>
  <si>
    <t>Ouvidoria</t>
  </si>
  <si>
    <t>faleconosco</t>
  </si>
  <si>
    <t>Para emails normais: nome, e-mail, cidade.
Para e-mails com registro de problemas: Nome completo, nacionalidade, estado civil, profissão, endereço, RG, CPF e dados bancários e foto carteira identidade e o cliente assina o Acordo/problema. 
Com débito errado no cartão: Solicitamos os 6 pirmeiros numeros e os ultimos 4 (muitas vezes o cliente manda foto do cartão ou número todo)</t>
  </si>
  <si>
    <t>dados bancários e número cartão</t>
  </si>
  <si>
    <t>Acesso ao cinema</t>
  </si>
  <si>
    <t>Nome completo, CPF, RG e placa/modelo do carro (caso seja necessário)</t>
  </si>
  <si>
    <t>Nome completo e número de CPF/RG</t>
  </si>
  <si>
    <t>Verônica Themudo /Erika Guimarães</t>
  </si>
  <si>
    <t>Formulário de fornecedores</t>
  </si>
  <si>
    <t>Nome, CPF, e-mail e telefone.</t>
  </si>
  <si>
    <t>Gestão de Pessoas</t>
  </si>
  <si>
    <t>Alessandra Almeida</t>
  </si>
  <si>
    <t>Recrutamento e seleção</t>
  </si>
  <si>
    <t>Captação do currículos do cinema</t>
  </si>
  <si>
    <t>Nome completo, endereço, telefone, escolaridade, experiência profissional</t>
  </si>
  <si>
    <t>Sim, dependentes</t>
  </si>
  <si>
    <t>Recrutamento e seleção cinema</t>
  </si>
  <si>
    <t xml:space="preserve">Curriculo, ficha de cadastro e provas, carteira de trabalho e previdência social, foto, RG, CPF, CPF (cônjuge e filhos), PIS ou cartão cidadão, título de eleitor, caderneta de vacinação, certidão de nascimento ou casamento, certificado de reservista, certificado/comprovante de escolaride, comprovante de residência, cartão da conta bancário ou extrato da conta, cartão do SUS, exame médico admissional, sexo, e-mail, nome completo, endereço completo, telefone residencial e celular, data de nascimento, data de nascimento (dependentes - filhos, companheiro, cônjuge), estado cívil, nacionalidade, naturalidade, nome do pai, nome da mãe, tipo de deficiência, assinatura </t>
  </si>
  <si>
    <t>Carteira de trabalho e previdência social, cartão do SUS, exame médico adminssional, tipo de deficiência</t>
  </si>
  <si>
    <t>CPF, caderneta de vacinação (menores até 14 anos), certidão de nascimento e comprovante de escolaridade e data de nascimento</t>
  </si>
  <si>
    <t>Recrutamento e seleção Matriz</t>
  </si>
  <si>
    <t>Recrutamento e seleção para estagiários e jovem aprendiz</t>
  </si>
  <si>
    <t>Agendamento do ASO (Atestado de Saúde Ocupacional)</t>
  </si>
  <si>
    <t>CPF, nome, Data de nascimento, RG e filiação</t>
  </si>
  <si>
    <t>Sim, no caso de jovem aprendiz</t>
  </si>
  <si>
    <t xml:space="preserve">Admissão </t>
  </si>
  <si>
    <t>Vale transporte</t>
  </si>
  <si>
    <t>Matrícula, nome, endereço completo (com CEP), nome do responsável legal (em caso de menor de idade), CPF do responsável legal (em caso de menor de idade), data de nascimento, telefone residêncial e assinatura</t>
  </si>
  <si>
    <t>Sim, jovem aprendiz</t>
  </si>
  <si>
    <t>Vale alimentação/ refeição/combustivel</t>
  </si>
  <si>
    <t>Matrícula, nome e assinatura, nome e assinatura do responsável legal</t>
  </si>
  <si>
    <t>Plano de saúde e odontológico</t>
  </si>
  <si>
    <t>Nome, RG, CPF, data de admissão, idade, data de nascimento, estado civíl, sexo, nome da mãe, endereço completo, telefone e assinatura
caso haja dependentes: Nome do cônjuge, data de nascimento, nome da mãe e CPF, nome do filho(a), data de nascimento, nome da mãe e CPF</t>
  </si>
  <si>
    <t>Dados bancarios, sexo</t>
  </si>
  <si>
    <t>Totalpass</t>
  </si>
  <si>
    <t>CPF e nome</t>
  </si>
  <si>
    <t>Beevale</t>
  </si>
  <si>
    <t>Cinema, nome do colaborador, CPF, valor, data de nascimento, telefone e e-mail</t>
  </si>
  <si>
    <t>cinema, nome do colaborador, CPF, valor, data de nascimento, telefone e e-mail</t>
  </si>
  <si>
    <t>Auxílio Funeral</t>
  </si>
  <si>
    <t>Certidão de óbito, nome do colaborador e dados bancários</t>
  </si>
  <si>
    <t>Certidão de óbito e dados bancários</t>
  </si>
  <si>
    <t>Nome e matrícula, assinatura, endereço completo, função, data de admissão e número CTPS</t>
  </si>
  <si>
    <t>Pagamento de salário</t>
  </si>
  <si>
    <t>Nome, CPF, Agencia e conta bancária, salário liquido</t>
  </si>
  <si>
    <t>Dados bancários</t>
  </si>
  <si>
    <t>Contabilização</t>
  </si>
  <si>
    <t>Coligada, chapa/matrícula, nome, valores de multa e FGTS</t>
  </si>
  <si>
    <t>Emissão de contra cheque</t>
  </si>
  <si>
    <t>Nome, matrícula, data de admissão, dados bancários, RG, cargo, PIS, número CTPS e CPF</t>
  </si>
  <si>
    <t>Ponto</t>
  </si>
  <si>
    <r>
      <t/>
    </r>
    <r>
      <rPr>
        <sz val="10"/>
        <color rgb="FF000000"/>
        <rFont val="Tahoma"/>
        <family val="2"/>
      </rPr>
      <t xml:space="preserve">Nome, </t>
    </r>
    <r>
      <rPr>
        <sz val="10"/>
        <color rgb="FF000000"/>
        <rFont val="Tahoma"/>
        <family val="2"/>
      </rPr>
      <t>matrícula,</t>
    </r>
    <r>
      <rPr>
        <sz val="10"/>
        <color rgb="FF000000"/>
        <rFont val="Tahoma"/>
        <family val="2"/>
      </rPr>
      <t xml:space="preserve"> PIS, biometria</t>
    </r>
  </si>
  <si>
    <t>Desligamento</t>
  </si>
  <si>
    <t>Carta demissional: Nome, cargo e matrícula
Termo de recisão: PIS, nome, endereço completo, número CTPS, CPF, data de nascimento e nome da mãe
Extrato do FGTS: Nome completo, PIS, data de admissão, data de nascimento e número CTPS
Formulário do seguro desemprego: Nome, nome da mãe, endereço completo, telefone, PIS, número CTPS, CPF, data de nascimento, sexo e grau de instrução</t>
  </si>
  <si>
    <t>Lançamento financeiro de verba rescisória</t>
  </si>
  <si>
    <t>Pagamento GRRF - Multa rescisória</t>
  </si>
  <si>
    <t>Nome completo, PIS, data de admissão, data de nascimento e número CTPS</t>
  </si>
  <si>
    <t>Afastamento do colaborador</t>
  </si>
  <si>
    <t>Atestado médico (nome do colaborador, diagnóstico médico, RG, CPF, carimbo, assinatura e registro do médico)
 Formulário de afastamento - nome, data de nascimento, endereço completo, CEP, nome dos filhos, nacionalidade, sexo, estado civil e PIS</t>
  </si>
  <si>
    <t>Atestado médico, sexo</t>
  </si>
  <si>
    <t>Retorno do afastamento</t>
  </si>
  <si>
    <t>CPF, nome, Data de nascimento, RG, filiação e Comunicado de resultado de requerimento de afastamento (documento emitido pelo INSS com nome, endereço, PIS)</t>
  </si>
  <si>
    <t>Gestão de Pessoas/Segurança do Trabalho</t>
  </si>
  <si>
    <t>Cadastramento de CAT (Comunicação de Acidente de Trabalho)</t>
  </si>
  <si>
    <t>Nome completo, unidade de trabalho, telefone, informações do acidente, nome, telefone e endereço de testemunhas, CID, nome do médico, CRM, assinatura do gerente local, assinatura do colaborador e atestado médico</t>
  </si>
  <si>
    <t>Informação do incidente, CID</t>
  </si>
  <si>
    <t>Licença maternidade</t>
  </si>
  <si>
    <t>Exame de sangue (HCG), atestado médico de afastamento</t>
  </si>
  <si>
    <t>Certidão de nascimento e carteira de vacinação</t>
  </si>
  <si>
    <t>EPI</t>
  </si>
  <si>
    <t>Entrega de EPI</t>
  </si>
  <si>
    <t>Nome completo, função, cinema e data de admissão</t>
  </si>
  <si>
    <t>Transação de dados internos</t>
  </si>
  <si>
    <t xml:space="preserve">Digitalização </t>
  </si>
  <si>
    <t>Termo de recisão: Nome, endereço completo, data de nascimento, CPF, CEP, nome da mãe, PIS e número CTPS.
 Extrato do FGTS: Nome completo, PIS, data de admissão, número CTPS e data de nascimento.
GRRF: Nome completo, PIS, data de admissão, número CTPS e data de nascimento. 
Formulários de VT: Matrícula, nome completo, endereço completo, CEP, telefone e assinatura. 
 VA/VR: Matrícula, nome completo e assinatura.
Espelhos de ponto: Nome, matrícula e PIS.
 Plano de saúde: Nome completo, RG, CPF, data de admissão, data de nascimento, estado civil, sexo, nome da mãe, endereço completo, dependentes: Cônjuge, data de nascimento, nome da mãe, CPF, nome do filhos, data de nascimento, nome da mãe e assinatura.
 Contrato de trabalho: Nome completo, endereço completo, RG, CPF, telefone, e-mail, data de nascimento, nacionalidade, estado civil, histórico acadêmico, informações médicas, sexo, origem racial ou étnica, dados bancários</t>
  </si>
  <si>
    <t xml:space="preserve">    Estado civil, sexo, biometria, dados bancários, informações médicas e origem racial ou étnica</t>
  </si>
  <si>
    <t>Termo de recisão: Nome, endereço completo, data de nascimento, CPF, CEP, nome da mãe, PIS e número CTPS.
 Extrato do FGTS: Nome completo, PIS, data de admissão, número CTPS e data de nascimento.
GRRF: Nome completo, PIS, data de admissão, número CTPS e data de nascimento. 
Formulários de VT: Matrícula, nome completo, endereço completo, CEP, telefone e assinatura. 
 VA/VR: Matrícula, nome completo e assinatura.
Espelhos de ponto: Nome, matrícula, PIS, biometria.
 Plano de saúde: Nome completo, RG, CPF, Dada de admissão, data de nascimento, estado civil, sexo, nome da mãe, endereço completo, dependentes: Cônjuge, data de nascimento, nome da mãe, CPF, nome do filhos, data de nascimento, nome da mãe e assinatura.
 Contrato de trabalho: Nome completo, endereço completo, RG, CPF, telefone, e-mail, data de nascimento, nacionalidade, estado civil, histórico acadêmico, informações médicas, sexo, origem racial ou étnica, dados bancários</t>
  </si>
  <si>
    <t>Matrícula</t>
  </si>
  <si>
    <t>Informe de rendimento</t>
  </si>
  <si>
    <t xml:space="preserve">Dados Pessoais do Informe de Rendimentos (DIRF) - Nome e CPF
</t>
  </si>
  <si>
    <t>Planejamento de orçamento anual</t>
  </si>
  <si>
    <t>Nome, matricula, CPF, data de admissão, data de nascimento, salário, seção, PIS, nome da mãe.</t>
  </si>
  <si>
    <t>Conferência de headcount</t>
  </si>
  <si>
    <t>matrícula, CPF, nome completo, cargo, cinema, salário e data de admissão</t>
  </si>
  <si>
    <t>Victor Guariza / Eduardo Martins / Marcus Consentino</t>
  </si>
  <si>
    <t xml:space="preserve">Criação de usuário </t>
  </si>
  <si>
    <t>E-mail / Controle de chamado / Controle de acesso interno</t>
  </si>
  <si>
    <t>Nome, RG e CPF</t>
  </si>
  <si>
    <t>Secretaria</t>
  </si>
  <si>
    <t>Janeide Caldas</t>
  </si>
  <si>
    <t>Viagens</t>
  </si>
  <si>
    <t>Compra de passagens aéreas</t>
  </si>
  <si>
    <t>Nome, CPF, data de nascimento e RG</t>
  </si>
  <si>
    <t>Reserva de hotel</t>
  </si>
  <si>
    <t>Nome completo</t>
  </si>
  <si>
    <t xml:space="preserve">Lançamento de Notas Fiscais </t>
  </si>
  <si>
    <t>Lançamento de notas fiscais</t>
  </si>
  <si>
    <t xml:space="preserve">Nome, CPF e endereço </t>
  </si>
  <si>
    <t>Realiza Tratamento de Dados Pessoais</t>
  </si>
  <si>
    <t>Realiza Tratamento de Dados Pessoais sensiveis</t>
  </si>
  <si>
    <t>GAP</t>
  </si>
  <si>
    <t>Princípio da LGPD</t>
  </si>
  <si>
    <t>Recomendação</t>
  </si>
  <si>
    <t>IMPACTOS</t>
  </si>
  <si>
    <t>PROCESSOS</t>
  </si>
  <si>
    <t>SISTEMAS</t>
  </si>
  <si>
    <t>JURÍDICO</t>
  </si>
  <si>
    <t>Não há política de retenção</t>
  </si>
  <si>
    <r>
      <t/>
    </r>
    <r>
      <rPr>
        <u/>
        <sz val="10"/>
        <color rgb="FF000000"/>
        <rFont val="Tahoma"/>
        <family val="2"/>
      </rPr>
      <t>10 Responsabilização:</t>
    </r>
    <r>
      <rPr>
        <sz val="10"/>
        <color rgb="FF000000"/>
        <rFont val="Tahoma"/>
        <family val="2"/>
      </rPr>
      <t xml:space="preserve"> Adoção de medidas pelo agente capazes de comprovar o Compliance com a LGPD</t>
    </r>
  </si>
  <si>
    <t>Necessário estabelecer política de retenção</t>
  </si>
  <si>
    <t>x</t>
  </si>
  <si>
    <t>Não há definição do metódo de destruição dos dados pessoais tratados</t>
  </si>
  <si>
    <t>Definir metódo e prazo para descarte dos dados</t>
  </si>
  <si>
    <t>Não há consentimento dos responsáveis dos menores de 18 anos para o uso dos dados pessoais. (Art. 14º, 1º, LGPD)</t>
  </si>
  <si>
    <r>
      <t/>
    </r>
    <r>
      <rPr>
        <u/>
        <sz val="10"/>
        <color rgb="FF000000"/>
        <rFont val="Tahoma"/>
        <family val="2"/>
      </rPr>
      <t xml:space="preserve">10 Responsabilização: </t>
    </r>
    <r>
      <rPr>
        <sz val="10"/>
        <color rgb="FF000000"/>
        <rFont val="Tahoma"/>
        <family val="2"/>
      </rPr>
      <t>Adoção de medidas pelo agente capazes de comprovar o Compliance com a LGPD</t>
    </r>
  </si>
  <si>
    <t xml:space="preserve">Elaborar termo de consentimento para tratamento de dados de menores de 18 anos ser assinado pelos respectivos responsáveis dos menores
</t>
  </si>
  <si>
    <t xml:space="preserve">Dados compartihados com Terceiros sem clausula de   Confidencialidade e Privacidade dos Dados (Fornecedor/Prestador)
</t>
  </si>
  <si>
    <t xml:space="preserve">Elaborar Termo de Confidencialidade (Fornecedor/Prestador)
</t>
  </si>
  <si>
    <t xml:space="preserve">Envio e/ou recebimento de dados pessoais por whatsapp
</t>
  </si>
  <si>
    <t>Estabelecer ferramenta para disponibilização de documento e não fornecer dados pessoais e/ou dados sensíveis via whatsapp, e em caso de whatsapp corporativo, criar termo padrão LGPD.</t>
  </si>
  <si>
    <t>Tratamentos realizados sem obrigação legal</t>
  </si>
  <si>
    <t>Solicitar consentimento do titular para o tratamento dos dados para a finalidade específica</t>
  </si>
  <si>
    <t>Dificuldade para acesso, atualização e/ou correção aos dados pelo titular</t>
  </si>
  <si>
    <r>
      <t/>
    </r>
    <r>
      <rPr>
        <u/>
        <sz val="10"/>
        <color rgb="FF000000"/>
        <rFont val="Tahoma"/>
        <family val="2"/>
      </rPr>
      <t xml:space="preserve">05 Qualidade de dados: </t>
    </r>
    <r>
      <rPr>
        <sz val="10"/>
        <color rgb="FF000000"/>
        <rFont val="Tahoma"/>
        <family val="2"/>
      </rPr>
      <t xml:space="preserve">Os dados dos titulares devem ser mantidos atualizados, claros e exatos.
</t>
    </r>
    <r>
      <rPr>
        <u/>
        <sz val="10"/>
        <color rgb="FF000000"/>
        <rFont val="Tahoma"/>
        <family val="2"/>
      </rPr>
      <t xml:space="preserve">06 Transparência: </t>
    </r>
    <r>
      <rPr>
        <sz val="10"/>
        <color rgb="FF000000"/>
        <rFont val="Tahoma"/>
        <family val="2"/>
      </rPr>
      <t>Todas as informações dos titulares devem ser claras, precisas e de fácil acesso.</t>
    </r>
  </si>
  <si>
    <t>Definir canal para consulta, atualização e/ou correção aos dados pelo titular</t>
  </si>
  <si>
    <t>Dados compartilhados com terceiros sem consentimento específico</t>
  </si>
  <si>
    <t>Inclusão de aditivo no contrato de trabalho, do colaborador informando o compartilhamento</t>
  </si>
  <si>
    <t>Dados em excesso e sem finalidade de tratamento</t>
  </si>
  <si>
    <r>
      <t/>
    </r>
    <r>
      <rPr>
        <u/>
        <sz val="10"/>
        <color rgb="FF000000"/>
        <rFont val="Tahoma"/>
        <family val="2"/>
      </rPr>
      <t xml:space="preserve">03 Necessidade: </t>
    </r>
    <r>
      <rPr>
        <sz val="10"/>
        <color rgb="FF000000"/>
        <rFont val="Tahoma"/>
        <family val="2"/>
      </rPr>
      <t xml:space="preserve">O tratamento deve ser limitado ao mínimo necessário para realizar suas finalidades.
</t>
    </r>
  </si>
  <si>
    <t xml:space="preserve">Descartar dados sem finalidade e solicitar somente os necessários para a finalidade do processo </t>
  </si>
  <si>
    <t>Geral</t>
  </si>
  <si>
    <t>Verificar se contratos contemplam as premissas para o uso dos dados, conforme a LGPD</t>
  </si>
  <si>
    <t>Nome software/Sistema</t>
  </si>
  <si>
    <t>Descrição</t>
  </si>
  <si>
    <t>Riscos e recomendações</t>
  </si>
  <si>
    <t>ID do subprocesso</t>
  </si>
  <si>
    <t>Riscos (problema descrito)</t>
  </si>
  <si>
    <t>Tratativa Sugerida</t>
  </si>
  <si>
    <t xml:space="preserve">Area </t>
  </si>
  <si>
    <t>Carteira de trabalho e previdência social</t>
  </si>
  <si>
    <r>
      <t/>
    </r>
    <r>
      <rPr>
        <sz val="9"/>
        <color rgb="FF000000"/>
        <rFont val="Arial"/>
        <family val="2"/>
      </rPr>
      <t>•</t>
    </r>
    <r>
      <rPr>
        <sz val="9"/>
        <color rgb="FF3b3b3b"/>
        <rFont val="Tahoma"/>
        <family val="2"/>
      </rPr>
      <t>Nome, sexo, data de nascimento, CPF, telefone, e-mail, currículo, ficha de cadastro e provas, carteira de trabalho e previdência social, foto, RG, CPF (cônjuge e filhos), PIS ou cartão cidadão, título de eleitor, caderneta de vacinação, certidão de nascimento ou casamento, certificado de reservista, certificado/comprovante de escolaridade, comprovante de residência, cartão da conta bancária ou extrato da conta, cartão do SUS, exame médico admissional, endereço completo, telefone residencial e celular, data de nascimento (dependentes - filhos, companheiro, cônjuge), estado civil, nacionalidade, naturalidade, nome do pai, nome da mãe, tipo de deficiência, assinatura - Comunicado de resultado de requerimento de afastamento, informações do acidente, nome, telefone e endereço de testemunhas, CID, biometria, matrícula, Certidão de óbito</t>
    </r>
  </si>
  <si>
    <t xml:space="preserve">Certidão de óbito </t>
  </si>
  <si>
    <t xml:space="preserve">
</t>
  </si>
  <si>
    <t>Atestado médico</t>
  </si>
  <si>
    <t>Informação do incidente</t>
  </si>
  <si>
    <t>Exame de sangue (HCG)</t>
  </si>
  <si>
    <t xml:space="preserve">    Estado civil </t>
  </si>
  <si>
    <t>cartão do SUS</t>
  </si>
  <si>
    <t xml:space="preserve"> exame médico adminssional</t>
  </si>
  <si>
    <t>tipo de deficiência</t>
  </si>
  <si>
    <t>CID</t>
  </si>
  <si>
    <t xml:space="preserve"> atestado médico de afastamento</t>
  </si>
  <si>
    <t>informações médicas</t>
  </si>
  <si>
    <t>origem racial ou étnica</t>
  </si>
  <si>
    <t xml:space="preserve">
 </t>
  </si>
  <si>
    <t>Tópico 1 - Identificação das Áreas de Negócio</t>
  </si>
  <si>
    <t xml:space="preserve"> 2 - TIPOS DE DADOS PESSOAIS</t>
  </si>
  <si>
    <t>3 - DISPOSIÇÕES LEGAIS DO PROCESSO</t>
  </si>
  <si>
    <t>4 - RETENÇÃO DE DADOS</t>
  </si>
  <si>
    <t>5 - COMPARTILHAMENTO INTERNO DOS DADOS</t>
  </si>
  <si>
    <t xml:space="preserve"> 6 - COMPARTILHAMENTO EXTERNO DOS DADOS</t>
  </si>
  <si>
    <t>7 - TRANSFERÊNCIA INTERNACIONAL DE DADOS</t>
  </si>
  <si>
    <t>8 - SEGURANÇA</t>
  </si>
  <si>
    <t>9 - CONSENTIMENTO</t>
  </si>
  <si>
    <t>10 - INTELIGÊNCIA ARTIFICIAL</t>
  </si>
  <si>
    <t>11- EMBASAMENTO JURÍDICO</t>
  </si>
  <si>
    <t xml:space="preserve"> Nome e e-mail do responsável pelo processo</t>
  </si>
  <si>
    <t>Descrição do sub-processo</t>
  </si>
  <si>
    <t>Tipo do Titular?</t>
  </si>
  <si>
    <t>Utiliza dado sensível?
Se o dado revela saúde, biometria, crença, política, origem racial, sindicato, genética ou vida sexual, trate como sensível.</t>
  </si>
  <si>
    <t>Quais os dados de menores de 18 anos?</t>
  </si>
  <si>
    <t>Qual a finalidade do tratamento dos dados no processo?</t>
  </si>
  <si>
    <t>Qual a origem ou fonte de coleta do dado pessoal no processo?</t>
  </si>
  <si>
    <t>Volume estimado coletado mensalmente?</t>
  </si>
  <si>
    <t>Há regulamentação, norma, lei ou outro dispositivo legal que justifique a finalidade do uso do dado pessoal?</t>
  </si>
  <si>
    <t>Caso sim, informe qual dispositivo legal justifica a realização do processo.</t>
  </si>
  <si>
    <t>Os dados são compartihados com  Órgãos Reguladores e/ou Governamentais?</t>
  </si>
  <si>
    <t>Como os dados são compartihados com  Órgãos Reguladores e/ou Governamentais?</t>
  </si>
  <si>
    <t>Como e onde são armazenado os dados físicos e digitais do processo?</t>
  </si>
  <si>
    <t xml:space="preserve">Há um tempo de Retenção do dado pessoal? </t>
  </si>
  <si>
    <t>Caso exista período de retenção informe o período.</t>
  </si>
  <si>
    <t>Qual o método de destruição dos dados físicos e digitais? Caso exista, descreva como é feito o processo.</t>
  </si>
  <si>
    <t xml:space="preserve">Há compartilhamento interno dos dados? </t>
  </si>
  <si>
    <t>Se aplicável, quais áreas da empresa recebem os dados?</t>
  </si>
  <si>
    <t>De que forma o dado é compartilhado?</t>
  </si>
  <si>
    <t>Há compartilhamento de dados com Terceiros e/ou Prestadores de Serviços?</t>
  </si>
  <si>
    <t>Se aplicável, informe quais os dados compartilhados e a finalidade do compartilhamento.</t>
  </si>
  <si>
    <t>Informe o nome do Terceiro e/ou Prestador de Serviço que recebe os dados.</t>
  </si>
  <si>
    <t>Há contrato com Terceiros e/ou Prestador de Serviço com cláusulas de Privacidade?</t>
  </si>
  <si>
    <t>Qual a finalidade do compartilhamento de dados com Terceiros ou Prestadores de Serviço?</t>
  </si>
  <si>
    <t>Há transferência internacional de dados?</t>
  </si>
  <si>
    <t>Caso sim, informe quais os Países e Estados que recebem estes dados.</t>
  </si>
  <si>
    <t>Contrato/Política entre as partes em que o controlador garante a adequação à LGPD nas transferências?</t>
  </si>
  <si>
    <t xml:space="preserve">Qual a finalidade da transferência/compartilhamento internacional do dado? </t>
  </si>
  <si>
    <t>Existe controle de acesso aos dados por perfil na organização?</t>
  </si>
  <si>
    <t>Existe algum documento expressando o consentimento (quando aplicável) para o titular do dado com informações referente a coleta, tratamento do dado e finalidade do mesmo?</t>
  </si>
  <si>
    <t>Este processo utiliza Inteligência Artificial ou ferramentas automatizadas com recursos de IA?</t>
  </si>
  <si>
    <t>Qual Ferramenta de IA?</t>
  </si>
  <si>
    <t>Dados pessoais ou dados pessoais sensíveis inseridos na IA?</t>
  </si>
  <si>
    <t>Existe revisão humana nas decisões feitas por IA nesse processo?</t>
  </si>
  <si>
    <t xml:space="preserve">Base Legal de Tratamento </t>
  </si>
  <si>
    <t xml:space="preserve">Indicação elaboração DPIA </t>
  </si>
  <si>
    <t>Indicação elaboração LIA</t>
  </si>
  <si>
    <t>Justificativa automática do DPIA</t>
  </si>
  <si>
    <t>Nome da Área de Negócio</t>
  </si>
  <si>
    <t>Inventário de Dados</t>
  </si>
  <si>
    <t/>
  </si>
  <si>
    <t>Tópicos</t>
  </si>
  <si>
    <t>Colunas</t>
  </si>
  <si>
    <t>Descrição Resumida</t>
  </si>
  <si>
    <t>Exemplo de Preenchimento</t>
  </si>
  <si>
    <t>Identificador numérico único de controle da linha do processo.</t>
  </si>
  <si>
    <t>1; 2; 3; 4...</t>
  </si>
  <si>
    <t>Departamento ou setor corporativo responsável pelo fluxo de dados.</t>
  </si>
  <si>
    <t>Recursos Humanos; Comercial; Jurídico; TI.</t>
  </si>
  <si>
    <t>Nome e e-mail do responsável pelo processo</t>
  </si>
  <si>
    <t>Identificação do dono do processo para contato e governança de dados.</t>
  </si>
  <si>
    <t>Ana Costa (ana.costa@empresa.com)</t>
  </si>
  <si>
    <t>Macroatividade de negócio onde os dados circulam.</t>
  </si>
  <si>
    <t>Admissão de Colaboradores; Gestão de Leads; Folha de Pagamento.</t>
  </si>
  <si>
    <t>Detalhamento técnico das atividades executadas com os dados.</t>
  </si>
  <si>
    <t>Coleta de documentos admissionais e cadastro no sistema de RH.</t>
  </si>
  <si>
    <t>Tópico 2 - TIPOS DE DADOS PESSOAIS</t>
  </si>
  <si>
    <t>Indicador binário se há ou não presença de dados de pessoas físicas.</t>
  </si>
  <si>
    <t>Sim; Não.</t>
  </si>
  <si>
    <t>Listagem explícita dos dados pessoais gerais coletados.</t>
  </si>
  <si>
    <t>Nome completo; RG; CPF; E-mail; Telefone; Endereço.</t>
  </si>
  <si>
    <t>Categoria ou grupo ao qual pertence o dono dos dados coletados.</t>
  </si>
  <si>
    <t>Colaborador; Candidato; Cliente; Prestador de Serviço.</t>
  </si>
  <si>
    <t>Utiliza dado sensível?</t>
  </si>
  <si>
    <t>Indicação se há dados sobre saúde, biometria, origem racial, etc.</t>
  </si>
  <si>
    <t>Especificação exata das categorias de dados sensíveis tratados.</t>
  </si>
  <si>
    <t>Biometria; Atestado Médico; Exame Admissional; CID.</t>
  </si>
  <si>
    <t>Utiliza algum tipo de dado de menores de 18 anos?</t>
  </si>
  <si>
    <t>Indicador de tratamento focado em crianças ou adolescentes.</t>
  </si>
  <si>
    <t>Detalhamento dos dados coletados pertencentes a menores.</t>
  </si>
  <si>
    <t>Nome e CPF de dependentes; Certidão de Nascimento.</t>
  </si>
  <si>
    <t>O propósito de negócio, operacional ou legal para justificar o uso do dado.</t>
  </si>
  <si>
    <t>Execução de contrato de trabalho e fornecimento de benefícios.</t>
  </si>
  <si>
    <t>O canal ou a forma pela qual os dados entram na empresa.</t>
  </si>
  <si>
    <t>Coletado diretamente com o titular; Recebido via agência parceira.</t>
  </si>
  <si>
    <t>Métrica de volumetria mensal de titulares impactados (afeta o DPIA).</t>
  </si>
  <si>
    <t>De 1.001 a 10.000 titulares por mês; Acima de 10.000 titulares por mês.</t>
  </si>
  <si>
    <t>Tópico 3 - DISPOSIÇÕES LEGAIS DO PROCESSO</t>
  </si>
  <si>
    <t>Indicação se existe uma lei externa obrigando este tratamento de dados.</t>
  </si>
  <si>
    <t>Citação direta da lei corporativa, trabalhista, fiscal ou regulatória.</t>
  </si>
  <si>
    <t>Consolidação das Leis do Trabalho (CLT); Legislação do eSocial.</t>
  </si>
  <si>
    <t>Os dados são compartilhados com Órgãos Reguladores e/ou Governamentais?</t>
  </si>
  <si>
    <t>Envio rotineiro de informações para cumprimento de obrigações públicas.</t>
  </si>
  <si>
    <t>Como os dados são compartilhados com Órgãos Reguladores e/ou Governamentais?</t>
  </si>
  <si>
    <t>Canal técnico usado para a transmissão de dados ao governo.</t>
  </si>
  <si>
    <t>Transmissão via portal eSocial; Conectividade Social da Caixa.</t>
  </si>
  <si>
    <t xml:space="preserve">Tópico 4 - RETENÇÃO DE DADOS                        </t>
  </si>
  <si>
    <t>Infraestrutura ou repositório onde os arquivos contendo dados residem.</t>
  </si>
  <si>
    <t>Servidor Nuvem (OneDrive); Arquivo Morto Físico na Sede.</t>
  </si>
  <si>
    <t xml:space="preserve">Indica se a organização possui um prazo definido para o armazenamento dos dados pessoais tratados no processo. </t>
  </si>
  <si>
    <t>Especificação do prazo exato de armazenamento dos dados pessoais no processo, baseado em obrigações legais, regulatórias ou necessidades de negócio.</t>
  </si>
  <si>
    <t xml:space="preserve"> 5 anos após o término do contrato; 20 anos para prontuários médicos.</t>
  </si>
  <si>
    <t>Especificação dos procedimentos técnicos ou físicos adotados para a eliminação definitiva e segura dos dados após o fim do período de retenção, garantindo que as informações não possam ser recuperadas.</t>
  </si>
  <si>
    <t>Fragmentação mecânica de papéis para documentos físicos e exclusão lógica com sobrescrita segura ou exclusão de arquivos digitais.</t>
  </si>
  <si>
    <t xml:space="preserve">Tópico 5 - COMPARTILHAMENTO INTERNO DOS DADOS		</t>
  </si>
  <si>
    <t xml:space="preserve">Indica se as informações pessoais são replicadas ou disponibilizadas para outros setores dentro da própria organização. </t>
  </si>
  <si>
    <t>Indicação dos departamentos ou setores internos da organização que têm acesso ou recebem os dados pessoais compartilhados no processo.</t>
  </si>
  <si>
    <t xml:space="preserve"> Recursos Humanos; Departamento Pessoal; Financeiro; TI.</t>
  </si>
  <si>
    <t xml:space="preserve">Indicação do meio ou canal técnico utilizado para realizar o compartilhamento interno dos dados pessoais. </t>
  </si>
  <si>
    <t>E-mail corporativo; Pasta compartilhada na rede; Integração via API do sistema de RH.</t>
  </si>
  <si>
    <t xml:space="preserve"> Tópico 6 - COMPARTILHAMENTO EXTERNO DOS DADOS                                </t>
  </si>
  <si>
    <t xml:space="preserve">Há compartilhamento de dados com Terceiros e/ou Prestadores de Serviços?     </t>
  </si>
  <si>
    <t>Indicação se as informações coletadas no processo são compartilhadas com empresas parceiras, fornecedores ou prestadores de serviços externos.</t>
  </si>
  <si>
    <t xml:space="preserve">   Se aplicável, informe quais os dados compartilhados e a finalidade do compartilhamento.        </t>
  </si>
  <si>
    <t>Especificação de quais dados pessoais são compartilhados com o terceiro e o motivo de negócio ou legal para essa transferência.</t>
  </si>
  <si>
    <t>Dados: Nome e CPF. Finalidade: Emissão de passagens aéreas e reserva de hotéis pela agência corporativa.</t>
  </si>
  <si>
    <t xml:space="preserve">Informe o nome do Terceiro e/ou Prestador de Serviço que recebe os dados.      </t>
  </si>
  <si>
    <t xml:space="preserve">Indica a razão social ou nome fantasia da empresa terceira ou fornecedora externa que tem acesso ou recebe os dados pessoais tratados no processo. </t>
  </si>
  <si>
    <t>AWS Cloud Brasil; Robert Half Consultoria; Stone Pagamentos.</t>
  </si>
  <si>
    <t xml:space="preserve">  Há contrato com Terceiros e/ou Prestador de Serviço com cláusulas de Privacidade?    </t>
  </si>
  <si>
    <t xml:space="preserve">Indica se existe um instrumento contratual formalizado com o terceiro que inclua cláusulas específicas de proteção de dados e privacidade. </t>
  </si>
  <si>
    <t xml:space="preserve">    Qual a finalidade do compartilhamento de dados com Terceiros ou Prestadores de Serviço?</t>
  </si>
  <si>
    <t>Indicação do motivo ou justificativa de negócio para o envio das informações a terceiros.</t>
  </si>
  <si>
    <t xml:space="preserve"> Processamento de folha de pagamento por empresa terceirizada de contabilidade.</t>
  </si>
  <si>
    <t>Tópico 7 - TRANSFERÊNCIA INTERNACIONAL DE DADOS</t>
  </si>
  <si>
    <t xml:space="preserve">Há transferência internacional de dados?    </t>
  </si>
  <si>
    <t>Indica se os dados pessoais são enviados, armazenados ou acessados em servidores localizados fora do território nacional.</t>
  </si>
  <si>
    <t xml:space="preserve"> Sim; Não.</t>
  </si>
  <si>
    <t xml:space="preserve">    Caso sim, informe quais os Países e Estados que recebem estes dados.       </t>
  </si>
  <si>
    <t xml:space="preserve">Listagem das nações ou estados estrangeiros para os quais os dados pessoais são transferidos no processo. </t>
  </si>
  <si>
    <t>Estados Unidos (Califórnia); Alemanha.</t>
  </si>
  <si>
    <t xml:space="preserve"> Contrato/Política entre as partes em que o controlador garante a adequação à LGPD nas transferências?       </t>
  </si>
  <si>
    <t>Indicação se há um instrumento jurídico formal que assegure a conformidade das transferências de dados internacionais com a LGPD</t>
  </si>
  <si>
    <t>Cláusulas contratuais padrão assinadas; Acordo de Compartilhamento de Dados aditado com cláusulas de privacidade.</t>
  </si>
  <si>
    <t xml:space="preserve"> Qual a finalidade da transferência/compartilhamento internacional do dado? </t>
  </si>
  <si>
    <t>Esclarecimento do motivo de negócio, operacional ou legal que justifica o envio ou armazenamento dos dados fora do Brasil.</t>
  </si>
  <si>
    <t xml:space="preserve"> Armazenamento seguro em nuvem corporativa global.</t>
  </si>
  <si>
    <t>Tópico 8 - SEGURANÇA</t>
  </si>
  <si>
    <t>Indicação se a empresa possui restrições de acesso às informações com base no cargo ou função do colaborador para garantir a segurança dos dados.</t>
  </si>
  <si>
    <t xml:space="preserve"> Sim, apenas a equipe de RH possui acesso à pasta de prontuários.</t>
  </si>
  <si>
    <t>Tópico 9 - CONSENTIMENTO</t>
  </si>
  <si>
    <t>Indicação da existência de um termo formal ou mecanismo que comprove a autorização expressa do titular para o tratamento de seus dados.</t>
  </si>
  <si>
    <t xml:space="preserve"> Termo de Consentimento de Uso de Dados assinado; Aceite eletrônico na plataforma.</t>
  </si>
  <si>
    <t xml:space="preserve">Tópico 10 - INTELIGÊNCIA ARTIFICIAL			</t>
  </si>
  <si>
    <t xml:space="preserve">Identificação do nome ou especificação da ferramenta de inteligência artificial utilizada no processo de tratamento de dados. </t>
  </si>
  <si>
    <t>ChatGPT; Google Gemini; Microsoft Copilot.</t>
  </si>
  <si>
    <t>Indicação se dados pessoais comuns ou sensíveis são introduzidos em ferramentas de Inteligência Artificial durante o processo.</t>
  </si>
  <si>
    <t>Sim, são inseridos nomes e CPFs de clientes no chatbot de atendimento.</t>
  </si>
  <si>
    <t xml:space="preserve">Indica se as decisões ou outputs gerados por sistemas de inteligência artificial passam pela validação, supervisão ou análise crítica de uma pessoa antes de serem consolidados. </t>
  </si>
  <si>
    <t>Sim, todas as decisões automáticas de crédito são revisadas pelo comitê financeiro antes da aprovação final; Não, o processo é 100% automatizado.</t>
  </si>
  <si>
    <t xml:space="preserve">11- EMBASAMENTO JURÍDICO		</t>
  </si>
  <si>
    <t xml:space="preserve">Fundamento jurídico previsto na LGPD que autoriza e legitima o tratamento de dados pessoais no processo. </t>
  </si>
  <si>
    <t>Consentimento; Execução de Contrato; Cumprimento de Obrigação Legal ou Regulatória; Legítimo Interesse.</t>
  </si>
  <si>
    <t>Indicação se o processo necessita da elaboração do Relatório de Impacto à Proteção de Dados Pessoais devido ao risco do tratamento.</t>
  </si>
  <si>
    <t xml:space="preserve">Indicação se foi elaborado o Relatório de Impacto à Proteção de Dados (DPIA) ou o Legitimate Interest Assessment (LIA) para o processo, fundamentando a base legal do legítimo interesse. </t>
  </si>
  <si>
    <t xml:space="preserve">Sim; Não; </t>
  </si>
  <si>
    <t>Explicação ou fundamentação automatizada que valida a necessidade ou a dispensa da realização do Relatório de Impacto à Proteção de Dados Pessoais (DPIA) com base nos critérios de risco do processo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</si>
</sst>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2" x14ac:knownFonts="1">
    <font>
      <sz val="11"/>
      <color theme="1"/>
      <name val="Calibri"/>
      <family val="2"/>
      <scheme val="minor"/>
    </font>
    <font>
      <b/>
      <sz val="10"/>
      <color rgb="FF000000"/>
      <name val="Tahoma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Tahoma"/>
      <family val="2"/>
    </font>
    <font>
      <sz val="11"/>
      <color rgb="FF000000"/>
      <name val="Lato"/>
      <family val="2"/>
    </font>
    <font>
      <sz val="11"/>
      <color rgb="FF008000"/>
      <name val="Inconsolata"/>
      <family val="2"/>
    </font>
    <font>
      <b/>
      <sz val="11"/>
      <color rgb="FF000000"/>
      <name val="Tahoma"/>
      <family val="2"/>
    </font>
    <font>
      <sz val="9"/>
      <color rgb="FF000000"/>
      <name val="Arial"/>
      <family val="2"/>
    </font>
    <font>
      <b/>
      <sz val="12"/>
      <color rgb="FF000000"/>
      <name val="Tahoma"/>
      <family val="2"/>
    </font>
    <font>
      <sz val="10"/>
      <color rgb="FFed7d31"/>
      <name val="Tahoma"/>
      <family val="2"/>
    </font>
    <font>
      <b/>
      <sz val="10"/>
      <color rgb="FFff9900"/>
      <name val="Tahoma"/>
      <family val="2"/>
    </font>
    <font>
      <b/>
      <sz val="11"/>
      <color rgb="FF000000"/>
      <name val="Calibri"/>
      <family val="2"/>
    </font>
    <font>
      <sz val="10"/>
      <color rgb="FF7030a0"/>
      <name val="Tahoma"/>
      <family val="2"/>
    </font>
    <font>
      <sz val="11"/>
      <color rgb="FFed7d31"/>
      <name val="Calibri"/>
      <family val="2"/>
    </font>
    <font>
      <sz val="11"/>
      <color rgb="FF000000"/>
      <name val="Calibri"/>
      <family val="2"/>
    </font>
    <font>
      <sz val="10"/>
      <color rgb="FF000000"/>
      <name val="Tahoma"/>
      <family val="2"/>
    </font>
    <font>
      <b/>
      <sz val="24"/>
      <color rgb="FFffffff"/>
      <name val="Calibri"/>
      <family val="2"/>
    </font>
    <font>
      <sz val="16"/>
      <color rgb="FF000000"/>
      <name val="Lato"/>
      <family val="2"/>
    </font>
    <font>
      <sz val="9"/>
      <color rgb="FF000000"/>
      <name val="Lato"/>
      <family val="2"/>
    </font>
    <font>
      <b/>
      <sz val="12"/>
      <color rgb="FF000000"/>
      <name val="Lato"/>
      <family val="2"/>
    </font>
    <font>
      <u/>
      <sz val="11"/>
      <color rgb="FF000000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ff00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rgb="FF2e75b5"/>
      </patternFill>
    </fill>
    <fill>
      <patternFill patternType="solid">
        <fgColor rgb="FF548135"/>
      </patternFill>
    </fill>
    <fill>
      <patternFill patternType="solid">
        <fgColor rgb="FFffe598"/>
      </patternFill>
    </fill>
    <fill>
      <patternFill patternType="solid">
        <fgColor rgb="FFbf9000"/>
      </patternFill>
    </fill>
    <fill>
      <patternFill patternType="solid">
        <fgColor rgb="FF00b0f0"/>
      </patternFill>
    </fill>
    <fill>
      <patternFill patternType="solid">
        <fgColor rgb="FF7f7f7f"/>
      </patternFill>
    </fill>
    <fill>
      <patternFill patternType="solid">
        <fgColor rgb="FFf4b083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rgb="FFd8d8d8"/>
      </patternFill>
    </fill>
    <fill>
      <patternFill patternType="solid">
        <fgColor rgb="FF000000"/>
      </patternFill>
    </fill>
    <fill>
      <patternFill patternType="solid">
        <fgColor rgb="FFaeabab"/>
      </patternFill>
    </fill>
    <fill>
      <patternFill patternType="solid">
        <fgColor rgb="FFa5a5a5"/>
      </patternFill>
    </fill>
    <fill>
      <patternFill patternType="solid">
        <fgColor rgb="FFd6dce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medium">
        <color rgb="FFffffff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 style="thin">
        <color rgb="FFababab"/>
      </right>
      <top style="thin">
        <color rgb="FFffffff"/>
      </top>
      <bottom/>
      <diagonal/>
    </border>
    <border>
      <left style="thin">
        <color rgb="FFababab"/>
      </left>
      <right/>
      <top style="thin">
        <color rgb="FFffffff"/>
      </top>
      <bottom style="thin">
        <color rgb="FFababab"/>
      </bottom>
      <diagonal/>
    </border>
    <border>
      <left style="thin">
        <color rgb="FFffffff"/>
      </left>
      <right/>
      <top style="thin">
        <color rgb="FFffffff"/>
      </top>
      <bottom style="thin">
        <color rgb="FFababab"/>
      </bottom>
      <diagonal/>
    </border>
    <border>
      <left style="thin">
        <color rgb="FFffffff"/>
      </left>
      <right style="thin">
        <color rgb="FFababab"/>
      </right>
      <top style="thin">
        <color rgb="FFffffff"/>
      </top>
      <bottom style="thin">
        <color rgb="FFababa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c6c6c6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bfbfbf"/>
      </right>
      <top style="thin">
        <color rgb="FFbfbfbf"/>
      </top>
      <bottom style="thin">
        <color rgb="FFc6c6c6"/>
      </bottom>
      <diagonal/>
    </border>
  </borders>
  <cellStyleXfs count="1">
    <xf numFmtId="0" fontId="0" fillId="0" borderId="0"/>
  </cellStyleXfs>
  <cellXfs count="150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2" applyFill="1" applyAlignment="1">
      <alignment horizontal="center" wrapText="1"/>
    </xf>
    <xf xfId="0" numFmtId="0" borderId="2" applyBorder="1" fontId="1" applyFont="1" fillId="2" applyFill="1" applyAlignment="1">
      <alignment horizontal="center" wrapText="1"/>
    </xf>
    <xf xfId="0" numFmtId="0" borderId="3" applyBorder="1" fontId="1" applyFont="1" fillId="2" applyFill="1" applyAlignment="1">
      <alignment horizontal="center" wrapText="1"/>
    </xf>
    <xf xfId="0" numFmtId="0" borderId="4" applyBorder="1" fontId="2" applyFont="1" fillId="0" applyAlignment="1">
      <alignment horizontal="left" wrapText="1"/>
    </xf>
    <xf xfId="0" numFmtId="0" borderId="0" fontId="0" fillId="0" applyAlignment="1">
      <alignment horizontal="general" wrapText="1"/>
    </xf>
    <xf xfId="0" numFmtId="0" borderId="5" applyBorder="1" fontId="2" applyFont="1" fillId="3" applyFill="1" applyAlignment="1">
      <alignment horizontal="left" wrapText="1"/>
    </xf>
    <xf xfId="0" numFmtId="0" borderId="4" applyBorder="1" fontId="2" applyFont="1" fillId="0" applyAlignment="1">
      <alignment horizontal="left"/>
    </xf>
    <xf xfId="0" numFmtId="0" borderId="5" applyBorder="1" fontId="3" applyFont="1" fillId="2" applyFill="1" applyAlignment="1">
      <alignment horizontal="left"/>
    </xf>
    <xf xfId="0" numFmtId="0" borderId="5" applyBorder="1" fontId="2" applyFont="1" fillId="2" applyFill="1" applyAlignment="1">
      <alignment horizontal="left" wrapText="1"/>
    </xf>
    <xf xfId="0" numFmtId="0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0" borderId="0" fontId="0" fillId="0" applyAlignment="1">
      <alignment horizontal="general"/>
    </xf>
    <xf xfId="0" numFmtId="0" borderId="5" applyBorder="1" fontId="2" applyFont="1" fillId="2" applyFill="1" applyAlignment="1">
      <alignment horizontal="left"/>
    </xf>
    <xf xfId="0" numFmtId="3" applyNumberFormat="1" borderId="5" applyBorder="1" fontId="2" applyFont="1" fillId="2" applyFill="1" applyAlignment="1">
      <alignment horizontal="left"/>
    </xf>
    <xf xfId="0" numFmtId="3" applyNumberFormat="1" borderId="6" applyBorder="1" fontId="4" applyFont="1" fillId="4" applyFill="1" applyAlignment="1">
      <alignment horizontal="center"/>
    </xf>
    <xf xfId="0" numFmtId="0" borderId="7" applyBorder="1" fontId="5" applyFont="1" fillId="0" applyAlignment="1">
      <alignment horizontal="left"/>
    </xf>
    <xf xfId="0" numFmtId="0" borderId="8" applyBorder="1" fontId="5" applyFont="1" fillId="0" applyAlignment="1">
      <alignment horizontal="left"/>
    </xf>
    <xf xfId="0" numFmtId="0" borderId="4" applyBorder="1" fontId="2" applyFont="1" fillId="0" applyAlignment="1">
      <alignment horizontal="left"/>
    </xf>
    <xf xfId="0" numFmtId="3" applyNumberFormat="1" borderId="1" applyBorder="1" fontId="6" applyFont="1" fillId="4" applyFill="1" applyAlignment="1">
      <alignment horizontal="center" wrapText="1"/>
    </xf>
    <xf xfId="0" numFmtId="0" borderId="1" applyBorder="1" fontId="6" applyFont="1" fillId="4" applyFill="1" applyAlignment="1">
      <alignment horizontal="center" wrapText="1"/>
    </xf>
    <xf xfId="0" numFmtId="3" applyNumberFormat="1" borderId="1" applyBorder="1" fontId="7" applyFont="1" fillId="2" applyFill="1" applyAlignment="1">
      <alignment horizontal="center"/>
    </xf>
    <xf xfId="0" numFmtId="0" borderId="1" applyBorder="1" fontId="7" applyFont="1" fillId="2" applyFill="1" applyAlignment="1">
      <alignment horizontal="left"/>
    </xf>
    <xf xfId="0" numFmtId="0" borderId="1" applyBorder="1" fontId="7" applyFont="1" fillId="2" applyFill="1" applyAlignment="1">
      <alignment horizontal="left" wrapText="1"/>
    </xf>
    <xf xfId="0" numFmtId="0" borderId="1" applyBorder="1" fontId="7" applyFont="1" fillId="2" applyFill="1" applyAlignment="1">
      <alignment horizontal="center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4" applyBorder="1" fontId="8" applyFont="1" fillId="0" applyAlignment="1">
      <alignment horizontal="left" wrapText="1"/>
    </xf>
    <xf xfId="0" numFmtId="0" borderId="4" applyBorder="1" fontId="8" applyFont="1" fillId="0" applyAlignment="1">
      <alignment horizontal="left"/>
    </xf>
    <xf xfId="0" numFmtId="0" borderId="4" applyBorder="1" fontId="2" applyFont="1" fillId="0" applyAlignment="1">
      <alignment horizontal="center" wrapText="1"/>
    </xf>
    <xf xfId="0" numFmtId="3" applyNumberFormat="1" borderId="4" applyBorder="1" fontId="2" applyFont="1" fillId="0" applyAlignment="1">
      <alignment horizontal="center" wrapText="1"/>
    </xf>
    <xf xfId="0" numFmtId="0" borderId="1" applyBorder="1" fontId="7" applyFont="1" fillId="0" applyAlignment="1">
      <alignment horizontal="left" wrapText="1"/>
    </xf>
    <xf xfId="0" numFmtId="0" borderId="1" applyBorder="1" fontId="7" applyFont="1" fillId="5" applyFill="1" applyAlignment="1">
      <alignment horizontal="left" wrapText="1"/>
    </xf>
    <xf xfId="0" numFmtId="3" applyNumberFormat="1" borderId="1" applyBorder="1" fontId="7" applyFont="1" fillId="2" applyFill="1" applyAlignment="1">
      <alignment horizontal="center" wrapText="1"/>
    </xf>
    <xf xfId="0" numFmtId="0" borderId="1" applyBorder="1" fontId="7" applyFont="1" fillId="6" applyFill="1" applyAlignment="1">
      <alignment horizontal="left" wrapText="1"/>
    </xf>
    <xf xfId="0" numFmtId="0" borderId="1" applyBorder="1" fontId="7" applyFont="1" fillId="7" applyFill="1" applyAlignment="1">
      <alignment horizontal="left" wrapText="1"/>
    </xf>
    <xf xfId="0" numFmtId="0" borderId="1" applyBorder="1" fontId="7" applyFont="1" fillId="8" applyFill="1" applyAlignment="1">
      <alignment horizontal="left" wrapText="1"/>
    </xf>
    <xf xfId="0" numFmtId="0" borderId="1" applyBorder="1" fontId="7" applyFont="1" fillId="9" applyFill="1" applyAlignment="1">
      <alignment horizontal="left" wrapText="1"/>
    </xf>
    <xf xfId="0" numFmtId="0" borderId="1" applyBorder="1" fontId="7" applyFont="1" fillId="10" applyFill="1" applyAlignment="1">
      <alignment horizontal="left" wrapText="1"/>
    </xf>
    <xf xfId="0" numFmtId="0" borderId="1" applyBorder="1" fontId="9" applyFont="1" fillId="2" applyFill="1" applyAlignment="1">
      <alignment horizontal="left" wrapText="1"/>
    </xf>
    <xf xfId="0" numFmtId="0" borderId="1" applyBorder="1" fontId="7" applyFont="1" fillId="11" applyFill="1" applyAlignment="1">
      <alignment horizontal="left" wrapText="1"/>
    </xf>
    <xf xfId="0" numFmtId="0" borderId="1" applyBorder="1" fontId="7" applyFont="1" fillId="12" applyFill="1" applyAlignment="1">
      <alignment horizontal="left" wrapText="1"/>
    </xf>
    <xf xfId="0" numFmtId="0" borderId="1" applyBorder="1" fontId="7" applyFont="1" fillId="13" applyFill="1" applyAlignment="1">
      <alignment horizontal="left" wrapText="1"/>
    </xf>
    <xf xfId="0" numFmtId="0" borderId="1" applyBorder="1" fontId="7" applyFont="1" fillId="14" applyFill="1" applyAlignment="1">
      <alignment horizontal="left" wrapText="1"/>
    </xf>
    <xf xfId="0" numFmtId="0" borderId="1" applyBorder="1" fontId="7" applyFont="1" fillId="15" applyFill="1" applyAlignment="1">
      <alignment horizontal="left" wrapText="1"/>
    </xf>
    <xf xfId="0" numFmtId="3" applyNumberFormat="1" borderId="0" fontId="0" fillId="0" applyAlignment="1">
      <alignment horizontal="general" wrapText="1"/>
    </xf>
    <xf xfId="0" numFmtId="0" borderId="1" applyBorder="1" fontId="7" applyFont="1" fillId="0" applyAlignment="1">
      <alignment horizontal="left"/>
    </xf>
    <xf xfId="0" numFmtId="0" borderId="1" applyBorder="1" fontId="9" applyFont="1" fillId="0" applyAlignment="1">
      <alignment horizontal="left" wrapText="1"/>
    </xf>
    <xf xfId="0" numFmtId="3" applyNumberFormat="1" borderId="0" fontId="0" fillId="0" applyAlignment="1">
      <alignment horizontal="general" wrapText="1"/>
    </xf>
    <xf xfId="0" numFmtId="0" borderId="9" applyBorder="1" fontId="7" applyFont="1" fillId="4" applyFill="1" applyAlignment="1">
      <alignment horizontal="center" wrapText="1"/>
    </xf>
    <xf xfId="0" numFmtId="0" borderId="9" applyBorder="1" fontId="7" applyFont="1" fillId="16" applyFill="1" applyAlignment="1">
      <alignment horizontal="center" wrapText="1"/>
    </xf>
    <xf xfId="0" numFmtId="0" borderId="1" applyBorder="1" fontId="7" applyFont="1" fillId="2" applyFill="1" applyAlignment="1">
      <alignment horizontal="center" wrapText="1"/>
    </xf>
    <xf xfId="0" numFmtId="0" borderId="1" applyBorder="1" fontId="7" applyFont="1" fillId="0" applyAlignment="1">
      <alignment horizontal="center" wrapText="1"/>
    </xf>
    <xf xfId="0" numFmtId="3" applyNumberFormat="1" borderId="4" applyBorder="1" fontId="8" applyFont="1" fillId="0" applyAlignment="1">
      <alignment horizontal="right"/>
    </xf>
    <xf xfId="0" numFmtId="0" borderId="10" applyBorder="1" fontId="7" applyFont="1" fillId="0" applyAlignment="1">
      <alignment horizontal="center" wrapText="1"/>
    </xf>
    <xf xfId="0" numFmtId="0" borderId="1" applyBorder="1" fontId="10" applyFont="1" fillId="2" applyFill="1" applyAlignment="1">
      <alignment horizontal="left" wrapText="1"/>
    </xf>
    <xf xfId="0" numFmtId="0" borderId="4" applyBorder="1" fontId="7" applyFont="1" fillId="0" applyAlignment="1">
      <alignment horizontal="center" wrapText="1"/>
    </xf>
    <xf xfId="0" numFmtId="0" borderId="11" applyBorder="1" fontId="2" applyFont="1" fillId="0" applyAlignment="1">
      <alignment horizontal="left"/>
    </xf>
    <xf xfId="0" numFmtId="0" borderId="12" applyBorder="1" fontId="2" applyFont="1" fillId="0" applyAlignment="1">
      <alignment horizontal="left"/>
    </xf>
    <xf xfId="0" numFmtId="0" borderId="13" applyBorder="1" fontId="2" applyFont="1" fillId="0" applyAlignment="1">
      <alignment horizontal="left"/>
    </xf>
    <xf xfId="0" numFmtId="0" borderId="14" applyBorder="1" fontId="2" applyFont="1" fillId="0" applyAlignment="1">
      <alignment horizontal="left"/>
    </xf>
    <xf xfId="0" numFmtId="0" borderId="15" applyBorder="1" fontId="2" applyFont="1" fillId="0" applyAlignment="1">
      <alignment horizontal="left"/>
    </xf>
    <xf xfId="0" numFmtId="0" borderId="16" applyBorder="1" fontId="2" applyFont="1" fillId="0" applyAlignment="1">
      <alignment horizontal="left"/>
    </xf>
    <xf xfId="0" numFmtId="0" borderId="9" applyBorder="1" fontId="1" applyFont="1" fillId="4" applyFill="1" applyAlignment="1">
      <alignment horizontal="center" vertical="top"/>
    </xf>
    <xf xfId="0" numFmtId="0" borderId="6" applyBorder="1" fontId="10" applyFont="1" fillId="4" applyFill="1" applyAlignment="1">
      <alignment horizontal="center" wrapText="1"/>
    </xf>
    <xf xfId="0" numFmtId="0" borderId="17" applyBorder="1" fontId="5" applyFont="1" fillId="0" applyAlignment="1">
      <alignment horizontal="left"/>
    </xf>
    <xf xfId="0" numFmtId="0" borderId="1" applyBorder="1" fontId="10" applyFont="1" fillId="4" applyFill="1" applyAlignment="1">
      <alignment horizontal="center" wrapText="1"/>
    </xf>
    <xf xfId="0" numFmtId="0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left"/>
    </xf>
    <xf xfId="0" numFmtId="0" borderId="4" applyBorder="1" fontId="7" applyFont="1" fillId="0" applyAlignment="1">
      <alignment horizontal="left"/>
    </xf>
    <xf xfId="0" numFmtId="0" borderId="5" applyBorder="1" fontId="2" applyFont="1" fillId="17" applyFill="1" applyAlignment="1">
      <alignment horizontal="center"/>
    </xf>
    <xf xfId="0" numFmtId="0" borderId="4" applyBorder="1" fontId="5" applyFont="1" fillId="0" applyAlignment="1">
      <alignment horizontal="left"/>
    </xf>
    <xf xfId="0" numFmtId="0" borderId="5" applyBorder="1" fontId="2" applyFont="1" fillId="17" applyFill="1" applyAlignment="1">
      <alignment horizontal="left"/>
    </xf>
    <xf xfId="0" numFmtId="0" borderId="1" applyBorder="1" fontId="11" applyFont="1" fillId="16" applyFill="1" applyAlignment="1">
      <alignment horizontal="center"/>
    </xf>
    <xf xfId="0" numFmtId="0" borderId="9" applyBorder="1" fontId="11" applyFont="1" fillId="16" applyFill="1" applyAlignment="1">
      <alignment horizontal="center"/>
    </xf>
    <xf xfId="0" numFmtId="0" borderId="18" applyBorder="1" fontId="7" applyFont="1" fillId="0" applyAlignment="1">
      <alignment horizontal="center" wrapText="1"/>
    </xf>
    <xf xfId="0" numFmtId="0" borderId="8" applyBorder="1" fontId="2" applyFont="1" fillId="0" applyAlignment="1">
      <alignment horizontal="center" wrapText="1"/>
    </xf>
    <xf xfId="0" numFmtId="0" borderId="6" applyBorder="1" fontId="7" applyFont="1" fillId="2" applyFill="1" applyAlignment="1">
      <alignment horizontal="center" wrapText="1"/>
    </xf>
    <xf xfId="0" numFmtId="0" borderId="19" applyBorder="1" fontId="7" applyFont="1" fillId="0" applyAlignment="1">
      <alignment horizontal="center" wrapText="1"/>
    </xf>
    <xf xfId="0" numFmtId="0" borderId="20" applyBorder="1" fontId="2" applyFont="1" fillId="0" applyAlignment="1">
      <alignment horizontal="center"/>
    </xf>
    <xf xfId="0" numFmtId="3" applyNumberFormat="1" borderId="4" applyBorder="1" fontId="2" applyFont="1" fillId="0" applyAlignment="1">
      <alignment horizontal="left"/>
    </xf>
    <xf xfId="0" numFmtId="3" applyNumberFormat="1" borderId="6" applyBorder="1" fontId="1" applyFont="1" fillId="16" applyFill="1" applyAlignment="1">
      <alignment horizontal="center"/>
    </xf>
    <xf xfId="0" numFmtId="3" applyNumberFormat="1" borderId="9" applyBorder="1" fontId="7" applyFont="1" fillId="12" applyFill="1" applyAlignment="1">
      <alignment horizontal="center" wrapText="1"/>
    </xf>
    <xf xfId="0" numFmtId="0" borderId="9" applyBorder="1" fontId="7" applyFont="1" fillId="12" applyFill="1" applyAlignment="1">
      <alignment horizontal="center" wrapText="1"/>
    </xf>
    <xf xfId="0" numFmtId="3" applyNumberFormat="1" borderId="21" applyBorder="1" fontId="2" applyFont="1" fillId="0" applyAlignment="1">
      <alignment horizontal="center" vertical="top"/>
    </xf>
    <xf xfId="0" numFmtId="0" borderId="1" applyBorder="1" fontId="2" applyFont="1" fillId="0" applyAlignment="1">
      <alignment horizontal="left" wrapText="1"/>
    </xf>
    <xf xfId="0" numFmtId="3" applyNumberFormat="1" borderId="10" applyBorder="1" fontId="5" applyFont="1" fillId="0" applyAlignment="1">
      <alignment horizontal="left"/>
    </xf>
    <xf xfId="0" numFmtId="3" applyNumberFormat="1" borderId="17" applyBorder="1" fontId="5" applyFont="1" fillId="0" applyAlignment="1">
      <alignment horizontal="left"/>
    </xf>
    <xf xfId="0" numFmtId="0" borderId="21" applyBorder="1" fontId="2" applyFont="1" fillId="0" applyAlignment="1">
      <alignment horizontal="left" vertical="top" wrapText="1"/>
    </xf>
    <xf xfId="0" numFmtId="0" borderId="10" applyBorder="1" fontId="5" applyFont="1" fillId="0" applyAlignment="1">
      <alignment horizontal="left"/>
    </xf>
    <xf xfId="0" numFmtId="0" borderId="21" applyBorder="1" fontId="2" applyFont="1" fillId="0" applyAlignment="1">
      <alignment horizontal="left" wrapText="1"/>
    </xf>
    <xf xfId="0" numFmtId="3" applyNumberFormat="1" borderId="1" applyBorder="1" fontId="2" applyFont="1" fillId="0" applyAlignment="1">
      <alignment horizontal="center"/>
    </xf>
    <xf xfId="0" numFmtId="0" borderId="21" applyBorder="1" fontId="7" applyFont="1" fillId="0" applyAlignment="1">
      <alignment horizontal="left" vertical="top" wrapText="1"/>
    </xf>
    <xf xfId="0" numFmtId="3" applyNumberFormat="1" borderId="4" applyBorder="1" fontId="2" applyFont="1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0" borderId="4" applyBorder="1" fontId="12" applyFont="1" fillId="0" applyAlignment="1">
      <alignment horizontal="left" wrapText="1"/>
    </xf>
    <xf xfId="0" numFmtId="3" applyNumberFormat="1" borderId="1" applyBorder="1" fontId="7" applyFont="1" fillId="17" applyFill="1" applyAlignment="1">
      <alignment horizontal="center" wrapText="1"/>
    </xf>
    <xf xfId="0" numFmtId="0" borderId="1" applyBorder="1" fontId="7" applyFont="1" fillId="17" applyFill="1" applyAlignment="1">
      <alignment horizontal="center" wrapText="1"/>
    </xf>
    <xf xfId="0" numFmtId="0" borderId="5" applyBorder="1" fontId="7" applyFont="1" fillId="17" applyFill="1" applyAlignment="1">
      <alignment horizontal="center" wrapText="1"/>
    </xf>
    <xf xfId="0" numFmtId="3" applyNumberFormat="1" borderId="1" applyBorder="1" fontId="7" applyFont="1" fillId="18" applyFill="1" applyAlignment="1">
      <alignment horizontal="center" wrapText="1"/>
    </xf>
    <xf xfId="0" numFmtId="0" borderId="6" applyBorder="1" fontId="1" applyFont="1" fillId="4" applyFill="1" applyAlignment="1">
      <alignment horizontal="center" wrapText="1"/>
    </xf>
    <xf xfId="0" numFmtId="0" borderId="6" applyBorder="1" fontId="1" applyFont="1" fillId="16" applyFill="1" applyAlignment="1">
      <alignment horizontal="center" wrapText="1"/>
    </xf>
    <xf xfId="0" numFmtId="0" borderId="6" applyBorder="1" fontId="10" applyFont="1" fillId="19" applyFill="1" applyAlignment="1">
      <alignment horizontal="center" wrapText="1"/>
    </xf>
    <xf xfId="0" numFmtId="0" borderId="6" applyBorder="1" fontId="10" applyFont="1" fillId="16" applyFill="1" applyAlignment="1">
      <alignment horizontal="center" wrapText="1"/>
    </xf>
    <xf xfId="0" numFmtId="0" borderId="22" applyBorder="1" fontId="10" applyFont="1" fillId="16" applyFill="1" applyAlignment="1">
      <alignment horizontal="center" wrapText="1"/>
    </xf>
    <xf xfId="0" numFmtId="0" borderId="22" applyBorder="1" fontId="10" applyFont="1" fillId="19" applyFill="1" applyAlignment="1">
      <alignment horizontal="center" wrapText="1"/>
    </xf>
    <xf xfId="0" numFmtId="0" borderId="6" applyBorder="1" fontId="10" applyFont="1" fillId="20" applyFill="1" applyAlignment="1">
      <alignment horizontal="center" wrapText="1"/>
    </xf>
    <xf xfId="0" numFmtId="0" borderId="5" applyBorder="1" fontId="10" applyFont="1" fillId="20" applyFill="1" applyAlignment="1">
      <alignment horizontal="center" wrapText="1"/>
    </xf>
    <xf xfId="0" numFmtId="0" borderId="9" applyBorder="1" fontId="7" applyFont="1" fillId="19" applyFill="1" applyAlignment="1">
      <alignment horizontal="center" wrapText="1"/>
    </xf>
    <xf xfId="0" numFmtId="0" borderId="9" applyBorder="1" fontId="7" applyFont="1" fillId="20" applyFill="1" applyAlignment="1">
      <alignment horizontal="center" wrapText="1"/>
    </xf>
    <xf xfId="0" numFmtId="3" applyNumberFormat="1" borderId="6" applyBorder="1" fontId="7" applyFont="1" fillId="19" applyFill="1" applyAlignment="1">
      <alignment horizontal="center" wrapText="1"/>
    </xf>
    <xf xfId="0" numFmtId="0" borderId="1" applyBorder="1" fontId="7" applyFont="1" fillId="0" applyAlignment="1">
      <alignment horizontal="center" wrapText="1"/>
    </xf>
    <xf xfId="0" numFmtId="0" borderId="1" applyBorder="1" fontId="13" applyFont="1" fillId="0" applyAlignment="1">
      <alignment horizontal="center" wrapText="1"/>
    </xf>
    <xf xfId="0" numFmtId="0" borderId="1" applyBorder="1" fontId="14" applyFont="1" fillId="0" applyAlignment="1">
      <alignment horizontal="center" wrapText="1"/>
    </xf>
    <xf xfId="0" numFmtId="0" borderId="1" applyBorder="1" fontId="10" applyFont="1" fillId="0" applyAlignment="1">
      <alignment horizontal="center" wrapText="1"/>
    </xf>
    <xf xfId="0" numFmtId="3" applyNumberFormat="1" borderId="18" applyBorder="1" fontId="7" applyFont="1" fillId="0" applyAlignment="1">
      <alignment horizontal="center" wrapText="1"/>
    </xf>
    <xf xfId="0" numFmtId="0" borderId="1" applyBorder="1" fontId="10" applyFont="1" fillId="2" applyFill="1" applyAlignment="1">
      <alignment horizontal="center" wrapText="1"/>
    </xf>
    <xf xfId="0" numFmtId="0" borderId="1" applyBorder="1" fontId="15" applyFont="1" fillId="0" applyAlignment="1">
      <alignment horizontal="center"/>
    </xf>
    <xf xfId="0" numFmtId="0" borderId="1" applyBorder="1" fontId="2" applyFont="1" fillId="0" applyAlignment="1">
      <alignment horizontal="center" wrapText="1"/>
    </xf>
    <xf xfId="0" numFmtId="0" borderId="0" fontId="0" fillId="0" applyAlignment="1">
      <alignment horizontal="center"/>
    </xf>
    <xf xfId="0" numFmtId="0" borderId="0" fontId="0" fillId="0" applyAlignment="1">
      <alignment horizontal="center" wrapText="1"/>
    </xf>
    <xf xfId="0" numFmtId="0" borderId="4" applyBorder="1" fontId="16" applyFont="1" fillId="0" applyAlignment="1">
      <alignment horizontal="left"/>
    </xf>
    <xf xfId="0" numFmtId="0" borderId="5" applyBorder="1" fontId="17" applyFont="1" fillId="17" applyFill="1" applyAlignment="1">
      <alignment horizontal="center"/>
    </xf>
    <xf xfId="0" numFmtId="0" borderId="4" applyBorder="1" fontId="5" applyFont="1" fillId="0" applyAlignment="1">
      <alignment horizontal="left" wrapText="1"/>
    </xf>
    <xf xfId="0" numFmtId="0" borderId="5" applyBorder="1" fontId="2" applyFont="1" fillId="17" applyFill="1" applyAlignment="1">
      <alignment horizontal="left" wrapText="1"/>
    </xf>
    <xf xfId="0" numFmtId="0" borderId="5" applyBorder="1" fontId="2" applyFont="1" fillId="17" applyFill="1" quotePrefix="1" applyAlignment="1">
      <alignment horizontal="left"/>
    </xf>
    <xf xfId="0" numFmtId="0" borderId="5" applyBorder="1" fontId="2" applyFont="1" fillId="2" applyFill="1" quotePrefix="1" applyAlignment="1">
      <alignment horizontal="left"/>
    </xf>
    <xf xfId="0" numFmtId="0" borderId="4" applyBorder="1" fontId="2" applyFont="1" fillId="0" quotePrefix="1" applyAlignment="1">
      <alignment horizontal="left"/>
    </xf>
    <xf xfId="0" numFmtId="0" borderId="4" applyBorder="1" fontId="2" applyFont="1" fillId="0" quotePrefix="1" applyAlignment="1">
      <alignment horizontal="left" wrapText="1"/>
    </xf>
    <xf xfId="0" numFmtId="0" borderId="5" applyBorder="1" fontId="2" applyFont="1" fillId="17" applyFill="1" quotePrefix="1" applyAlignment="1">
      <alignment horizontal="left" wrapText="1"/>
    </xf>
    <xf xfId="0" numFmtId="0" borderId="0" fontId="0" fillId="0" quotePrefix="1" applyAlignment="1">
      <alignment horizontal="general"/>
    </xf>
    <xf xfId="0" numFmtId="0" borderId="5" applyBorder="1" fontId="18" applyFont="1" fillId="2" applyFill="1" applyAlignment="1">
      <alignment horizontal="left"/>
    </xf>
    <xf xfId="0" numFmtId="0" borderId="4" applyBorder="1" fontId="18" applyFont="1" fillId="0" applyAlignment="1">
      <alignment horizontal="left"/>
    </xf>
    <xf xfId="0" numFmtId="0" borderId="4" applyBorder="1" fontId="18" applyFont="1" fillId="0" applyAlignment="1">
      <alignment horizontal="left" wrapText="1"/>
    </xf>
    <xf xfId="0" numFmtId="0" borderId="5" applyBorder="1" fontId="18" applyFont="1" fillId="17" applyFill="1" applyAlignment="1">
      <alignment horizontal="left" wrapText="1"/>
    </xf>
    <xf xfId="0" numFmtId="0" borderId="23" applyBorder="1" fontId="19" applyFont="1" fillId="0" applyAlignment="1">
      <alignment horizontal="center"/>
    </xf>
    <xf xfId="0" numFmtId="0" borderId="23" applyBorder="1" fontId="19" applyFont="1" fillId="0" applyAlignment="1">
      <alignment horizontal="center" wrapText="1"/>
    </xf>
    <xf xfId="0" numFmtId="0" borderId="5" applyBorder="1" fontId="20" applyFont="1" fillId="2" applyFill="1" applyAlignment="1">
      <alignment horizontal="left"/>
    </xf>
    <xf xfId="0" numFmtId="0" borderId="24" applyBorder="1" fontId="21" applyFont="1" fillId="4" applyFill="1" applyAlignment="1">
      <alignment horizontal="center" vertical="top" wrapText="1"/>
    </xf>
    <xf xfId="0" numFmtId="0" borderId="23" applyBorder="1" fontId="20" applyFont="1" fillId="4" applyFill="1" applyAlignment="1">
      <alignment horizontal="left" wrapText="1"/>
    </xf>
    <xf xfId="0" numFmtId="0" borderId="4" applyBorder="1" fontId="20" applyFont="1" fillId="0" applyAlignment="1">
      <alignment horizontal="left"/>
    </xf>
    <xf xfId="0" numFmtId="0" borderId="5" applyBorder="1" fontId="20" applyFont="1" fillId="17" applyFill="1" applyAlignment="1">
      <alignment horizontal="left" wrapText="1"/>
    </xf>
    <xf xfId="0" numFmtId="0" borderId="25" applyBorder="1" fontId="5" applyFont="1" fillId="0" applyAlignment="1">
      <alignment horizontal="left"/>
    </xf>
    <xf xfId="0" numFmtId="0" borderId="5" applyBorder="1" fontId="20" applyFont="1" fillId="17" applyFill="1" applyAlignment="1">
      <alignment horizontal="left"/>
    </xf>
    <xf xfId="0" numFmtId="0" borderId="26" applyBorder="1" fontId="21" applyFont="1" fillId="4" applyFill="1" applyAlignment="1">
      <alignment horizontal="center" vertical="top" wrapText="1"/>
    </xf>
    <xf xfId="0" numFmtId="0" borderId="24" applyBorder="1" fontId="20" applyFont="1" fillId="4" applyFill="1" applyAlignment="1">
      <alignment horizontal="left" wrapText="1"/>
    </xf>
    <xf xfId="0" numFmtId="0" borderId="26" applyBorder="1" fontId="21" applyFont="1" fillId="4" applyFill="1" applyAlignment="1">
      <alignment horizontal="center" wrapText="1"/>
    </xf>
    <xf xfId="0" numFmtId="0" borderId="27" applyBorder="1" fontId="20" applyFont="1" fillId="4" applyFill="1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sharedStrings.xml" Type="http://schemas.openxmlformats.org/officeDocument/2006/relationships/sharedStrings" Id="rId17"/><Relationship Target="styles.xml" Type="http://schemas.openxmlformats.org/officeDocument/2006/relationships/styles" Id="rId18"/><Relationship Target="theme/theme1.xml" Type="http://schemas.openxmlformats.org/officeDocument/2006/relationships/theme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5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13" width="8.290714285714287" customWidth="1" bestFit="1"/>
    <col min="2" max="2" style="13" width="7.433571428571429" customWidth="1" bestFit="1"/>
    <col min="3" max="3" style="13" width="9.290714285714287" customWidth="1" bestFit="1"/>
    <col min="4" max="4" style="13" width="18.576428571428572" customWidth="1" bestFit="1"/>
    <col min="5" max="5" style="13" width="50.005" customWidth="1" bestFit="1"/>
    <col min="6" max="6" style="12" width="50.005" customWidth="1" bestFit="1"/>
    <col min="7" max="7" style="12" width="50.005" customWidth="1" bestFit="1"/>
    <col min="8" max="8" style="13" width="14.005" customWidth="1" bestFit="1"/>
    <col min="9" max="9" style="13" width="8.290714285714287" customWidth="1" bestFit="1"/>
    <col min="10" max="10" style="13" width="22.719285714285714" customWidth="1" bestFit="1"/>
    <col min="11" max="11" style="13" width="8.719285714285713" customWidth="1" bestFit="1"/>
    <col min="12" max="12" style="13" width="8.719285714285713" customWidth="1" bestFit="1"/>
    <col min="13" max="13" style="13" width="8.719285714285713" customWidth="1" bestFit="1"/>
    <col min="14" max="14" style="13" width="8.719285714285713" customWidth="1" bestFit="1"/>
    <col min="15" max="15" style="13" width="8.719285714285713" customWidth="1" bestFit="1"/>
    <col min="16" max="16" style="13" width="8.719285714285713" customWidth="1" bestFit="1"/>
    <col min="17" max="17" style="13" width="8.719285714285713" customWidth="1" bestFit="1"/>
    <col min="18" max="18" style="13" width="8.719285714285713" customWidth="1" bestFit="1"/>
    <col min="19" max="19" style="13" width="8.719285714285713" customWidth="1" bestFit="1"/>
    <col min="20" max="20" style="13" width="8.719285714285713" customWidth="1" bestFit="1"/>
    <col min="21" max="21" style="13" width="8.719285714285713" customWidth="1" bestFit="1"/>
    <col min="22" max="22" style="13" width="8.719285714285713" customWidth="1" bestFit="1"/>
    <col min="23" max="23" style="13" width="8.719285714285713" customWidth="1" bestFit="1"/>
    <col min="24" max="24" style="13" width="8.719285714285713" customWidth="1" bestFit="1"/>
    <col min="25" max="25" style="13" width="8.719285714285713" customWidth="1" bestFit="1"/>
    <col min="26" max="26" style="13" width="8.719285714285713" customWidth="1" bestFit="1"/>
    <col min="27" max="27" style="13" width="8.719285714285713" customWidth="1" bestFit="1"/>
  </cols>
  <sheetData>
    <row x14ac:dyDescent="0.25" r="1" customHeight="1" ht="63">
      <c r="A1" s="73"/>
      <c r="B1" s="73" t="s">
        <v>496</v>
      </c>
      <c r="C1" s="73"/>
      <c r="D1" s="73"/>
      <c r="E1" s="124" t="s">
        <v>497</v>
      </c>
      <c r="F1" s="125"/>
      <c r="G1" s="125"/>
      <c r="H1" s="72"/>
      <c r="I1" s="126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1"/>
      <c r="AA1" s="11"/>
    </row>
    <row x14ac:dyDescent="0.25" r="2" customHeight="1" ht="19.5">
      <c r="A2" s="127" t="s">
        <v>498</v>
      </c>
      <c r="B2" s="128" t="s">
        <v>498</v>
      </c>
      <c r="C2" s="128" t="s">
        <v>498</v>
      </c>
      <c r="D2" s="129" t="s">
        <v>498</v>
      </c>
      <c r="E2" s="129" t="s">
        <v>498</v>
      </c>
      <c r="F2" s="130" t="s">
        <v>498</v>
      </c>
      <c r="G2" s="130" t="s">
        <v>498</v>
      </c>
      <c r="H2" s="129" t="s">
        <v>498</v>
      </c>
      <c r="I2" s="131" t="s">
        <v>498</v>
      </c>
      <c r="J2" s="129" t="s">
        <v>498</v>
      </c>
      <c r="K2" s="129" t="s">
        <v>498</v>
      </c>
      <c r="L2" s="129" t="s">
        <v>498</v>
      </c>
      <c r="M2" s="129" t="s">
        <v>498</v>
      </c>
      <c r="N2" s="129" t="s">
        <v>498</v>
      </c>
      <c r="O2" s="129" t="s">
        <v>498</v>
      </c>
      <c r="P2" s="129" t="s">
        <v>498</v>
      </c>
      <c r="Q2" s="129" t="s">
        <v>498</v>
      </c>
      <c r="R2" s="129" t="s">
        <v>498</v>
      </c>
      <c r="S2" s="129" t="s">
        <v>498</v>
      </c>
      <c r="T2" s="129" t="s">
        <v>498</v>
      </c>
      <c r="U2" s="129" t="s">
        <v>498</v>
      </c>
      <c r="V2" s="129" t="s">
        <v>498</v>
      </c>
      <c r="W2" s="129" t="s">
        <v>498</v>
      </c>
      <c r="X2" s="129" t="s">
        <v>498</v>
      </c>
      <c r="Y2" s="129" t="s">
        <v>498</v>
      </c>
      <c r="Z2" s="132" t="s">
        <v>498</v>
      </c>
      <c r="AA2" s="132" t="s">
        <v>498</v>
      </c>
    </row>
    <row x14ac:dyDescent="0.25" r="3" customHeight="1" ht="19.5">
      <c r="A3" s="127" t="s">
        <v>498</v>
      </c>
      <c r="B3" s="128" t="s">
        <v>498</v>
      </c>
      <c r="C3" s="128" t="s">
        <v>498</v>
      </c>
      <c r="D3" s="129" t="s">
        <v>498</v>
      </c>
      <c r="E3" s="129" t="s">
        <v>498</v>
      </c>
      <c r="F3" s="130" t="s">
        <v>498</v>
      </c>
      <c r="G3" s="130" t="s">
        <v>498</v>
      </c>
      <c r="H3" s="129" t="s">
        <v>498</v>
      </c>
      <c r="I3" s="131" t="s">
        <v>498</v>
      </c>
      <c r="J3" s="129" t="s">
        <v>498</v>
      </c>
      <c r="K3" s="129" t="s">
        <v>498</v>
      </c>
      <c r="L3" s="129" t="s">
        <v>498</v>
      </c>
      <c r="M3" s="129" t="s">
        <v>498</v>
      </c>
      <c r="N3" s="129" t="s">
        <v>498</v>
      </c>
      <c r="O3" s="129" t="s">
        <v>498</v>
      </c>
      <c r="P3" s="129" t="s">
        <v>498</v>
      </c>
      <c r="Q3" s="129" t="s">
        <v>498</v>
      </c>
      <c r="R3" s="129" t="s">
        <v>498</v>
      </c>
      <c r="S3" s="129" t="s">
        <v>498</v>
      </c>
      <c r="T3" s="129" t="s">
        <v>498</v>
      </c>
      <c r="U3" s="129" t="s">
        <v>498</v>
      </c>
      <c r="V3" s="129" t="s">
        <v>498</v>
      </c>
      <c r="W3" s="129" t="s">
        <v>498</v>
      </c>
      <c r="X3" s="129" t="s">
        <v>498</v>
      </c>
      <c r="Y3" s="129" t="s">
        <v>498</v>
      </c>
      <c r="Z3" s="132" t="s">
        <v>498</v>
      </c>
      <c r="AA3" s="132" t="s">
        <v>498</v>
      </c>
    </row>
    <row x14ac:dyDescent="0.25" r="4" customHeight="1" ht="19.5">
      <c r="A4" s="127" t="s">
        <v>498</v>
      </c>
      <c r="B4" s="128" t="s">
        <v>498</v>
      </c>
      <c r="C4" s="128" t="s">
        <v>498</v>
      </c>
      <c r="D4" s="129" t="s">
        <v>498</v>
      </c>
      <c r="E4" s="129" t="s">
        <v>498</v>
      </c>
      <c r="F4" s="130" t="s">
        <v>498</v>
      </c>
      <c r="G4" s="130" t="s">
        <v>498</v>
      </c>
      <c r="H4" s="129" t="s">
        <v>498</v>
      </c>
      <c r="I4" s="131" t="s">
        <v>498</v>
      </c>
      <c r="J4" s="129" t="s">
        <v>498</v>
      </c>
      <c r="K4" s="129" t="s">
        <v>498</v>
      </c>
      <c r="L4" s="129" t="s">
        <v>498</v>
      </c>
      <c r="M4" s="129" t="s">
        <v>498</v>
      </c>
      <c r="N4" s="129" t="s">
        <v>498</v>
      </c>
      <c r="O4" s="129" t="s">
        <v>498</v>
      </c>
      <c r="P4" s="129" t="s">
        <v>498</v>
      </c>
      <c r="Q4" s="129" t="s">
        <v>498</v>
      </c>
      <c r="R4" s="129" t="s">
        <v>498</v>
      </c>
      <c r="S4" s="129" t="s">
        <v>498</v>
      </c>
      <c r="T4" s="129" t="s">
        <v>498</v>
      </c>
      <c r="U4" s="129" t="s">
        <v>498</v>
      </c>
      <c r="V4" s="129" t="s">
        <v>498</v>
      </c>
      <c r="W4" s="129" t="s">
        <v>498</v>
      </c>
      <c r="X4" s="129" t="s">
        <v>498</v>
      </c>
      <c r="Y4" s="129" t="s">
        <v>498</v>
      </c>
      <c r="Z4" s="132" t="s">
        <v>498</v>
      </c>
      <c r="AA4" s="132" t="s">
        <v>498</v>
      </c>
    </row>
    <row x14ac:dyDescent="0.25" r="5" customHeight="1" ht="19.5">
      <c r="A5" s="127" t="s">
        <v>498</v>
      </c>
      <c r="B5" s="128" t="s">
        <v>498</v>
      </c>
      <c r="C5" s="128" t="s">
        <v>498</v>
      </c>
      <c r="D5" s="129" t="s">
        <v>498</v>
      </c>
      <c r="E5" s="129" t="s">
        <v>498</v>
      </c>
      <c r="F5" s="130" t="s">
        <v>498</v>
      </c>
      <c r="G5" s="130" t="s">
        <v>498</v>
      </c>
      <c r="H5" s="129" t="s">
        <v>498</v>
      </c>
      <c r="I5" s="131" t="s">
        <v>498</v>
      </c>
      <c r="J5" s="129" t="s">
        <v>498</v>
      </c>
      <c r="K5" s="129" t="s">
        <v>498</v>
      </c>
      <c r="L5" s="129" t="s">
        <v>498</v>
      </c>
      <c r="M5" s="129" t="s">
        <v>498</v>
      </c>
      <c r="N5" s="129" t="s">
        <v>498</v>
      </c>
      <c r="O5" s="129" t="s">
        <v>498</v>
      </c>
      <c r="P5" s="129" t="s">
        <v>498</v>
      </c>
      <c r="Q5" s="129" t="s">
        <v>498</v>
      </c>
      <c r="R5" s="129" t="s">
        <v>498</v>
      </c>
      <c r="S5" s="129" t="s">
        <v>498</v>
      </c>
      <c r="T5" s="129" t="s">
        <v>498</v>
      </c>
      <c r="U5" s="129" t="s">
        <v>498</v>
      </c>
      <c r="V5" s="129" t="s">
        <v>498</v>
      </c>
      <c r="W5" s="129" t="s">
        <v>498</v>
      </c>
      <c r="X5" s="129" t="s">
        <v>498</v>
      </c>
      <c r="Y5" s="129" t="s">
        <v>498</v>
      </c>
      <c r="Z5" s="132" t="s">
        <v>498</v>
      </c>
      <c r="AA5" s="132" t="s">
        <v>498</v>
      </c>
    </row>
    <row x14ac:dyDescent="0.25" r="6" customHeight="1" ht="19.5">
      <c r="A6" s="73"/>
      <c r="B6" s="14"/>
      <c r="C6" s="14"/>
      <c r="D6" s="19"/>
      <c r="E6" s="19"/>
      <c r="F6" s="5"/>
      <c r="G6" s="5"/>
      <c r="H6" s="19"/>
      <c r="I6" s="126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1"/>
      <c r="AA6" s="11"/>
    </row>
    <row x14ac:dyDescent="0.25" r="7" customHeight="1" ht="19.5">
      <c r="A7" s="73"/>
      <c r="B7" s="14"/>
      <c r="C7" s="14"/>
      <c r="D7" s="19"/>
      <c r="E7" s="19"/>
      <c r="F7" s="5"/>
      <c r="G7" s="5"/>
      <c r="H7" s="19"/>
      <c r="I7" s="126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1"/>
      <c r="AA7" s="11"/>
    </row>
    <row x14ac:dyDescent="0.25" r="8" customHeight="1" ht="19.5">
      <c r="A8" s="73"/>
      <c r="B8" s="14"/>
      <c r="C8" s="14"/>
      <c r="D8" s="19"/>
      <c r="E8" s="19"/>
      <c r="F8" s="5"/>
      <c r="G8" s="5"/>
      <c r="H8" s="19"/>
      <c r="I8" s="126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</row>
    <row x14ac:dyDescent="0.25" r="9" customHeight="1" ht="19.5">
      <c r="A9" s="73"/>
      <c r="B9" s="14"/>
      <c r="C9" s="14"/>
      <c r="D9" s="19"/>
      <c r="E9" s="19"/>
      <c r="F9" s="5"/>
      <c r="G9" s="5"/>
      <c r="H9" s="19"/>
      <c r="I9" s="126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</row>
    <row x14ac:dyDescent="0.25" r="10" customHeight="1" ht="19.5">
      <c r="A10" s="73"/>
      <c r="B10" s="14"/>
      <c r="C10" s="14"/>
      <c r="D10" s="19"/>
      <c r="E10" s="19"/>
      <c r="F10" s="5"/>
      <c r="G10" s="5"/>
      <c r="H10" s="19"/>
      <c r="I10" s="126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x14ac:dyDescent="0.25" r="11" customHeight="1" ht="19.5">
      <c r="A11" s="73"/>
      <c r="B11" s="14"/>
      <c r="C11" s="14"/>
      <c r="D11" s="19"/>
      <c r="E11" s="19"/>
      <c r="F11" s="5"/>
      <c r="G11" s="5"/>
      <c r="H11" s="19"/>
      <c r="I11" s="126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</row>
    <row x14ac:dyDescent="0.25" r="12" customHeight="1" ht="19.5">
      <c r="A12" s="73"/>
      <c r="B12" s="14"/>
      <c r="C12" s="14"/>
      <c r="D12" s="19"/>
      <c r="E12" s="19"/>
      <c r="F12" s="5"/>
      <c r="G12" s="5"/>
      <c r="H12" s="19"/>
      <c r="I12" s="126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</row>
    <row x14ac:dyDescent="0.25" r="13" customHeight="1" ht="19.5">
      <c r="A13" s="73"/>
      <c r="B13" s="14"/>
      <c r="C13" s="14"/>
      <c r="D13" s="19"/>
      <c r="E13" s="19"/>
      <c r="F13" s="5"/>
      <c r="G13" s="5"/>
      <c r="H13" s="19"/>
      <c r="I13" s="126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</row>
    <row x14ac:dyDescent="0.25" r="14" customHeight="1" ht="19.5">
      <c r="A14" s="73"/>
      <c r="B14" s="14"/>
      <c r="C14" s="14"/>
      <c r="D14" s="19"/>
      <c r="E14" s="19"/>
      <c r="F14" s="5"/>
      <c r="G14" s="5"/>
      <c r="H14" s="19"/>
      <c r="I14" s="126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</row>
    <row x14ac:dyDescent="0.25" r="15" customHeight="1" ht="19.5">
      <c r="A15" s="73"/>
      <c r="B15" s="14"/>
      <c r="C15" s="14"/>
      <c r="D15" s="19"/>
      <c r="E15" s="19"/>
      <c r="F15" s="5"/>
      <c r="G15" s="5"/>
      <c r="H15" s="19"/>
      <c r="I15" s="126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</row>
    <row x14ac:dyDescent="0.25" r="16" customHeight="1" ht="19.5">
      <c r="A16" s="73"/>
      <c r="B16" s="14"/>
      <c r="C16" s="133"/>
      <c r="D16" s="134"/>
      <c r="E16" s="134"/>
      <c r="F16" s="135"/>
      <c r="G16" s="135"/>
      <c r="H16" s="134"/>
      <c r="I16" s="136"/>
      <c r="J16" s="134"/>
      <c r="K16" s="134"/>
      <c r="L16" s="134"/>
      <c r="M16" s="134"/>
      <c r="N16" s="134"/>
      <c r="O16" s="134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</row>
    <row x14ac:dyDescent="0.25" r="17" customHeight="1" ht="19.5">
      <c r="A17" s="73"/>
      <c r="B17" s="14"/>
      <c r="C17" s="133"/>
      <c r="D17" s="134"/>
      <c r="E17" s="134"/>
      <c r="F17" s="135"/>
      <c r="G17" s="135"/>
      <c r="H17" s="134"/>
      <c r="I17" s="136"/>
      <c r="J17" s="134"/>
      <c r="K17" s="134"/>
      <c r="L17" s="134"/>
      <c r="M17" s="134"/>
      <c r="N17" s="134"/>
      <c r="O17" s="134"/>
      <c r="P17" s="134"/>
      <c r="Q17" s="134"/>
      <c r="R17" s="134"/>
      <c r="S17" s="134"/>
      <c r="T17" s="134"/>
      <c r="U17" s="134"/>
      <c r="V17" s="134"/>
      <c r="W17" s="134"/>
      <c r="X17" s="134"/>
      <c r="Y17" s="134"/>
      <c r="Z17" s="134"/>
      <c r="AA17" s="134"/>
    </row>
    <row x14ac:dyDescent="0.25" r="18" customHeight="1" ht="19.5">
      <c r="A18" s="73"/>
      <c r="B18" s="14"/>
      <c r="C18" s="133"/>
      <c r="D18" s="134"/>
      <c r="E18" s="134"/>
      <c r="F18" s="135"/>
      <c r="G18" s="135"/>
      <c r="H18" s="134"/>
      <c r="I18" s="136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</row>
    <row x14ac:dyDescent="0.25" r="19" customHeight="1" ht="26.25">
      <c r="A19" s="73"/>
      <c r="B19" s="14"/>
      <c r="C19" s="133"/>
      <c r="D19" s="137" t="s">
        <v>499</v>
      </c>
      <c r="E19" s="137" t="s">
        <v>500</v>
      </c>
      <c r="F19" s="138" t="s">
        <v>501</v>
      </c>
      <c r="G19" s="138" t="s">
        <v>502</v>
      </c>
      <c r="H19" s="134"/>
      <c r="I19" s="136"/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</row>
    <row x14ac:dyDescent="0.25" r="20" customHeight="1" ht="33.75">
      <c r="A20" s="73"/>
      <c r="B20" s="14"/>
      <c r="C20" s="139"/>
      <c r="D20" s="140" t="s">
        <v>447</v>
      </c>
      <c r="E20" s="141" t="s">
        <v>8</v>
      </c>
      <c r="F20" s="141" t="s">
        <v>503</v>
      </c>
      <c r="G20" s="141" t="s">
        <v>504</v>
      </c>
      <c r="H20" s="142"/>
      <c r="I20" s="143"/>
      <c r="J20" s="134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</row>
    <row x14ac:dyDescent="0.25" r="21" customHeight="1" ht="33.75">
      <c r="A21" s="73"/>
      <c r="B21" s="14"/>
      <c r="C21" s="139"/>
      <c r="D21" s="144"/>
      <c r="E21" s="141" t="s">
        <v>107</v>
      </c>
      <c r="F21" s="141" t="s">
        <v>505</v>
      </c>
      <c r="G21" s="141" t="s">
        <v>506</v>
      </c>
      <c r="H21" s="142"/>
      <c r="I21" s="143"/>
      <c r="J21" s="134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</row>
    <row x14ac:dyDescent="0.25" r="22" customHeight="1" ht="33.75">
      <c r="A22" s="73"/>
      <c r="B22" s="14"/>
      <c r="C22" s="139"/>
      <c r="D22" s="144"/>
      <c r="E22" s="141" t="s">
        <v>507</v>
      </c>
      <c r="F22" s="141" t="s">
        <v>508</v>
      </c>
      <c r="G22" s="141" t="s">
        <v>509</v>
      </c>
      <c r="H22" s="142"/>
      <c r="I22" s="143"/>
      <c r="J22" s="134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</row>
    <row x14ac:dyDescent="0.25" r="23" customHeight="1" ht="33.75">
      <c r="A23" s="73"/>
      <c r="B23" s="14"/>
      <c r="C23" s="139"/>
      <c r="D23" s="144"/>
      <c r="E23" s="141" t="s">
        <v>109</v>
      </c>
      <c r="F23" s="141" t="s">
        <v>510</v>
      </c>
      <c r="G23" s="141" t="s">
        <v>511</v>
      </c>
      <c r="H23" s="142"/>
      <c r="I23" s="143"/>
      <c r="J23" s="134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</row>
    <row x14ac:dyDescent="0.25" r="24" customHeight="1" ht="33.75">
      <c r="A24" s="73"/>
      <c r="B24" s="14"/>
      <c r="C24" s="139"/>
      <c r="D24" s="144"/>
      <c r="E24" s="141" t="s">
        <v>459</v>
      </c>
      <c r="F24" s="141" t="s">
        <v>512</v>
      </c>
      <c r="G24" s="141" t="s">
        <v>513</v>
      </c>
      <c r="H24" s="142"/>
      <c r="I24" s="143"/>
      <c r="J24" s="134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</row>
    <row x14ac:dyDescent="0.25" r="25" customHeight="1" ht="33.75">
      <c r="A25" s="73"/>
      <c r="B25" s="14"/>
      <c r="C25" s="139"/>
      <c r="D25" s="140" t="s">
        <v>514</v>
      </c>
      <c r="E25" s="141" t="s">
        <v>111</v>
      </c>
      <c r="F25" s="141" t="s">
        <v>515</v>
      </c>
      <c r="G25" s="141" t="s">
        <v>516</v>
      </c>
      <c r="H25" s="142"/>
      <c r="I25" s="143"/>
      <c r="J25" s="134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</row>
    <row x14ac:dyDescent="0.25" r="26" customHeight="1" ht="33.75">
      <c r="A26" s="73"/>
      <c r="B26" s="14"/>
      <c r="C26" s="139"/>
      <c r="D26" s="144"/>
      <c r="E26" s="141" t="s">
        <v>112</v>
      </c>
      <c r="F26" s="141" t="s">
        <v>517</v>
      </c>
      <c r="G26" s="141" t="s">
        <v>518</v>
      </c>
      <c r="H26" s="142"/>
      <c r="I26" s="143"/>
      <c r="J26" s="134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</row>
    <row x14ac:dyDescent="0.25" r="27" customHeight="1" ht="33.75">
      <c r="A27" s="73"/>
      <c r="B27" s="14"/>
      <c r="C27" s="139"/>
      <c r="D27" s="144"/>
      <c r="E27" s="141" t="s">
        <v>460</v>
      </c>
      <c r="F27" s="141" t="s">
        <v>519</v>
      </c>
      <c r="G27" s="141" t="s">
        <v>520</v>
      </c>
      <c r="H27" s="142"/>
      <c r="I27" s="143"/>
      <c r="J27" s="134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</row>
    <row x14ac:dyDescent="0.25" r="28" customHeight="1" ht="33.75">
      <c r="A28" s="73"/>
      <c r="B28" s="14"/>
      <c r="C28" s="139"/>
      <c r="D28" s="144"/>
      <c r="E28" s="141" t="s">
        <v>521</v>
      </c>
      <c r="F28" s="141" t="s">
        <v>522</v>
      </c>
      <c r="G28" s="141" t="s">
        <v>516</v>
      </c>
      <c r="H28" s="142"/>
      <c r="I28" s="143"/>
      <c r="J28" s="134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</row>
    <row x14ac:dyDescent="0.25" r="29" customHeight="1" ht="36">
      <c r="A29" s="73"/>
      <c r="B29" s="14"/>
      <c r="C29" s="139"/>
      <c r="D29" s="144"/>
      <c r="E29" s="141" t="s">
        <v>114</v>
      </c>
      <c r="F29" s="141" t="s">
        <v>523</v>
      </c>
      <c r="G29" s="141" t="s">
        <v>524</v>
      </c>
      <c r="H29" s="142"/>
      <c r="I29" s="143"/>
      <c r="J29" s="134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</row>
    <row x14ac:dyDescent="0.25" r="30" customHeight="1" ht="33.75">
      <c r="A30" s="73"/>
      <c r="B30" s="14"/>
      <c r="C30" s="139"/>
      <c r="D30" s="144"/>
      <c r="E30" s="141" t="s">
        <v>525</v>
      </c>
      <c r="F30" s="141" t="s">
        <v>526</v>
      </c>
      <c r="G30" s="141" t="s">
        <v>516</v>
      </c>
      <c r="H30" s="142"/>
      <c r="I30" s="143"/>
      <c r="J30" s="134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</row>
    <row x14ac:dyDescent="0.25" r="31" customHeight="1" ht="33.75">
      <c r="A31" s="73"/>
      <c r="B31" s="14"/>
      <c r="C31" s="139"/>
      <c r="D31" s="144"/>
      <c r="E31" s="141" t="s">
        <v>462</v>
      </c>
      <c r="F31" s="141" t="s">
        <v>527</v>
      </c>
      <c r="G31" s="141" t="s">
        <v>528</v>
      </c>
      <c r="H31" s="142"/>
      <c r="I31" s="143"/>
      <c r="J31" s="134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</row>
    <row x14ac:dyDescent="0.25" r="32" customHeight="1" ht="33.75">
      <c r="A32" s="73"/>
      <c r="B32" s="14"/>
      <c r="C32" s="139"/>
      <c r="D32" s="144"/>
      <c r="E32" s="141" t="s">
        <v>463</v>
      </c>
      <c r="F32" s="141" t="s">
        <v>529</v>
      </c>
      <c r="G32" s="141" t="s">
        <v>530</v>
      </c>
      <c r="H32" s="142"/>
      <c r="I32" s="143"/>
      <c r="J32" s="134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</row>
    <row x14ac:dyDescent="0.25" r="33" customHeight="1" ht="33.75">
      <c r="A33" s="73"/>
      <c r="B33" s="14"/>
      <c r="C33" s="139"/>
      <c r="D33" s="144"/>
      <c r="E33" s="141" t="s">
        <v>464</v>
      </c>
      <c r="F33" s="141" t="s">
        <v>531</v>
      </c>
      <c r="G33" s="141" t="s">
        <v>532</v>
      </c>
      <c r="H33" s="142"/>
      <c r="I33" s="143"/>
      <c r="J33" s="134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</row>
    <row x14ac:dyDescent="0.25" r="34" customHeight="1" ht="33.75">
      <c r="A34" s="73"/>
      <c r="B34" s="14"/>
      <c r="C34" s="139"/>
      <c r="D34" s="144"/>
      <c r="E34" s="141" t="s">
        <v>465</v>
      </c>
      <c r="F34" s="141" t="s">
        <v>533</v>
      </c>
      <c r="G34" s="141" t="s">
        <v>534</v>
      </c>
      <c r="H34" s="142"/>
      <c r="I34" s="143"/>
      <c r="J34" s="134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</row>
    <row x14ac:dyDescent="0.25" r="35" customHeight="1" ht="33.75">
      <c r="A35" s="73"/>
      <c r="B35" s="14"/>
      <c r="C35" s="139"/>
      <c r="D35" s="140" t="s">
        <v>535</v>
      </c>
      <c r="E35" s="141" t="s">
        <v>466</v>
      </c>
      <c r="F35" s="141" t="s">
        <v>536</v>
      </c>
      <c r="G35" s="141" t="s">
        <v>516</v>
      </c>
      <c r="H35" s="142"/>
      <c r="I35" s="143"/>
      <c r="J35" s="134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</row>
    <row x14ac:dyDescent="0.25" r="36" customHeight="1" ht="33.75">
      <c r="A36" s="73"/>
      <c r="B36" s="14"/>
      <c r="C36" s="139"/>
      <c r="D36" s="144"/>
      <c r="E36" s="141" t="s">
        <v>467</v>
      </c>
      <c r="F36" s="141" t="s">
        <v>537</v>
      </c>
      <c r="G36" s="141" t="s">
        <v>538</v>
      </c>
      <c r="H36" s="142"/>
      <c r="I36" s="143"/>
      <c r="J36" s="134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</row>
    <row x14ac:dyDescent="0.25" r="37" customHeight="1" ht="40.5">
      <c r="A37" s="73"/>
      <c r="B37" s="14"/>
      <c r="C37" s="139"/>
      <c r="D37" s="144"/>
      <c r="E37" s="141" t="s">
        <v>539</v>
      </c>
      <c r="F37" s="141" t="s">
        <v>540</v>
      </c>
      <c r="G37" s="141" t="s">
        <v>516</v>
      </c>
      <c r="H37" s="142"/>
      <c r="I37" s="143"/>
      <c r="J37" s="134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</row>
    <row x14ac:dyDescent="0.25" r="38" customHeight="1" ht="51.75">
      <c r="A38" s="73"/>
      <c r="B38" s="14"/>
      <c r="C38" s="139"/>
      <c r="D38" s="144"/>
      <c r="E38" s="141" t="s">
        <v>541</v>
      </c>
      <c r="F38" s="141" t="s">
        <v>542</v>
      </c>
      <c r="G38" s="141" t="s">
        <v>543</v>
      </c>
      <c r="H38" s="142"/>
      <c r="I38" s="143"/>
      <c r="J38" s="134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</row>
    <row x14ac:dyDescent="0.25" r="39" customHeight="1" ht="55.5">
      <c r="A39" s="73"/>
      <c r="B39" s="14"/>
      <c r="C39" s="139"/>
      <c r="D39" s="140" t="s">
        <v>544</v>
      </c>
      <c r="E39" s="141" t="s">
        <v>470</v>
      </c>
      <c r="F39" s="141" t="s">
        <v>545</v>
      </c>
      <c r="G39" s="141" t="s">
        <v>546</v>
      </c>
      <c r="H39" s="142"/>
      <c r="I39" s="143"/>
      <c r="J39" s="134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</row>
    <row x14ac:dyDescent="0.25" r="40" customHeight="1" ht="55.5">
      <c r="A40" s="73"/>
      <c r="B40" s="14"/>
      <c r="C40" s="139"/>
      <c r="D40" s="144"/>
      <c r="E40" s="141" t="s">
        <v>471</v>
      </c>
      <c r="F40" s="141" t="s">
        <v>547</v>
      </c>
      <c r="G40" s="141" t="s">
        <v>516</v>
      </c>
      <c r="H40" s="142"/>
      <c r="I40" s="143" t="s">
        <v>473</v>
      </c>
      <c r="J40" s="134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</row>
    <row x14ac:dyDescent="0.25" r="41" customHeight="1" ht="55.5">
      <c r="A41" s="73"/>
      <c r="B41" s="14"/>
      <c r="C41" s="139"/>
      <c r="D41" s="144"/>
      <c r="E41" s="141" t="s">
        <v>472</v>
      </c>
      <c r="F41" s="141" t="s">
        <v>548</v>
      </c>
      <c r="G41" s="141" t="s">
        <v>549</v>
      </c>
      <c r="H41" s="142"/>
      <c r="I41" s="143"/>
      <c r="J41" s="134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</row>
    <row x14ac:dyDescent="0.25" r="42" customHeight="1" ht="55.5">
      <c r="A42" s="73"/>
      <c r="B42" s="14"/>
      <c r="C42" s="139"/>
      <c r="D42" s="144"/>
      <c r="E42" s="141" t="s">
        <v>473</v>
      </c>
      <c r="F42" s="141" t="s">
        <v>550</v>
      </c>
      <c r="G42" s="141" t="s">
        <v>551</v>
      </c>
      <c r="H42" s="142"/>
      <c r="I42" s="143"/>
      <c r="J42" s="134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</row>
    <row x14ac:dyDescent="0.25" r="43" customHeight="1" ht="42">
      <c r="A43" s="73"/>
      <c r="B43" s="14"/>
      <c r="C43" s="139"/>
      <c r="D43" s="140" t="s">
        <v>552</v>
      </c>
      <c r="E43" s="141" t="s">
        <v>474</v>
      </c>
      <c r="F43" s="141" t="s">
        <v>553</v>
      </c>
      <c r="G43" s="141" t="s">
        <v>516</v>
      </c>
      <c r="H43" s="142"/>
      <c r="I43" s="143"/>
      <c r="J43" s="134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</row>
    <row x14ac:dyDescent="0.25" r="44" customHeight="1" ht="33.75">
      <c r="A44" s="73"/>
      <c r="B44" s="14"/>
      <c r="C44" s="139"/>
      <c r="D44" s="144"/>
      <c r="E44" s="141" t="s">
        <v>475</v>
      </c>
      <c r="F44" s="141" t="s">
        <v>554</v>
      </c>
      <c r="G44" s="141" t="s">
        <v>555</v>
      </c>
      <c r="H44" s="142"/>
      <c r="I44" s="145"/>
      <c r="J44" s="134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</row>
    <row x14ac:dyDescent="0.25" r="45" customHeight="1" ht="33.75">
      <c r="A45" s="73"/>
      <c r="B45" s="14"/>
      <c r="C45" s="139"/>
      <c r="D45" s="144"/>
      <c r="E45" s="141" t="s">
        <v>476</v>
      </c>
      <c r="F45" s="141" t="s">
        <v>556</v>
      </c>
      <c r="G45" s="141" t="s">
        <v>557</v>
      </c>
      <c r="H45" s="142"/>
      <c r="I45" s="145"/>
      <c r="J45" s="134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</row>
    <row x14ac:dyDescent="0.25" r="46" customHeight="1" ht="33.75">
      <c r="A46" s="73"/>
      <c r="B46" s="14"/>
      <c r="C46" s="139"/>
      <c r="D46" s="140" t="s">
        <v>558</v>
      </c>
      <c r="E46" s="141" t="s">
        <v>559</v>
      </c>
      <c r="F46" s="141" t="s">
        <v>560</v>
      </c>
      <c r="G46" s="141" t="s">
        <v>516</v>
      </c>
      <c r="H46" s="142"/>
      <c r="I46" s="145"/>
      <c r="J46" s="134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</row>
    <row x14ac:dyDescent="0.25" r="47" customHeight="1" ht="33.75">
      <c r="A47" s="73"/>
      <c r="B47" s="14"/>
      <c r="C47" s="139"/>
      <c r="D47" s="144"/>
      <c r="E47" s="141" t="s">
        <v>561</v>
      </c>
      <c r="F47" s="141" t="s">
        <v>562</v>
      </c>
      <c r="G47" s="141" t="s">
        <v>563</v>
      </c>
      <c r="H47" s="142"/>
      <c r="I47" s="145"/>
      <c r="J47" s="134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</row>
    <row x14ac:dyDescent="0.25" r="48" customHeight="1" ht="33.75">
      <c r="A48" s="73"/>
      <c r="B48" s="14"/>
      <c r="C48" s="139"/>
      <c r="D48" s="144"/>
      <c r="E48" s="141" t="s">
        <v>564</v>
      </c>
      <c r="F48" s="141" t="s">
        <v>565</v>
      </c>
      <c r="G48" s="141" t="s">
        <v>566</v>
      </c>
      <c r="H48" s="142"/>
      <c r="I48" s="145"/>
      <c r="J48" s="134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</row>
    <row x14ac:dyDescent="0.25" r="49" customHeight="1" ht="33.75">
      <c r="A49" s="73"/>
      <c r="B49" s="14"/>
      <c r="C49" s="139"/>
      <c r="D49" s="144"/>
      <c r="E49" s="141" t="s">
        <v>567</v>
      </c>
      <c r="F49" s="141" t="s">
        <v>568</v>
      </c>
      <c r="G49" s="141" t="s">
        <v>516</v>
      </c>
      <c r="H49" s="142"/>
      <c r="I49" s="145"/>
      <c r="J49" s="134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</row>
    <row x14ac:dyDescent="0.25" r="50" customHeight="1" ht="33.75">
      <c r="A50" s="73"/>
      <c r="B50" s="14"/>
      <c r="C50" s="139"/>
      <c r="D50" s="144"/>
      <c r="E50" s="141" t="s">
        <v>569</v>
      </c>
      <c r="F50" s="141" t="s">
        <v>570</v>
      </c>
      <c r="G50" s="141" t="s">
        <v>571</v>
      </c>
      <c r="H50" s="142"/>
      <c r="I50" s="145"/>
      <c r="J50" s="134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</row>
    <row x14ac:dyDescent="0.25" r="51" customHeight="1" ht="33.75">
      <c r="A51" s="73"/>
      <c r="B51" s="14"/>
      <c r="C51" s="139"/>
      <c r="D51" s="146" t="s">
        <v>572</v>
      </c>
      <c r="E51" s="141" t="s">
        <v>573</v>
      </c>
      <c r="F51" s="141" t="s">
        <v>574</v>
      </c>
      <c r="G51" s="141" t="s">
        <v>575</v>
      </c>
      <c r="H51" s="142"/>
      <c r="I51" s="145"/>
      <c r="J51" s="134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</row>
    <row x14ac:dyDescent="0.25" r="52" customHeight="1" ht="33.75">
      <c r="A52" s="73"/>
      <c r="B52" s="14"/>
      <c r="C52" s="139"/>
      <c r="D52" s="144"/>
      <c r="E52" s="141" t="s">
        <v>576</v>
      </c>
      <c r="F52" s="141" t="s">
        <v>577</v>
      </c>
      <c r="G52" s="141" t="s">
        <v>578</v>
      </c>
      <c r="H52" s="142"/>
      <c r="I52" s="145"/>
      <c r="J52" s="134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</row>
    <row x14ac:dyDescent="0.25" r="53" customHeight="1" ht="33.75">
      <c r="A53" s="73"/>
      <c r="B53" s="14"/>
      <c r="C53" s="139"/>
      <c r="D53" s="144"/>
      <c r="E53" s="141" t="s">
        <v>579</v>
      </c>
      <c r="F53" s="141" t="s">
        <v>580</v>
      </c>
      <c r="G53" s="141" t="s">
        <v>581</v>
      </c>
      <c r="H53" s="142"/>
      <c r="I53" s="145"/>
      <c r="J53" s="134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</row>
    <row x14ac:dyDescent="0.25" r="54" customHeight="1" ht="33.75">
      <c r="A54" s="73"/>
      <c r="B54" s="14"/>
      <c r="C54" s="139"/>
      <c r="D54" s="144"/>
      <c r="E54" s="147" t="s">
        <v>582</v>
      </c>
      <c r="F54" s="141" t="s">
        <v>583</v>
      </c>
      <c r="G54" s="147" t="s">
        <v>584</v>
      </c>
      <c r="H54" s="142"/>
      <c r="I54" s="145"/>
      <c r="J54" s="134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</row>
    <row x14ac:dyDescent="0.25" r="55" customHeight="1" ht="52.5">
      <c r="A55" s="73"/>
      <c r="B55" s="14"/>
      <c r="C55" s="139"/>
      <c r="D55" s="148" t="s">
        <v>585</v>
      </c>
      <c r="E55" s="149" t="s">
        <v>486</v>
      </c>
      <c r="F55" s="141" t="s">
        <v>586</v>
      </c>
      <c r="G55" s="147" t="s">
        <v>587</v>
      </c>
      <c r="H55" s="142"/>
      <c r="I55" s="145"/>
      <c r="J55" s="134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</row>
    <row x14ac:dyDescent="0.25" r="56" customHeight="1" ht="52.5">
      <c r="A56" s="73"/>
      <c r="B56" s="14"/>
      <c r="C56" s="139"/>
      <c r="D56" s="148" t="s">
        <v>588</v>
      </c>
      <c r="E56" s="149" t="s">
        <v>487</v>
      </c>
      <c r="F56" s="141" t="s">
        <v>589</v>
      </c>
      <c r="G56" s="147" t="s">
        <v>590</v>
      </c>
      <c r="H56" s="142"/>
      <c r="I56" s="145"/>
      <c r="J56" s="134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</row>
    <row x14ac:dyDescent="0.25" r="57" customHeight="1" ht="52.5">
      <c r="A57" s="73"/>
      <c r="B57" s="14"/>
      <c r="C57" s="139"/>
      <c r="D57" s="146" t="s">
        <v>591</v>
      </c>
      <c r="E57" s="149" t="s">
        <v>489</v>
      </c>
      <c r="F57" s="141" t="s">
        <v>592</v>
      </c>
      <c r="G57" s="147" t="s">
        <v>593</v>
      </c>
      <c r="H57" s="142"/>
      <c r="I57" s="145"/>
      <c r="J57" s="134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</row>
    <row x14ac:dyDescent="0.25" r="58" customHeight="1" ht="52.5">
      <c r="A58" s="73"/>
      <c r="B58" s="14"/>
      <c r="C58" s="139"/>
      <c r="D58" s="144"/>
      <c r="E58" s="149" t="s">
        <v>490</v>
      </c>
      <c r="F58" s="141" t="s">
        <v>594</v>
      </c>
      <c r="G58" s="147" t="s">
        <v>595</v>
      </c>
      <c r="H58" s="142"/>
      <c r="I58" s="145"/>
      <c r="J58" s="134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</row>
    <row x14ac:dyDescent="0.25" r="59" customHeight="1" ht="52.5">
      <c r="A59" s="73"/>
      <c r="B59" s="14"/>
      <c r="C59" s="139"/>
      <c r="D59" s="144"/>
      <c r="E59" s="149" t="s">
        <v>491</v>
      </c>
      <c r="F59" s="141" t="s">
        <v>596</v>
      </c>
      <c r="G59" s="147" t="s">
        <v>597</v>
      </c>
      <c r="H59" s="142"/>
      <c r="I59" s="145"/>
      <c r="J59" s="134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</row>
    <row x14ac:dyDescent="0.25" r="60" customHeight="1" ht="52.5">
      <c r="A60" s="73"/>
      <c r="B60" s="14"/>
      <c r="C60" s="139"/>
      <c r="D60" s="146" t="s">
        <v>598</v>
      </c>
      <c r="E60" s="149" t="s">
        <v>492</v>
      </c>
      <c r="F60" s="141" t="s">
        <v>599</v>
      </c>
      <c r="G60" s="147" t="s">
        <v>600</v>
      </c>
      <c r="H60" s="142"/>
      <c r="I60" s="145"/>
      <c r="J60" s="134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</row>
    <row x14ac:dyDescent="0.25" r="61" customHeight="1" ht="52.5">
      <c r="A61" s="73"/>
      <c r="B61" s="14"/>
      <c r="C61" s="139"/>
      <c r="D61" s="144"/>
      <c r="E61" s="149" t="s">
        <v>493</v>
      </c>
      <c r="F61" s="141" t="s">
        <v>601</v>
      </c>
      <c r="G61" s="147" t="s">
        <v>575</v>
      </c>
      <c r="H61" s="142"/>
      <c r="I61" s="145"/>
      <c r="J61" s="134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</row>
    <row x14ac:dyDescent="0.25" r="62" customHeight="1" ht="52.5">
      <c r="A62" s="73"/>
      <c r="B62" s="14"/>
      <c r="C62" s="139"/>
      <c r="D62" s="144"/>
      <c r="E62" s="149" t="s">
        <v>494</v>
      </c>
      <c r="F62" s="141" t="s">
        <v>602</v>
      </c>
      <c r="G62" s="147" t="s">
        <v>603</v>
      </c>
      <c r="H62" s="142"/>
      <c r="I62" s="145"/>
      <c r="J62" s="134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</row>
    <row x14ac:dyDescent="0.25" r="63" customHeight="1" ht="52.5">
      <c r="A63" s="73"/>
      <c r="B63" s="14"/>
      <c r="C63" s="139"/>
      <c r="D63" s="144"/>
      <c r="E63" s="149" t="s">
        <v>495</v>
      </c>
      <c r="F63" s="141" t="s">
        <v>604</v>
      </c>
      <c r="G63" s="147"/>
      <c r="H63" s="142"/>
      <c r="I63" s="145"/>
      <c r="J63" s="134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</row>
    <row x14ac:dyDescent="0.25" r="64" customHeight="1" ht="45">
      <c r="A64" s="73"/>
      <c r="B64" s="73"/>
      <c r="C64" s="73"/>
      <c r="D64" s="143"/>
      <c r="E64" s="73"/>
      <c r="F64" s="143"/>
      <c r="G64" s="143"/>
      <c r="H64" s="145"/>
      <c r="I64" s="143"/>
      <c r="J64" s="134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</row>
    <row x14ac:dyDescent="0.25" r="65" customHeight="1" ht="15.75">
      <c r="A65" s="11"/>
      <c r="B65" s="11"/>
      <c r="C65" s="11"/>
      <c r="D65" s="11"/>
      <c r="E65" s="11"/>
      <c r="F65" s="6"/>
      <c r="G65" s="6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x14ac:dyDescent="0.25" r="66" customHeight="1" ht="15.75">
      <c r="A66" s="19"/>
      <c r="B66" s="14"/>
      <c r="C66" s="139"/>
      <c r="D66" s="11"/>
      <c r="E66" s="11"/>
      <c r="F66" s="6"/>
      <c r="G66" s="6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x14ac:dyDescent="0.25" r="67" customHeight="1" ht="15.75">
      <c r="A67" s="19"/>
      <c r="B67" s="14"/>
      <c r="C67" s="139"/>
      <c r="D67" s="11"/>
      <c r="E67" s="11"/>
      <c r="F67" s="6"/>
      <c r="G67" s="6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x14ac:dyDescent="0.25" r="68" customHeight="1" ht="15.75">
      <c r="A68" s="19"/>
      <c r="B68" s="14"/>
      <c r="C68" s="139"/>
      <c r="D68" s="11"/>
      <c r="E68" s="11"/>
      <c r="F68" s="6"/>
      <c r="G68" s="6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x14ac:dyDescent="0.25" r="69" customHeight="1" ht="15.75">
      <c r="A69" s="19"/>
      <c r="B69" s="14"/>
      <c r="C69" s="139"/>
      <c r="D69" s="11"/>
      <c r="E69" s="11"/>
      <c r="F69" s="6"/>
      <c r="G69" s="6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x14ac:dyDescent="0.25" r="70" customHeight="1" ht="15.75">
      <c r="A70" s="19"/>
      <c r="B70" s="14"/>
      <c r="C70" s="139"/>
      <c r="D70" s="11"/>
      <c r="E70" s="11"/>
      <c r="F70" s="6"/>
      <c r="G70" s="6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x14ac:dyDescent="0.25" r="71" customHeight="1" ht="15.75">
      <c r="A71" s="19"/>
      <c r="B71" s="14"/>
      <c r="C71" s="139"/>
      <c r="D71" s="11"/>
      <c r="E71" s="11"/>
      <c r="F71" s="6"/>
      <c r="G71" s="6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x14ac:dyDescent="0.25" r="72" customHeight="1" ht="15.75">
      <c r="A72" s="19"/>
      <c r="B72" s="14"/>
      <c r="C72" s="139"/>
      <c r="D72" s="11"/>
      <c r="E72" s="11"/>
      <c r="F72" s="6"/>
      <c r="G72" s="6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x14ac:dyDescent="0.25" r="73" customHeight="1" ht="19.5" hidden="1">
      <c r="A73" s="19"/>
      <c r="B73" s="14"/>
      <c r="C73" s="139"/>
      <c r="D73" s="11"/>
      <c r="E73" s="11"/>
      <c r="F73" s="6"/>
      <c r="G73" s="6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x14ac:dyDescent="0.25" r="74" customHeight="1" ht="19.5" hidden="1">
      <c r="A74" s="19"/>
      <c r="B74" s="14"/>
      <c r="C74" s="139"/>
      <c r="D74" s="11"/>
      <c r="E74" s="11"/>
      <c r="F74" s="6"/>
      <c r="G74" s="6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x14ac:dyDescent="0.25" r="75" customHeight="1" ht="19.5" hidden="1">
      <c r="A75" s="19"/>
      <c r="B75" s="14"/>
      <c r="C75" s="139"/>
      <c r="D75" s="11"/>
      <c r="E75" s="11"/>
      <c r="F75" s="6"/>
      <c r="G75" s="6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x14ac:dyDescent="0.25" r="76" customHeight="1" ht="19.5" hidden="1">
      <c r="A76" s="19"/>
      <c r="B76" s="14"/>
      <c r="C76" s="139"/>
      <c r="D76" s="11"/>
      <c r="E76" s="11"/>
      <c r="F76" s="6"/>
      <c r="G76" s="6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x14ac:dyDescent="0.25" r="77" customHeight="1" ht="19.5" hidden="1">
      <c r="A77" s="19"/>
      <c r="B77" s="14"/>
      <c r="C77" s="139"/>
      <c r="D77" s="11"/>
      <c r="E77" s="11"/>
      <c r="F77" s="6"/>
      <c r="G77" s="6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x14ac:dyDescent="0.25" r="78" customHeight="1" ht="19.5" hidden="1">
      <c r="A78" s="19"/>
      <c r="B78" s="14"/>
      <c r="C78" s="139"/>
      <c r="D78" s="11"/>
      <c r="E78" s="11"/>
      <c r="F78" s="6"/>
      <c r="G78" s="6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x14ac:dyDescent="0.25" r="79" customHeight="1" ht="19.5" hidden="1">
      <c r="A79" s="19"/>
      <c r="B79" s="14"/>
      <c r="C79" s="139"/>
      <c r="D79" s="11"/>
      <c r="E79" s="11"/>
      <c r="F79" s="6"/>
      <c r="G79" s="6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x14ac:dyDescent="0.25" r="80" customHeight="1" ht="19.5" hidden="1">
      <c r="A80" s="19"/>
      <c r="B80" s="14"/>
      <c r="C80" s="139"/>
      <c r="D80" s="11"/>
      <c r="E80" s="11"/>
      <c r="F80" s="6"/>
      <c r="G80" s="6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x14ac:dyDescent="0.25" r="81" customHeight="1" ht="19.5" hidden="1">
      <c r="A81" s="19"/>
      <c r="B81" s="14"/>
      <c r="C81" s="139"/>
      <c r="D81" s="11"/>
      <c r="E81" s="11"/>
      <c r="F81" s="6"/>
      <c r="G81" s="6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x14ac:dyDescent="0.25" r="82" customHeight="1" ht="19.5" hidden="1">
      <c r="A82" s="19"/>
      <c r="B82" s="14"/>
      <c r="C82" s="139"/>
      <c r="D82" s="11"/>
      <c r="E82" s="11"/>
      <c r="F82" s="6"/>
      <c r="G82" s="6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x14ac:dyDescent="0.25" r="83" customHeight="1" ht="19.5" hidden="1">
      <c r="A83" s="19"/>
      <c r="B83" s="14"/>
      <c r="C83" s="139"/>
      <c r="D83" s="11"/>
      <c r="E83" s="11"/>
      <c r="F83" s="6"/>
      <c r="G83" s="6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x14ac:dyDescent="0.25" r="84" customHeight="1" ht="19.5" hidden="1">
      <c r="A84" s="19"/>
      <c r="B84" s="14"/>
      <c r="C84" s="139"/>
      <c r="D84" s="11"/>
      <c r="E84" s="11"/>
      <c r="F84" s="6"/>
      <c r="G84" s="6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x14ac:dyDescent="0.25" r="85" customHeight="1" ht="19.5" hidden="1">
      <c r="A85" s="19"/>
      <c r="B85" s="14"/>
      <c r="C85" s="139"/>
      <c r="D85" s="11"/>
      <c r="E85" s="11"/>
      <c r="F85" s="6"/>
      <c r="G85" s="6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x14ac:dyDescent="0.25" r="86" customHeight="1" ht="19.5" hidden="1">
      <c r="A86" s="19"/>
      <c r="B86" s="14"/>
      <c r="C86" s="139"/>
      <c r="D86" s="11"/>
      <c r="E86" s="11"/>
      <c r="F86" s="6"/>
      <c r="G86" s="6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x14ac:dyDescent="0.25" r="87" customHeight="1" ht="19.5" hidden="1">
      <c r="A87" s="19"/>
      <c r="B87" s="14"/>
      <c r="C87" s="139"/>
      <c r="D87" s="11"/>
      <c r="E87" s="11"/>
      <c r="F87" s="6"/>
      <c r="G87" s="6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x14ac:dyDescent="0.25" r="88" customHeight="1" ht="19.5" hidden="1">
      <c r="A88" s="19"/>
      <c r="B88" s="14"/>
      <c r="C88" s="139"/>
      <c r="D88" s="11"/>
      <c r="E88" s="11"/>
      <c r="F88" s="6"/>
      <c r="G88" s="6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x14ac:dyDescent="0.25" r="89" customHeight="1" ht="19.5" hidden="1">
      <c r="A89" s="19"/>
      <c r="B89" s="14"/>
      <c r="C89" s="139"/>
      <c r="D89" s="11"/>
      <c r="E89" s="11"/>
      <c r="F89" s="6"/>
      <c r="G89" s="6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x14ac:dyDescent="0.25" r="90" customHeight="1" ht="19.5" hidden="1">
      <c r="A90" s="19"/>
      <c r="B90" s="14"/>
      <c r="C90" s="139"/>
      <c r="D90" s="11"/>
      <c r="E90" s="11"/>
      <c r="F90" s="6"/>
      <c r="G90" s="6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x14ac:dyDescent="0.25" r="91" customHeight="1" ht="19.5" hidden="1">
      <c r="A91" s="19"/>
      <c r="B91" s="14"/>
      <c r="C91" s="139"/>
      <c r="D91" s="11"/>
      <c r="E91" s="11"/>
      <c r="F91" s="6"/>
      <c r="G91" s="6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x14ac:dyDescent="0.25" r="92" customHeight="1" ht="19.5" hidden="1">
      <c r="A92" s="19"/>
      <c r="B92" s="14"/>
      <c r="C92" s="139"/>
      <c r="D92" s="11"/>
      <c r="E92" s="11"/>
      <c r="F92" s="6"/>
      <c r="G92" s="6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x14ac:dyDescent="0.25" r="93" customHeight="1" ht="19.5" hidden="1">
      <c r="A93" s="19"/>
      <c r="B93" s="14"/>
      <c r="C93" s="139"/>
      <c r="D93" s="11"/>
      <c r="E93" s="11"/>
      <c r="F93" s="6"/>
      <c r="G93" s="6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x14ac:dyDescent="0.25" r="94" customHeight="1" ht="19.5" hidden="1">
      <c r="A94" s="19"/>
      <c r="B94" s="14"/>
      <c r="C94" s="139"/>
      <c r="D94" s="11"/>
      <c r="E94" s="11"/>
      <c r="F94" s="6"/>
      <c r="G94" s="6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x14ac:dyDescent="0.25" r="95" customHeight="1" ht="19.5" hidden="1">
      <c r="A95" s="19"/>
      <c r="B95" s="14"/>
      <c r="C95" s="139"/>
      <c r="D95" s="11"/>
      <c r="E95" s="11"/>
      <c r="F95" s="6"/>
      <c r="G95" s="6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x14ac:dyDescent="0.25" r="96" customHeight="1" ht="19.5" hidden="1">
      <c r="A96" s="19"/>
      <c r="B96" s="14"/>
      <c r="C96" s="139"/>
      <c r="D96" s="11"/>
      <c r="E96" s="11"/>
      <c r="F96" s="6"/>
      <c r="G96" s="6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x14ac:dyDescent="0.25" r="97" customHeight="1" ht="19.5" hidden="1">
      <c r="A97" s="19"/>
      <c r="B97" s="14"/>
      <c r="C97" s="139"/>
      <c r="D97" s="11"/>
      <c r="E97" s="11"/>
      <c r="F97" s="6"/>
      <c r="G97" s="6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x14ac:dyDescent="0.25" r="98" customHeight="1" ht="19.5" hidden="1">
      <c r="A98" s="19"/>
      <c r="B98" s="14"/>
      <c r="C98" s="139"/>
      <c r="D98" s="11"/>
      <c r="E98" s="11"/>
      <c r="F98" s="6"/>
      <c r="G98" s="6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x14ac:dyDescent="0.25" r="99" customHeight="1" ht="19.5" hidden="1">
      <c r="A99" s="19"/>
      <c r="B99" s="14"/>
      <c r="C99" s="139"/>
      <c r="D99" s="11"/>
      <c r="E99" s="11"/>
      <c r="F99" s="6"/>
      <c r="G99" s="6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x14ac:dyDescent="0.25" r="100" customHeight="1" ht="19.5" hidden="1">
      <c r="A100" s="19"/>
      <c r="B100" s="14"/>
      <c r="C100" s="139"/>
      <c r="D100" s="11"/>
      <c r="E100" s="11"/>
      <c r="F100" s="6"/>
      <c r="G100" s="6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x14ac:dyDescent="0.25" r="101" customHeight="1" ht="19.5" hidden="1">
      <c r="A101" s="19"/>
      <c r="B101" s="14"/>
      <c r="C101" s="139"/>
      <c r="D101" s="11"/>
      <c r="E101" s="11"/>
      <c r="F101" s="6"/>
      <c r="G101" s="6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x14ac:dyDescent="0.25" r="102" customHeight="1" ht="19.5" hidden="1">
      <c r="A102" s="19"/>
      <c r="B102" s="14"/>
      <c r="C102" s="139"/>
      <c r="D102" s="11"/>
      <c r="E102" s="11"/>
      <c r="F102" s="6"/>
      <c r="G102" s="6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x14ac:dyDescent="0.25" r="103" customHeight="1" ht="19.5" hidden="1">
      <c r="A103" s="19"/>
      <c r="B103" s="14"/>
      <c r="C103" s="139"/>
      <c r="D103" s="11"/>
      <c r="E103" s="11"/>
      <c r="F103" s="6"/>
      <c r="G103" s="6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x14ac:dyDescent="0.25" r="104" customHeight="1" ht="19.5" hidden="1">
      <c r="A104" s="19"/>
      <c r="B104" s="14"/>
      <c r="C104" s="139"/>
      <c r="D104" s="11"/>
      <c r="E104" s="11"/>
      <c r="F104" s="6"/>
      <c r="G104" s="6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x14ac:dyDescent="0.25" r="105" customHeight="1" ht="19.5" hidden="1">
      <c r="A105" s="19"/>
      <c r="B105" s="14"/>
      <c r="C105" s="139"/>
      <c r="D105" s="11"/>
      <c r="E105" s="11"/>
      <c r="F105" s="6"/>
      <c r="G105" s="6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x14ac:dyDescent="0.25" r="106" customHeight="1" ht="19.5" hidden="1">
      <c r="A106" s="19"/>
      <c r="B106" s="14"/>
      <c r="C106" s="139"/>
      <c r="D106" s="11"/>
      <c r="E106" s="11"/>
      <c r="F106" s="6"/>
      <c r="G106" s="6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x14ac:dyDescent="0.25" r="107" customHeight="1" ht="19.5" hidden="1">
      <c r="A107" s="19"/>
      <c r="B107" s="14"/>
      <c r="C107" s="139"/>
      <c r="D107" s="11"/>
      <c r="E107" s="11"/>
      <c r="F107" s="6"/>
      <c r="G107" s="6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x14ac:dyDescent="0.25" r="108" customHeight="1" ht="19.5" hidden="1">
      <c r="A108" s="19"/>
      <c r="B108" s="14"/>
      <c r="C108" s="139"/>
      <c r="D108" s="11"/>
      <c r="E108" s="11"/>
      <c r="F108" s="6"/>
      <c r="G108" s="6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x14ac:dyDescent="0.25" r="109" customHeight="1" ht="19.5" hidden="1">
      <c r="A109" s="19"/>
      <c r="B109" s="14"/>
      <c r="C109" s="139"/>
      <c r="D109" s="11"/>
      <c r="E109" s="11"/>
      <c r="F109" s="6"/>
      <c r="G109" s="6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x14ac:dyDescent="0.25" r="110" customHeight="1" ht="19.5" hidden="1">
      <c r="A110" s="19"/>
      <c r="B110" s="14"/>
      <c r="C110" s="139"/>
      <c r="D110" s="11"/>
      <c r="E110" s="11"/>
      <c r="F110" s="6"/>
      <c r="G110" s="6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x14ac:dyDescent="0.25" r="111" customHeight="1" ht="19.5" hidden="1">
      <c r="A111" s="19"/>
      <c r="B111" s="14"/>
      <c r="C111" s="139"/>
      <c r="D111" s="11"/>
      <c r="E111" s="11"/>
      <c r="F111" s="6"/>
      <c r="G111" s="6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x14ac:dyDescent="0.25" r="112" customHeight="1" ht="19.5" hidden="1">
      <c r="A112" s="19"/>
      <c r="B112" s="14"/>
      <c r="C112" s="139"/>
      <c r="D112" s="11"/>
      <c r="E112" s="11"/>
      <c r="F112" s="6"/>
      <c r="G112" s="6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x14ac:dyDescent="0.25" r="113" customHeight="1" ht="19.5" hidden="1">
      <c r="A113" s="19"/>
      <c r="B113" s="14"/>
      <c r="C113" s="139"/>
      <c r="D113" s="11"/>
      <c r="E113" s="11"/>
      <c r="F113" s="6"/>
      <c r="G113" s="6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x14ac:dyDescent="0.25" r="114" customHeight="1" ht="19.5" hidden="1">
      <c r="A114" s="19"/>
      <c r="B114" s="14"/>
      <c r="C114" s="139"/>
      <c r="D114" s="11"/>
      <c r="E114" s="11"/>
      <c r="F114" s="6"/>
      <c r="G114" s="6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x14ac:dyDescent="0.25" r="115" customHeight="1" ht="19.5" hidden="1">
      <c r="A115" s="19"/>
      <c r="B115" s="14"/>
      <c r="C115" s="139"/>
      <c r="D115" s="11"/>
      <c r="E115" s="11"/>
      <c r="F115" s="6"/>
      <c r="G115" s="6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x14ac:dyDescent="0.25" r="116" customHeight="1" ht="19.5" hidden="1">
      <c r="A116" s="19"/>
      <c r="B116" s="14"/>
      <c r="C116" s="139"/>
      <c r="D116" s="11"/>
      <c r="E116" s="11"/>
      <c r="F116" s="6"/>
      <c r="G116" s="6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x14ac:dyDescent="0.25" r="117" customHeight="1" ht="19.5" hidden="1">
      <c r="A117" s="19"/>
      <c r="B117" s="14"/>
      <c r="C117" s="139"/>
      <c r="D117" s="11"/>
      <c r="E117" s="11"/>
      <c r="F117" s="6"/>
      <c r="G117" s="6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x14ac:dyDescent="0.25" r="118" customHeight="1" ht="19.5" hidden="1">
      <c r="A118" s="19"/>
      <c r="B118" s="14"/>
      <c r="C118" s="139"/>
      <c r="D118" s="11"/>
      <c r="E118" s="11"/>
      <c r="F118" s="6"/>
      <c r="G118" s="6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x14ac:dyDescent="0.25" r="119" customHeight="1" ht="19.5" hidden="1">
      <c r="A119" s="19"/>
      <c r="B119" s="14"/>
      <c r="C119" s="139"/>
      <c r="D119" s="11"/>
      <c r="E119" s="11"/>
      <c r="F119" s="6"/>
      <c r="G119" s="6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x14ac:dyDescent="0.25" r="120" customHeight="1" ht="19.5" hidden="1">
      <c r="A120" s="19"/>
      <c r="B120" s="14"/>
      <c r="C120" s="139"/>
      <c r="D120" s="11"/>
      <c r="E120" s="11"/>
      <c r="F120" s="6"/>
      <c r="G120" s="6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x14ac:dyDescent="0.25" r="121" customHeight="1" ht="19.5" hidden="1">
      <c r="A121" s="19"/>
      <c r="B121" s="14"/>
      <c r="C121" s="139"/>
      <c r="D121" s="11"/>
      <c r="E121" s="11"/>
      <c r="F121" s="6"/>
      <c r="G121" s="6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x14ac:dyDescent="0.25" r="122" customHeight="1" ht="19.5" hidden="1">
      <c r="A122" s="19"/>
      <c r="B122" s="14"/>
      <c r="C122" s="139"/>
      <c r="D122" s="11"/>
      <c r="E122" s="11"/>
      <c r="F122" s="6"/>
      <c r="G122" s="6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x14ac:dyDescent="0.25" r="123" customHeight="1" ht="19.5" hidden="1">
      <c r="A123" s="19"/>
      <c r="B123" s="14"/>
      <c r="C123" s="139"/>
      <c r="D123" s="11"/>
      <c r="E123" s="11"/>
      <c r="F123" s="6"/>
      <c r="G123" s="6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x14ac:dyDescent="0.25" r="124" customHeight="1" ht="19.5" hidden="1">
      <c r="A124" s="19"/>
      <c r="B124" s="14"/>
      <c r="C124" s="139"/>
      <c r="D124" s="11"/>
      <c r="E124" s="11"/>
      <c r="F124" s="6"/>
      <c r="G124" s="6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x14ac:dyDescent="0.25" r="125" customHeight="1" ht="19.5" hidden="1">
      <c r="A125" s="19"/>
      <c r="B125" s="14"/>
      <c r="C125" s="139"/>
      <c r="D125" s="11"/>
      <c r="E125" s="11"/>
      <c r="F125" s="6"/>
      <c r="G125" s="6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x14ac:dyDescent="0.25" r="126" customHeight="1" ht="19.5" hidden="1">
      <c r="A126" s="19"/>
      <c r="B126" s="14"/>
      <c r="C126" s="139"/>
      <c r="D126" s="11"/>
      <c r="E126" s="11"/>
      <c r="F126" s="6"/>
      <c r="G126" s="6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x14ac:dyDescent="0.25" r="127" customHeight="1" ht="19.5" hidden="1">
      <c r="A127" s="19"/>
      <c r="B127" s="14"/>
      <c r="C127" s="139"/>
      <c r="D127" s="11"/>
      <c r="E127" s="11"/>
      <c r="F127" s="6"/>
      <c r="G127" s="6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x14ac:dyDescent="0.25" r="128" customHeight="1" ht="19.5" hidden="1">
      <c r="A128" s="19"/>
      <c r="B128" s="14"/>
      <c r="C128" s="139"/>
      <c r="D128" s="11"/>
      <c r="E128" s="11"/>
      <c r="F128" s="6"/>
      <c r="G128" s="6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x14ac:dyDescent="0.25" r="129" customHeight="1" ht="19.5" hidden="1">
      <c r="A129" s="19"/>
      <c r="B129" s="14"/>
      <c r="C129" s="139"/>
      <c r="D129" s="11"/>
      <c r="E129" s="11"/>
      <c r="F129" s="6"/>
      <c r="G129" s="6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x14ac:dyDescent="0.25" r="130" customHeight="1" ht="19.5" hidden="1">
      <c r="A130" s="19"/>
      <c r="B130" s="14"/>
      <c r="C130" s="139"/>
      <c r="D130" s="11"/>
      <c r="E130" s="11"/>
      <c r="F130" s="6"/>
      <c r="G130" s="6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x14ac:dyDescent="0.25" r="131" customHeight="1" ht="19.5" hidden="1">
      <c r="A131" s="19"/>
      <c r="B131" s="14"/>
      <c r="C131" s="139"/>
      <c r="D131" s="11"/>
      <c r="E131" s="11"/>
      <c r="F131" s="6"/>
      <c r="G131" s="6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x14ac:dyDescent="0.25" r="132" customHeight="1" ht="19.5" hidden="1">
      <c r="A132" s="19"/>
      <c r="B132" s="14"/>
      <c r="C132" s="139"/>
      <c r="D132" s="11"/>
      <c r="E132" s="11"/>
      <c r="F132" s="6"/>
      <c r="G132" s="6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x14ac:dyDescent="0.25" r="133" customHeight="1" ht="19.5" hidden="1">
      <c r="A133" s="19"/>
      <c r="B133" s="14"/>
      <c r="C133" s="139"/>
      <c r="D133" s="11"/>
      <c r="E133" s="11"/>
      <c r="F133" s="6"/>
      <c r="G133" s="6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x14ac:dyDescent="0.25" r="134" customHeight="1" ht="19.5" hidden="1">
      <c r="A134" s="19"/>
      <c r="B134" s="14"/>
      <c r="C134" s="139"/>
      <c r="D134" s="11"/>
      <c r="E134" s="11"/>
      <c r="F134" s="6"/>
      <c r="G134" s="6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x14ac:dyDescent="0.25" r="135" customHeight="1" ht="19.5" hidden="1">
      <c r="A135" s="19"/>
      <c r="B135" s="14"/>
      <c r="C135" s="139"/>
      <c r="D135" s="11"/>
      <c r="E135" s="11"/>
      <c r="F135" s="6"/>
      <c r="G135" s="6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x14ac:dyDescent="0.25" r="136" customHeight="1" ht="19.5" hidden="1">
      <c r="A136" s="19"/>
      <c r="B136" s="14"/>
      <c r="C136" s="139"/>
      <c r="D136" s="11"/>
      <c r="E136" s="11"/>
      <c r="F136" s="6"/>
      <c r="G136" s="6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x14ac:dyDescent="0.25" r="137" customHeight="1" ht="19.5" hidden="1">
      <c r="A137" s="19"/>
      <c r="B137" s="14"/>
      <c r="C137" s="139"/>
      <c r="D137" s="11"/>
      <c r="E137" s="11"/>
      <c r="F137" s="6"/>
      <c r="G137" s="6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x14ac:dyDescent="0.25" r="138" customHeight="1" ht="19.5" hidden="1">
      <c r="A138" s="19"/>
      <c r="B138" s="14"/>
      <c r="C138" s="139"/>
      <c r="D138" s="11"/>
      <c r="E138" s="11"/>
      <c r="F138" s="6"/>
      <c r="G138" s="6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x14ac:dyDescent="0.25" r="139" customHeight="1" ht="19.5" hidden="1">
      <c r="A139" s="19"/>
      <c r="B139" s="14"/>
      <c r="C139" s="139"/>
      <c r="D139" s="11"/>
      <c r="E139" s="11"/>
      <c r="F139" s="6"/>
      <c r="G139" s="6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x14ac:dyDescent="0.25" r="140" customHeight="1" ht="19.5" hidden="1">
      <c r="A140" s="19"/>
      <c r="B140" s="14"/>
      <c r="C140" s="139"/>
      <c r="D140" s="11"/>
      <c r="E140" s="11"/>
      <c r="F140" s="6"/>
      <c r="G140" s="6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x14ac:dyDescent="0.25" r="141" customHeight="1" ht="19.5" hidden="1">
      <c r="A141" s="19"/>
      <c r="B141" s="14"/>
      <c r="C141" s="139"/>
      <c r="D141" s="11"/>
      <c r="E141" s="11"/>
      <c r="F141" s="6"/>
      <c r="G141" s="6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x14ac:dyDescent="0.25" r="142" customHeight="1" ht="19.5" hidden="1">
      <c r="A142" s="19"/>
      <c r="B142" s="14"/>
      <c r="C142" s="139"/>
      <c r="D142" s="11"/>
      <c r="E142" s="11"/>
      <c r="F142" s="6"/>
      <c r="G142" s="6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x14ac:dyDescent="0.25" r="143" customHeight="1" ht="19.5" hidden="1">
      <c r="A143" s="19"/>
      <c r="B143" s="14"/>
      <c r="C143" s="139"/>
      <c r="D143" s="11"/>
      <c r="E143" s="11"/>
      <c r="F143" s="6"/>
      <c r="G143" s="6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x14ac:dyDescent="0.25" r="144" customHeight="1" ht="19.5" hidden="1">
      <c r="A144" s="19"/>
      <c r="B144" s="14"/>
      <c r="C144" s="139"/>
      <c r="D144" s="11"/>
      <c r="E144" s="11"/>
      <c r="F144" s="6"/>
      <c r="G144" s="6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x14ac:dyDescent="0.25" r="145" customHeight="1" ht="19.5" hidden="1">
      <c r="A145" s="19"/>
      <c r="B145" s="14"/>
      <c r="C145" s="139"/>
      <c r="D145" s="11"/>
      <c r="E145" s="11"/>
      <c r="F145" s="6"/>
      <c r="G145" s="6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x14ac:dyDescent="0.25" r="146" customHeight="1" ht="19.5" hidden="1">
      <c r="A146" s="19"/>
      <c r="B146" s="14"/>
      <c r="C146" s="139"/>
      <c r="D146" s="11"/>
      <c r="E146" s="11"/>
      <c r="F146" s="6"/>
      <c r="G146" s="6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x14ac:dyDescent="0.25" r="147" customHeight="1" ht="19.5" hidden="1">
      <c r="A147" s="19"/>
      <c r="B147" s="14"/>
      <c r="C147" s="139"/>
      <c r="D147" s="11"/>
      <c r="E147" s="11"/>
      <c r="F147" s="6"/>
      <c r="G147" s="6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x14ac:dyDescent="0.25" r="148" customHeight="1" ht="19.5" hidden="1">
      <c r="A148" s="19"/>
      <c r="B148" s="14"/>
      <c r="C148" s="139"/>
      <c r="D148" s="11"/>
      <c r="E148" s="11"/>
      <c r="F148" s="6"/>
      <c r="G148" s="6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x14ac:dyDescent="0.25" r="149" customHeight="1" ht="19.5" hidden="1">
      <c r="A149" s="19"/>
      <c r="B149" s="14"/>
      <c r="C149" s="139"/>
      <c r="D149" s="11"/>
      <c r="E149" s="11"/>
      <c r="F149" s="6"/>
      <c r="G149" s="6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x14ac:dyDescent="0.25" r="150" customHeight="1" ht="19.5" hidden="1">
      <c r="A150" s="19"/>
      <c r="B150" s="14"/>
      <c r="C150" s="139"/>
      <c r="D150" s="11"/>
      <c r="E150" s="11"/>
      <c r="F150" s="6"/>
      <c r="G150" s="6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x14ac:dyDescent="0.25" r="151" customHeight="1" ht="19.5" hidden="1">
      <c r="A151" s="19"/>
      <c r="B151" s="14"/>
      <c r="C151" s="139"/>
      <c r="D151" s="11"/>
      <c r="E151" s="11"/>
      <c r="F151" s="6"/>
      <c r="G151" s="6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x14ac:dyDescent="0.25" r="152" customHeight="1" ht="19.5" hidden="1">
      <c r="A152" s="19"/>
      <c r="B152" s="14"/>
      <c r="C152" s="139"/>
      <c r="D152" s="11"/>
      <c r="E152" s="11"/>
      <c r="F152" s="6"/>
      <c r="G152" s="6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x14ac:dyDescent="0.25" r="153" customHeight="1" ht="19.5" hidden="1">
      <c r="A153" s="19"/>
      <c r="B153" s="14"/>
      <c r="C153" s="139"/>
      <c r="D153" s="11"/>
      <c r="E153" s="11"/>
      <c r="F153" s="6"/>
      <c r="G153" s="6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x14ac:dyDescent="0.25" r="154" customHeight="1" ht="19.5" hidden="1">
      <c r="A154" s="19"/>
      <c r="B154" s="14"/>
      <c r="C154" s="139"/>
      <c r="D154" s="11"/>
      <c r="E154" s="11"/>
      <c r="F154" s="6"/>
      <c r="G154" s="6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x14ac:dyDescent="0.25" r="155" customHeight="1" ht="19.5" hidden="1">
      <c r="A155" s="19"/>
      <c r="B155" s="14"/>
      <c r="C155" s="139"/>
      <c r="D155" s="11"/>
      <c r="E155" s="11"/>
      <c r="F155" s="6"/>
      <c r="G155" s="6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x14ac:dyDescent="0.25" r="156" customHeight="1" ht="19.5" hidden="1">
      <c r="A156" s="19"/>
      <c r="B156" s="14"/>
      <c r="C156" s="139"/>
      <c r="D156" s="11"/>
      <c r="E156" s="11"/>
      <c r="F156" s="6"/>
      <c r="G156" s="6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x14ac:dyDescent="0.25" r="157" customHeight="1" ht="19.5" hidden="1">
      <c r="A157" s="19"/>
      <c r="B157" s="14"/>
      <c r="C157" s="139"/>
      <c r="D157" s="11"/>
      <c r="E157" s="11"/>
      <c r="F157" s="6"/>
      <c r="G157" s="6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x14ac:dyDescent="0.25" r="158" customHeight="1" ht="19.5" hidden="1">
      <c r="A158" s="19"/>
      <c r="B158" s="14"/>
      <c r="C158" s="139"/>
      <c r="D158" s="11"/>
      <c r="E158" s="11"/>
      <c r="F158" s="6"/>
      <c r="G158" s="6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x14ac:dyDescent="0.25" r="159" customHeight="1" ht="19.5" hidden="1">
      <c r="A159" s="19"/>
      <c r="B159" s="14"/>
      <c r="C159" s="139"/>
      <c r="D159" s="11"/>
      <c r="E159" s="11"/>
      <c r="F159" s="6"/>
      <c r="G159" s="6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x14ac:dyDescent="0.25" r="160" customHeight="1" ht="19.5" hidden="1">
      <c r="A160" s="19"/>
      <c r="B160" s="14"/>
      <c r="C160" s="139"/>
      <c r="D160" s="11"/>
      <c r="E160" s="11"/>
      <c r="F160" s="6"/>
      <c r="G160" s="6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x14ac:dyDescent="0.25" r="161" customHeight="1" ht="19.5" hidden="1">
      <c r="A161" s="19"/>
      <c r="B161" s="14"/>
      <c r="C161" s="139"/>
      <c r="D161" s="11"/>
      <c r="E161" s="11"/>
      <c r="F161" s="6"/>
      <c r="G161" s="6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x14ac:dyDescent="0.25" r="162" customHeight="1" ht="19.5" hidden="1">
      <c r="A162" s="19"/>
      <c r="B162" s="14"/>
      <c r="C162" s="139"/>
      <c r="D162" s="11"/>
      <c r="E162" s="11"/>
      <c r="F162" s="6"/>
      <c r="G162" s="6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x14ac:dyDescent="0.25" r="163" customHeight="1" ht="19.5" hidden="1">
      <c r="A163" s="19"/>
      <c r="B163" s="14"/>
      <c r="C163" s="139"/>
      <c r="D163" s="11"/>
      <c r="E163" s="11"/>
      <c r="F163" s="6"/>
      <c r="G163" s="6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x14ac:dyDescent="0.25" r="164" customHeight="1" ht="19.5" hidden="1">
      <c r="A164" s="19"/>
      <c r="B164" s="14"/>
      <c r="C164" s="139"/>
      <c r="D164" s="11"/>
      <c r="E164" s="11"/>
      <c r="F164" s="6"/>
      <c r="G164" s="6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x14ac:dyDescent="0.25" r="165" customHeight="1" ht="19.5" hidden="1">
      <c r="A165" s="19"/>
      <c r="B165" s="14"/>
      <c r="C165" s="139"/>
      <c r="D165" s="11"/>
      <c r="E165" s="11"/>
      <c r="F165" s="6"/>
      <c r="G165" s="6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x14ac:dyDescent="0.25" r="166" customHeight="1" ht="19.5" hidden="1">
      <c r="A166" s="19"/>
      <c r="B166" s="14"/>
      <c r="C166" s="139"/>
      <c r="D166" s="11"/>
      <c r="E166" s="11"/>
      <c r="F166" s="6"/>
      <c r="G166" s="6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x14ac:dyDescent="0.25" r="167" customHeight="1" ht="19.5" hidden="1">
      <c r="A167" s="19"/>
      <c r="B167" s="14"/>
      <c r="C167" s="139"/>
      <c r="D167" s="11"/>
      <c r="E167" s="11"/>
      <c r="F167" s="6"/>
      <c r="G167" s="6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x14ac:dyDescent="0.25" r="168" customHeight="1" ht="19.5" hidden="1">
      <c r="A168" s="19"/>
      <c r="B168" s="14"/>
      <c r="C168" s="139"/>
      <c r="D168" s="11"/>
      <c r="E168" s="11"/>
      <c r="F168" s="6"/>
      <c r="G168" s="6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x14ac:dyDescent="0.25" r="169" customHeight="1" ht="19.5" hidden="1">
      <c r="A169" s="19"/>
      <c r="B169" s="14"/>
      <c r="C169" s="139"/>
      <c r="D169" s="11"/>
      <c r="E169" s="11"/>
      <c r="F169" s="6"/>
      <c r="G169" s="6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x14ac:dyDescent="0.25" r="170" customHeight="1" ht="19.5" hidden="1">
      <c r="A170" s="19"/>
      <c r="B170" s="14"/>
      <c r="C170" s="139"/>
      <c r="D170" s="11"/>
      <c r="E170" s="11"/>
      <c r="F170" s="6"/>
      <c r="G170" s="6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x14ac:dyDescent="0.25" r="171" customHeight="1" ht="19.5" hidden="1">
      <c r="A171" s="19"/>
      <c r="B171" s="14"/>
      <c r="C171" s="139"/>
      <c r="D171" s="11"/>
      <c r="E171" s="11"/>
      <c r="F171" s="6"/>
      <c r="G171" s="6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x14ac:dyDescent="0.25" r="172" customHeight="1" ht="19.5" hidden="1">
      <c r="A172" s="19"/>
      <c r="B172" s="14"/>
      <c r="C172" s="139"/>
      <c r="D172" s="11"/>
      <c r="E172" s="11"/>
      <c r="F172" s="6"/>
      <c r="G172" s="6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x14ac:dyDescent="0.25" r="173" customHeight="1" ht="19.5" hidden="1">
      <c r="A173" s="19"/>
      <c r="B173" s="14"/>
      <c r="C173" s="139"/>
      <c r="D173" s="11"/>
      <c r="E173" s="11"/>
      <c r="F173" s="6"/>
      <c r="G173" s="6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x14ac:dyDescent="0.25" r="174" customHeight="1" ht="19.5" hidden="1">
      <c r="A174" s="19"/>
      <c r="B174" s="14"/>
      <c r="C174" s="139"/>
      <c r="D174" s="11"/>
      <c r="E174" s="11"/>
      <c r="F174" s="6"/>
      <c r="G174" s="6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x14ac:dyDescent="0.25" r="175" customHeight="1" ht="19.5" hidden="1">
      <c r="A175" s="19"/>
      <c r="B175" s="14"/>
      <c r="C175" s="139"/>
      <c r="D175" s="11"/>
      <c r="E175" s="11"/>
      <c r="F175" s="6"/>
      <c r="G175" s="6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x14ac:dyDescent="0.25" r="176" customHeight="1" ht="19.5" hidden="1">
      <c r="A176" s="19"/>
      <c r="B176" s="14"/>
      <c r="C176" s="139"/>
      <c r="D176" s="11"/>
      <c r="E176" s="11"/>
      <c r="F176" s="6"/>
      <c r="G176" s="6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x14ac:dyDescent="0.25" r="177" customHeight="1" ht="19.5" hidden="1">
      <c r="A177" s="19"/>
      <c r="B177" s="14"/>
      <c r="C177" s="139"/>
      <c r="D177" s="11"/>
      <c r="E177" s="11"/>
      <c r="F177" s="6"/>
      <c r="G177" s="6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x14ac:dyDescent="0.25" r="178" customHeight="1" ht="19.5" hidden="1">
      <c r="A178" s="19"/>
      <c r="B178" s="14"/>
      <c r="C178" s="139"/>
      <c r="D178" s="11"/>
      <c r="E178" s="11"/>
      <c r="F178" s="6"/>
      <c r="G178" s="6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x14ac:dyDescent="0.25" r="179" customHeight="1" ht="19.5" hidden="1">
      <c r="A179" s="19"/>
      <c r="B179" s="14"/>
      <c r="C179" s="139"/>
      <c r="D179" s="11"/>
      <c r="E179" s="11"/>
      <c r="F179" s="6"/>
      <c r="G179" s="6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x14ac:dyDescent="0.25" r="180" customHeight="1" ht="19.5" hidden="1">
      <c r="A180" s="19"/>
      <c r="B180" s="14"/>
      <c r="C180" s="139"/>
      <c r="D180" s="11"/>
      <c r="E180" s="11"/>
      <c r="F180" s="6"/>
      <c r="G180" s="6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x14ac:dyDescent="0.25" r="181" customHeight="1" ht="19.5" hidden="1">
      <c r="A181" s="19"/>
      <c r="B181" s="14"/>
      <c r="C181" s="139"/>
      <c r="D181" s="11"/>
      <c r="E181" s="11"/>
      <c r="F181" s="6"/>
      <c r="G181" s="6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x14ac:dyDescent="0.25" r="182" customHeight="1" ht="19.5" hidden="1">
      <c r="A182" s="19"/>
      <c r="B182" s="14"/>
      <c r="C182" s="139"/>
      <c r="D182" s="11"/>
      <c r="E182" s="11"/>
      <c r="F182" s="6"/>
      <c r="G182" s="6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x14ac:dyDescent="0.25" r="183" customHeight="1" ht="19.5" hidden="1">
      <c r="A183" s="19"/>
      <c r="B183" s="14"/>
      <c r="C183" s="139"/>
      <c r="D183" s="11"/>
      <c r="E183" s="11"/>
      <c r="F183" s="6"/>
      <c r="G183" s="6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x14ac:dyDescent="0.25" r="184" customHeight="1" ht="19.5" hidden="1">
      <c r="A184" s="19"/>
      <c r="B184" s="14"/>
      <c r="C184" s="139"/>
      <c r="D184" s="11"/>
      <c r="E184" s="11"/>
      <c r="F184" s="6"/>
      <c r="G184" s="6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x14ac:dyDescent="0.25" r="185" customHeight="1" ht="19.5" hidden="1">
      <c r="A185" s="19"/>
      <c r="B185" s="14"/>
      <c r="C185" s="139"/>
      <c r="D185" s="11"/>
      <c r="E185" s="11"/>
      <c r="F185" s="6"/>
      <c r="G185" s="6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x14ac:dyDescent="0.25" r="186" customHeight="1" ht="19.5" hidden="1">
      <c r="A186" s="19"/>
      <c r="B186" s="14"/>
      <c r="C186" s="139"/>
      <c r="D186" s="11"/>
      <c r="E186" s="11"/>
      <c r="F186" s="6"/>
      <c r="G186" s="6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x14ac:dyDescent="0.25" r="187" customHeight="1" ht="19.5" hidden="1">
      <c r="A187" s="19"/>
      <c r="B187" s="14"/>
      <c r="C187" s="139"/>
      <c r="D187" s="11"/>
      <c r="E187" s="11"/>
      <c r="F187" s="6"/>
      <c r="G187" s="6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x14ac:dyDescent="0.25" r="188" customHeight="1" ht="19.5" hidden="1">
      <c r="A188" s="19"/>
      <c r="B188" s="14"/>
      <c r="C188" s="139"/>
      <c r="D188" s="11"/>
      <c r="E188" s="11"/>
      <c r="F188" s="6"/>
      <c r="G188" s="6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x14ac:dyDescent="0.25" r="189" customHeight="1" ht="19.5" hidden="1">
      <c r="A189" s="19"/>
      <c r="B189" s="14"/>
      <c r="C189" s="139"/>
      <c r="D189" s="11"/>
      <c r="E189" s="11"/>
      <c r="F189" s="6"/>
      <c r="G189" s="6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x14ac:dyDescent="0.25" r="190" customHeight="1" ht="19.5" hidden="1">
      <c r="A190" s="19"/>
      <c r="B190" s="14"/>
      <c r="C190" s="139"/>
      <c r="D190" s="11"/>
      <c r="E190" s="11"/>
      <c r="F190" s="6"/>
      <c r="G190" s="6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x14ac:dyDescent="0.25" r="191" customHeight="1" ht="19.5" hidden="1">
      <c r="A191" s="19"/>
      <c r="B191" s="14"/>
      <c r="C191" s="139"/>
      <c r="D191" s="11"/>
      <c r="E191" s="11"/>
      <c r="F191" s="6"/>
      <c r="G191" s="6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x14ac:dyDescent="0.25" r="192" customHeight="1" ht="19.5" hidden="1">
      <c r="A192" s="19"/>
      <c r="B192" s="14"/>
      <c r="C192" s="139"/>
      <c r="D192" s="11"/>
      <c r="E192" s="11"/>
      <c r="F192" s="6"/>
      <c r="G192" s="6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x14ac:dyDescent="0.25" r="193" customHeight="1" ht="19.5" hidden="1">
      <c r="A193" s="19"/>
      <c r="B193" s="14"/>
      <c r="C193" s="139"/>
      <c r="D193" s="11"/>
      <c r="E193" s="11"/>
      <c r="F193" s="6"/>
      <c r="G193" s="6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x14ac:dyDescent="0.25" r="194" customHeight="1" ht="19.5" hidden="1">
      <c r="A194" s="19"/>
      <c r="B194" s="14"/>
      <c r="C194" s="139"/>
      <c r="D194" s="11"/>
      <c r="E194" s="11"/>
      <c r="F194" s="6"/>
      <c r="G194" s="6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x14ac:dyDescent="0.25" r="195" customHeight="1" ht="19.5" hidden="1">
      <c r="A195" s="19"/>
      <c r="B195" s="14"/>
      <c r="C195" s="139"/>
      <c r="D195" s="11"/>
      <c r="E195" s="11"/>
      <c r="F195" s="6"/>
      <c r="G195" s="6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x14ac:dyDescent="0.25" r="196" customHeight="1" ht="19.5" hidden="1">
      <c r="A196" s="19"/>
      <c r="B196" s="14"/>
      <c r="C196" s="139"/>
      <c r="D196" s="11"/>
      <c r="E196" s="11"/>
      <c r="F196" s="6"/>
      <c r="G196" s="6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x14ac:dyDescent="0.25" r="197" customHeight="1" ht="19.5" hidden="1">
      <c r="A197" s="19"/>
      <c r="B197" s="14"/>
      <c r="C197" s="139"/>
      <c r="D197" s="11"/>
      <c r="E197" s="11"/>
      <c r="F197" s="6"/>
      <c r="G197" s="6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x14ac:dyDescent="0.25" r="198" customHeight="1" ht="19.5" hidden="1">
      <c r="A198" s="19"/>
      <c r="B198" s="14"/>
      <c r="C198" s="139"/>
      <c r="D198" s="11"/>
      <c r="E198" s="11"/>
      <c r="F198" s="6"/>
      <c r="G198" s="6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x14ac:dyDescent="0.25" r="199" customHeight="1" ht="19.5" hidden="1">
      <c r="A199" s="19"/>
      <c r="B199" s="14"/>
      <c r="C199" s="139"/>
      <c r="D199" s="11"/>
      <c r="E199" s="11"/>
      <c r="F199" s="6"/>
      <c r="G199" s="6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x14ac:dyDescent="0.25" r="200" customHeight="1" ht="19.5" hidden="1">
      <c r="A200" s="19"/>
      <c r="B200" s="14"/>
      <c r="C200" s="139"/>
      <c r="D200" s="11"/>
      <c r="E200" s="11"/>
      <c r="F200" s="6"/>
      <c r="G200" s="6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x14ac:dyDescent="0.25" r="201" customHeight="1" ht="19.5" hidden="1">
      <c r="A201" s="19"/>
      <c r="B201" s="14"/>
      <c r="C201" s="139"/>
      <c r="D201" s="11"/>
      <c r="E201" s="11"/>
      <c r="F201" s="6"/>
      <c r="G201" s="6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x14ac:dyDescent="0.25" r="202" customHeight="1" ht="19.5" hidden="1">
      <c r="A202" s="19"/>
      <c r="B202" s="14"/>
      <c r="C202" s="139"/>
      <c r="D202" s="11"/>
      <c r="E202" s="11"/>
      <c r="F202" s="6"/>
      <c r="G202" s="6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x14ac:dyDescent="0.25" r="203" customHeight="1" ht="19.5" hidden="1">
      <c r="A203" s="19"/>
      <c r="B203" s="14"/>
      <c r="C203" s="139"/>
      <c r="D203" s="11"/>
      <c r="E203" s="11"/>
      <c r="F203" s="6"/>
      <c r="G203" s="6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x14ac:dyDescent="0.25" r="204" customHeight="1" ht="19.5" hidden="1">
      <c r="A204" s="19"/>
      <c r="B204" s="14"/>
      <c r="C204" s="139"/>
      <c r="D204" s="11"/>
      <c r="E204" s="11"/>
      <c r="F204" s="6"/>
      <c r="G204" s="6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x14ac:dyDescent="0.25" r="205" customHeight="1" ht="19.5" hidden="1">
      <c r="A205" s="19"/>
      <c r="B205" s="14"/>
      <c r="C205" s="139"/>
      <c r="D205" s="11"/>
      <c r="E205" s="11"/>
      <c r="F205" s="6"/>
      <c r="G205" s="6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x14ac:dyDescent="0.25" r="206" customHeight="1" ht="19.5" hidden="1">
      <c r="A206" s="19"/>
      <c r="B206" s="14"/>
      <c r="C206" s="139"/>
      <c r="D206" s="11"/>
      <c r="E206" s="11"/>
      <c r="F206" s="6"/>
      <c r="G206" s="6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x14ac:dyDescent="0.25" r="207" customHeight="1" ht="19.5" hidden="1">
      <c r="A207" s="19"/>
      <c r="B207" s="14"/>
      <c r="C207" s="139"/>
      <c r="D207" s="11"/>
      <c r="E207" s="11"/>
      <c r="F207" s="6"/>
      <c r="G207" s="6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x14ac:dyDescent="0.25" r="208" customHeight="1" ht="19.5" hidden="1">
      <c r="A208" s="19"/>
      <c r="B208" s="14"/>
      <c r="C208" s="139"/>
      <c r="D208" s="11"/>
      <c r="E208" s="11"/>
      <c r="F208" s="6"/>
      <c r="G208" s="6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x14ac:dyDescent="0.25" r="209" customHeight="1" ht="19.5" hidden="1">
      <c r="A209" s="19"/>
      <c r="B209" s="14"/>
      <c r="C209" s="139"/>
      <c r="D209" s="11"/>
      <c r="E209" s="11"/>
      <c r="F209" s="6"/>
      <c r="G209" s="6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x14ac:dyDescent="0.25" r="210" customHeight="1" ht="19.5" hidden="1">
      <c r="A210" s="19"/>
      <c r="B210" s="14"/>
      <c r="C210" s="139"/>
      <c r="D210" s="11"/>
      <c r="E210" s="11"/>
      <c r="F210" s="6"/>
      <c r="G210" s="6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x14ac:dyDescent="0.25" r="211" customHeight="1" ht="19.5" hidden="1">
      <c r="A211" s="19"/>
      <c r="B211" s="14"/>
      <c r="C211" s="139"/>
      <c r="D211" s="11"/>
      <c r="E211" s="11"/>
      <c r="F211" s="6"/>
      <c r="G211" s="6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x14ac:dyDescent="0.25" r="212" customHeight="1" ht="19.5" hidden="1">
      <c r="A212" s="19"/>
      <c r="B212" s="14"/>
      <c r="C212" s="139"/>
      <c r="D212" s="11"/>
      <c r="E212" s="11"/>
      <c r="F212" s="6"/>
      <c r="G212" s="6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x14ac:dyDescent="0.25" r="213" customHeight="1" ht="19.5" hidden="1">
      <c r="A213" s="19"/>
      <c r="B213" s="14"/>
      <c r="C213" s="139"/>
      <c r="D213" s="11"/>
      <c r="E213" s="11"/>
      <c r="F213" s="6"/>
      <c r="G213" s="6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x14ac:dyDescent="0.25" r="214" customHeight="1" ht="19.5" hidden="1">
      <c r="A214" s="19"/>
      <c r="B214" s="14"/>
      <c r="C214" s="139"/>
      <c r="D214" s="11"/>
      <c r="E214" s="11"/>
      <c r="F214" s="6"/>
      <c r="G214" s="6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x14ac:dyDescent="0.25" r="215" customHeight="1" ht="19.5" hidden="1">
      <c r="A215" s="19"/>
      <c r="B215" s="14"/>
      <c r="C215" s="139"/>
      <c r="D215" s="11"/>
      <c r="E215" s="11"/>
      <c r="F215" s="6"/>
      <c r="G215" s="6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x14ac:dyDescent="0.25" r="216" customHeight="1" ht="19.5" hidden="1">
      <c r="A216" s="19"/>
      <c r="B216" s="14"/>
      <c r="C216" s="139"/>
      <c r="D216" s="11"/>
      <c r="E216" s="11"/>
      <c r="F216" s="6"/>
      <c r="G216" s="6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x14ac:dyDescent="0.25" r="217" customHeight="1" ht="19.5" hidden="1">
      <c r="A217" s="19"/>
      <c r="B217" s="14"/>
      <c r="C217" s="139"/>
      <c r="D217" s="11"/>
      <c r="E217" s="11"/>
      <c r="F217" s="6"/>
      <c r="G217" s="6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x14ac:dyDescent="0.25" r="218" customHeight="1" ht="19.5" hidden="1">
      <c r="A218" s="19"/>
      <c r="B218" s="14"/>
      <c r="C218" s="139"/>
      <c r="D218" s="11"/>
      <c r="E218" s="11"/>
      <c r="F218" s="6"/>
      <c r="G218" s="6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x14ac:dyDescent="0.25" r="219" customHeight="1" ht="19.5" hidden="1">
      <c r="A219" s="19"/>
      <c r="B219" s="14"/>
      <c r="C219" s="139"/>
      <c r="D219" s="11"/>
      <c r="E219" s="11"/>
      <c r="F219" s="6"/>
      <c r="G219" s="6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x14ac:dyDescent="0.25" r="220" customHeight="1" ht="19.5" hidden="1">
      <c r="A220" s="19"/>
      <c r="B220" s="14"/>
      <c r="C220" s="139"/>
      <c r="D220" s="11"/>
      <c r="E220" s="11"/>
      <c r="F220" s="6"/>
      <c r="G220" s="6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x14ac:dyDescent="0.25" r="221" customHeight="1" ht="19.5" hidden="1">
      <c r="A221" s="19"/>
      <c r="B221" s="14"/>
      <c r="C221" s="139"/>
      <c r="D221" s="11"/>
      <c r="E221" s="11"/>
      <c r="F221" s="6"/>
      <c r="G221" s="6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x14ac:dyDescent="0.25" r="222" customHeight="1" ht="19.5" hidden="1">
      <c r="A222" s="19"/>
      <c r="B222" s="14"/>
      <c r="C222" s="139"/>
      <c r="D222" s="11"/>
      <c r="E222" s="11"/>
      <c r="F222" s="6"/>
      <c r="G222" s="6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x14ac:dyDescent="0.25" r="223" customHeight="1" ht="19.5" hidden="1">
      <c r="A223" s="19"/>
      <c r="B223" s="14"/>
      <c r="C223" s="139"/>
      <c r="D223" s="11"/>
      <c r="E223" s="11"/>
      <c r="F223" s="6"/>
      <c r="G223" s="6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x14ac:dyDescent="0.25" r="224" customHeight="1" ht="19.5" hidden="1">
      <c r="A224" s="19"/>
      <c r="B224" s="14"/>
      <c r="C224" s="139"/>
      <c r="D224" s="11"/>
      <c r="E224" s="11"/>
      <c r="F224" s="6"/>
      <c r="G224" s="6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x14ac:dyDescent="0.25" r="225" customHeight="1" ht="19.5" hidden="1">
      <c r="A225" s="19"/>
      <c r="B225" s="14"/>
      <c r="C225" s="139"/>
      <c r="D225" s="11"/>
      <c r="E225" s="11"/>
      <c r="F225" s="6"/>
      <c r="G225" s="6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x14ac:dyDescent="0.25" r="226" customHeight="1" ht="19.5" hidden="1">
      <c r="A226" s="19"/>
      <c r="B226" s="14"/>
      <c r="C226" s="139"/>
      <c r="D226" s="11"/>
      <c r="E226" s="11"/>
      <c r="F226" s="6"/>
      <c r="G226" s="6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x14ac:dyDescent="0.25" r="227" customHeight="1" ht="19.5" hidden="1">
      <c r="A227" s="19"/>
      <c r="B227" s="14"/>
      <c r="C227" s="139"/>
      <c r="D227" s="11"/>
      <c r="E227" s="11"/>
      <c r="F227" s="6"/>
      <c r="G227" s="6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x14ac:dyDescent="0.25" r="228" customHeight="1" ht="19.5" hidden="1">
      <c r="A228" s="19"/>
      <c r="B228" s="14"/>
      <c r="C228" s="139"/>
      <c r="D228" s="11"/>
      <c r="E228" s="11"/>
      <c r="F228" s="6"/>
      <c r="G228" s="6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x14ac:dyDescent="0.25" r="229" customHeight="1" ht="19.5" hidden="1">
      <c r="A229" s="19"/>
      <c r="B229" s="14"/>
      <c r="C229" s="139"/>
      <c r="D229" s="11"/>
      <c r="E229" s="11"/>
      <c r="F229" s="6"/>
      <c r="G229" s="6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x14ac:dyDescent="0.25" r="230" customHeight="1" ht="19.5" hidden="1">
      <c r="A230" s="19"/>
      <c r="B230" s="14"/>
      <c r="C230" s="139"/>
      <c r="D230" s="11"/>
      <c r="E230" s="11"/>
      <c r="F230" s="6"/>
      <c r="G230" s="6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x14ac:dyDescent="0.25" r="231" customHeight="1" ht="19.5" hidden="1">
      <c r="A231" s="19"/>
      <c r="B231" s="14"/>
      <c r="C231" s="139"/>
      <c r="D231" s="11"/>
      <c r="E231" s="11"/>
      <c r="F231" s="6"/>
      <c r="G231" s="6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x14ac:dyDescent="0.25" r="232" customHeight="1" ht="19.5" hidden="1">
      <c r="A232" s="19"/>
      <c r="B232" s="14"/>
      <c r="C232" s="139"/>
      <c r="D232" s="11"/>
      <c r="E232" s="11"/>
      <c r="F232" s="6"/>
      <c r="G232" s="6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x14ac:dyDescent="0.25" r="233" customHeight="1" ht="19.5" hidden="1">
      <c r="A233" s="19"/>
      <c r="B233" s="14"/>
      <c r="C233" s="139"/>
      <c r="D233" s="11"/>
      <c r="E233" s="11"/>
      <c r="F233" s="6"/>
      <c r="G233" s="6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x14ac:dyDescent="0.25" r="234" customHeight="1" ht="19.5" hidden="1">
      <c r="A234" s="19"/>
      <c r="B234" s="14"/>
      <c r="C234" s="139"/>
      <c r="D234" s="11"/>
      <c r="E234" s="11"/>
      <c r="F234" s="6"/>
      <c r="G234" s="6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x14ac:dyDescent="0.25" r="235" customHeight="1" ht="19.5" hidden="1">
      <c r="A235" s="19"/>
      <c r="B235" s="14"/>
      <c r="C235" s="139"/>
      <c r="D235" s="11"/>
      <c r="E235" s="11"/>
      <c r="F235" s="6"/>
      <c r="G235" s="6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x14ac:dyDescent="0.25" r="236" customHeight="1" ht="19.5" hidden="1">
      <c r="A236" s="19"/>
      <c r="B236" s="14"/>
      <c r="C236" s="139"/>
      <c r="D236" s="11"/>
      <c r="E236" s="11"/>
      <c r="F236" s="6"/>
      <c r="G236" s="6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x14ac:dyDescent="0.25" r="237" customHeight="1" ht="19.5" hidden="1">
      <c r="A237" s="19"/>
      <c r="B237" s="14"/>
      <c r="C237" s="139"/>
      <c r="D237" s="11"/>
      <c r="E237" s="11"/>
      <c r="F237" s="6"/>
      <c r="G237" s="6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x14ac:dyDescent="0.25" r="238" customHeight="1" ht="19.5" hidden="1">
      <c r="A238" s="19"/>
      <c r="B238" s="14"/>
      <c r="C238" s="139"/>
      <c r="D238" s="11"/>
      <c r="E238" s="11"/>
      <c r="F238" s="6"/>
      <c r="G238" s="6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x14ac:dyDescent="0.25" r="239" customHeight="1" ht="19.5" hidden="1">
      <c r="A239" s="19"/>
      <c r="B239" s="14"/>
      <c r="C239" s="139"/>
      <c r="D239" s="11"/>
      <c r="E239" s="11"/>
      <c r="F239" s="6"/>
      <c r="G239" s="6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x14ac:dyDescent="0.25" r="240" customHeight="1" ht="19.5" hidden="1">
      <c r="A240" s="19"/>
      <c r="B240" s="14"/>
      <c r="C240" s="139"/>
      <c r="D240" s="11"/>
      <c r="E240" s="11"/>
      <c r="F240" s="6"/>
      <c r="G240" s="6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x14ac:dyDescent="0.25" r="241" customHeight="1" ht="19.5" hidden="1">
      <c r="A241" s="19"/>
      <c r="B241" s="14"/>
      <c r="C241" s="139"/>
      <c r="D241" s="11"/>
      <c r="E241" s="11"/>
      <c r="F241" s="6"/>
      <c r="G241" s="6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x14ac:dyDescent="0.25" r="242" customHeight="1" ht="19.5" hidden="1">
      <c r="A242" s="19"/>
      <c r="B242" s="14"/>
      <c r="C242" s="139"/>
      <c r="D242" s="11"/>
      <c r="E242" s="11"/>
      <c r="F242" s="6"/>
      <c r="G242" s="6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x14ac:dyDescent="0.25" r="243" customHeight="1" ht="19.5" hidden="1">
      <c r="A243" s="19"/>
      <c r="B243" s="14"/>
      <c r="C243" s="139"/>
      <c r="D243" s="11"/>
      <c r="E243" s="11"/>
      <c r="F243" s="6"/>
      <c r="G243" s="6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x14ac:dyDescent="0.25" r="244" customHeight="1" ht="19.5" hidden="1">
      <c r="A244" s="19"/>
      <c r="B244" s="14"/>
      <c r="C244" s="139"/>
      <c r="D244" s="11"/>
      <c r="E244" s="11"/>
      <c r="F244" s="6"/>
      <c r="G244" s="6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x14ac:dyDescent="0.25" r="245" customHeight="1" ht="19.5" hidden="1">
      <c r="A245" s="19"/>
      <c r="B245" s="14"/>
      <c r="C245" s="139"/>
      <c r="D245" s="11"/>
      <c r="E245" s="11"/>
      <c r="F245" s="6"/>
      <c r="G245" s="6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x14ac:dyDescent="0.25" r="246" customHeight="1" ht="19.5" hidden="1">
      <c r="A246" s="19"/>
      <c r="B246" s="14"/>
      <c r="C246" s="139"/>
      <c r="D246" s="11"/>
      <c r="E246" s="11"/>
      <c r="F246" s="6"/>
      <c r="G246" s="6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x14ac:dyDescent="0.25" r="247" customHeight="1" ht="19.5" hidden="1">
      <c r="A247" s="19"/>
      <c r="B247" s="14"/>
      <c r="C247" s="139"/>
      <c r="D247" s="11"/>
      <c r="E247" s="11"/>
      <c r="F247" s="6"/>
      <c r="G247" s="6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x14ac:dyDescent="0.25" r="248" customHeight="1" ht="19.5" hidden="1">
      <c r="A248" s="19"/>
      <c r="B248" s="14"/>
      <c r="C248" s="139"/>
      <c r="D248" s="11"/>
      <c r="E248" s="11"/>
      <c r="F248" s="6"/>
      <c r="G248" s="6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x14ac:dyDescent="0.25" r="249" customHeight="1" ht="19.5" hidden="1">
      <c r="A249" s="19"/>
      <c r="B249" s="14"/>
      <c r="C249" s="139"/>
      <c r="D249" s="11"/>
      <c r="E249" s="11"/>
      <c r="F249" s="6"/>
      <c r="G249" s="6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x14ac:dyDescent="0.25" r="250" customHeight="1" ht="19.5" hidden="1">
      <c r="A250" s="19"/>
      <c r="B250" s="14"/>
      <c r="C250" s="139"/>
      <c r="D250" s="11"/>
      <c r="E250" s="11"/>
      <c r="F250" s="6"/>
      <c r="G250" s="6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x14ac:dyDescent="0.25" r="251" customHeight="1" ht="19.5" hidden="1">
      <c r="A251" s="19"/>
      <c r="B251" s="14"/>
      <c r="C251" s="139"/>
      <c r="D251" s="11"/>
      <c r="E251" s="11"/>
      <c r="F251" s="6"/>
      <c r="G251" s="6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x14ac:dyDescent="0.25" r="252" customHeight="1" ht="19.5" hidden="1">
      <c r="A252" s="19"/>
      <c r="B252" s="14"/>
      <c r="C252" s="139"/>
      <c r="D252" s="11"/>
      <c r="E252" s="11"/>
      <c r="F252" s="6"/>
      <c r="G252" s="6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x14ac:dyDescent="0.25" r="253" customHeight="1" ht="19.5" hidden="1">
      <c r="A253" s="19"/>
      <c r="B253" s="14"/>
      <c r="C253" s="139"/>
      <c r="D253" s="11"/>
      <c r="E253" s="11"/>
      <c r="F253" s="6"/>
      <c r="G253" s="6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x14ac:dyDescent="0.25" r="254" customHeight="1" ht="19.5" hidden="1">
      <c r="A254" s="19"/>
      <c r="B254" s="14"/>
      <c r="C254" s="139"/>
      <c r="D254" s="11"/>
      <c r="E254" s="11"/>
      <c r="F254" s="6"/>
      <c r="G254" s="6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x14ac:dyDescent="0.25" r="255" customHeight="1" ht="19.5" hidden="1">
      <c r="A255" s="19"/>
      <c r="B255" s="14"/>
      <c r="C255" s="139"/>
      <c r="D255" s="11"/>
      <c r="E255" s="11"/>
      <c r="F255" s="6"/>
      <c r="G255" s="6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x14ac:dyDescent="0.25" r="256" customHeight="1" ht="19.5" hidden="1">
      <c r="A256" s="19"/>
      <c r="B256" s="14"/>
      <c r="C256" s="139"/>
      <c r="D256" s="11"/>
      <c r="E256" s="11"/>
      <c r="F256" s="6"/>
      <c r="G256" s="6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x14ac:dyDescent="0.25" r="257" customHeight="1" ht="19.5" hidden="1">
      <c r="A257" s="19"/>
      <c r="B257" s="14"/>
      <c r="C257" s="139"/>
      <c r="D257" s="11"/>
      <c r="E257" s="11"/>
      <c r="F257" s="6"/>
      <c r="G257" s="6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x14ac:dyDescent="0.25" r="258" customHeight="1" ht="19.5" hidden="1">
      <c r="A258" s="19"/>
      <c r="B258" s="14"/>
      <c r="C258" s="139"/>
      <c r="D258" s="11"/>
      <c r="E258" s="11"/>
      <c r="F258" s="6"/>
      <c r="G258" s="6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x14ac:dyDescent="0.25" r="259" customHeight="1" ht="19.5" hidden="1">
      <c r="A259" s="19"/>
      <c r="B259" s="14"/>
      <c r="C259" s="139"/>
      <c r="D259" s="11"/>
      <c r="E259" s="11"/>
      <c r="F259" s="6"/>
      <c r="G259" s="6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x14ac:dyDescent="0.25" r="260" customHeight="1" ht="19.5" hidden="1">
      <c r="A260" s="19"/>
      <c r="B260" s="14"/>
      <c r="C260" s="139"/>
      <c r="D260" s="11"/>
      <c r="E260" s="11"/>
      <c r="F260" s="6"/>
      <c r="G260" s="6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x14ac:dyDescent="0.25" r="261" customHeight="1" ht="19.5" hidden="1">
      <c r="A261" s="19"/>
      <c r="B261" s="14"/>
      <c r="C261" s="139"/>
      <c r="D261" s="11"/>
      <c r="E261" s="11"/>
      <c r="F261" s="6"/>
      <c r="G261" s="6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x14ac:dyDescent="0.25" r="262" customHeight="1" ht="19.5" hidden="1">
      <c r="A262" s="19"/>
      <c r="B262" s="14"/>
      <c r="C262" s="139"/>
      <c r="D262" s="11"/>
      <c r="E262" s="11"/>
      <c r="F262" s="6"/>
      <c r="G262" s="6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x14ac:dyDescent="0.25" r="263" customHeight="1" ht="15.75">
      <c r="A263" s="11"/>
      <c r="B263" s="11"/>
      <c r="C263" s="11"/>
      <c r="D263" s="11"/>
      <c r="E263" s="11"/>
      <c r="F263" s="6"/>
      <c r="G263" s="6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x14ac:dyDescent="0.25" r="264" customHeight="1" ht="15.75">
      <c r="A264" s="11"/>
      <c r="B264" s="11"/>
      <c r="C264" s="11"/>
      <c r="D264" s="11"/>
      <c r="E264" s="11"/>
      <c r="F264" s="6"/>
      <c r="G264" s="6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x14ac:dyDescent="0.25" r="265" customHeight="1" ht="15.75">
      <c r="A265" s="11"/>
      <c r="B265" s="11"/>
      <c r="C265" s="11"/>
      <c r="D265" s="11"/>
      <c r="E265" s="11"/>
      <c r="F265" s="6"/>
      <c r="G265" s="6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x14ac:dyDescent="0.25" r="266" customHeight="1" ht="15.75">
      <c r="A266" s="11"/>
      <c r="B266" s="11"/>
      <c r="C266" s="11"/>
      <c r="D266" s="11"/>
      <c r="E266" s="11"/>
      <c r="F266" s="6"/>
      <c r="G266" s="6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x14ac:dyDescent="0.25" r="267" customHeight="1" ht="15.75">
      <c r="A267" s="11"/>
      <c r="B267" s="11"/>
      <c r="C267" s="11"/>
      <c r="D267" s="11"/>
      <c r="E267" s="11"/>
      <c r="F267" s="6"/>
      <c r="G267" s="6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x14ac:dyDescent="0.25" r="268" customHeight="1" ht="15.75">
      <c r="A268" s="11"/>
      <c r="B268" s="11"/>
      <c r="C268" s="11"/>
      <c r="D268" s="11"/>
      <c r="E268" s="11"/>
      <c r="F268" s="6"/>
      <c r="G268" s="6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x14ac:dyDescent="0.25" r="269" customHeight="1" ht="15.75">
      <c r="A269" s="11"/>
      <c r="B269" s="11"/>
      <c r="C269" s="11"/>
      <c r="D269" s="11"/>
      <c r="E269" s="11"/>
      <c r="F269" s="6"/>
      <c r="G269" s="6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x14ac:dyDescent="0.25" r="270" customHeight="1" ht="15.75">
      <c r="A270" s="11"/>
      <c r="B270" s="11"/>
      <c r="C270" s="11"/>
      <c r="D270" s="11"/>
      <c r="E270" s="11"/>
      <c r="F270" s="6"/>
      <c r="G270" s="6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x14ac:dyDescent="0.25" r="271" customHeight="1" ht="15.75">
      <c r="A271" s="11"/>
      <c r="B271" s="11"/>
      <c r="C271" s="11"/>
      <c r="D271" s="11"/>
      <c r="E271" s="11"/>
      <c r="F271" s="6"/>
      <c r="G271" s="6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x14ac:dyDescent="0.25" r="272" customHeight="1" ht="15.75">
      <c r="A272" s="11"/>
      <c r="B272" s="11"/>
      <c r="C272" s="11"/>
      <c r="D272" s="11"/>
      <c r="E272" s="11"/>
      <c r="F272" s="6"/>
      <c r="G272" s="6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x14ac:dyDescent="0.25" r="273" customHeight="1" ht="15.75">
      <c r="A273" s="11"/>
      <c r="B273" s="11"/>
      <c r="C273" s="11"/>
      <c r="D273" s="11"/>
      <c r="E273" s="11"/>
      <c r="F273" s="6"/>
      <c r="G273" s="6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x14ac:dyDescent="0.25" r="274" customHeight="1" ht="15.75">
      <c r="A274" s="11"/>
      <c r="B274" s="11"/>
      <c r="C274" s="11"/>
      <c r="D274" s="11"/>
      <c r="E274" s="11"/>
      <c r="F274" s="6"/>
      <c r="G274" s="6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x14ac:dyDescent="0.25" r="275" customHeight="1" ht="15.75">
      <c r="A275" s="11"/>
      <c r="B275" s="11"/>
      <c r="C275" s="11"/>
      <c r="D275" s="11"/>
      <c r="E275" s="11"/>
      <c r="F275" s="6"/>
      <c r="G275" s="6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x14ac:dyDescent="0.25" r="276" customHeight="1" ht="15.75">
      <c r="A276" s="11"/>
      <c r="B276" s="11"/>
      <c r="C276" s="11"/>
      <c r="D276" s="11"/>
      <c r="E276" s="11"/>
      <c r="F276" s="6"/>
      <c r="G276" s="6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x14ac:dyDescent="0.25" r="277" customHeight="1" ht="15.75">
      <c r="A277" s="11"/>
      <c r="B277" s="11"/>
      <c r="C277" s="11"/>
      <c r="D277" s="11"/>
      <c r="E277" s="11"/>
      <c r="F277" s="6"/>
      <c r="G277" s="6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x14ac:dyDescent="0.25" r="278" customHeight="1" ht="15.75">
      <c r="A278" s="11"/>
      <c r="B278" s="11"/>
      <c r="C278" s="11"/>
      <c r="D278" s="11"/>
      <c r="E278" s="11"/>
      <c r="F278" s="6"/>
      <c r="G278" s="6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x14ac:dyDescent="0.25" r="279" customHeight="1" ht="15.75">
      <c r="A279" s="11"/>
      <c r="B279" s="11"/>
      <c r="C279" s="11"/>
      <c r="D279" s="11"/>
      <c r="E279" s="11"/>
      <c r="F279" s="6"/>
      <c r="G279" s="6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x14ac:dyDescent="0.25" r="280" customHeight="1" ht="15.75">
      <c r="A280" s="11"/>
      <c r="B280" s="11"/>
      <c r="C280" s="11"/>
      <c r="D280" s="11"/>
      <c r="E280" s="11"/>
      <c r="F280" s="6"/>
      <c r="G280" s="6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x14ac:dyDescent="0.25" r="281" customHeight="1" ht="15.75">
      <c r="A281" s="11"/>
      <c r="B281" s="11"/>
      <c r="C281" s="11"/>
      <c r="D281" s="11"/>
      <c r="E281" s="11"/>
      <c r="F281" s="6"/>
      <c r="G281" s="6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x14ac:dyDescent="0.25" r="282" customHeight="1" ht="15.75">
      <c r="A282" s="11"/>
      <c r="B282" s="11"/>
      <c r="C282" s="11"/>
      <c r="D282" s="11"/>
      <c r="E282" s="11"/>
      <c r="F282" s="6"/>
      <c r="G282" s="6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x14ac:dyDescent="0.25" r="283" customHeight="1" ht="15.75">
      <c r="A283" s="11"/>
      <c r="B283" s="11"/>
      <c r="C283" s="11"/>
      <c r="D283" s="11"/>
      <c r="E283" s="11"/>
      <c r="F283" s="6"/>
      <c r="G283" s="6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x14ac:dyDescent="0.25" r="284" customHeight="1" ht="15.75">
      <c r="A284" s="11"/>
      <c r="B284" s="11"/>
      <c r="C284" s="11"/>
      <c r="D284" s="11"/>
      <c r="E284" s="11"/>
      <c r="F284" s="6"/>
      <c r="G284" s="6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x14ac:dyDescent="0.25" r="285" customHeight="1" ht="15.75">
      <c r="A285" s="11"/>
      <c r="B285" s="11"/>
      <c r="C285" s="11"/>
      <c r="D285" s="11"/>
      <c r="E285" s="11"/>
      <c r="F285" s="6"/>
      <c r="G285" s="6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x14ac:dyDescent="0.25" r="286" customHeight="1" ht="15.75">
      <c r="A286" s="11"/>
      <c r="B286" s="11"/>
      <c r="C286" s="11"/>
      <c r="D286" s="11"/>
      <c r="E286" s="11"/>
      <c r="F286" s="6"/>
      <c r="G286" s="6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x14ac:dyDescent="0.25" r="287" customHeight="1" ht="15.75">
      <c r="A287" s="11"/>
      <c r="B287" s="11"/>
      <c r="C287" s="11"/>
      <c r="D287" s="11"/>
      <c r="E287" s="11"/>
      <c r="F287" s="6"/>
      <c r="G287" s="6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x14ac:dyDescent="0.25" r="288" customHeight="1" ht="15.75">
      <c r="A288" s="11"/>
      <c r="B288" s="11"/>
      <c r="C288" s="11"/>
      <c r="D288" s="11"/>
      <c r="E288" s="11"/>
      <c r="F288" s="6"/>
      <c r="G288" s="6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x14ac:dyDescent="0.25" r="289" customHeight="1" ht="15.75">
      <c r="A289" s="11"/>
      <c r="B289" s="11"/>
      <c r="C289" s="11"/>
      <c r="D289" s="11"/>
      <c r="E289" s="11"/>
      <c r="F289" s="6"/>
      <c r="G289" s="6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x14ac:dyDescent="0.25" r="290" customHeight="1" ht="15.75">
      <c r="A290" s="11"/>
      <c r="B290" s="11"/>
      <c r="C290" s="11"/>
      <c r="D290" s="11"/>
      <c r="E290" s="11"/>
      <c r="F290" s="6"/>
      <c r="G290" s="6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x14ac:dyDescent="0.25" r="291" customHeight="1" ht="15.75">
      <c r="A291" s="11"/>
      <c r="B291" s="11"/>
      <c r="C291" s="11"/>
      <c r="D291" s="11"/>
      <c r="E291" s="11"/>
      <c r="F291" s="6"/>
      <c r="G291" s="6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x14ac:dyDescent="0.25" r="292" customHeight="1" ht="15.75">
      <c r="A292" s="11"/>
      <c r="B292" s="11"/>
      <c r="C292" s="11"/>
      <c r="D292" s="11"/>
      <c r="E292" s="11"/>
      <c r="F292" s="6"/>
      <c r="G292" s="6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x14ac:dyDescent="0.25" r="293" customHeight="1" ht="15.75">
      <c r="A293" s="11"/>
      <c r="B293" s="11"/>
      <c r="C293" s="11"/>
      <c r="D293" s="11"/>
      <c r="E293" s="11"/>
      <c r="F293" s="6"/>
      <c r="G293" s="6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x14ac:dyDescent="0.25" r="294" customHeight="1" ht="15.75">
      <c r="A294" s="11"/>
      <c r="B294" s="11"/>
      <c r="C294" s="11"/>
      <c r="D294" s="11"/>
      <c r="E294" s="11"/>
      <c r="F294" s="6"/>
      <c r="G294" s="6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x14ac:dyDescent="0.25" r="295" customHeight="1" ht="15.75">
      <c r="A295" s="11"/>
      <c r="B295" s="11"/>
      <c r="C295" s="11"/>
      <c r="D295" s="11"/>
      <c r="E295" s="11"/>
      <c r="F295" s="6"/>
      <c r="G295" s="6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x14ac:dyDescent="0.25" r="296" customHeight="1" ht="15.75">
      <c r="A296" s="11"/>
      <c r="B296" s="11"/>
      <c r="C296" s="11"/>
      <c r="D296" s="11"/>
      <c r="E296" s="11"/>
      <c r="F296" s="6"/>
      <c r="G296" s="6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x14ac:dyDescent="0.25" r="297" customHeight="1" ht="15.75">
      <c r="A297" s="11"/>
      <c r="B297" s="11"/>
      <c r="C297" s="11"/>
      <c r="D297" s="11"/>
      <c r="E297" s="11"/>
      <c r="F297" s="6"/>
      <c r="G297" s="6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x14ac:dyDescent="0.25" r="298" customHeight="1" ht="15.75">
      <c r="A298" s="11"/>
      <c r="B298" s="11"/>
      <c r="C298" s="11"/>
      <c r="D298" s="11"/>
      <c r="E298" s="11"/>
      <c r="F298" s="6"/>
      <c r="G298" s="6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x14ac:dyDescent="0.25" r="299" customHeight="1" ht="15.75">
      <c r="A299" s="11"/>
      <c r="B299" s="11"/>
      <c r="C299" s="11"/>
      <c r="D299" s="11"/>
      <c r="E299" s="11"/>
      <c r="F299" s="6"/>
      <c r="G299" s="6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x14ac:dyDescent="0.25" r="300" customHeight="1" ht="15.75">
      <c r="A300" s="11"/>
      <c r="B300" s="11"/>
      <c r="C300" s="11"/>
      <c r="D300" s="11"/>
      <c r="E300" s="11"/>
      <c r="F300" s="6"/>
      <c r="G300" s="6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x14ac:dyDescent="0.25" r="301" customHeight="1" ht="15.75">
      <c r="A301" s="11"/>
      <c r="B301" s="11"/>
      <c r="C301" s="11"/>
      <c r="D301" s="11"/>
      <c r="E301" s="11"/>
      <c r="F301" s="6"/>
      <c r="G301" s="6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x14ac:dyDescent="0.25" r="302" customHeight="1" ht="15.75">
      <c r="A302" s="11"/>
      <c r="B302" s="11"/>
      <c r="C302" s="11"/>
      <c r="D302" s="11"/>
      <c r="E302" s="11"/>
      <c r="F302" s="6"/>
      <c r="G302" s="6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x14ac:dyDescent="0.25" r="303" customHeight="1" ht="15.75">
      <c r="A303" s="11"/>
      <c r="B303" s="11"/>
      <c r="C303" s="11"/>
      <c r="D303" s="11"/>
      <c r="E303" s="11"/>
      <c r="F303" s="6"/>
      <c r="G303" s="6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x14ac:dyDescent="0.25" r="304" customHeight="1" ht="15.75">
      <c r="A304" s="11"/>
      <c r="B304" s="11"/>
      <c r="C304" s="11"/>
      <c r="D304" s="11"/>
      <c r="E304" s="11"/>
      <c r="F304" s="6"/>
      <c r="G304" s="6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x14ac:dyDescent="0.25" r="305" customHeight="1" ht="15.75">
      <c r="A305" s="11"/>
      <c r="B305" s="11"/>
      <c r="C305" s="11"/>
      <c r="D305" s="11"/>
      <c r="E305" s="11"/>
      <c r="F305" s="6"/>
      <c r="G305" s="6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x14ac:dyDescent="0.25" r="306" customHeight="1" ht="15.75">
      <c r="A306" s="11"/>
      <c r="B306" s="11"/>
      <c r="C306" s="11"/>
      <c r="D306" s="11"/>
      <c r="E306" s="11"/>
      <c r="F306" s="6"/>
      <c r="G306" s="6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x14ac:dyDescent="0.25" r="307" customHeight="1" ht="15.75">
      <c r="A307" s="11"/>
      <c r="B307" s="11"/>
      <c r="C307" s="11"/>
      <c r="D307" s="11"/>
      <c r="E307" s="11"/>
      <c r="F307" s="6"/>
      <c r="G307" s="6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x14ac:dyDescent="0.25" r="308" customHeight="1" ht="15.75">
      <c r="A308" s="11"/>
      <c r="B308" s="11"/>
      <c r="C308" s="11"/>
      <c r="D308" s="11"/>
      <c r="E308" s="11"/>
      <c r="F308" s="6"/>
      <c r="G308" s="6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x14ac:dyDescent="0.25" r="309" customHeight="1" ht="15.75">
      <c r="A309" s="11"/>
      <c r="B309" s="11"/>
      <c r="C309" s="11"/>
      <c r="D309" s="11"/>
      <c r="E309" s="11"/>
      <c r="F309" s="6"/>
      <c r="G309" s="6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x14ac:dyDescent="0.25" r="310" customHeight="1" ht="15.75">
      <c r="A310" s="11"/>
      <c r="B310" s="11"/>
      <c r="C310" s="11"/>
      <c r="D310" s="11"/>
      <c r="E310" s="11"/>
      <c r="F310" s="6"/>
      <c r="G310" s="6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x14ac:dyDescent="0.25" r="311" customHeight="1" ht="15.75">
      <c r="A311" s="11"/>
      <c r="B311" s="11"/>
      <c r="C311" s="11"/>
      <c r="D311" s="11"/>
      <c r="E311" s="11"/>
      <c r="F311" s="6"/>
      <c r="G311" s="6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x14ac:dyDescent="0.25" r="312" customHeight="1" ht="15.75">
      <c r="A312" s="11"/>
      <c r="B312" s="11"/>
      <c r="C312" s="11"/>
      <c r="D312" s="11"/>
      <c r="E312" s="11"/>
      <c r="F312" s="6"/>
      <c r="G312" s="6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x14ac:dyDescent="0.25" r="313" customHeight="1" ht="15.75">
      <c r="A313" s="11"/>
      <c r="B313" s="11"/>
      <c r="C313" s="11"/>
      <c r="D313" s="11"/>
      <c r="E313" s="11"/>
      <c r="F313" s="6"/>
      <c r="G313" s="6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x14ac:dyDescent="0.25" r="314" customHeight="1" ht="15.75">
      <c r="A314" s="11"/>
      <c r="B314" s="11"/>
      <c r="C314" s="11"/>
      <c r="D314" s="11"/>
      <c r="E314" s="11"/>
      <c r="F314" s="6"/>
      <c r="G314" s="6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x14ac:dyDescent="0.25" r="315" customHeight="1" ht="15.75">
      <c r="A315" s="11"/>
      <c r="B315" s="11"/>
      <c r="C315" s="11"/>
      <c r="D315" s="11"/>
      <c r="E315" s="11"/>
      <c r="F315" s="6"/>
      <c r="G315" s="6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x14ac:dyDescent="0.25" r="316" customHeight="1" ht="15.75">
      <c r="A316" s="11"/>
      <c r="B316" s="11"/>
      <c r="C316" s="11"/>
      <c r="D316" s="11"/>
      <c r="E316" s="11"/>
      <c r="F316" s="6"/>
      <c r="G316" s="6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x14ac:dyDescent="0.25" r="317" customHeight="1" ht="15.75">
      <c r="A317" s="11"/>
      <c r="B317" s="11"/>
      <c r="C317" s="11"/>
      <c r="D317" s="11"/>
      <c r="E317" s="11"/>
      <c r="F317" s="6"/>
      <c r="G317" s="6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x14ac:dyDescent="0.25" r="318" customHeight="1" ht="15.75">
      <c r="A318" s="11"/>
      <c r="B318" s="11"/>
      <c r="C318" s="11"/>
      <c r="D318" s="11"/>
      <c r="E318" s="11"/>
      <c r="F318" s="6"/>
      <c r="G318" s="6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x14ac:dyDescent="0.25" r="319" customHeight="1" ht="15.75">
      <c r="A319" s="11"/>
      <c r="B319" s="11"/>
      <c r="C319" s="11"/>
      <c r="D319" s="11"/>
      <c r="E319" s="11"/>
      <c r="F319" s="6"/>
      <c r="G319" s="6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x14ac:dyDescent="0.25" r="320" customHeight="1" ht="15.75">
      <c r="A320" s="11"/>
      <c r="B320" s="11"/>
      <c r="C320" s="11"/>
      <c r="D320" s="11"/>
      <c r="E320" s="11"/>
      <c r="F320" s="6"/>
      <c r="G320" s="6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x14ac:dyDescent="0.25" r="321" customHeight="1" ht="15.75">
      <c r="A321" s="11"/>
      <c r="B321" s="11"/>
      <c r="C321" s="11"/>
      <c r="D321" s="11"/>
      <c r="E321" s="11"/>
      <c r="F321" s="6"/>
      <c r="G321" s="6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x14ac:dyDescent="0.25" r="322" customHeight="1" ht="15.75">
      <c r="A322" s="11"/>
      <c r="B322" s="11"/>
      <c r="C322" s="11"/>
      <c r="D322" s="11"/>
      <c r="E322" s="11"/>
      <c r="F322" s="6"/>
      <c r="G322" s="6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x14ac:dyDescent="0.25" r="323" customHeight="1" ht="15.75">
      <c r="A323" s="11"/>
      <c r="B323" s="11"/>
      <c r="C323" s="11"/>
      <c r="D323" s="11"/>
      <c r="E323" s="11"/>
      <c r="F323" s="6"/>
      <c r="G323" s="6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x14ac:dyDescent="0.25" r="324" customHeight="1" ht="15.75">
      <c r="A324" s="11"/>
      <c r="B324" s="11"/>
      <c r="C324" s="11"/>
      <c r="D324" s="11"/>
      <c r="E324" s="11"/>
      <c r="F324" s="6"/>
      <c r="G324" s="6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x14ac:dyDescent="0.25" r="325" customHeight="1" ht="15.75">
      <c r="A325" s="11"/>
      <c r="B325" s="11"/>
      <c r="C325" s="11"/>
      <c r="D325" s="11"/>
      <c r="E325" s="11"/>
      <c r="F325" s="6"/>
      <c r="G325" s="6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x14ac:dyDescent="0.25" r="326" customHeight="1" ht="15.75">
      <c r="A326" s="11"/>
      <c r="B326" s="11"/>
      <c r="C326" s="11"/>
      <c r="D326" s="11"/>
      <c r="E326" s="11"/>
      <c r="F326" s="6"/>
      <c r="G326" s="6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x14ac:dyDescent="0.25" r="327" customHeight="1" ht="15.75">
      <c r="A327" s="11"/>
      <c r="B327" s="11"/>
      <c r="C327" s="11"/>
      <c r="D327" s="11"/>
      <c r="E327" s="11"/>
      <c r="F327" s="6"/>
      <c r="G327" s="6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x14ac:dyDescent="0.25" r="328" customHeight="1" ht="15.75">
      <c r="A328" s="11"/>
      <c r="B328" s="11"/>
      <c r="C328" s="11"/>
      <c r="D328" s="11"/>
      <c r="E328" s="11"/>
      <c r="F328" s="6"/>
      <c r="G328" s="6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x14ac:dyDescent="0.25" r="329" customHeight="1" ht="15.75">
      <c r="A329" s="11"/>
      <c r="B329" s="11"/>
      <c r="C329" s="11"/>
      <c r="D329" s="11"/>
      <c r="E329" s="11"/>
      <c r="F329" s="6"/>
      <c r="G329" s="6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x14ac:dyDescent="0.25" r="330" customHeight="1" ht="15.75">
      <c r="A330" s="11"/>
      <c r="B330" s="11"/>
      <c r="C330" s="11"/>
      <c r="D330" s="11"/>
      <c r="E330" s="11"/>
      <c r="F330" s="6"/>
      <c r="G330" s="6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x14ac:dyDescent="0.25" r="331" customHeight="1" ht="15.75">
      <c r="A331" s="11"/>
      <c r="B331" s="11"/>
      <c r="C331" s="11"/>
      <c r="D331" s="11"/>
      <c r="E331" s="11"/>
      <c r="F331" s="6"/>
      <c r="G331" s="6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x14ac:dyDescent="0.25" r="332" customHeight="1" ht="15.75">
      <c r="A332" s="11"/>
      <c r="B332" s="11"/>
      <c r="C332" s="11"/>
      <c r="D332" s="11"/>
      <c r="E332" s="11"/>
      <c r="F332" s="6"/>
      <c r="G332" s="6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x14ac:dyDescent="0.25" r="333" customHeight="1" ht="15.75">
      <c r="A333" s="11"/>
      <c r="B333" s="11"/>
      <c r="C333" s="11"/>
      <c r="D333" s="11"/>
      <c r="E333" s="11"/>
      <c r="F333" s="6"/>
      <c r="G333" s="6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x14ac:dyDescent="0.25" r="334" customHeight="1" ht="15.75">
      <c r="A334" s="11"/>
      <c r="B334" s="11"/>
      <c r="C334" s="11"/>
      <c r="D334" s="11"/>
      <c r="E334" s="11"/>
      <c r="F334" s="6"/>
      <c r="G334" s="6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x14ac:dyDescent="0.25" r="335" customHeight="1" ht="15.75">
      <c r="A335" s="11"/>
      <c r="B335" s="11"/>
      <c r="C335" s="11"/>
      <c r="D335" s="11"/>
      <c r="E335" s="11"/>
      <c r="F335" s="6"/>
      <c r="G335" s="6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x14ac:dyDescent="0.25" r="336" customHeight="1" ht="15.75">
      <c r="A336" s="11"/>
      <c r="B336" s="11"/>
      <c r="C336" s="11"/>
      <c r="D336" s="11"/>
      <c r="E336" s="11"/>
      <c r="F336" s="6"/>
      <c r="G336" s="6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x14ac:dyDescent="0.25" r="337" customHeight="1" ht="15.75">
      <c r="A337" s="11"/>
      <c r="B337" s="11"/>
      <c r="C337" s="11"/>
      <c r="D337" s="11"/>
      <c r="E337" s="11"/>
      <c r="F337" s="6"/>
      <c r="G337" s="6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x14ac:dyDescent="0.25" r="338" customHeight="1" ht="15.75">
      <c r="A338" s="11"/>
      <c r="B338" s="11"/>
      <c r="C338" s="11"/>
      <c r="D338" s="11"/>
      <c r="E338" s="11"/>
      <c r="F338" s="6"/>
      <c r="G338" s="6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x14ac:dyDescent="0.25" r="339" customHeight="1" ht="15.75">
      <c r="A339" s="11"/>
      <c r="B339" s="11"/>
      <c r="C339" s="11"/>
      <c r="D339" s="11"/>
      <c r="E339" s="11"/>
      <c r="F339" s="6"/>
      <c r="G339" s="6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x14ac:dyDescent="0.25" r="340" customHeight="1" ht="15.75">
      <c r="A340" s="11"/>
      <c r="B340" s="11"/>
      <c r="C340" s="11"/>
      <c r="D340" s="11"/>
      <c r="E340" s="11"/>
      <c r="F340" s="6"/>
      <c r="G340" s="6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x14ac:dyDescent="0.25" r="341" customHeight="1" ht="15.75">
      <c r="A341" s="11"/>
      <c r="B341" s="11"/>
      <c r="C341" s="11"/>
      <c r="D341" s="11"/>
      <c r="E341" s="11"/>
      <c r="F341" s="6"/>
      <c r="G341" s="6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x14ac:dyDescent="0.25" r="342" customHeight="1" ht="15.75">
      <c r="A342" s="11"/>
      <c r="B342" s="11"/>
      <c r="C342" s="11"/>
      <c r="D342" s="11"/>
      <c r="E342" s="11"/>
      <c r="F342" s="6"/>
      <c r="G342" s="6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x14ac:dyDescent="0.25" r="343" customHeight="1" ht="15.75">
      <c r="A343" s="11"/>
      <c r="B343" s="11"/>
      <c r="C343" s="11"/>
      <c r="D343" s="11"/>
      <c r="E343" s="11"/>
      <c r="F343" s="6"/>
      <c r="G343" s="6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x14ac:dyDescent="0.25" r="344" customHeight="1" ht="15.75">
      <c r="A344" s="11"/>
      <c r="B344" s="11"/>
      <c r="C344" s="11"/>
      <c r="D344" s="11"/>
      <c r="E344" s="11"/>
      <c r="F344" s="6"/>
      <c r="G344" s="6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x14ac:dyDescent="0.25" r="345" customHeight="1" ht="15.75">
      <c r="A345" s="11"/>
      <c r="B345" s="11"/>
      <c r="C345" s="11"/>
      <c r="D345" s="11"/>
      <c r="E345" s="11"/>
      <c r="F345" s="6"/>
      <c r="G345" s="6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x14ac:dyDescent="0.25" r="346" customHeight="1" ht="15.75">
      <c r="A346" s="11"/>
      <c r="B346" s="11"/>
      <c r="C346" s="11"/>
      <c r="D346" s="11"/>
      <c r="E346" s="11"/>
      <c r="F346" s="6"/>
      <c r="G346" s="6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x14ac:dyDescent="0.25" r="347" customHeight="1" ht="15.75">
      <c r="A347" s="11"/>
      <c r="B347" s="11"/>
      <c r="C347" s="11"/>
      <c r="D347" s="11"/>
      <c r="E347" s="11"/>
      <c r="F347" s="6"/>
      <c r="G347" s="6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x14ac:dyDescent="0.25" r="348" customHeight="1" ht="15.75">
      <c r="A348" s="11"/>
      <c r="B348" s="11"/>
      <c r="C348" s="11"/>
      <c r="D348" s="11"/>
      <c r="E348" s="11"/>
      <c r="F348" s="6"/>
      <c r="G348" s="6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x14ac:dyDescent="0.25" r="349" customHeight="1" ht="15.75">
      <c r="A349" s="11"/>
      <c r="B349" s="11"/>
      <c r="C349" s="11"/>
      <c r="D349" s="11"/>
      <c r="E349" s="11"/>
      <c r="F349" s="6"/>
      <c r="G349" s="6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x14ac:dyDescent="0.25" r="350" customHeight="1" ht="15.75">
      <c r="A350" s="11"/>
      <c r="B350" s="11"/>
      <c r="C350" s="11"/>
      <c r="D350" s="11"/>
      <c r="E350" s="11"/>
      <c r="F350" s="6"/>
      <c r="G350" s="6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x14ac:dyDescent="0.25" r="351" customHeight="1" ht="15.75">
      <c r="A351" s="11"/>
      <c r="B351" s="11"/>
      <c r="C351" s="11"/>
      <c r="D351" s="11"/>
      <c r="E351" s="11"/>
      <c r="F351" s="6"/>
      <c r="G351" s="6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x14ac:dyDescent="0.25" r="352" customHeight="1" ht="15.75">
      <c r="A352" s="11"/>
      <c r="B352" s="11"/>
      <c r="C352" s="11"/>
      <c r="D352" s="11"/>
      <c r="E352" s="11"/>
      <c r="F352" s="6"/>
      <c r="G352" s="6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x14ac:dyDescent="0.25" r="353" customHeight="1" ht="15.75">
      <c r="A353" s="11"/>
      <c r="B353" s="11"/>
      <c r="C353" s="11"/>
      <c r="D353" s="11"/>
      <c r="E353" s="11"/>
      <c r="F353" s="6"/>
      <c r="G353" s="6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x14ac:dyDescent="0.25" r="354" customHeight="1" ht="15.75">
      <c r="A354" s="11"/>
      <c r="B354" s="11"/>
      <c r="C354" s="11"/>
      <c r="D354" s="11"/>
      <c r="E354" s="11"/>
      <c r="F354" s="6"/>
      <c r="G354" s="6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x14ac:dyDescent="0.25" r="355" customHeight="1" ht="15.75">
      <c r="A355" s="11"/>
      <c r="B355" s="11"/>
      <c r="C355" s="11"/>
      <c r="D355" s="11"/>
      <c r="E355" s="11"/>
      <c r="F355" s="6"/>
      <c r="G355" s="6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x14ac:dyDescent="0.25" r="356" customHeight="1" ht="15.75">
      <c r="A356" s="11"/>
      <c r="B356" s="11"/>
      <c r="C356" s="11"/>
      <c r="D356" s="11"/>
      <c r="E356" s="11"/>
      <c r="F356" s="6"/>
      <c r="G356" s="6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x14ac:dyDescent="0.25" r="357" customHeight="1" ht="15.75">
      <c r="A357" s="11"/>
      <c r="B357" s="11"/>
      <c r="C357" s="11"/>
      <c r="D357" s="11"/>
      <c r="E357" s="11"/>
      <c r="F357" s="6"/>
      <c r="G357" s="6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x14ac:dyDescent="0.25" r="358" customHeight="1" ht="15.75">
      <c r="A358" s="11"/>
      <c r="B358" s="11"/>
      <c r="C358" s="11"/>
      <c r="D358" s="11"/>
      <c r="E358" s="11"/>
      <c r="F358" s="6"/>
      <c r="G358" s="6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x14ac:dyDescent="0.25" r="359" customHeight="1" ht="15.75">
      <c r="A359" s="11"/>
      <c r="B359" s="11"/>
      <c r="C359" s="11"/>
      <c r="D359" s="11"/>
      <c r="E359" s="11"/>
      <c r="F359" s="6"/>
      <c r="G359" s="6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x14ac:dyDescent="0.25" r="360" customHeight="1" ht="15.75">
      <c r="A360" s="11"/>
      <c r="B360" s="11"/>
      <c r="C360" s="11"/>
      <c r="D360" s="11"/>
      <c r="E360" s="11"/>
      <c r="F360" s="6"/>
      <c r="G360" s="6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x14ac:dyDescent="0.25" r="361" customHeight="1" ht="15.75">
      <c r="A361" s="11"/>
      <c r="B361" s="11"/>
      <c r="C361" s="11"/>
      <c r="D361" s="11"/>
      <c r="E361" s="11"/>
      <c r="F361" s="6"/>
      <c r="G361" s="6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x14ac:dyDescent="0.25" r="362" customHeight="1" ht="15.75">
      <c r="A362" s="11"/>
      <c r="B362" s="11"/>
      <c r="C362" s="11"/>
      <c r="D362" s="11"/>
      <c r="E362" s="11"/>
      <c r="F362" s="6"/>
      <c r="G362" s="6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x14ac:dyDescent="0.25" r="363" customHeight="1" ht="15.75">
      <c r="A363" s="11"/>
      <c r="B363" s="11"/>
      <c r="C363" s="11"/>
      <c r="D363" s="11"/>
      <c r="E363" s="11"/>
      <c r="F363" s="6"/>
      <c r="G363" s="6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x14ac:dyDescent="0.25" r="364" customHeight="1" ht="15.75">
      <c r="A364" s="11"/>
      <c r="B364" s="11"/>
      <c r="C364" s="11"/>
      <c r="D364" s="11"/>
      <c r="E364" s="11"/>
      <c r="F364" s="6"/>
      <c r="G364" s="6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x14ac:dyDescent="0.25" r="365" customHeight="1" ht="15.75">
      <c r="A365" s="11"/>
      <c r="B365" s="11"/>
      <c r="C365" s="11"/>
      <c r="D365" s="11"/>
      <c r="E365" s="11"/>
      <c r="F365" s="6"/>
      <c r="G365" s="6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x14ac:dyDescent="0.25" r="366" customHeight="1" ht="15.75">
      <c r="A366" s="11"/>
      <c r="B366" s="11"/>
      <c r="C366" s="11"/>
      <c r="D366" s="11"/>
      <c r="E366" s="11"/>
      <c r="F366" s="6"/>
      <c r="G366" s="6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x14ac:dyDescent="0.25" r="367" customHeight="1" ht="15.75">
      <c r="A367" s="11"/>
      <c r="B367" s="11"/>
      <c r="C367" s="11"/>
      <c r="D367" s="11"/>
      <c r="E367" s="11"/>
      <c r="F367" s="6"/>
      <c r="G367" s="6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x14ac:dyDescent="0.25" r="368" customHeight="1" ht="15.75">
      <c r="A368" s="11"/>
      <c r="B368" s="11"/>
      <c r="C368" s="11"/>
      <c r="D368" s="11"/>
      <c r="E368" s="11"/>
      <c r="F368" s="6"/>
      <c r="G368" s="6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x14ac:dyDescent="0.25" r="369" customHeight="1" ht="15.75">
      <c r="A369" s="11"/>
      <c r="B369" s="11"/>
      <c r="C369" s="11"/>
      <c r="D369" s="11"/>
      <c r="E369" s="11"/>
      <c r="F369" s="6"/>
      <c r="G369" s="6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x14ac:dyDescent="0.25" r="370" customHeight="1" ht="15.75">
      <c r="A370" s="11"/>
      <c r="B370" s="11"/>
      <c r="C370" s="11"/>
      <c r="D370" s="11"/>
      <c r="E370" s="11"/>
      <c r="F370" s="6"/>
      <c r="G370" s="6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x14ac:dyDescent="0.25" r="371" customHeight="1" ht="15.75">
      <c r="A371" s="11"/>
      <c r="B371" s="11"/>
      <c r="C371" s="11"/>
      <c r="D371" s="11"/>
      <c r="E371" s="11"/>
      <c r="F371" s="6"/>
      <c r="G371" s="6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x14ac:dyDescent="0.25" r="372" customHeight="1" ht="15.75">
      <c r="A372" s="11"/>
      <c r="B372" s="11"/>
      <c r="C372" s="11"/>
      <c r="D372" s="11"/>
      <c r="E372" s="11"/>
      <c r="F372" s="6"/>
      <c r="G372" s="6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x14ac:dyDescent="0.25" r="373" customHeight="1" ht="15.75">
      <c r="A373" s="11"/>
      <c r="B373" s="11"/>
      <c r="C373" s="11"/>
      <c r="D373" s="11"/>
      <c r="E373" s="11"/>
      <c r="F373" s="6"/>
      <c r="G373" s="6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x14ac:dyDescent="0.25" r="374" customHeight="1" ht="15.75">
      <c r="A374" s="11"/>
      <c r="B374" s="11"/>
      <c r="C374" s="11"/>
      <c r="D374" s="11"/>
      <c r="E374" s="11"/>
      <c r="F374" s="6"/>
      <c r="G374" s="6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x14ac:dyDescent="0.25" r="375" customHeight="1" ht="15.75">
      <c r="A375" s="11"/>
      <c r="B375" s="11"/>
      <c r="C375" s="11"/>
      <c r="D375" s="11"/>
      <c r="E375" s="11"/>
      <c r="F375" s="6"/>
      <c r="G375" s="6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x14ac:dyDescent="0.25" r="376" customHeight="1" ht="15.75">
      <c r="A376" s="11"/>
      <c r="B376" s="11"/>
      <c r="C376" s="11"/>
      <c r="D376" s="11"/>
      <c r="E376" s="11"/>
      <c r="F376" s="6"/>
      <c r="G376" s="6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x14ac:dyDescent="0.25" r="377" customHeight="1" ht="15.75">
      <c r="A377" s="11"/>
      <c r="B377" s="11"/>
      <c r="C377" s="11"/>
      <c r="D377" s="11"/>
      <c r="E377" s="11"/>
      <c r="F377" s="6"/>
      <c r="G377" s="6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x14ac:dyDescent="0.25" r="378" customHeight="1" ht="15.75">
      <c r="A378" s="11"/>
      <c r="B378" s="11"/>
      <c r="C378" s="11"/>
      <c r="D378" s="11"/>
      <c r="E378" s="11"/>
      <c r="F378" s="6"/>
      <c r="G378" s="6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x14ac:dyDescent="0.25" r="379" customHeight="1" ht="15.75">
      <c r="A379" s="11"/>
      <c r="B379" s="11"/>
      <c r="C379" s="11"/>
      <c r="D379" s="11"/>
      <c r="E379" s="11"/>
      <c r="F379" s="6"/>
      <c r="G379" s="6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x14ac:dyDescent="0.25" r="380" customHeight="1" ht="15.75">
      <c r="A380" s="11"/>
      <c r="B380" s="11"/>
      <c r="C380" s="11"/>
      <c r="D380" s="11"/>
      <c r="E380" s="11"/>
      <c r="F380" s="6"/>
      <c r="G380" s="6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x14ac:dyDescent="0.25" r="381" customHeight="1" ht="15.75">
      <c r="A381" s="11"/>
      <c r="B381" s="11"/>
      <c r="C381" s="11"/>
      <c r="D381" s="11"/>
      <c r="E381" s="11"/>
      <c r="F381" s="6"/>
      <c r="G381" s="6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x14ac:dyDescent="0.25" r="382" customHeight="1" ht="15.75">
      <c r="A382" s="11"/>
      <c r="B382" s="11"/>
      <c r="C382" s="11"/>
      <c r="D382" s="11"/>
      <c r="E382" s="11"/>
      <c r="F382" s="6"/>
      <c r="G382" s="6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x14ac:dyDescent="0.25" r="383" customHeight="1" ht="15.75">
      <c r="A383" s="11"/>
      <c r="B383" s="11"/>
      <c r="C383" s="11"/>
      <c r="D383" s="11"/>
      <c r="E383" s="11"/>
      <c r="F383" s="6"/>
      <c r="G383" s="6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x14ac:dyDescent="0.25" r="384" customHeight="1" ht="15.75">
      <c r="A384" s="11"/>
      <c r="B384" s="11"/>
      <c r="C384" s="11"/>
      <c r="D384" s="11"/>
      <c r="E384" s="11"/>
      <c r="F384" s="6"/>
      <c r="G384" s="6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x14ac:dyDescent="0.25" r="385" customHeight="1" ht="15.75">
      <c r="A385" s="11"/>
      <c r="B385" s="11"/>
      <c r="C385" s="11"/>
      <c r="D385" s="11"/>
      <c r="E385" s="11"/>
      <c r="F385" s="6"/>
      <c r="G385" s="6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x14ac:dyDescent="0.25" r="386" customHeight="1" ht="15.75">
      <c r="A386" s="11"/>
      <c r="B386" s="11"/>
      <c r="C386" s="11"/>
      <c r="D386" s="11"/>
      <c r="E386" s="11"/>
      <c r="F386" s="6"/>
      <c r="G386" s="6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x14ac:dyDescent="0.25" r="387" customHeight="1" ht="15.75">
      <c r="A387" s="11"/>
      <c r="B387" s="11"/>
      <c r="C387" s="11"/>
      <c r="D387" s="11"/>
      <c r="E387" s="11"/>
      <c r="F387" s="6"/>
      <c r="G387" s="6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x14ac:dyDescent="0.25" r="388" customHeight="1" ht="15.75">
      <c r="A388" s="11"/>
      <c r="B388" s="11"/>
      <c r="C388" s="11"/>
      <c r="D388" s="11"/>
      <c r="E388" s="11"/>
      <c r="F388" s="6"/>
      <c r="G388" s="6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x14ac:dyDescent="0.25" r="389" customHeight="1" ht="15.75">
      <c r="A389" s="11"/>
      <c r="B389" s="11"/>
      <c r="C389" s="11"/>
      <c r="D389" s="11"/>
      <c r="E389" s="11"/>
      <c r="F389" s="6"/>
      <c r="G389" s="6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x14ac:dyDescent="0.25" r="390" customHeight="1" ht="15.75">
      <c r="A390" s="11"/>
      <c r="B390" s="11"/>
      <c r="C390" s="11"/>
      <c r="D390" s="11"/>
      <c r="E390" s="11"/>
      <c r="F390" s="6"/>
      <c r="G390" s="6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x14ac:dyDescent="0.25" r="391" customHeight="1" ht="15.75">
      <c r="A391" s="11"/>
      <c r="B391" s="11"/>
      <c r="C391" s="11"/>
      <c r="D391" s="11"/>
      <c r="E391" s="11"/>
      <c r="F391" s="6"/>
      <c r="G391" s="6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x14ac:dyDescent="0.25" r="392" customHeight="1" ht="15.75">
      <c r="A392" s="11"/>
      <c r="B392" s="11"/>
      <c r="C392" s="11"/>
      <c r="D392" s="11"/>
      <c r="E392" s="11"/>
      <c r="F392" s="6"/>
      <c r="G392" s="6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x14ac:dyDescent="0.25" r="393" customHeight="1" ht="15.75">
      <c r="A393" s="11"/>
      <c r="B393" s="11"/>
      <c r="C393" s="11"/>
      <c r="D393" s="11"/>
      <c r="E393" s="11"/>
      <c r="F393" s="6"/>
      <c r="G393" s="6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x14ac:dyDescent="0.25" r="394" customHeight="1" ht="15.75">
      <c r="A394" s="11"/>
      <c r="B394" s="11"/>
      <c r="C394" s="11"/>
      <c r="D394" s="11"/>
      <c r="E394" s="11"/>
      <c r="F394" s="6"/>
      <c r="G394" s="6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x14ac:dyDescent="0.25" r="395" customHeight="1" ht="15.75">
      <c r="A395" s="11"/>
      <c r="B395" s="11"/>
      <c r="C395" s="11"/>
      <c r="D395" s="11"/>
      <c r="E395" s="11"/>
      <c r="F395" s="6"/>
      <c r="G395" s="6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x14ac:dyDescent="0.25" r="396" customHeight="1" ht="15.75">
      <c r="A396" s="11"/>
      <c r="B396" s="11"/>
      <c r="C396" s="11"/>
      <c r="D396" s="11"/>
      <c r="E396" s="11"/>
      <c r="F396" s="6"/>
      <c r="G396" s="6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x14ac:dyDescent="0.25" r="397" customHeight="1" ht="15.75">
      <c r="A397" s="11"/>
      <c r="B397" s="11"/>
      <c r="C397" s="11"/>
      <c r="D397" s="11"/>
      <c r="E397" s="11"/>
      <c r="F397" s="6"/>
      <c r="G397" s="6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x14ac:dyDescent="0.25" r="398" customHeight="1" ht="15.75">
      <c r="A398" s="11"/>
      <c r="B398" s="11"/>
      <c r="C398" s="11"/>
      <c r="D398" s="11"/>
      <c r="E398" s="11"/>
      <c r="F398" s="6"/>
      <c r="G398" s="6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x14ac:dyDescent="0.25" r="399" customHeight="1" ht="15.75">
      <c r="A399" s="11"/>
      <c r="B399" s="11"/>
      <c r="C399" s="11"/>
      <c r="D399" s="11"/>
      <c r="E399" s="11"/>
      <c r="F399" s="6"/>
      <c r="G399" s="6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x14ac:dyDescent="0.25" r="400" customHeight="1" ht="15.75">
      <c r="A400" s="11"/>
      <c r="B400" s="11"/>
      <c r="C400" s="11"/>
      <c r="D400" s="11"/>
      <c r="E400" s="11"/>
      <c r="F400" s="6"/>
      <c r="G400" s="6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x14ac:dyDescent="0.25" r="401" customHeight="1" ht="15.75">
      <c r="A401" s="11"/>
      <c r="B401" s="11"/>
      <c r="C401" s="11"/>
      <c r="D401" s="11"/>
      <c r="E401" s="11"/>
      <c r="F401" s="6"/>
      <c r="G401" s="6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x14ac:dyDescent="0.25" r="402" customHeight="1" ht="15.75">
      <c r="A402" s="11"/>
      <c r="B402" s="11"/>
      <c r="C402" s="11"/>
      <c r="D402" s="11"/>
      <c r="E402" s="11"/>
      <c r="F402" s="6"/>
      <c r="G402" s="6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x14ac:dyDescent="0.25" r="403" customHeight="1" ht="15.75">
      <c r="A403" s="11"/>
      <c r="B403" s="11"/>
      <c r="C403" s="11"/>
      <c r="D403" s="11"/>
      <c r="E403" s="11"/>
      <c r="F403" s="6"/>
      <c r="G403" s="6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x14ac:dyDescent="0.25" r="404" customHeight="1" ht="15.75">
      <c r="A404" s="11"/>
      <c r="B404" s="11"/>
      <c r="C404" s="11"/>
      <c r="D404" s="11"/>
      <c r="E404" s="11"/>
      <c r="F404" s="6"/>
      <c r="G404" s="6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x14ac:dyDescent="0.25" r="405" customHeight="1" ht="15.75">
      <c r="A405" s="11"/>
      <c r="B405" s="11"/>
      <c r="C405" s="11"/>
      <c r="D405" s="11"/>
      <c r="E405" s="11"/>
      <c r="F405" s="6"/>
      <c r="G405" s="6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x14ac:dyDescent="0.25" r="406" customHeight="1" ht="15.75">
      <c r="A406" s="11"/>
      <c r="B406" s="11"/>
      <c r="C406" s="11"/>
      <c r="D406" s="11"/>
      <c r="E406" s="11"/>
      <c r="F406" s="6"/>
      <c r="G406" s="6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x14ac:dyDescent="0.25" r="407" customHeight="1" ht="15.75">
      <c r="A407" s="11"/>
      <c r="B407" s="11"/>
      <c r="C407" s="11"/>
      <c r="D407" s="11"/>
      <c r="E407" s="11"/>
      <c r="F407" s="6"/>
      <c r="G407" s="6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x14ac:dyDescent="0.25" r="408" customHeight="1" ht="15.75">
      <c r="A408" s="11"/>
      <c r="B408" s="11"/>
      <c r="C408" s="11"/>
      <c r="D408" s="11"/>
      <c r="E408" s="11"/>
      <c r="F408" s="6"/>
      <c r="G408" s="6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x14ac:dyDescent="0.25" r="409" customHeight="1" ht="15.75">
      <c r="A409" s="11"/>
      <c r="B409" s="11"/>
      <c r="C409" s="11"/>
      <c r="D409" s="11"/>
      <c r="E409" s="11"/>
      <c r="F409" s="6"/>
      <c r="G409" s="6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x14ac:dyDescent="0.25" r="410" customHeight="1" ht="15.75">
      <c r="A410" s="11"/>
      <c r="B410" s="11"/>
      <c r="C410" s="11"/>
      <c r="D410" s="11"/>
      <c r="E410" s="11"/>
      <c r="F410" s="6"/>
      <c r="G410" s="6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x14ac:dyDescent="0.25" r="411" customHeight="1" ht="15.75">
      <c r="A411" s="11"/>
      <c r="B411" s="11"/>
      <c r="C411" s="11"/>
      <c r="D411" s="11"/>
      <c r="E411" s="11"/>
      <c r="F411" s="6"/>
      <c r="G411" s="6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x14ac:dyDescent="0.25" r="412" customHeight="1" ht="15.75">
      <c r="A412" s="11"/>
      <c r="B412" s="11"/>
      <c r="C412" s="11"/>
      <c r="D412" s="11"/>
      <c r="E412" s="11"/>
      <c r="F412" s="6"/>
      <c r="G412" s="6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x14ac:dyDescent="0.25" r="413" customHeight="1" ht="15.75">
      <c r="A413" s="11"/>
      <c r="B413" s="11"/>
      <c r="C413" s="11"/>
      <c r="D413" s="11"/>
      <c r="E413" s="11"/>
      <c r="F413" s="6"/>
      <c r="G413" s="6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x14ac:dyDescent="0.25" r="414" customHeight="1" ht="15.75">
      <c r="A414" s="11"/>
      <c r="B414" s="11"/>
      <c r="C414" s="11"/>
      <c r="D414" s="11"/>
      <c r="E414" s="11"/>
      <c r="F414" s="6"/>
      <c r="G414" s="6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x14ac:dyDescent="0.25" r="415" customHeight="1" ht="15.75">
      <c r="A415" s="11"/>
      <c r="B415" s="11"/>
      <c r="C415" s="11"/>
      <c r="D415" s="11"/>
      <c r="E415" s="11"/>
      <c r="F415" s="6"/>
      <c r="G415" s="6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x14ac:dyDescent="0.25" r="416" customHeight="1" ht="15.75">
      <c r="A416" s="11"/>
      <c r="B416" s="11"/>
      <c r="C416" s="11"/>
      <c r="D416" s="11"/>
      <c r="E416" s="11"/>
      <c r="F416" s="6"/>
      <c r="G416" s="6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x14ac:dyDescent="0.25" r="417" customHeight="1" ht="15.75">
      <c r="A417" s="11"/>
      <c r="B417" s="11"/>
      <c r="C417" s="11"/>
      <c r="D417" s="11"/>
      <c r="E417" s="11"/>
      <c r="F417" s="6"/>
      <c r="G417" s="6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x14ac:dyDescent="0.25" r="418" customHeight="1" ht="15.75">
      <c r="A418" s="11"/>
      <c r="B418" s="11"/>
      <c r="C418" s="11"/>
      <c r="D418" s="11"/>
      <c r="E418" s="11"/>
      <c r="F418" s="6"/>
      <c r="G418" s="6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x14ac:dyDescent="0.25" r="419" customHeight="1" ht="15.75">
      <c r="A419" s="11"/>
      <c r="B419" s="11"/>
      <c r="C419" s="11"/>
      <c r="D419" s="11"/>
      <c r="E419" s="11"/>
      <c r="F419" s="6"/>
      <c r="G419" s="6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x14ac:dyDescent="0.25" r="420" customHeight="1" ht="15.75">
      <c r="A420" s="11"/>
      <c r="B420" s="11"/>
      <c r="C420" s="11"/>
      <c r="D420" s="11"/>
      <c r="E420" s="11"/>
      <c r="F420" s="6"/>
      <c r="G420" s="6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x14ac:dyDescent="0.25" r="421" customHeight="1" ht="15.75">
      <c r="A421" s="11"/>
      <c r="B421" s="11"/>
      <c r="C421" s="11"/>
      <c r="D421" s="11"/>
      <c r="E421" s="11"/>
      <c r="F421" s="6"/>
      <c r="G421" s="6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x14ac:dyDescent="0.25" r="422" customHeight="1" ht="15.75">
      <c r="A422" s="11"/>
      <c r="B422" s="11"/>
      <c r="C422" s="11"/>
      <c r="D422" s="11"/>
      <c r="E422" s="11"/>
      <c r="F422" s="6"/>
      <c r="G422" s="6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x14ac:dyDescent="0.25" r="423" customHeight="1" ht="15.75">
      <c r="A423" s="11"/>
      <c r="B423" s="11"/>
      <c r="C423" s="11"/>
      <c r="D423" s="11"/>
      <c r="E423" s="11"/>
      <c r="F423" s="6"/>
      <c r="G423" s="6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x14ac:dyDescent="0.25" r="424" customHeight="1" ht="15.75">
      <c r="A424" s="11"/>
      <c r="B424" s="11"/>
      <c r="C424" s="11"/>
      <c r="D424" s="11"/>
      <c r="E424" s="11"/>
      <c r="F424" s="6"/>
      <c r="G424" s="6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x14ac:dyDescent="0.25" r="425" customHeight="1" ht="15.75">
      <c r="A425" s="11"/>
      <c r="B425" s="11"/>
      <c r="C425" s="11"/>
      <c r="D425" s="11"/>
      <c r="E425" s="11"/>
      <c r="F425" s="6"/>
      <c r="G425" s="6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x14ac:dyDescent="0.25" r="426" customHeight="1" ht="15.75">
      <c r="A426" s="11"/>
      <c r="B426" s="11"/>
      <c r="C426" s="11"/>
      <c r="D426" s="11"/>
      <c r="E426" s="11"/>
      <c r="F426" s="6"/>
      <c r="G426" s="6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x14ac:dyDescent="0.25" r="427" customHeight="1" ht="15.75">
      <c r="A427" s="11"/>
      <c r="B427" s="11"/>
      <c r="C427" s="11"/>
      <c r="D427" s="11"/>
      <c r="E427" s="11"/>
      <c r="F427" s="6"/>
      <c r="G427" s="6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x14ac:dyDescent="0.25" r="428" customHeight="1" ht="15.75">
      <c r="A428" s="11"/>
      <c r="B428" s="11"/>
      <c r="C428" s="11"/>
      <c r="D428" s="11"/>
      <c r="E428" s="11"/>
      <c r="F428" s="6"/>
      <c r="G428" s="6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x14ac:dyDescent="0.25" r="429" customHeight="1" ht="15.75">
      <c r="A429" s="11"/>
      <c r="B429" s="11"/>
      <c r="C429" s="11"/>
      <c r="D429" s="11"/>
      <c r="E429" s="11"/>
      <c r="F429" s="6"/>
      <c r="G429" s="6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x14ac:dyDescent="0.25" r="430" customHeight="1" ht="15.75">
      <c r="A430" s="11"/>
      <c r="B430" s="11"/>
      <c r="C430" s="11"/>
      <c r="D430" s="11"/>
      <c r="E430" s="11"/>
      <c r="F430" s="6"/>
      <c r="G430" s="6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x14ac:dyDescent="0.25" r="431" customHeight="1" ht="15.75">
      <c r="A431" s="11"/>
      <c r="B431" s="11"/>
      <c r="C431" s="11"/>
      <c r="D431" s="11"/>
      <c r="E431" s="11"/>
      <c r="F431" s="6"/>
      <c r="G431" s="6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x14ac:dyDescent="0.25" r="432" customHeight="1" ht="15.75">
      <c r="A432" s="11"/>
      <c r="B432" s="11"/>
      <c r="C432" s="11"/>
      <c r="D432" s="11"/>
      <c r="E432" s="11"/>
      <c r="F432" s="6"/>
      <c r="G432" s="6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x14ac:dyDescent="0.25" r="433" customHeight="1" ht="15.75">
      <c r="A433" s="11"/>
      <c r="B433" s="11"/>
      <c r="C433" s="11"/>
      <c r="D433" s="11"/>
      <c r="E433" s="11"/>
      <c r="F433" s="6"/>
      <c r="G433" s="6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x14ac:dyDescent="0.25" r="434" customHeight="1" ht="15.75">
      <c r="A434" s="11"/>
      <c r="B434" s="11"/>
      <c r="C434" s="11"/>
      <c r="D434" s="11"/>
      <c r="E434" s="11"/>
      <c r="F434" s="6"/>
      <c r="G434" s="6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x14ac:dyDescent="0.25" r="435" customHeight="1" ht="15.75">
      <c r="A435" s="11"/>
      <c r="B435" s="11"/>
      <c r="C435" s="11"/>
      <c r="D435" s="11"/>
      <c r="E435" s="11"/>
      <c r="F435" s="6"/>
      <c r="G435" s="6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x14ac:dyDescent="0.25" r="436" customHeight="1" ht="15.75">
      <c r="A436" s="11"/>
      <c r="B436" s="11"/>
      <c r="C436" s="11"/>
      <c r="D436" s="11"/>
      <c r="E436" s="11"/>
      <c r="F436" s="6"/>
      <c r="G436" s="6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x14ac:dyDescent="0.25" r="437" customHeight="1" ht="15.75">
      <c r="A437" s="11"/>
      <c r="B437" s="11"/>
      <c r="C437" s="11"/>
      <c r="D437" s="11"/>
      <c r="E437" s="11"/>
      <c r="F437" s="6"/>
      <c r="G437" s="6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x14ac:dyDescent="0.25" r="438" customHeight="1" ht="15.75">
      <c r="A438" s="11"/>
      <c r="B438" s="11"/>
      <c r="C438" s="11"/>
      <c r="D438" s="11"/>
      <c r="E438" s="11"/>
      <c r="F438" s="6"/>
      <c r="G438" s="6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x14ac:dyDescent="0.25" r="439" customHeight="1" ht="15.75">
      <c r="A439" s="11"/>
      <c r="B439" s="11"/>
      <c r="C439" s="11"/>
      <c r="D439" s="11"/>
      <c r="E439" s="11"/>
      <c r="F439" s="6"/>
      <c r="G439" s="6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x14ac:dyDescent="0.25" r="440" customHeight="1" ht="15.75">
      <c r="A440" s="11"/>
      <c r="B440" s="11"/>
      <c r="C440" s="11"/>
      <c r="D440" s="11"/>
      <c r="E440" s="11"/>
      <c r="F440" s="6"/>
      <c r="G440" s="6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x14ac:dyDescent="0.25" r="441" customHeight="1" ht="15.75">
      <c r="A441" s="11"/>
      <c r="B441" s="11"/>
      <c r="C441" s="11"/>
      <c r="D441" s="11"/>
      <c r="E441" s="11"/>
      <c r="F441" s="6"/>
      <c r="G441" s="6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x14ac:dyDescent="0.25" r="442" customHeight="1" ht="15.75">
      <c r="A442" s="11"/>
      <c r="B442" s="11"/>
      <c r="C442" s="11"/>
      <c r="D442" s="11"/>
      <c r="E442" s="11"/>
      <c r="F442" s="6"/>
      <c r="G442" s="6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x14ac:dyDescent="0.25" r="443" customHeight="1" ht="15.75">
      <c r="A443" s="11"/>
      <c r="B443" s="11"/>
      <c r="C443" s="11"/>
      <c r="D443" s="11"/>
      <c r="E443" s="11"/>
      <c r="F443" s="6"/>
      <c r="G443" s="6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x14ac:dyDescent="0.25" r="444" customHeight="1" ht="15.75">
      <c r="A444" s="11"/>
      <c r="B444" s="11"/>
      <c r="C444" s="11"/>
      <c r="D444" s="11"/>
      <c r="E444" s="11"/>
      <c r="F444" s="6"/>
      <c r="G444" s="6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x14ac:dyDescent="0.25" r="445" customHeight="1" ht="15.75">
      <c r="A445" s="11"/>
      <c r="B445" s="11"/>
      <c r="C445" s="11"/>
      <c r="D445" s="11"/>
      <c r="E445" s="11"/>
      <c r="F445" s="6"/>
      <c r="G445" s="6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x14ac:dyDescent="0.25" r="446" customHeight="1" ht="15.75">
      <c r="A446" s="11"/>
      <c r="B446" s="11"/>
      <c r="C446" s="11"/>
      <c r="D446" s="11"/>
      <c r="E446" s="11"/>
      <c r="F446" s="6"/>
      <c r="G446" s="6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x14ac:dyDescent="0.25" r="447" customHeight="1" ht="15.75">
      <c r="A447" s="11"/>
      <c r="B447" s="11"/>
      <c r="C447" s="11"/>
      <c r="D447" s="11"/>
      <c r="E447" s="11"/>
      <c r="F447" s="6"/>
      <c r="G447" s="6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x14ac:dyDescent="0.25" r="448" customHeight="1" ht="15.75">
      <c r="A448" s="11"/>
      <c r="B448" s="11"/>
      <c r="C448" s="11"/>
      <c r="D448" s="11"/>
      <c r="E448" s="11"/>
      <c r="F448" s="6"/>
      <c r="G448" s="6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x14ac:dyDescent="0.25" r="449" customHeight="1" ht="15.75">
      <c r="A449" s="11"/>
      <c r="B449" s="11"/>
      <c r="C449" s="11"/>
      <c r="D449" s="11"/>
      <c r="E449" s="11"/>
      <c r="F449" s="6"/>
      <c r="G449" s="6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x14ac:dyDescent="0.25" r="450" customHeight="1" ht="15.75">
      <c r="A450" s="11"/>
      <c r="B450" s="11"/>
      <c r="C450" s="11"/>
      <c r="D450" s="11"/>
      <c r="E450" s="11"/>
      <c r="F450" s="6"/>
      <c r="G450" s="6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x14ac:dyDescent="0.25" r="451" customHeight="1" ht="15.75">
      <c r="A451" s="11"/>
      <c r="B451" s="11"/>
      <c r="C451" s="11"/>
      <c r="D451" s="11"/>
      <c r="E451" s="11"/>
      <c r="F451" s="6"/>
      <c r="G451" s="6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x14ac:dyDescent="0.25" r="452" customHeight="1" ht="15.75">
      <c r="A452" s="11"/>
      <c r="B452" s="11"/>
      <c r="C452" s="11"/>
      <c r="D452" s="11"/>
      <c r="E452" s="11"/>
      <c r="F452" s="6"/>
      <c r="G452" s="6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x14ac:dyDescent="0.25" r="453" customHeight="1" ht="15.75">
      <c r="A453" s="11"/>
      <c r="B453" s="11"/>
      <c r="C453" s="11"/>
      <c r="D453" s="11"/>
      <c r="E453" s="11"/>
      <c r="F453" s="6"/>
      <c r="G453" s="6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x14ac:dyDescent="0.25" r="454" customHeight="1" ht="15.75">
      <c r="A454" s="11"/>
      <c r="B454" s="11"/>
      <c r="C454" s="11"/>
      <c r="D454" s="11"/>
      <c r="E454" s="11"/>
      <c r="F454" s="6"/>
      <c r="G454" s="6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x14ac:dyDescent="0.25" r="455" customHeight="1" ht="15.75">
      <c r="A455" s="11"/>
      <c r="B455" s="11"/>
      <c r="C455" s="11"/>
      <c r="D455" s="11"/>
      <c r="E455" s="11"/>
      <c r="F455" s="6"/>
      <c r="G455" s="6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x14ac:dyDescent="0.25" r="456" customHeight="1" ht="15.75">
      <c r="A456" s="11"/>
      <c r="B456" s="11"/>
      <c r="C456" s="11"/>
      <c r="D456" s="11"/>
      <c r="E456" s="11"/>
      <c r="F456" s="6"/>
      <c r="G456" s="6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x14ac:dyDescent="0.25" r="457" customHeight="1" ht="15.75">
      <c r="A457" s="11"/>
      <c r="B457" s="11"/>
      <c r="C457" s="11"/>
      <c r="D457" s="11"/>
      <c r="E457" s="11"/>
      <c r="F457" s="6"/>
      <c r="G457" s="6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x14ac:dyDescent="0.25" r="458" customHeight="1" ht="15.75">
      <c r="A458" s="11"/>
      <c r="B458" s="11"/>
      <c r="C458" s="11"/>
      <c r="D458" s="11"/>
      <c r="E458" s="11"/>
      <c r="F458" s="6"/>
      <c r="G458" s="6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x14ac:dyDescent="0.25" r="459" customHeight="1" ht="15.75">
      <c r="A459" s="11"/>
      <c r="B459" s="11"/>
      <c r="C459" s="11"/>
      <c r="D459" s="11"/>
      <c r="E459" s="11"/>
      <c r="F459" s="6"/>
      <c r="G459" s="6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x14ac:dyDescent="0.25" r="460" customHeight="1" ht="15.75">
      <c r="A460" s="11"/>
      <c r="B460" s="11"/>
      <c r="C460" s="11"/>
      <c r="D460" s="11"/>
      <c r="E460" s="11"/>
      <c r="F460" s="6"/>
      <c r="G460" s="6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x14ac:dyDescent="0.25" r="461" customHeight="1" ht="15.75">
      <c r="A461" s="11"/>
      <c r="B461" s="11"/>
      <c r="C461" s="11"/>
      <c r="D461" s="11"/>
      <c r="E461" s="11"/>
      <c r="F461" s="6"/>
      <c r="G461" s="6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x14ac:dyDescent="0.25" r="462" customHeight="1" ht="15.75">
      <c r="A462" s="11"/>
      <c r="B462" s="11"/>
      <c r="C462" s="11"/>
      <c r="D462" s="11"/>
      <c r="E462" s="11"/>
      <c r="F462" s="6"/>
      <c r="G462" s="6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x14ac:dyDescent="0.25" r="463" customHeight="1" ht="15.75">
      <c r="A463" s="11"/>
      <c r="B463" s="11"/>
      <c r="C463" s="11"/>
      <c r="D463" s="11"/>
      <c r="E463" s="11"/>
      <c r="F463" s="6"/>
      <c r="G463" s="6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x14ac:dyDescent="0.25" r="464" customHeight="1" ht="15.75">
      <c r="A464" s="11"/>
      <c r="B464" s="11"/>
      <c r="C464" s="11"/>
      <c r="D464" s="11"/>
      <c r="E464" s="11"/>
      <c r="F464" s="6"/>
      <c r="G464" s="6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x14ac:dyDescent="0.25" r="465" customHeight="1" ht="15.75">
      <c r="A465" s="11"/>
      <c r="B465" s="11"/>
      <c r="C465" s="11"/>
      <c r="D465" s="11"/>
      <c r="E465" s="11"/>
      <c r="F465" s="6"/>
      <c r="G465" s="6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x14ac:dyDescent="0.25" r="466" customHeight="1" ht="15.75">
      <c r="A466" s="11"/>
      <c r="B466" s="11"/>
      <c r="C466" s="11"/>
      <c r="D466" s="11"/>
      <c r="E466" s="11"/>
      <c r="F466" s="6"/>
      <c r="G466" s="6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x14ac:dyDescent="0.25" r="467" customHeight="1" ht="15.75">
      <c r="A467" s="11"/>
      <c r="B467" s="11"/>
      <c r="C467" s="11"/>
      <c r="D467" s="11"/>
      <c r="E467" s="11"/>
      <c r="F467" s="6"/>
      <c r="G467" s="6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x14ac:dyDescent="0.25" r="468" customHeight="1" ht="15.75">
      <c r="A468" s="11"/>
      <c r="B468" s="11"/>
      <c r="C468" s="11"/>
      <c r="D468" s="11"/>
      <c r="E468" s="11"/>
      <c r="F468" s="6"/>
      <c r="G468" s="6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x14ac:dyDescent="0.25" r="469" customHeight="1" ht="15.75">
      <c r="A469" s="11"/>
      <c r="B469" s="11"/>
      <c r="C469" s="11"/>
      <c r="D469" s="11"/>
      <c r="E469" s="11"/>
      <c r="F469" s="6"/>
      <c r="G469" s="6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x14ac:dyDescent="0.25" r="470" customHeight="1" ht="15.75">
      <c r="A470" s="11"/>
      <c r="B470" s="11"/>
      <c r="C470" s="11"/>
      <c r="D470" s="11"/>
      <c r="E470" s="11"/>
      <c r="F470" s="6"/>
      <c r="G470" s="6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x14ac:dyDescent="0.25" r="471" customHeight="1" ht="15.75">
      <c r="A471" s="11"/>
      <c r="B471" s="11"/>
      <c r="C471" s="11"/>
      <c r="D471" s="11"/>
      <c r="E471" s="11"/>
      <c r="F471" s="6"/>
      <c r="G471" s="6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x14ac:dyDescent="0.25" r="472" customHeight="1" ht="15.75">
      <c r="A472" s="11"/>
      <c r="B472" s="11"/>
      <c r="C472" s="11"/>
      <c r="D472" s="11"/>
      <c r="E472" s="11"/>
      <c r="F472" s="6"/>
      <c r="G472" s="6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x14ac:dyDescent="0.25" r="473" customHeight="1" ht="15.75">
      <c r="A473" s="11"/>
      <c r="B473" s="11"/>
      <c r="C473" s="11"/>
      <c r="D473" s="11"/>
      <c r="E473" s="11"/>
      <c r="F473" s="6"/>
      <c r="G473" s="6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x14ac:dyDescent="0.25" r="474" customHeight="1" ht="15.75">
      <c r="A474" s="11"/>
      <c r="B474" s="11"/>
      <c r="C474" s="11"/>
      <c r="D474" s="11"/>
      <c r="E474" s="11"/>
      <c r="F474" s="6"/>
      <c r="G474" s="6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x14ac:dyDescent="0.25" r="475" customHeight="1" ht="15.75">
      <c r="A475" s="11"/>
      <c r="B475" s="11"/>
      <c r="C475" s="11"/>
      <c r="D475" s="11"/>
      <c r="E475" s="11"/>
      <c r="F475" s="6"/>
      <c r="G475" s="6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x14ac:dyDescent="0.25" r="476" customHeight="1" ht="15.75">
      <c r="A476" s="11"/>
      <c r="B476" s="11"/>
      <c r="C476" s="11"/>
      <c r="D476" s="11"/>
      <c r="E476" s="11"/>
      <c r="F476" s="6"/>
      <c r="G476" s="6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x14ac:dyDescent="0.25" r="477" customHeight="1" ht="15.75">
      <c r="A477" s="11"/>
      <c r="B477" s="11"/>
      <c r="C477" s="11"/>
      <c r="D477" s="11"/>
      <c r="E477" s="11"/>
      <c r="F477" s="6"/>
      <c r="G477" s="6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x14ac:dyDescent="0.25" r="478" customHeight="1" ht="15.75">
      <c r="A478" s="11"/>
      <c r="B478" s="11"/>
      <c r="C478" s="11"/>
      <c r="D478" s="11"/>
      <c r="E478" s="11"/>
      <c r="F478" s="6"/>
      <c r="G478" s="6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x14ac:dyDescent="0.25" r="479" customHeight="1" ht="15.75">
      <c r="A479" s="11"/>
      <c r="B479" s="11"/>
      <c r="C479" s="11"/>
      <c r="D479" s="11"/>
      <c r="E479" s="11"/>
      <c r="F479" s="6"/>
      <c r="G479" s="6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x14ac:dyDescent="0.25" r="480" customHeight="1" ht="15.75">
      <c r="A480" s="11"/>
      <c r="B480" s="11"/>
      <c r="C480" s="11"/>
      <c r="D480" s="11"/>
      <c r="E480" s="11"/>
      <c r="F480" s="6"/>
      <c r="G480" s="6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x14ac:dyDescent="0.25" r="481" customHeight="1" ht="15.75">
      <c r="A481" s="11"/>
      <c r="B481" s="11"/>
      <c r="C481" s="11"/>
      <c r="D481" s="11"/>
      <c r="E481" s="11"/>
      <c r="F481" s="6"/>
      <c r="G481" s="6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x14ac:dyDescent="0.25" r="482" customHeight="1" ht="15.75">
      <c r="A482" s="11"/>
      <c r="B482" s="11"/>
      <c r="C482" s="11"/>
      <c r="D482" s="11"/>
      <c r="E482" s="11"/>
      <c r="F482" s="6"/>
      <c r="G482" s="6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x14ac:dyDescent="0.25" r="483" customHeight="1" ht="15.75">
      <c r="A483" s="11"/>
      <c r="B483" s="11"/>
      <c r="C483" s="11"/>
      <c r="D483" s="11"/>
      <c r="E483" s="11"/>
      <c r="F483" s="6"/>
      <c r="G483" s="6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x14ac:dyDescent="0.25" r="484" customHeight="1" ht="15.75">
      <c r="A484" s="11"/>
      <c r="B484" s="11"/>
      <c r="C484" s="11"/>
      <c r="D484" s="11"/>
      <c r="E484" s="11"/>
      <c r="F484" s="6"/>
      <c r="G484" s="6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x14ac:dyDescent="0.25" r="485" customHeight="1" ht="15.75">
      <c r="A485" s="11"/>
      <c r="B485" s="11"/>
      <c r="C485" s="11"/>
      <c r="D485" s="11"/>
      <c r="E485" s="11"/>
      <c r="F485" s="6"/>
      <c r="G485" s="6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x14ac:dyDescent="0.25" r="486" customHeight="1" ht="15.75">
      <c r="A486" s="11"/>
      <c r="B486" s="11"/>
      <c r="C486" s="11"/>
      <c r="D486" s="11"/>
      <c r="E486" s="11"/>
      <c r="F486" s="6"/>
      <c r="G486" s="6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x14ac:dyDescent="0.25" r="487" customHeight="1" ht="15.75">
      <c r="A487" s="11"/>
      <c r="B487" s="11"/>
      <c r="C487" s="11"/>
      <c r="D487" s="11"/>
      <c r="E487" s="11"/>
      <c r="F487" s="6"/>
      <c r="G487" s="6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x14ac:dyDescent="0.25" r="488" customHeight="1" ht="15.75">
      <c r="A488" s="11"/>
      <c r="B488" s="11"/>
      <c r="C488" s="11"/>
      <c r="D488" s="11"/>
      <c r="E488" s="11"/>
      <c r="F488" s="6"/>
      <c r="G488" s="6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x14ac:dyDescent="0.25" r="489" customHeight="1" ht="15.75">
      <c r="A489" s="11"/>
      <c r="B489" s="11"/>
      <c r="C489" s="11"/>
      <c r="D489" s="11"/>
      <c r="E489" s="11"/>
      <c r="F489" s="6"/>
      <c r="G489" s="6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x14ac:dyDescent="0.25" r="490" customHeight="1" ht="15.75">
      <c r="A490" s="11"/>
      <c r="B490" s="11"/>
      <c r="C490" s="11"/>
      <c r="D490" s="11"/>
      <c r="E490" s="11"/>
      <c r="F490" s="6"/>
      <c r="G490" s="6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x14ac:dyDescent="0.25" r="491" customHeight="1" ht="15.75">
      <c r="A491" s="11"/>
      <c r="B491" s="11"/>
      <c r="C491" s="11"/>
      <c r="D491" s="11"/>
      <c r="E491" s="11"/>
      <c r="F491" s="6"/>
      <c r="G491" s="6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x14ac:dyDescent="0.25" r="492" customHeight="1" ht="15.75">
      <c r="A492" s="11"/>
      <c r="B492" s="11"/>
      <c r="C492" s="11"/>
      <c r="D492" s="11"/>
      <c r="E492" s="11"/>
      <c r="F492" s="6"/>
      <c r="G492" s="6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x14ac:dyDescent="0.25" r="493" customHeight="1" ht="15.75">
      <c r="A493" s="11"/>
      <c r="B493" s="11"/>
      <c r="C493" s="11"/>
      <c r="D493" s="11"/>
      <c r="E493" s="11"/>
      <c r="F493" s="6"/>
      <c r="G493" s="6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x14ac:dyDescent="0.25" r="494" customHeight="1" ht="15.75">
      <c r="A494" s="11"/>
      <c r="B494" s="11"/>
      <c r="C494" s="11"/>
      <c r="D494" s="11"/>
      <c r="E494" s="11"/>
      <c r="F494" s="6"/>
      <c r="G494" s="6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x14ac:dyDescent="0.25" r="495" customHeight="1" ht="15.75">
      <c r="A495" s="11"/>
      <c r="B495" s="11"/>
      <c r="C495" s="11"/>
      <c r="D495" s="11"/>
      <c r="E495" s="11"/>
      <c r="F495" s="6"/>
      <c r="G495" s="6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x14ac:dyDescent="0.25" r="496" customHeight="1" ht="15.75">
      <c r="A496" s="11"/>
      <c r="B496" s="11"/>
      <c r="C496" s="11"/>
      <c r="D496" s="11"/>
      <c r="E496" s="11"/>
      <c r="F496" s="6"/>
      <c r="G496" s="6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x14ac:dyDescent="0.25" r="497" customHeight="1" ht="15.75">
      <c r="A497" s="11"/>
      <c r="B497" s="11"/>
      <c r="C497" s="11"/>
      <c r="D497" s="11"/>
      <c r="E497" s="11"/>
      <c r="F497" s="6"/>
      <c r="G497" s="6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x14ac:dyDescent="0.25" r="498" customHeight="1" ht="15.75">
      <c r="A498" s="11"/>
      <c r="B498" s="11"/>
      <c r="C498" s="11"/>
      <c r="D498" s="11"/>
      <c r="E498" s="11"/>
      <c r="F498" s="6"/>
      <c r="G498" s="6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x14ac:dyDescent="0.25" r="499" customHeight="1" ht="15.75">
      <c r="A499" s="11"/>
      <c r="B499" s="11"/>
      <c r="C499" s="11"/>
      <c r="D499" s="11"/>
      <c r="E499" s="11"/>
      <c r="F499" s="6"/>
      <c r="G499" s="6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x14ac:dyDescent="0.25" r="500" customHeight="1" ht="15.75">
      <c r="A500" s="11"/>
      <c r="B500" s="11"/>
      <c r="C500" s="11"/>
      <c r="D500" s="11"/>
      <c r="E500" s="11"/>
      <c r="F500" s="6"/>
      <c r="G500" s="6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x14ac:dyDescent="0.25" r="501" customHeight="1" ht="15.75">
      <c r="A501" s="11"/>
      <c r="B501" s="11"/>
      <c r="C501" s="11"/>
      <c r="D501" s="11"/>
      <c r="E501" s="11"/>
      <c r="F501" s="6"/>
      <c r="G501" s="6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x14ac:dyDescent="0.25" r="502" customHeight="1" ht="15.75">
      <c r="A502" s="11"/>
      <c r="B502" s="11"/>
      <c r="C502" s="11"/>
      <c r="D502" s="11"/>
      <c r="E502" s="11"/>
      <c r="F502" s="6"/>
      <c r="G502" s="6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x14ac:dyDescent="0.25" r="503" customHeight="1" ht="15.75">
      <c r="A503" s="11"/>
      <c r="B503" s="11"/>
      <c r="C503" s="11"/>
      <c r="D503" s="11"/>
      <c r="E503" s="11"/>
      <c r="F503" s="6"/>
      <c r="G503" s="6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x14ac:dyDescent="0.25" r="504" customHeight="1" ht="15.75">
      <c r="A504" s="11"/>
      <c r="B504" s="11"/>
      <c r="C504" s="11"/>
      <c r="D504" s="11"/>
      <c r="E504" s="11"/>
      <c r="F504" s="6"/>
      <c r="G504" s="6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x14ac:dyDescent="0.25" r="505" customHeight="1" ht="15.75">
      <c r="A505" s="11"/>
      <c r="B505" s="11"/>
      <c r="C505" s="11"/>
      <c r="D505" s="11"/>
      <c r="E505" s="11"/>
      <c r="F505" s="6"/>
      <c r="G505" s="6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x14ac:dyDescent="0.25" r="506" customHeight="1" ht="15.75">
      <c r="A506" s="11"/>
      <c r="B506" s="11"/>
      <c r="C506" s="11"/>
      <c r="D506" s="11"/>
      <c r="E506" s="11"/>
      <c r="F506" s="6"/>
      <c r="G506" s="6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x14ac:dyDescent="0.25" r="507" customHeight="1" ht="15.75">
      <c r="A507" s="11"/>
      <c r="B507" s="11"/>
      <c r="C507" s="11"/>
      <c r="D507" s="11"/>
      <c r="E507" s="11"/>
      <c r="F507" s="6"/>
      <c r="G507" s="6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x14ac:dyDescent="0.25" r="508" customHeight="1" ht="15.75">
      <c r="A508" s="11"/>
      <c r="B508" s="11"/>
      <c r="C508" s="11"/>
      <c r="D508" s="11"/>
      <c r="E508" s="11"/>
      <c r="F508" s="6"/>
      <c r="G508" s="6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x14ac:dyDescent="0.25" r="509" customHeight="1" ht="15.75">
      <c r="A509" s="11"/>
      <c r="B509" s="11"/>
      <c r="C509" s="11"/>
      <c r="D509" s="11"/>
      <c r="E509" s="11"/>
      <c r="F509" s="6"/>
      <c r="G509" s="6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x14ac:dyDescent="0.25" r="510" customHeight="1" ht="15.75">
      <c r="A510" s="11"/>
      <c r="B510" s="11"/>
      <c r="C510" s="11"/>
      <c r="D510" s="11"/>
      <c r="E510" s="11"/>
      <c r="F510" s="6"/>
      <c r="G510" s="6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x14ac:dyDescent="0.25" r="511" customHeight="1" ht="15.75">
      <c r="A511" s="11"/>
      <c r="B511" s="11"/>
      <c r="C511" s="11"/>
      <c r="D511" s="11"/>
      <c r="E511" s="11"/>
      <c r="F511" s="6"/>
      <c r="G511" s="6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x14ac:dyDescent="0.25" r="512" customHeight="1" ht="15.75">
      <c r="A512" s="11"/>
      <c r="B512" s="11"/>
      <c r="C512" s="11"/>
      <c r="D512" s="11"/>
      <c r="E512" s="11"/>
      <c r="F512" s="6"/>
      <c r="G512" s="6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x14ac:dyDescent="0.25" r="513" customHeight="1" ht="15.75">
      <c r="A513" s="11"/>
      <c r="B513" s="11"/>
      <c r="C513" s="11"/>
      <c r="D513" s="11"/>
      <c r="E513" s="11"/>
      <c r="F513" s="6"/>
      <c r="G513" s="6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x14ac:dyDescent="0.25" r="514" customHeight="1" ht="15.75">
      <c r="A514" s="11"/>
      <c r="B514" s="11"/>
      <c r="C514" s="11"/>
      <c r="D514" s="11"/>
      <c r="E514" s="11"/>
      <c r="F514" s="6"/>
      <c r="G514" s="6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x14ac:dyDescent="0.25" r="515" customHeight="1" ht="15.75">
      <c r="A515" s="11"/>
      <c r="B515" s="11"/>
      <c r="C515" s="11"/>
      <c r="D515" s="11"/>
      <c r="E515" s="11"/>
      <c r="F515" s="6"/>
      <c r="G515" s="6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x14ac:dyDescent="0.25" r="516" customHeight="1" ht="15.75">
      <c r="A516" s="11"/>
      <c r="B516" s="11"/>
      <c r="C516" s="11"/>
      <c r="D516" s="11"/>
      <c r="E516" s="11"/>
      <c r="F516" s="6"/>
      <c r="G516" s="6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x14ac:dyDescent="0.25" r="517" customHeight="1" ht="15.75">
      <c r="A517" s="11"/>
      <c r="B517" s="11"/>
      <c r="C517" s="11"/>
      <c r="D517" s="11"/>
      <c r="E517" s="11"/>
      <c r="F517" s="6"/>
      <c r="G517" s="6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x14ac:dyDescent="0.25" r="518" customHeight="1" ht="15.75">
      <c r="A518" s="11"/>
      <c r="B518" s="11"/>
      <c r="C518" s="11"/>
      <c r="D518" s="11"/>
      <c r="E518" s="11"/>
      <c r="F518" s="6"/>
      <c r="G518" s="6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x14ac:dyDescent="0.25" r="519" customHeight="1" ht="15.75">
      <c r="A519" s="11"/>
      <c r="B519" s="11"/>
      <c r="C519" s="11"/>
      <c r="D519" s="11"/>
      <c r="E519" s="11"/>
      <c r="F519" s="6"/>
      <c r="G519" s="6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x14ac:dyDescent="0.25" r="520" customHeight="1" ht="15.75">
      <c r="A520" s="11"/>
      <c r="B520" s="11"/>
      <c r="C520" s="11"/>
      <c r="D520" s="11"/>
      <c r="E520" s="11"/>
      <c r="F520" s="6"/>
      <c r="G520" s="6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x14ac:dyDescent="0.25" r="521" customHeight="1" ht="15.75">
      <c r="A521" s="11"/>
      <c r="B521" s="11"/>
      <c r="C521" s="11"/>
      <c r="D521" s="11"/>
      <c r="E521" s="11"/>
      <c r="F521" s="6"/>
      <c r="G521" s="6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x14ac:dyDescent="0.25" r="522" customHeight="1" ht="15.75">
      <c r="A522" s="11"/>
      <c r="B522" s="11"/>
      <c r="C522" s="11"/>
      <c r="D522" s="11"/>
      <c r="E522" s="11"/>
      <c r="F522" s="6"/>
      <c r="G522" s="6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x14ac:dyDescent="0.25" r="523" customHeight="1" ht="15.75">
      <c r="A523" s="11"/>
      <c r="B523" s="11"/>
      <c r="C523" s="11"/>
      <c r="D523" s="11"/>
      <c r="E523" s="11"/>
      <c r="F523" s="6"/>
      <c r="G523" s="6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x14ac:dyDescent="0.25" r="524" customHeight="1" ht="15.75">
      <c r="A524" s="11"/>
      <c r="B524" s="11"/>
      <c r="C524" s="11"/>
      <c r="D524" s="11"/>
      <c r="E524" s="11"/>
      <c r="F524" s="6"/>
      <c r="G524" s="6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x14ac:dyDescent="0.25" r="525" customHeight="1" ht="15.75">
      <c r="A525" s="11"/>
      <c r="B525" s="11"/>
      <c r="C525" s="11"/>
      <c r="D525" s="11"/>
      <c r="E525" s="11"/>
      <c r="F525" s="6"/>
      <c r="G525" s="6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x14ac:dyDescent="0.25" r="526" customHeight="1" ht="15.75">
      <c r="A526" s="11"/>
      <c r="B526" s="11"/>
      <c r="C526" s="11"/>
      <c r="D526" s="11"/>
      <c r="E526" s="11"/>
      <c r="F526" s="6"/>
      <c r="G526" s="6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x14ac:dyDescent="0.25" r="527" customHeight="1" ht="15.75">
      <c r="A527" s="11"/>
      <c r="B527" s="11"/>
      <c r="C527" s="11"/>
      <c r="D527" s="11"/>
      <c r="E527" s="11"/>
      <c r="F527" s="6"/>
      <c r="G527" s="6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x14ac:dyDescent="0.25" r="528" customHeight="1" ht="15.75">
      <c r="A528" s="11"/>
      <c r="B528" s="11"/>
      <c r="C528" s="11"/>
      <c r="D528" s="11"/>
      <c r="E528" s="11"/>
      <c r="F528" s="6"/>
      <c r="G528" s="6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x14ac:dyDescent="0.25" r="529" customHeight="1" ht="15.75">
      <c r="A529" s="11"/>
      <c r="B529" s="11"/>
      <c r="C529" s="11"/>
      <c r="D529" s="11"/>
      <c r="E529" s="11"/>
      <c r="F529" s="6"/>
      <c r="G529" s="6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x14ac:dyDescent="0.25" r="530" customHeight="1" ht="15.75">
      <c r="A530" s="11"/>
      <c r="B530" s="11"/>
      <c r="C530" s="11"/>
      <c r="D530" s="11"/>
      <c r="E530" s="11"/>
      <c r="F530" s="6"/>
      <c r="G530" s="6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x14ac:dyDescent="0.25" r="531" customHeight="1" ht="15.75">
      <c r="A531" s="11"/>
      <c r="B531" s="11"/>
      <c r="C531" s="11"/>
      <c r="D531" s="11"/>
      <c r="E531" s="11"/>
      <c r="F531" s="6"/>
      <c r="G531" s="6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x14ac:dyDescent="0.25" r="532" customHeight="1" ht="15.75">
      <c r="A532" s="11"/>
      <c r="B532" s="11"/>
      <c r="C532" s="11"/>
      <c r="D532" s="11"/>
      <c r="E532" s="11"/>
      <c r="F532" s="6"/>
      <c r="G532" s="6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x14ac:dyDescent="0.25" r="533" customHeight="1" ht="15.75">
      <c r="A533" s="11"/>
      <c r="B533" s="11"/>
      <c r="C533" s="11"/>
      <c r="D533" s="11"/>
      <c r="E533" s="11"/>
      <c r="F533" s="6"/>
      <c r="G533" s="6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x14ac:dyDescent="0.25" r="534" customHeight="1" ht="15.75">
      <c r="A534" s="11"/>
      <c r="B534" s="11"/>
      <c r="C534" s="11"/>
      <c r="D534" s="11"/>
      <c r="E534" s="11"/>
      <c r="F534" s="6"/>
      <c r="G534" s="6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x14ac:dyDescent="0.25" r="535" customHeight="1" ht="15.75">
      <c r="A535" s="11"/>
      <c r="B535" s="11"/>
      <c r="C535" s="11"/>
      <c r="D535" s="11"/>
      <c r="E535" s="11"/>
      <c r="F535" s="6"/>
      <c r="G535" s="6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x14ac:dyDescent="0.25" r="536" customHeight="1" ht="15.75">
      <c r="A536" s="11"/>
      <c r="B536" s="11"/>
      <c r="C536" s="11"/>
      <c r="D536" s="11"/>
      <c r="E536" s="11"/>
      <c r="F536" s="6"/>
      <c r="G536" s="6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x14ac:dyDescent="0.25" r="537" customHeight="1" ht="15.75">
      <c r="A537" s="11"/>
      <c r="B537" s="11"/>
      <c r="C537" s="11"/>
      <c r="D537" s="11"/>
      <c r="E537" s="11"/>
      <c r="F537" s="6"/>
      <c r="G537" s="6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x14ac:dyDescent="0.25" r="538" customHeight="1" ht="15.75">
      <c r="A538" s="11"/>
      <c r="B538" s="11"/>
      <c r="C538" s="11"/>
      <c r="D538" s="11"/>
      <c r="E538" s="11"/>
      <c r="F538" s="6"/>
      <c r="G538" s="6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x14ac:dyDescent="0.25" r="539" customHeight="1" ht="15.75">
      <c r="A539" s="11"/>
      <c r="B539" s="11"/>
      <c r="C539" s="11"/>
      <c r="D539" s="11"/>
      <c r="E539" s="11"/>
      <c r="F539" s="6"/>
      <c r="G539" s="6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x14ac:dyDescent="0.25" r="540" customHeight="1" ht="15.75">
      <c r="A540" s="11"/>
      <c r="B540" s="11"/>
      <c r="C540" s="11"/>
      <c r="D540" s="11"/>
      <c r="E540" s="11"/>
      <c r="F540" s="6"/>
      <c r="G540" s="6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x14ac:dyDescent="0.25" r="541" customHeight="1" ht="15.75">
      <c r="A541" s="11"/>
      <c r="B541" s="11"/>
      <c r="C541" s="11"/>
      <c r="D541" s="11"/>
      <c r="E541" s="11"/>
      <c r="F541" s="6"/>
      <c r="G541" s="6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x14ac:dyDescent="0.25" r="542" customHeight="1" ht="15.75">
      <c r="A542" s="11"/>
      <c r="B542" s="11"/>
      <c r="C542" s="11"/>
      <c r="D542" s="11"/>
      <c r="E542" s="11"/>
      <c r="F542" s="6"/>
      <c r="G542" s="6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x14ac:dyDescent="0.25" r="543" customHeight="1" ht="15.75">
      <c r="A543" s="11"/>
      <c r="B543" s="11"/>
      <c r="C543" s="11"/>
      <c r="D543" s="11"/>
      <c r="E543" s="11"/>
      <c r="F543" s="6"/>
      <c r="G543" s="6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x14ac:dyDescent="0.25" r="544" customHeight="1" ht="15.75">
      <c r="A544" s="11"/>
      <c r="B544" s="11"/>
      <c r="C544" s="11"/>
      <c r="D544" s="11"/>
      <c r="E544" s="11"/>
      <c r="F544" s="6"/>
      <c r="G544" s="6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x14ac:dyDescent="0.25" r="545" customHeight="1" ht="15.75">
      <c r="A545" s="11"/>
      <c r="B545" s="11"/>
      <c r="C545" s="11"/>
      <c r="D545" s="11"/>
      <c r="E545" s="11"/>
      <c r="F545" s="6"/>
      <c r="G545" s="6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x14ac:dyDescent="0.25" r="546" customHeight="1" ht="15.75">
      <c r="A546" s="11"/>
      <c r="B546" s="11"/>
      <c r="C546" s="11"/>
      <c r="D546" s="11"/>
      <c r="E546" s="11"/>
      <c r="F546" s="6"/>
      <c r="G546" s="6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x14ac:dyDescent="0.25" r="547" customHeight="1" ht="15.75">
      <c r="A547" s="11"/>
      <c r="B547" s="11"/>
      <c r="C547" s="11"/>
      <c r="D547" s="11"/>
      <c r="E547" s="11"/>
      <c r="F547" s="6"/>
      <c r="G547" s="6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x14ac:dyDescent="0.25" r="548" customHeight="1" ht="15.75">
      <c r="A548" s="11"/>
      <c r="B548" s="11"/>
      <c r="C548" s="11"/>
      <c r="D548" s="11"/>
      <c r="E548" s="11"/>
      <c r="F548" s="6"/>
      <c r="G548" s="6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x14ac:dyDescent="0.25" r="549" customHeight="1" ht="15.75">
      <c r="A549" s="11"/>
      <c r="B549" s="11"/>
      <c r="C549" s="11"/>
      <c r="D549" s="11"/>
      <c r="E549" s="11"/>
      <c r="F549" s="6"/>
      <c r="G549" s="6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x14ac:dyDescent="0.25" r="550" customHeight="1" ht="15.75">
      <c r="A550" s="11"/>
      <c r="B550" s="11"/>
      <c r="C550" s="11"/>
      <c r="D550" s="11"/>
      <c r="E550" s="11"/>
      <c r="F550" s="6"/>
      <c r="G550" s="6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x14ac:dyDescent="0.25" r="551" customHeight="1" ht="15.75">
      <c r="A551" s="11"/>
      <c r="B551" s="11"/>
      <c r="C551" s="11"/>
      <c r="D551" s="11"/>
      <c r="E551" s="11"/>
      <c r="F551" s="6"/>
      <c r="G551" s="6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x14ac:dyDescent="0.25" r="552" customHeight="1" ht="15.75">
      <c r="A552" s="11"/>
      <c r="B552" s="11"/>
      <c r="C552" s="11"/>
      <c r="D552" s="11"/>
      <c r="E552" s="11"/>
      <c r="F552" s="6"/>
      <c r="G552" s="6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x14ac:dyDescent="0.25" r="553" customHeight="1" ht="15.75">
      <c r="A553" s="11"/>
      <c r="B553" s="11"/>
      <c r="C553" s="11"/>
      <c r="D553" s="11"/>
      <c r="E553" s="11"/>
      <c r="F553" s="6"/>
      <c r="G553" s="6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x14ac:dyDescent="0.25" r="554" customHeight="1" ht="15.75">
      <c r="A554" s="11"/>
      <c r="B554" s="11"/>
      <c r="C554" s="11"/>
      <c r="D554" s="11"/>
      <c r="E554" s="11"/>
      <c r="F554" s="6"/>
      <c r="G554" s="6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x14ac:dyDescent="0.25" r="555" customHeight="1" ht="15.75">
      <c r="A555" s="11"/>
      <c r="B555" s="11"/>
      <c r="C555" s="11"/>
      <c r="D555" s="11"/>
      <c r="E555" s="11"/>
      <c r="F555" s="6"/>
      <c r="G555" s="6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x14ac:dyDescent="0.25" r="556" customHeight="1" ht="15.75">
      <c r="A556" s="11"/>
      <c r="B556" s="11"/>
      <c r="C556" s="11"/>
      <c r="D556" s="11"/>
      <c r="E556" s="11"/>
      <c r="F556" s="6"/>
      <c r="G556" s="6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x14ac:dyDescent="0.25" r="557" customHeight="1" ht="15.75">
      <c r="A557" s="11"/>
      <c r="B557" s="11"/>
      <c r="C557" s="11"/>
      <c r="D557" s="11"/>
      <c r="E557" s="11"/>
      <c r="F557" s="6"/>
      <c r="G557" s="6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x14ac:dyDescent="0.25" r="558" customHeight="1" ht="15.75">
      <c r="A558" s="11"/>
      <c r="B558" s="11"/>
      <c r="C558" s="11"/>
      <c r="D558" s="11"/>
      <c r="E558" s="11"/>
      <c r="F558" s="6"/>
      <c r="G558" s="6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x14ac:dyDescent="0.25" r="559" customHeight="1" ht="15.75">
      <c r="A559" s="11"/>
      <c r="B559" s="11"/>
      <c r="C559" s="11"/>
      <c r="D559" s="11"/>
      <c r="E559" s="11"/>
      <c r="F559" s="6"/>
      <c r="G559" s="6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x14ac:dyDescent="0.25" r="560" customHeight="1" ht="15.75">
      <c r="A560" s="11"/>
      <c r="B560" s="11"/>
      <c r="C560" s="11"/>
      <c r="D560" s="11"/>
      <c r="E560" s="11"/>
      <c r="F560" s="6"/>
      <c r="G560" s="6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x14ac:dyDescent="0.25" r="561" customHeight="1" ht="15.75">
      <c r="A561" s="11"/>
      <c r="B561" s="11"/>
      <c r="C561" s="11"/>
      <c r="D561" s="11"/>
      <c r="E561" s="11"/>
      <c r="F561" s="6"/>
      <c r="G561" s="6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x14ac:dyDescent="0.25" r="562" customHeight="1" ht="15.75">
      <c r="A562" s="11"/>
      <c r="B562" s="11"/>
      <c r="C562" s="11"/>
      <c r="D562" s="11"/>
      <c r="E562" s="11"/>
      <c r="F562" s="6"/>
      <c r="G562" s="6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x14ac:dyDescent="0.25" r="563" customHeight="1" ht="15.75">
      <c r="A563" s="11"/>
      <c r="B563" s="11"/>
      <c r="C563" s="11"/>
      <c r="D563" s="11"/>
      <c r="E563" s="11"/>
      <c r="F563" s="6"/>
      <c r="G563" s="6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x14ac:dyDescent="0.25" r="564" customHeight="1" ht="15.75">
      <c r="A564" s="11"/>
      <c r="B564" s="11"/>
      <c r="C564" s="11"/>
      <c r="D564" s="11"/>
      <c r="E564" s="11"/>
      <c r="F564" s="6"/>
      <c r="G564" s="6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x14ac:dyDescent="0.25" r="565" customHeight="1" ht="15.75">
      <c r="A565" s="11"/>
      <c r="B565" s="11"/>
      <c r="C565" s="11"/>
      <c r="D565" s="11"/>
      <c r="E565" s="11"/>
      <c r="F565" s="6"/>
      <c r="G565" s="6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x14ac:dyDescent="0.25" r="566" customHeight="1" ht="15.75">
      <c r="A566" s="11"/>
      <c r="B566" s="11"/>
      <c r="C566" s="11"/>
      <c r="D566" s="11"/>
      <c r="E566" s="11"/>
      <c r="F566" s="6"/>
      <c r="G566" s="6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x14ac:dyDescent="0.25" r="567" customHeight="1" ht="15.75">
      <c r="A567" s="11"/>
      <c r="B567" s="11"/>
      <c r="C567" s="11"/>
      <c r="D567" s="11"/>
      <c r="E567" s="11"/>
      <c r="F567" s="6"/>
      <c r="G567" s="6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x14ac:dyDescent="0.25" r="568" customHeight="1" ht="15.75">
      <c r="A568" s="11"/>
      <c r="B568" s="11"/>
      <c r="C568" s="11"/>
      <c r="D568" s="11"/>
      <c r="E568" s="11"/>
      <c r="F568" s="6"/>
      <c r="G568" s="6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x14ac:dyDescent="0.25" r="569" customHeight="1" ht="15.75">
      <c r="A569" s="11"/>
      <c r="B569" s="11"/>
      <c r="C569" s="11"/>
      <c r="D569" s="11"/>
      <c r="E569" s="11"/>
      <c r="F569" s="6"/>
      <c r="G569" s="6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x14ac:dyDescent="0.25" r="570" customHeight="1" ht="15.75">
      <c r="A570" s="11"/>
      <c r="B570" s="11"/>
      <c r="C570" s="11"/>
      <c r="D570" s="11"/>
      <c r="E570" s="11"/>
      <c r="F570" s="6"/>
      <c r="G570" s="6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x14ac:dyDescent="0.25" r="571" customHeight="1" ht="15.75">
      <c r="A571" s="11"/>
      <c r="B571" s="11"/>
      <c r="C571" s="11"/>
      <c r="D571" s="11"/>
      <c r="E571" s="11"/>
      <c r="F571" s="6"/>
      <c r="G571" s="6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x14ac:dyDescent="0.25" r="572" customHeight="1" ht="15.75">
      <c r="A572" s="11"/>
      <c r="B572" s="11"/>
      <c r="C572" s="11"/>
      <c r="D572" s="11"/>
      <c r="E572" s="11"/>
      <c r="F572" s="6"/>
      <c r="G572" s="6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x14ac:dyDescent="0.25" r="573" customHeight="1" ht="15.75">
      <c r="A573" s="11"/>
      <c r="B573" s="11"/>
      <c r="C573" s="11"/>
      <c r="D573" s="11"/>
      <c r="E573" s="11"/>
      <c r="F573" s="6"/>
      <c r="G573" s="6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x14ac:dyDescent="0.25" r="574" customHeight="1" ht="15.75">
      <c r="A574" s="11"/>
      <c r="B574" s="11"/>
      <c r="C574" s="11"/>
      <c r="D574" s="11"/>
      <c r="E574" s="11"/>
      <c r="F574" s="6"/>
      <c r="G574" s="6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x14ac:dyDescent="0.25" r="575" customHeight="1" ht="15.75">
      <c r="A575" s="11"/>
      <c r="B575" s="11"/>
      <c r="C575" s="11"/>
      <c r="D575" s="11"/>
      <c r="E575" s="11"/>
      <c r="F575" s="6"/>
      <c r="G575" s="6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x14ac:dyDescent="0.25" r="576" customHeight="1" ht="15.75">
      <c r="A576" s="11"/>
      <c r="B576" s="11"/>
      <c r="C576" s="11"/>
      <c r="D576" s="11"/>
      <c r="E576" s="11"/>
      <c r="F576" s="6"/>
      <c r="G576" s="6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x14ac:dyDescent="0.25" r="577" customHeight="1" ht="15.75">
      <c r="A577" s="11"/>
      <c r="B577" s="11"/>
      <c r="C577" s="11"/>
      <c r="D577" s="11"/>
      <c r="E577" s="11"/>
      <c r="F577" s="6"/>
      <c r="G577" s="6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x14ac:dyDescent="0.25" r="578" customHeight="1" ht="15.75">
      <c r="A578" s="11"/>
      <c r="B578" s="11"/>
      <c r="C578" s="11"/>
      <c r="D578" s="11"/>
      <c r="E578" s="11"/>
      <c r="F578" s="6"/>
      <c r="G578" s="6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x14ac:dyDescent="0.25" r="579" customHeight="1" ht="15.75">
      <c r="A579" s="11"/>
      <c r="B579" s="11"/>
      <c r="C579" s="11"/>
      <c r="D579" s="11"/>
      <c r="E579" s="11"/>
      <c r="F579" s="6"/>
      <c r="G579" s="6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x14ac:dyDescent="0.25" r="580" customHeight="1" ht="15.75">
      <c r="A580" s="11"/>
      <c r="B580" s="11"/>
      <c r="C580" s="11"/>
      <c r="D580" s="11"/>
      <c r="E580" s="11"/>
      <c r="F580" s="6"/>
      <c r="G580" s="6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x14ac:dyDescent="0.25" r="581" customHeight="1" ht="15.75">
      <c r="A581" s="11"/>
      <c r="B581" s="11"/>
      <c r="C581" s="11"/>
      <c r="D581" s="11"/>
      <c r="E581" s="11"/>
      <c r="F581" s="6"/>
      <c r="G581" s="6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x14ac:dyDescent="0.25" r="582" customHeight="1" ht="15.75">
      <c r="A582" s="11"/>
      <c r="B582" s="11"/>
      <c r="C582" s="11"/>
      <c r="D582" s="11"/>
      <c r="E582" s="11"/>
      <c r="F582" s="6"/>
      <c r="G582" s="6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x14ac:dyDescent="0.25" r="583" customHeight="1" ht="15.75">
      <c r="A583" s="11"/>
      <c r="B583" s="11"/>
      <c r="C583" s="11"/>
      <c r="D583" s="11"/>
      <c r="E583" s="11"/>
      <c r="F583" s="6"/>
      <c r="G583" s="6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x14ac:dyDescent="0.25" r="584" customHeight="1" ht="15.75">
      <c r="A584" s="11"/>
      <c r="B584" s="11"/>
      <c r="C584" s="11"/>
      <c r="D584" s="11"/>
      <c r="E584" s="11"/>
      <c r="F584" s="6"/>
      <c r="G584" s="6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x14ac:dyDescent="0.25" r="585" customHeight="1" ht="15.75">
      <c r="A585" s="11"/>
      <c r="B585" s="11"/>
      <c r="C585" s="11"/>
      <c r="D585" s="11"/>
      <c r="E585" s="11"/>
      <c r="F585" s="6"/>
      <c r="G585" s="6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x14ac:dyDescent="0.25" r="586" customHeight="1" ht="15.75">
      <c r="A586" s="11"/>
      <c r="B586" s="11"/>
      <c r="C586" s="11"/>
      <c r="D586" s="11"/>
      <c r="E586" s="11"/>
      <c r="F586" s="6"/>
      <c r="G586" s="6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x14ac:dyDescent="0.25" r="587" customHeight="1" ht="15.75">
      <c r="A587" s="11"/>
      <c r="B587" s="11"/>
      <c r="C587" s="11"/>
      <c r="D587" s="11"/>
      <c r="E587" s="11"/>
      <c r="F587" s="6"/>
      <c r="G587" s="6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x14ac:dyDescent="0.25" r="588" customHeight="1" ht="15.75">
      <c r="A588" s="11"/>
      <c r="B588" s="11"/>
      <c r="C588" s="11"/>
      <c r="D588" s="11"/>
      <c r="E588" s="11"/>
      <c r="F588" s="6"/>
      <c r="G588" s="6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x14ac:dyDescent="0.25" r="589" customHeight="1" ht="15.75">
      <c r="A589" s="11"/>
      <c r="B589" s="11"/>
      <c r="C589" s="11"/>
      <c r="D589" s="11"/>
      <c r="E589" s="11"/>
      <c r="F589" s="6"/>
      <c r="G589" s="6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x14ac:dyDescent="0.25" r="590" customHeight="1" ht="15.75">
      <c r="A590" s="11"/>
      <c r="B590" s="11"/>
      <c r="C590" s="11"/>
      <c r="D590" s="11"/>
      <c r="E590" s="11"/>
      <c r="F590" s="6"/>
      <c r="G590" s="6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x14ac:dyDescent="0.25" r="591" customHeight="1" ht="15.75">
      <c r="A591" s="11"/>
      <c r="B591" s="11"/>
      <c r="C591" s="11"/>
      <c r="D591" s="11"/>
      <c r="E591" s="11"/>
      <c r="F591" s="6"/>
      <c r="G591" s="6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x14ac:dyDescent="0.25" r="592" customHeight="1" ht="15.75">
      <c r="A592" s="11"/>
      <c r="B592" s="11"/>
      <c r="C592" s="11"/>
      <c r="D592" s="11"/>
      <c r="E592" s="11"/>
      <c r="F592" s="6"/>
      <c r="G592" s="6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x14ac:dyDescent="0.25" r="593" customHeight="1" ht="15.75">
      <c r="A593" s="11"/>
      <c r="B593" s="11"/>
      <c r="C593" s="11"/>
      <c r="D593" s="11"/>
      <c r="E593" s="11"/>
      <c r="F593" s="6"/>
      <c r="G593" s="6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x14ac:dyDescent="0.25" r="594" customHeight="1" ht="15.75">
      <c r="A594" s="11"/>
      <c r="B594" s="11"/>
      <c r="C594" s="11"/>
      <c r="D594" s="11"/>
      <c r="E594" s="11"/>
      <c r="F594" s="6"/>
      <c r="G594" s="6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x14ac:dyDescent="0.25" r="595" customHeight="1" ht="15.75">
      <c r="A595" s="11"/>
      <c r="B595" s="11"/>
      <c r="C595" s="11"/>
      <c r="D595" s="11"/>
      <c r="E595" s="11"/>
      <c r="F595" s="6"/>
      <c r="G595" s="6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x14ac:dyDescent="0.25" r="596" customHeight="1" ht="15.75">
      <c r="A596" s="11"/>
      <c r="B596" s="11"/>
      <c r="C596" s="11"/>
      <c r="D596" s="11"/>
      <c r="E596" s="11"/>
      <c r="F596" s="6"/>
      <c r="G596" s="6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x14ac:dyDescent="0.25" r="597" customHeight="1" ht="15.75">
      <c r="A597" s="11"/>
      <c r="B597" s="11"/>
      <c r="C597" s="11"/>
      <c r="D597" s="11"/>
      <c r="E597" s="11"/>
      <c r="F597" s="6"/>
      <c r="G597" s="6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x14ac:dyDescent="0.25" r="598" customHeight="1" ht="15.75">
      <c r="A598" s="11"/>
      <c r="B598" s="11"/>
      <c r="C598" s="11"/>
      <c r="D598" s="11"/>
      <c r="E598" s="11"/>
      <c r="F598" s="6"/>
      <c r="G598" s="6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x14ac:dyDescent="0.25" r="599" customHeight="1" ht="15.75">
      <c r="A599" s="11"/>
      <c r="B599" s="11"/>
      <c r="C599" s="11"/>
      <c r="D599" s="11"/>
      <c r="E599" s="11"/>
      <c r="F599" s="6"/>
      <c r="G599" s="6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x14ac:dyDescent="0.25" r="600" customHeight="1" ht="15.75">
      <c r="A600" s="11"/>
      <c r="B600" s="11"/>
      <c r="C600" s="11"/>
      <c r="D600" s="11"/>
      <c r="E600" s="11"/>
      <c r="F600" s="6"/>
      <c r="G600" s="6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x14ac:dyDescent="0.25" r="601" customHeight="1" ht="15.75">
      <c r="A601" s="11"/>
      <c r="B601" s="11"/>
      <c r="C601" s="11"/>
      <c r="D601" s="11"/>
      <c r="E601" s="11"/>
      <c r="F601" s="6"/>
      <c r="G601" s="6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x14ac:dyDescent="0.25" r="602" customHeight="1" ht="15.75">
      <c r="A602" s="11"/>
      <c r="B602" s="11"/>
      <c r="C602" s="11"/>
      <c r="D602" s="11"/>
      <c r="E602" s="11"/>
      <c r="F602" s="6"/>
      <c r="G602" s="6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x14ac:dyDescent="0.25" r="603" customHeight="1" ht="15.75">
      <c r="A603" s="11"/>
      <c r="B603" s="11"/>
      <c r="C603" s="11"/>
      <c r="D603" s="11"/>
      <c r="E603" s="11"/>
      <c r="F603" s="6"/>
      <c r="G603" s="6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x14ac:dyDescent="0.25" r="604" customHeight="1" ht="15.75">
      <c r="A604" s="11"/>
      <c r="B604" s="11"/>
      <c r="C604" s="11"/>
      <c r="D604" s="11"/>
      <c r="E604" s="11"/>
      <c r="F604" s="6"/>
      <c r="G604" s="6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x14ac:dyDescent="0.25" r="605" customHeight="1" ht="15.75">
      <c r="A605" s="11"/>
      <c r="B605" s="11"/>
      <c r="C605" s="11"/>
      <c r="D605" s="11"/>
      <c r="E605" s="11"/>
      <c r="F605" s="6"/>
      <c r="G605" s="6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x14ac:dyDescent="0.25" r="606" customHeight="1" ht="15.75">
      <c r="A606" s="11"/>
      <c r="B606" s="11"/>
      <c r="C606" s="11"/>
      <c r="D606" s="11"/>
      <c r="E606" s="11"/>
      <c r="F606" s="6"/>
      <c r="G606" s="6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x14ac:dyDescent="0.25" r="607" customHeight="1" ht="15.75">
      <c r="A607" s="11"/>
      <c r="B607" s="11"/>
      <c r="C607" s="11"/>
      <c r="D607" s="11"/>
      <c r="E607" s="11"/>
      <c r="F607" s="6"/>
      <c r="G607" s="6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x14ac:dyDescent="0.25" r="608" customHeight="1" ht="15.75">
      <c r="A608" s="11"/>
      <c r="B608" s="11"/>
      <c r="C608" s="11"/>
      <c r="D608" s="11"/>
      <c r="E608" s="11"/>
      <c r="F608" s="6"/>
      <c r="G608" s="6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x14ac:dyDescent="0.25" r="609" customHeight="1" ht="15.75">
      <c r="A609" s="11"/>
      <c r="B609" s="11"/>
      <c r="C609" s="11"/>
      <c r="D609" s="11"/>
      <c r="E609" s="11"/>
      <c r="F609" s="6"/>
      <c r="G609" s="6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x14ac:dyDescent="0.25" r="610" customHeight="1" ht="15.75">
      <c r="A610" s="11"/>
      <c r="B610" s="11"/>
      <c r="C610" s="11"/>
      <c r="D610" s="11"/>
      <c r="E610" s="11"/>
      <c r="F610" s="6"/>
      <c r="G610" s="6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x14ac:dyDescent="0.25" r="611" customHeight="1" ht="15.75">
      <c r="A611" s="11"/>
      <c r="B611" s="11"/>
      <c r="C611" s="11"/>
      <c r="D611" s="11"/>
      <c r="E611" s="11"/>
      <c r="F611" s="6"/>
      <c r="G611" s="6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x14ac:dyDescent="0.25" r="612" customHeight="1" ht="15.75">
      <c r="A612" s="11"/>
      <c r="B612" s="11"/>
      <c r="C612" s="11"/>
      <c r="D612" s="11"/>
      <c r="E612" s="11"/>
      <c r="F612" s="6"/>
      <c r="G612" s="6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x14ac:dyDescent="0.25" r="613" customHeight="1" ht="15.75">
      <c r="A613" s="11"/>
      <c r="B613" s="11"/>
      <c r="C613" s="11"/>
      <c r="D613" s="11"/>
      <c r="E613" s="11"/>
      <c r="F613" s="6"/>
      <c r="G613" s="6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x14ac:dyDescent="0.25" r="614" customHeight="1" ht="15.75">
      <c r="A614" s="11"/>
      <c r="B614" s="11"/>
      <c r="C614" s="11"/>
      <c r="D614" s="11"/>
      <c r="E614" s="11"/>
      <c r="F614" s="6"/>
      <c r="G614" s="6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x14ac:dyDescent="0.25" r="615" customHeight="1" ht="15.75">
      <c r="A615" s="11"/>
      <c r="B615" s="11"/>
      <c r="C615" s="11"/>
      <c r="D615" s="11"/>
      <c r="E615" s="11"/>
      <c r="F615" s="6"/>
      <c r="G615" s="6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x14ac:dyDescent="0.25" r="616" customHeight="1" ht="15.75">
      <c r="A616" s="11"/>
      <c r="B616" s="11"/>
      <c r="C616" s="11"/>
      <c r="D616" s="11"/>
      <c r="E616" s="11"/>
      <c r="F616" s="6"/>
      <c r="G616" s="6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x14ac:dyDescent="0.25" r="617" customHeight="1" ht="15.75">
      <c r="A617" s="11"/>
      <c r="B617" s="11"/>
      <c r="C617" s="11"/>
      <c r="D617" s="11"/>
      <c r="E617" s="11"/>
      <c r="F617" s="6"/>
      <c r="G617" s="6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x14ac:dyDescent="0.25" r="618" customHeight="1" ht="15.75">
      <c r="A618" s="11"/>
      <c r="B618" s="11"/>
      <c r="C618" s="11"/>
      <c r="D618" s="11"/>
      <c r="E618" s="11"/>
      <c r="F618" s="6"/>
      <c r="G618" s="6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x14ac:dyDescent="0.25" r="619" customHeight="1" ht="15.75">
      <c r="A619" s="11"/>
      <c r="B619" s="11"/>
      <c r="C619" s="11"/>
      <c r="D619" s="11"/>
      <c r="E619" s="11"/>
      <c r="F619" s="6"/>
      <c r="G619" s="6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x14ac:dyDescent="0.25" r="620" customHeight="1" ht="15.75">
      <c r="A620" s="11"/>
      <c r="B620" s="11"/>
      <c r="C620" s="11"/>
      <c r="D620" s="11"/>
      <c r="E620" s="11"/>
      <c r="F620" s="6"/>
      <c r="G620" s="6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x14ac:dyDescent="0.25" r="621" customHeight="1" ht="15.75">
      <c r="A621" s="11"/>
      <c r="B621" s="11"/>
      <c r="C621" s="11"/>
      <c r="D621" s="11"/>
      <c r="E621" s="11"/>
      <c r="F621" s="6"/>
      <c r="G621" s="6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x14ac:dyDescent="0.25" r="622" customHeight="1" ht="15.75">
      <c r="A622" s="11"/>
      <c r="B622" s="11"/>
      <c r="C622" s="11"/>
      <c r="D622" s="11"/>
      <c r="E622" s="11"/>
      <c r="F622" s="6"/>
      <c r="G622" s="6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x14ac:dyDescent="0.25" r="623" customHeight="1" ht="15.75">
      <c r="A623" s="11"/>
      <c r="B623" s="11"/>
      <c r="C623" s="11"/>
      <c r="D623" s="11"/>
      <c r="E623" s="11"/>
      <c r="F623" s="6"/>
      <c r="G623" s="6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x14ac:dyDescent="0.25" r="624" customHeight="1" ht="15.75">
      <c r="A624" s="11"/>
      <c r="B624" s="11"/>
      <c r="C624" s="11"/>
      <c r="D624" s="11"/>
      <c r="E624" s="11"/>
      <c r="F624" s="6"/>
      <c r="G624" s="6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x14ac:dyDescent="0.25" r="625" customHeight="1" ht="15.75">
      <c r="A625" s="11"/>
      <c r="B625" s="11"/>
      <c r="C625" s="11"/>
      <c r="D625" s="11"/>
      <c r="E625" s="11"/>
      <c r="F625" s="6"/>
      <c r="G625" s="6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x14ac:dyDescent="0.25" r="626" customHeight="1" ht="15.75">
      <c r="A626" s="11"/>
      <c r="B626" s="11"/>
      <c r="C626" s="11"/>
      <c r="D626" s="11"/>
      <c r="E626" s="11"/>
      <c r="F626" s="6"/>
      <c r="G626" s="6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x14ac:dyDescent="0.25" r="627" customHeight="1" ht="15.75">
      <c r="A627" s="11"/>
      <c r="B627" s="11"/>
      <c r="C627" s="11"/>
      <c r="D627" s="11"/>
      <c r="E627" s="11"/>
      <c r="F627" s="6"/>
      <c r="G627" s="6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x14ac:dyDescent="0.25" r="628" customHeight="1" ht="15.75">
      <c r="A628" s="11"/>
      <c r="B628" s="11"/>
      <c r="C628" s="11"/>
      <c r="D628" s="11"/>
      <c r="E628" s="11"/>
      <c r="F628" s="6"/>
      <c r="G628" s="6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x14ac:dyDescent="0.25" r="629" customHeight="1" ht="15.75">
      <c r="A629" s="11"/>
      <c r="B629" s="11"/>
      <c r="C629" s="11"/>
      <c r="D629" s="11"/>
      <c r="E629" s="11"/>
      <c r="F629" s="6"/>
      <c r="G629" s="6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x14ac:dyDescent="0.25" r="630" customHeight="1" ht="15.75">
      <c r="A630" s="11"/>
      <c r="B630" s="11"/>
      <c r="C630" s="11"/>
      <c r="D630" s="11"/>
      <c r="E630" s="11"/>
      <c r="F630" s="6"/>
      <c r="G630" s="6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x14ac:dyDescent="0.25" r="631" customHeight="1" ht="15.75">
      <c r="A631" s="11"/>
      <c r="B631" s="11"/>
      <c r="C631" s="11"/>
      <c r="D631" s="11"/>
      <c r="E631" s="11"/>
      <c r="F631" s="6"/>
      <c r="G631" s="6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x14ac:dyDescent="0.25" r="632" customHeight="1" ht="15.75">
      <c r="A632" s="11"/>
      <c r="B632" s="11"/>
      <c r="C632" s="11"/>
      <c r="D632" s="11"/>
      <c r="E632" s="11"/>
      <c r="F632" s="6"/>
      <c r="G632" s="6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x14ac:dyDescent="0.25" r="633" customHeight="1" ht="15.75">
      <c r="A633" s="11"/>
      <c r="B633" s="11"/>
      <c r="C633" s="11"/>
      <c r="D633" s="11"/>
      <c r="E633" s="11"/>
      <c r="F633" s="6"/>
      <c r="G633" s="6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x14ac:dyDescent="0.25" r="634" customHeight="1" ht="15.75">
      <c r="A634" s="11"/>
      <c r="B634" s="11"/>
      <c r="C634" s="11"/>
      <c r="D634" s="11"/>
      <c r="E634" s="11"/>
      <c r="F634" s="6"/>
      <c r="G634" s="6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x14ac:dyDescent="0.25" r="635" customHeight="1" ht="15.75">
      <c r="A635" s="11"/>
      <c r="B635" s="11"/>
      <c r="C635" s="11"/>
      <c r="D635" s="11"/>
      <c r="E635" s="11"/>
      <c r="F635" s="6"/>
      <c r="G635" s="6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x14ac:dyDescent="0.25" r="636" customHeight="1" ht="15.75">
      <c r="A636" s="11"/>
      <c r="B636" s="11"/>
      <c r="C636" s="11"/>
      <c r="D636" s="11"/>
      <c r="E636" s="11"/>
      <c r="F636" s="6"/>
      <c r="G636" s="6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x14ac:dyDescent="0.25" r="637" customHeight="1" ht="15.75">
      <c r="A637" s="11"/>
      <c r="B637" s="11"/>
      <c r="C637" s="11"/>
      <c r="D637" s="11"/>
      <c r="E637" s="11"/>
      <c r="F637" s="6"/>
      <c r="G637" s="6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x14ac:dyDescent="0.25" r="638" customHeight="1" ht="15.75">
      <c r="A638" s="11"/>
      <c r="B638" s="11"/>
      <c r="C638" s="11"/>
      <c r="D638" s="11"/>
      <c r="E638" s="11"/>
      <c r="F638" s="6"/>
      <c r="G638" s="6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x14ac:dyDescent="0.25" r="639" customHeight="1" ht="15.75">
      <c r="A639" s="11"/>
      <c r="B639" s="11"/>
      <c r="C639" s="11"/>
      <c r="D639" s="11"/>
      <c r="E639" s="11"/>
      <c r="F639" s="6"/>
      <c r="G639" s="6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x14ac:dyDescent="0.25" r="640" customHeight="1" ht="15.75">
      <c r="A640" s="11"/>
      <c r="B640" s="11"/>
      <c r="C640" s="11"/>
      <c r="D640" s="11"/>
      <c r="E640" s="11"/>
      <c r="F640" s="6"/>
      <c r="G640" s="6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x14ac:dyDescent="0.25" r="641" customHeight="1" ht="15.75">
      <c r="A641" s="11"/>
      <c r="B641" s="11"/>
      <c r="C641" s="11"/>
      <c r="D641" s="11"/>
      <c r="E641" s="11"/>
      <c r="F641" s="6"/>
      <c r="G641" s="6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x14ac:dyDescent="0.25" r="642" customHeight="1" ht="15.75">
      <c r="A642" s="11"/>
      <c r="B642" s="11"/>
      <c r="C642" s="11"/>
      <c r="D642" s="11"/>
      <c r="E642" s="11"/>
      <c r="F642" s="6"/>
      <c r="G642" s="6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x14ac:dyDescent="0.25" r="643" customHeight="1" ht="15.75">
      <c r="A643" s="11"/>
      <c r="B643" s="11"/>
      <c r="C643" s="11"/>
      <c r="D643" s="11"/>
      <c r="E643" s="11"/>
      <c r="F643" s="6"/>
      <c r="G643" s="6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x14ac:dyDescent="0.25" r="644" customHeight="1" ht="15.75">
      <c r="A644" s="11"/>
      <c r="B644" s="11"/>
      <c r="C644" s="11"/>
      <c r="D644" s="11"/>
      <c r="E644" s="11"/>
      <c r="F644" s="6"/>
      <c r="G644" s="6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x14ac:dyDescent="0.25" r="645" customHeight="1" ht="15.75">
      <c r="A645" s="11"/>
      <c r="B645" s="11"/>
      <c r="C645" s="11"/>
      <c r="D645" s="11"/>
      <c r="E645" s="11"/>
      <c r="F645" s="6"/>
      <c r="G645" s="6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x14ac:dyDescent="0.25" r="646" customHeight="1" ht="15.75">
      <c r="A646" s="11"/>
      <c r="B646" s="11"/>
      <c r="C646" s="11"/>
      <c r="D646" s="11"/>
      <c r="E646" s="11"/>
      <c r="F646" s="6"/>
      <c r="G646" s="6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x14ac:dyDescent="0.25" r="647" customHeight="1" ht="15.75">
      <c r="A647" s="11"/>
      <c r="B647" s="11"/>
      <c r="C647" s="11"/>
      <c r="D647" s="11"/>
      <c r="E647" s="11"/>
      <c r="F647" s="6"/>
      <c r="G647" s="6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x14ac:dyDescent="0.25" r="648" customHeight="1" ht="15.75">
      <c r="A648" s="11"/>
      <c r="B648" s="11"/>
      <c r="C648" s="11"/>
      <c r="D648" s="11"/>
      <c r="E648" s="11"/>
      <c r="F648" s="6"/>
      <c r="G648" s="6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x14ac:dyDescent="0.25" r="649" customHeight="1" ht="15.75">
      <c r="A649" s="11"/>
      <c r="B649" s="11"/>
      <c r="C649" s="11"/>
      <c r="D649" s="11"/>
      <c r="E649" s="11"/>
      <c r="F649" s="6"/>
      <c r="G649" s="6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x14ac:dyDescent="0.25" r="650" customHeight="1" ht="15.75">
      <c r="A650" s="11"/>
      <c r="B650" s="11"/>
      <c r="C650" s="11"/>
      <c r="D650" s="11"/>
      <c r="E650" s="11"/>
      <c r="F650" s="6"/>
      <c r="G650" s="6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x14ac:dyDescent="0.25" r="651" customHeight="1" ht="15.75">
      <c r="A651" s="11"/>
      <c r="B651" s="11"/>
      <c r="C651" s="11"/>
      <c r="D651" s="11"/>
      <c r="E651" s="11"/>
      <c r="F651" s="6"/>
      <c r="G651" s="6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x14ac:dyDescent="0.25" r="652" customHeight="1" ht="15.75">
      <c r="A652" s="11"/>
      <c r="B652" s="11"/>
      <c r="C652" s="11"/>
      <c r="D652" s="11"/>
      <c r="E652" s="11"/>
      <c r="F652" s="6"/>
      <c r="G652" s="6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x14ac:dyDescent="0.25" r="653" customHeight="1" ht="15.75">
      <c r="A653" s="11"/>
      <c r="B653" s="11"/>
      <c r="C653" s="11"/>
      <c r="D653" s="11"/>
      <c r="E653" s="11"/>
      <c r="F653" s="6"/>
      <c r="G653" s="6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x14ac:dyDescent="0.25" r="654" customHeight="1" ht="15.75">
      <c r="A654" s="11"/>
      <c r="B654" s="11"/>
      <c r="C654" s="11"/>
      <c r="D654" s="11"/>
      <c r="E654" s="11"/>
      <c r="F654" s="6"/>
      <c r="G654" s="6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x14ac:dyDescent="0.25" r="655" customHeight="1" ht="15.75">
      <c r="A655" s="11"/>
      <c r="B655" s="11"/>
      <c r="C655" s="11"/>
      <c r="D655" s="11"/>
      <c r="E655" s="11"/>
      <c r="F655" s="6"/>
      <c r="G655" s="6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x14ac:dyDescent="0.25" r="656" customHeight="1" ht="15.75">
      <c r="A656" s="11"/>
      <c r="B656" s="11"/>
      <c r="C656" s="11"/>
      <c r="D656" s="11"/>
      <c r="E656" s="11"/>
      <c r="F656" s="6"/>
      <c r="G656" s="6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x14ac:dyDescent="0.25" r="657" customHeight="1" ht="15.75">
      <c r="A657" s="11"/>
      <c r="B657" s="11"/>
      <c r="C657" s="11"/>
      <c r="D657" s="11"/>
      <c r="E657" s="11"/>
      <c r="F657" s="6"/>
      <c r="G657" s="6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x14ac:dyDescent="0.25" r="658" customHeight="1" ht="15.75">
      <c r="A658" s="11"/>
      <c r="B658" s="11"/>
      <c r="C658" s="11"/>
      <c r="D658" s="11"/>
      <c r="E658" s="11"/>
      <c r="F658" s="6"/>
      <c r="G658" s="6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x14ac:dyDescent="0.25" r="659" customHeight="1" ht="15.75">
      <c r="A659" s="11"/>
      <c r="B659" s="11"/>
      <c r="C659" s="11"/>
      <c r="D659" s="11"/>
      <c r="E659" s="11"/>
      <c r="F659" s="6"/>
      <c r="G659" s="6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x14ac:dyDescent="0.25" r="660" customHeight="1" ht="15.75">
      <c r="A660" s="11"/>
      <c r="B660" s="11"/>
      <c r="C660" s="11"/>
      <c r="D660" s="11"/>
      <c r="E660" s="11"/>
      <c r="F660" s="6"/>
      <c r="G660" s="6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x14ac:dyDescent="0.25" r="661" customHeight="1" ht="15.75">
      <c r="A661" s="11"/>
      <c r="B661" s="11"/>
      <c r="C661" s="11"/>
      <c r="D661" s="11"/>
      <c r="E661" s="11"/>
      <c r="F661" s="6"/>
      <c r="G661" s="6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x14ac:dyDescent="0.25" r="662" customHeight="1" ht="15.75">
      <c r="A662" s="11"/>
      <c r="B662" s="11"/>
      <c r="C662" s="11"/>
      <c r="D662" s="11"/>
      <c r="E662" s="11"/>
      <c r="F662" s="6"/>
      <c r="G662" s="6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x14ac:dyDescent="0.25" r="663" customHeight="1" ht="15.75">
      <c r="A663" s="11"/>
      <c r="B663" s="11"/>
      <c r="C663" s="11"/>
      <c r="D663" s="11"/>
      <c r="E663" s="11"/>
      <c r="F663" s="6"/>
      <c r="G663" s="6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x14ac:dyDescent="0.25" r="664" customHeight="1" ht="15.75">
      <c r="A664" s="11"/>
      <c r="B664" s="11"/>
      <c r="C664" s="11"/>
      <c r="D664" s="11"/>
      <c r="E664" s="11"/>
      <c r="F664" s="6"/>
      <c r="G664" s="6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x14ac:dyDescent="0.25" r="665" customHeight="1" ht="15.75">
      <c r="A665" s="11"/>
      <c r="B665" s="11"/>
      <c r="C665" s="11"/>
      <c r="D665" s="11"/>
      <c r="E665" s="11"/>
      <c r="F665" s="6"/>
      <c r="G665" s="6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x14ac:dyDescent="0.25" r="666" customHeight="1" ht="15.75">
      <c r="A666" s="11"/>
      <c r="B666" s="11"/>
      <c r="C666" s="11"/>
      <c r="D666" s="11"/>
      <c r="E666" s="11"/>
      <c r="F666" s="6"/>
      <c r="G666" s="6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x14ac:dyDescent="0.25" r="667" customHeight="1" ht="15.75">
      <c r="A667" s="11"/>
      <c r="B667" s="11"/>
      <c r="C667" s="11"/>
      <c r="D667" s="11"/>
      <c r="E667" s="11"/>
      <c r="F667" s="6"/>
      <c r="G667" s="6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x14ac:dyDescent="0.25" r="668" customHeight="1" ht="15.75">
      <c r="A668" s="11"/>
      <c r="B668" s="11"/>
      <c r="C668" s="11"/>
      <c r="D668" s="11"/>
      <c r="E668" s="11"/>
      <c r="F668" s="6"/>
      <c r="G668" s="6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x14ac:dyDescent="0.25" r="669" customHeight="1" ht="15.75">
      <c r="A669" s="11"/>
      <c r="B669" s="11"/>
      <c r="C669" s="11"/>
      <c r="D669" s="11"/>
      <c r="E669" s="11"/>
      <c r="F669" s="6"/>
      <c r="G669" s="6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x14ac:dyDescent="0.25" r="670" customHeight="1" ht="15.75">
      <c r="A670" s="11"/>
      <c r="B670" s="11"/>
      <c r="C670" s="11"/>
      <c r="D670" s="11"/>
      <c r="E670" s="11"/>
      <c r="F670" s="6"/>
      <c r="G670" s="6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x14ac:dyDescent="0.25" r="671" customHeight="1" ht="15.75">
      <c r="A671" s="11"/>
      <c r="B671" s="11"/>
      <c r="C671" s="11"/>
      <c r="D671" s="11"/>
      <c r="E671" s="11"/>
      <c r="F671" s="6"/>
      <c r="G671" s="6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x14ac:dyDescent="0.25" r="672" customHeight="1" ht="15.75">
      <c r="A672" s="11"/>
      <c r="B672" s="11"/>
      <c r="C672" s="11"/>
      <c r="D672" s="11"/>
      <c r="E672" s="11"/>
      <c r="F672" s="6"/>
      <c r="G672" s="6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x14ac:dyDescent="0.25" r="673" customHeight="1" ht="15.75">
      <c r="A673" s="11"/>
      <c r="B673" s="11"/>
      <c r="C673" s="11"/>
      <c r="D673" s="11"/>
      <c r="E673" s="11"/>
      <c r="F673" s="6"/>
      <c r="G673" s="6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x14ac:dyDescent="0.25" r="674" customHeight="1" ht="15.75">
      <c r="A674" s="11"/>
      <c r="B674" s="11"/>
      <c r="C674" s="11"/>
      <c r="D674" s="11"/>
      <c r="E674" s="11"/>
      <c r="F674" s="6"/>
      <c r="G674" s="6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x14ac:dyDescent="0.25" r="675" customHeight="1" ht="15.75">
      <c r="A675" s="11"/>
      <c r="B675" s="11"/>
      <c r="C675" s="11"/>
      <c r="D675" s="11"/>
      <c r="E675" s="11"/>
      <c r="F675" s="6"/>
      <c r="G675" s="6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x14ac:dyDescent="0.25" r="676" customHeight="1" ht="15.75">
      <c r="A676" s="11"/>
      <c r="B676" s="11"/>
      <c r="C676" s="11"/>
      <c r="D676" s="11"/>
      <c r="E676" s="11"/>
      <c r="F676" s="6"/>
      <c r="G676" s="6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x14ac:dyDescent="0.25" r="677" customHeight="1" ht="15.75">
      <c r="A677" s="11"/>
      <c r="B677" s="11"/>
      <c r="C677" s="11"/>
      <c r="D677" s="11"/>
      <c r="E677" s="11"/>
      <c r="F677" s="6"/>
      <c r="G677" s="6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x14ac:dyDescent="0.25" r="678" customHeight="1" ht="15.75">
      <c r="A678" s="11"/>
      <c r="B678" s="11"/>
      <c r="C678" s="11"/>
      <c r="D678" s="11"/>
      <c r="E678" s="11"/>
      <c r="F678" s="6"/>
      <c r="G678" s="6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x14ac:dyDescent="0.25" r="679" customHeight="1" ht="15.75">
      <c r="A679" s="11"/>
      <c r="B679" s="11"/>
      <c r="C679" s="11"/>
      <c r="D679" s="11"/>
      <c r="E679" s="11"/>
      <c r="F679" s="6"/>
      <c r="G679" s="6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x14ac:dyDescent="0.25" r="680" customHeight="1" ht="15.75">
      <c r="A680" s="11"/>
      <c r="B680" s="11"/>
      <c r="C680" s="11"/>
      <c r="D680" s="11"/>
      <c r="E680" s="11"/>
      <c r="F680" s="6"/>
      <c r="G680" s="6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x14ac:dyDescent="0.25" r="681" customHeight="1" ht="15.75">
      <c r="A681" s="11"/>
      <c r="B681" s="11"/>
      <c r="C681" s="11"/>
      <c r="D681" s="11"/>
      <c r="E681" s="11"/>
      <c r="F681" s="6"/>
      <c r="G681" s="6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x14ac:dyDescent="0.25" r="682" customHeight="1" ht="15.75">
      <c r="A682" s="11"/>
      <c r="B682" s="11"/>
      <c r="C682" s="11"/>
      <c r="D682" s="11"/>
      <c r="E682" s="11"/>
      <c r="F682" s="6"/>
      <c r="G682" s="6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x14ac:dyDescent="0.25" r="683" customHeight="1" ht="15.75">
      <c r="A683" s="11"/>
      <c r="B683" s="11"/>
      <c r="C683" s="11"/>
      <c r="D683" s="11"/>
      <c r="E683" s="11"/>
      <c r="F683" s="6"/>
      <c r="G683" s="6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x14ac:dyDescent="0.25" r="684" customHeight="1" ht="15.75">
      <c r="A684" s="11"/>
      <c r="B684" s="11"/>
      <c r="C684" s="11"/>
      <c r="D684" s="11"/>
      <c r="E684" s="11"/>
      <c r="F684" s="6"/>
      <c r="G684" s="6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x14ac:dyDescent="0.25" r="685" customHeight="1" ht="15.75">
      <c r="A685" s="11"/>
      <c r="B685" s="11"/>
      <c r="C685" s="11"/>
      <c r="D685" s="11"/>
      <c r="E685" s="11"/>
      <c r="F685" s="6"/>
      <c r="G685" s="6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x14ac:dyDescent="0.25" r="686" customHeight="1" ht="15.75">
      <c r="A686" s="11"/>
      <c r="B686" s="11"/>
      <c r="C686" s="11"/>
      <c r="D686" s="11"/>
      <c r="E686" s="11"/>
      <c r="F686" s="6"/>
      <c r="G686" s="6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x14ac:dyDescent="0.25" r="687" customHeight="1" ht="15.75">
      <c r="A687" s="11"/>
      <c r="B687" s="11"/>
      <c r="C687" s="11"/>
      <c r="D687" s="11"/>
      <c r="E687" s="11"/>
      <c r="F687" s="6"/>
      <c r="G687" s="6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x14ac:dyDescent="0.25" r="688" customHeight="1" ht="15.75">
      <c r="A688" s="11"/>
      <c r="B688" s="11"/>
      <c r="C688" s="11"/>
      <c r="D688" s="11"/>
      <c r="E688" s="11"/>
      <c r="F688" s="6"/>
      <c r="G688" s="6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x14ac:dyDescent="0.25" r="689" customHeight="1" ht="15.75">
      <c r="A689" s="11"/>
      <c r="B689" s="11"/>
      <c r="C689" s="11"/>
      <c r="D689" s="11"/>
      <c r="E689" s="11"/>
      <c r="F689" s="6"/>
      <c r="G689" s="6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x14ac:dyDescent="0.25" r="690" customHeight="1" ht="15.75">
      <c r="A690" s="11"/>
      <c r="B690" s="11"/>
      <c r="C690" s="11"/>
      <c r="D690" s="11"/>
      <c r="E690" s="11"/>
      <c r="F690" s="6"/>
      <c r="G690" s="6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x14ac:dyDescent="0.25" r="691" customHeight="1" ht="15.75">
      <c r="A691" s="11"/>
      <c r="B691" s="11"/>
      <c r="C691" s="11"/>
      <c r="D691" s="11"/>
      <c r="E691" s="11"/>
      <c r="F691" s="6"/>
      <c r="G691" s="6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x14ac:dyDescent="0.25" r="692" customHeight="1" ht="15.75">
      <c r="A692" s="11"/>
      <c r="B692" s="11"/>
      <c r="C692" s="11"/>
      <c r="D692" s="11"/>
      <c r="E692" s="11"/>
      <c r="F692" s="6"/>
      <c r="G692" s="6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x14ac:dyDescent="0.25" r="693" customHeight="1" ht="15.75">
      <c r="A693" s="11"/>
      <c r="B693" s="11"/>
      <c r="C693" s="11"/>
      <c r="D693" s="11"/>
      <c r="E693" s="11"/>
      <c r="F693" s="6"/>
      <c r="G693" s="6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x14ac:dyDescent="0.25" r="694" customHeight="1" ht="15.75">
      <c r="A694" s="11"/>
      <c r="B694" s="11"/>
      <c r="C694" s="11"/>
      <c r="D694" s="11"/>
      <c r="E694" s="11"/>
      <c r="F694" s="6"/>
      <c r="G694" s="6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x14ac:dyDescent="0.25" r="695" customHeight="1" ht="15.75">
      <c r="A695" s="11"/>
      <c r="B695" s="11"/>
      <c r="C695" s="11"/>
      <c r="D695" s="11"/>
      <c r="E695" s="11"/>
      <c r="F695" s="6"/>
      <c r="G695" s="6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x14ac:dyDescent="0.25" r="696" customHeight="1" ht="15.75">
      <c r="A696" s="11"/>
      <c r="B696" s="11"/>
      <c r="C696" s="11"/>
      <c r="D696" s="11"/>
      <c r="E696" s="11"/>
      <c r="F696" s="6"/>
      <c r="G696" s="6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x14ac:dyDescent="0.25" r="697" customHeight="1" ht="15.75">
      <c r="A697" s="11"/>
      <c r="B697" s="11"/>
      <c r="C697" s="11"/>
      <c r="D697" s="11"/>
      <c r="E697" s="11"/>
      <c r="F697" s="6"/>
      <c r="G697" s="6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x14ac:dyDescent="0.25" r="698" customHeight="1" ht="15.75">
      <c r="A698" s="11"/>
      <c r="B698" s="11"/>
      <c r="C698" s="11"/>
      <c r="D698" s="11"/>
      <c r="E698" s="11"/>
      <c r="F698" s="6"/>
      <c r="G698" s="6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x14ac:dyDescent="0.25" r="699" customHeight="1" ht="15.75">
      <c r="A699" s="11"/>
      <c r="B699" s="11"/>
      <c r="C699" s="11"/>
      <c r="D699" s="11"/>
      <c r="E699" s="11"/>
      <c r="F699" s="6"/>
      <c r="G699" s="6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x14ac:dyDescent="0.25" r="700" customHeight="1" ht="15.75">
      <c r="A700" s="11"/>
      <c r="B700" s="11"/>
      <c r="C700" s="11"/>
      <c r="D700" s="11"/>
      <c r="E700" s="11"/>
      <c r="F700" s="6"/>
      <c r="G700" s="6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x14ac:dyDescent="0.25" r="701" customHeight="1" ht="15.75">
      <c r="A701" s="11"/>
      <c r="B701" s="11"/>
      <c r="C701" s="11"/>
      <c r="D701" s="11"/>
      <c r="E701" s="11"/>
      <c r="F701" s="6"/>
      <c r="G701" s="6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x14ac:dyDescent="0.25" r="702" customHeight="1" ht="15.75">
      <c r="A702" s="11"/>
      <c r="B702" s="11"/>
      <c r="C702" s="11"/>
      <c r="D702" s="11"/>
      <c r="E702" s="11"/>
      <c r="F702" s="6"/>
      <c r="G702" s="6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x14ac:dyDescent="0.25" r="703" customHeight="1" ht="15.75">
      <c r="A703" s="11"/>
      <c r="B703" s="11"/>
      <c r="C703" s="11"/>
      <c r="D703" s="11"/>
      <c r="E703" s="11"/>
      <c r="F703" s="6"/>
      <c r="G703" s="6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x14ac:dyDescent="0.25" r="704" customHeight="1" ht="15.75">
      <c r="A704" s="11"/>
      <c r="B704" s="11"/>
      <c r="C704" s="11"/>
      <c r="D704" s="11"/>
      <c r="E704" s="11"/>
      <c r="F704" s="6"/>
      <c r="G704" s="6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x14ac:dyDescent="0.25" r="705" customHeight="1" ht="15.75">
      <c r="A705" s="11"/>
      <c r="B705" s="11"/>
      <c r="C705" s="11"/>
      <c r="D705" s="11"/>
      <c r="E705" s="11"/>
      <c r="F705" s="6"/>
      <c r="G705" s="6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x14ac:dyDescent="0.25" r="706" customHeight="1" ht="15.75">
      <c r="A706" s="11"/>
      <c r="B706" s="11"/>
      <c r="C706" s="11"/>
      <c r="D706" s="11"/>
      <c r="E706" s="11"/>
      <c r="F706" s="6"/>
      <c r="G706" s="6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x14ac:dyDescent="0.25" r="707" customHeight="1" ht="15.75">
      <c r="A707" s="11"/>
      <c r="B707" s="11"/>
      <c r="C707" s="11"/>
      <c r="D707" s="11"/>
      <c r="E707" s="11"/>
      <c r="F707" s="6"/>
      <c r="G707" s="6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x14ac:dyDescent="0.25" r="708" customHeight="1" ht="15.75">
      <c r="A708" s="11"/>
      <c r="B708" s="11"/>
      <c r="C708" s="11"/>
      <c r="D708" s="11"/>
      <c r="E708" s="11"/>
      <c r="F708" s="6"/>
      <c r="G708" s="6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x14ac:dyDescent="0.25" r="709" customHeight="1" ht="15.75">
      <c r="A709" s="11"/>
      <c r="B709" s="11"/>
      <c r="C709" s="11"/>
      <c r="D709" s="11"/>
      <c r="E709" s="11"/>
      <c r="F709" s="6"/>
      <c r="G709" s="6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x14ac:dyDescent="0.25" r="710" customHeight="1" ht="15.75">
      <c r="A710" s="11"/>
      <c r="B710" s="11"/>
      <c r="C710" s="11"/>
      <c r="D710" s="11"/>
      <c r="E710" s="11"/>
      <c r="F710" s="6"/>
      <c r="G710" s="6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x14ac:dyDescent="0.25" r="711" customHeight="1" ht="15.75">
      <c r="A711" s="11"/>
      <c r="B711" s="11"/>
      <c r="C711" s="11"/>
      <c r="D711" s="11"/>
      <c r="E711" s="11"/>
      <c r="F711" s="6"/>
      <c r="G711" s="6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x14ac:dyDescent="0.25" r="712" customHeight="1" ht="15.75">
      <c r="A712" s="11"/>
      <c r="B712" s="11"/>
      <c r="C712" s="11"/>
      <c r="D712" s="11"/>
      <c r="E712" s="11"/>
      <c r="F712" s="6"/>
      <c r="G712" s="6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x14ac:dyDescent="0.25" r="713" customHeight="1" ht="15.75">
      <c r="A713" s="11"/>
      <c r="B713" s="11"/>
      <c r="C713" s="11"/>
      <c r="D713" s="11"/>
      <c r="E713" s="11"/>
      <c r="F713" s="6"/>
      <c r="G713" s="6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x14ac:dyDescent="0.25" r="714" customHeight="1" ht="15.75">
      <c r="A714" s="11"/>
      <c r="B714" s="11"/>
      <c r="C714" s="11"/>
      <c r="D714" s="11"/>
      <c r="E714" s="11"/>
      <c r="F714" s="6"/>
      <c r="G714" s="6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x14ac:dyDescent="0.25" r="715" customHeight="1" ht="15.75">
      <c r="A715" s="11"/>
      <c r="B715" s="11"/>
      <c r="C715" s="11"/>
      <c r="D715" s="11"/>
      <c r="E715" s="11"/>
      <c r="F715" s="6"/>
      <c r="G715" s="6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x14ac:dyDescent="0.25" r="716" customHeight="1" ht="15.75">
      <c r="A716" s="11"/>
      <c r="B716" s="11"/>
      <c r="C716" s="11"/>
      <c r="D716" s="11"/>
      <c r="E716" s="11"/>
      <c r="F716" s="6"/>
      <c r="G716" s="6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x14ac:dyDescent="0.25" r="717" customHeight="1" ht="15.75">
      <c r="A717" s="11"/>
      <c r="B717" s="11"/>
      <c r="C717" s="11"/>
      <c r="D717" s="11"/>
      <c r="E717" s="11"/>
      <c r="F717" s="6"/>
      <c r="G717" s="6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x14ac:dyDescent="0.25" r="718" customHeight="1" ht="15.75">
      <c r="A718" s="11"/>
      <c r="B718" s="11"/>
      <c r="C718" s="11"/>
      <c r="D718" s="11"/>
      <c r="E718" s="11"/>
      <c r="F718" s="6"/>
      <c r="G718" s="6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x14ac:dyDescent="0.25" r="719" customHeight="1" ht="15.75">
      <c r="A719" s="11"/>
      <c r="B719" s="11"/>
      <c r="C719" s="11"/>
      <c r="D719" s="11"/>
      <c r="E719" s="11"/>
      <c r="F719" s="6"/>
      <c r="G719" s="6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x14ac:dyDescent="0.25" r="720" customHeight="1" ht="15.75">
      <c r="A720" s="11"/>
      <c r="B720" s="11"/>
      <c r="C720" s="11"/>
      <c r="D720" s="11"/>
      <c r="E720" s="11"/>
      <c r="F720" s="6"/>
      <c r="G720" s="6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x14ac:dyDescent="0.25" r="721" customHeight="1" ht="15.75">
      <c r="A721" s="11"/>
      <c r="B721" s="11"/>
      <c r="C721" s="11"/>
      <c r="D721" s="11"/>
      <c r="E721" s="11"/>
      <c r="F721" s="6"/>
      <c r="G721" s="6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x14ac:dyDescent="0.25" r="722" customHeight="1" ht="15.75">
      <c r="A722" s="11"/>
      <c r="B722" s="11"/>
      <c r="C722" s="11"/>
      <c r="D722" s="11"/>
      <c r="E722" s="11"/>
      <c r="F722" s="6"/>
      <c r="G722" s="6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x14ac:dyDescent="0.25" r="723" customHeight="1" ht="15.75">
      <c r="A723" s="11"/>
      <c r="B723" s="11"/>
      <c r="C723" s="11"/>
      <c r="D723" s="11"/>
      <c r="E723" s="11"/>
      <c r="F723" s="6"/>
      <c r="G723" s="6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x14ac:dyDescent="0.25" r="724" customHeight="1" ht="15.75">
      <c r="A724" s="11"/>
      <c r="B724" s="11"/>
      <c r="C724" s="11"/>
      <c r="D724" s="11"/>
      <c r="E724" s="11"/>
      <c r="F724" s="6"/>
      <c r="G724" s="6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x14ac:dyDescent="0.25" r="725" customHeight="1" ht="15.75">
      <c r="A725" s="11"/>
      <c r="B725" s="11"/>
      <c r="C725" s="11"/>
      <c r="D725" s="11"/>
      <c r="E725" s="11"/>
      <c r="F725" s="6"/>
      <c r="G725" s="6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x14ac:dyDescent="0.25" r="726" customHeight="1" ht="15.75">
      <c r="A726" s="11"/>
      <c r="B726" s="11"/>
      <c r="C726" s="11"/>
      <c r="D726" s="11"/>
      <c r="E726" s="11"/>
      <c r="F726" s="6"/>
      <c r="G726" s="6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x14ac:dyDescent="0.25" r="727" customHeight="1" ht="15.75">
      <c r="A727" s="11"/>
      <c r="B727" s="11"/>
      <c r="C727" s="11"/>
      <c r="D727" s="11"/>
      <c r="E727" s="11"/>
      <c r="F727" s="6"/>
      <c r="G727" s="6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x14ac:dyDescent="0.25" r="728" customHeight="1" ht="15.75">
      <c r="A728" s="11"/>
      <c r="B728" s="11"/>
      <c r="C728" s="11"/>
      <c r="D728" s="11"/>
      <c r="E728" s="11"/>
      <c r="F728" s="6"/>
      <c r="G728" s="6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x14ac:dyDescent="0.25" r="729" customHeight="1" ht="15.75">
      <c r="A729" s="11"/>
      <c r="B729" s="11"/>
      <c r="C729" s="11"/>
      <c r="D729" s="11"/>
      <c r="E729" s="11"/>
      <c r="F729" s="6"/>
      <c r="G729" s="6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x14ac:dyDescent="0.25" r="730" customHeight="1" ht="15.75">
      <c r="A730" s="11"/>
      <c r="B730" s="11"/>
      <c r="C730" s="11"/>
      <c r="D730" s="11"/>
      <c r="E730" s="11"/>
      <c r="F730" s="6"/>
      <c r="G730" s="6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x14ac:dyDescent="0.25" r="731" customHeight="1" ht="15.75">
      <c r="A731" s="11"/>
      <c r="B731" s="11"/>
      <c r="C731" s="11"/>
      <c r="D731" s="11"/>
      <c r="E731" s="11"/>
      <c r="F731" s="6"/>
      <c r="G731" s="6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x14ac:dyDescent="0.25" r="732" customHeight="1" ht="15.75">
      <c r="A732" s="11"/>
      <c r="B732" s="11"/>
      <c r="C732" s="11"/>
      <c r="D732" s="11"/>
      <c r="E732" s="11"/>
      <c r="F732" s="6"/>
      <c r="G732" s="6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x14ac:dyDescent="0.25" r="733" customHeight="1" ht="15.75">
      <c r="A733" s="11"/>
      <c r="B733" s="11"/>
      <c r="C733" s="11"/>
      <c r="D733" s="11"/>
      <c r="E733" s="11"/>
      <c r="F733" s="6"/>
      <c r="G733" s="6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x14ac:dyDescent="0.25" r="734" customHeight="1" ht="15.75">
      <c r="A734" s="11"/>
      <c r="B734" s="11"/>
      <c r="C734" s="11"/>
      <c r="D734" s="11"/>
      <c r="E734" s="11"/>
      <c r="F734" s="6"/>
      <c r="G734" s="6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x14ac:dyDescent="0.25" r="735" customHeight="1" ht="15.75">
      <c r="A735" s="11"/>
      <c r="B735" s="11"/>
      <c r="C735" s="11"/>
      <c r="D735" s="11"/>
      <c r="E735" s="11"/>
      <c r="F735" s="6"/>
      <c r="G735" s="6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x14ac:dyDescent="0.25" r="736" customHeight="1" ht="15.75">
      <c r="A736" s="11"/>
      <c r="B736" s="11"/>
      <c r="C736" s="11"/>
      <c r="D736" s="11"/>
      <c r="E736" s="11"/>
      <c r="F736" s="6"/>
      <c r="G736" s="6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x14ac:dyDescent="0.25" r="737" customHeight="1" ht="15.75">
      <c r="A737" s="11"/>
      <c r="B737" s="11"/>
      <c r="C737" s="11"/>
      <c r="D737" s="11"/>
      <c r="E737" s="11"/>
      <c r="F737" s="6"/>
      <c r="G737" s="6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x14ac:dyDescent="0.25" r="738" customHeight="1" ht="15.75">
      <c r="A738" s="11"/>
      <c r="B738" s="11"/>
      <c r="C738" s="11"/>
      <c r="D738" s="11"/>
      <c r="E738" s="11"/>
      <c r="F738" s="6"/>
      <c r="G738" s="6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x14ac:dyDescent="0.25" r="739" customHeight="1" ht="15.75">
      <c r="A739" s="11"/>
      <c r="B739" s="11"/>
      <c r="C739" s="11"/>
      <c r="D739" s="11"/>
      <c r="E739" s="11"/>
      <c r="F739" s="6"/>
      <c r="G739" s="6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x14ac:dyDescent="0.25" r="740" customHeight="1" ht="15.75">
      <c r="A740" s="11"/>
      <c r="B740" s="11"/>
      <c r="C740" s="11"/>
      <c r="D740" s="11"/>
      <c r="E740" s="11"/>
      <c r="F740" s="6"/>
      <c r="G740" s="6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x14ac:dyDescent="0.25" r="741" customHeight="1" ht="15.75">
      <c r="A741" s="11"/>
      <c r="B741" s="11"/>
      <c r="C741" s="11"/>
      <c r="D741" s="11"/>
      <c r="E741" s="11"/>
      <c r="F741" s="6"/>
      <c r="G741" s="6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x14ac:dyDescent="0.25" r="742" customHeight="1" ht="15.75">
      <c r="A742" s="11"/>
      <c r="B742" s="11"/>
      <c r="C742" s="11"/>
      <c r="D742" s="11"/>
      <c r="E742" s="11"/>
      <c r="F742" s="6"/>
      <c r="G742" s="6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x14ac:dyDescent="0.25" r="743" customHeight="1" ht="15.75">
      <c r="A743" s="11"/>
      <c r="B743" s="11"/>
      <c r="C743" s="11"/>
      <c r="D743" s="11"/>
      <c r="E743" s="11"/>
      <c r="F743" s="6"/>
      <c r="G743" s="6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x14ac:dyDescent="0.25" r="744" customHeight="1" ht="15.75">
      <c r="A744" s="11"/>
      <c r="B744" s="11"/>
      <c r="C744" s="11"/>
      <c r="D744" s="11"/>
      <c r="E744" s="11"/>
      <c r="F744" s="6"/>
      <c r="G744" s="6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x14ac:dyDescent="0.25" r="745" customHeight="1" ht="15.75">
      <c r="A745" s="11"/>
      <c r="B745" s="11"/>
      <c r="C745" s="11"/>
      <c r="D745" s="11"/>
      <c r="E745" s="11"/>
      <c r="F745" s="6"/>
      <c r="G745" s="6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x14ac:dyDescent="0.25" r="746" customHeight="1" ht="15.75">
      <c r="A746" s="11"/>
      <c r="B746" s="11"/>
      <c r="C746" s="11"/>
      <c r="D746" s="11"/>
      <c r="E746" s="11"/>
      <c r="F746" s="6"/>
      <c r="G746" s="6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x14ac:dyDescent="0.25" r="747" customHeight="1" ht="15.75">
      <c r="A747" s="11"/>
      <c r="B747" s="11"/>
      <c r="C747" s="11"/>
      <c r="D747" s="11"/>
      <c r="E747" s="11"/>
      <c r="F747" s="6"/>
      <c r="G747" s="6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x14ac:dyDescent="0.25" r="748" customHeight="1" ht="15.75">
      <c r="A748" s="11"/>
      <c r="B748" s="11"/>
      <c r="C748" s="11"/>
      <c r="D748" s="11"/>
      <c r="E748" s="11"/>
      <c r="F748" s="6"/>
      <c r="G748" s="6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x14ac:dyDescent="0.25" r="749" customHeight="1" ht="15.75">
      <c r="A749" s="11"/>
      <c r="B749" s="11"/>
      <c r="C749" s="11"/>
      <c r="D749" s="11"/>
      <c r="E749" s="11"/>
      <c r="F749" s="6"/>
      <c r="G749" s="6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x14ac:dyDescent="0.25" r="750" customHeight="1" ht="15.75">
      <c r="A750" s="11"/>
      <c r="B750" s="11"/>
      <c r="C750" s="11"/>
      <c r="D750" s="11"/>
      <c r="E750" s="11"/>
      <c r="F750" s="6"/>
      <c r="G750" s="6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x14ac:dyDescent="0.25" r="751" customHeight="1" ht="15.75">
      <c r="A751" s="11"/>
      <c r="B751" s="11"/>
      <c r="C751" s="11"/>
      <c r="D751" s="11"/>
      <c r="E751" s="11"/>
      <c r="F751" s="6"/>
      <c r="G751" s="6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x14ac:dyDescent="0.25" r="752" customHeight="1" ht="15.75">
      <c r="A752" s="11"/>
      <c r="B752" s="11"/>
      <c r="C752" s="11"/>
      <c r="D752" s="11"/>
      <c r="E752" s="11"/>
      <c r="F752" s="6"/>
      <c r="G752" s="6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x14ac:dyDescent="0.25" r="753" customHeight="1" ht="15.75">
      <c r="A753" s="11"/>
      <c r="B753" s="11"/>
      <c r="C753" s="11"/>
      <c r="D753" s="11"/>
      <c r="E753" s="11"/>
      <c r="F753" s="6"/>
      <c r="G753" s="6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x14ac:dyDescent="0.25" r="754" customHeight="1" ht="15.75">
      <c r="A754" s="11"/>
      <c r="B754" s="11"/>
      <c r="C754" s="11"/>
      <c r="D754" s="11"/>
      <c r="E754" s="11"/>
      <c r="F754" s="6"/>
      <c r="G754" s="6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x14ac:dyDescent="0.25" r="755" customHeight="1" ht="15.75">
      <c r="A755" s="11"/>
      <c r="B755" s="11"/>
      <c r="C755" s="11"/>
      <c r="D755" s="11"/>
      <c r="E755" s="11"/>
      <c r="F755" s="6"/>
      <c r="G755" s="6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x14ac:dyDescent="0.25" r="756" customHeight="1" ht="15.75">
      <c r="A756" s="11"/>
      <c r="B756" s="11"/>
      <c r="C756" s="11"/>
      <c r="D756" s="11"/>
      <c r="E756" s="11"/>
      <c r="F756" s="6"/>
      <c r="G756" s="6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x14ac:dyDescent="0.25" r="757" customHeight="1" ht="15.75">
      <c r="A757" s="11"/>
      <c r="B757" s="11"/>
      <c r="C757" s="11"/>
      <c r="D757" s="11"/>
      <c r="E757" s="11"/>
      <c r="F757" s="6"/>
      <c r="G757" s="6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x14ac:dyDescent="0.25" r="758" customHeight="1" ht="15.75">
      <c r="A758" s="11"/>
      <c r="B758" s="11"/>
      <c r="C758" s="11"/>
      <c r="D758" s="11"/>
      <c r="E758" s="11"/>
      <c r="F758" s="6"/>
      <c r="G758" s="6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x14ac:dyDescent="0.25" r="759" customHeight="1" ht="15.75">
      <c r="A759" s="11"/>
      <c r="B759" s="11"/>
      <c r="C759" s="11"/>
      <c r="D759" s="11"/>
      <c r="E759" s="11"/>
      <c r="F759" s="6"/>
      <c r="G759" s="6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x14ac:dyDescent="0.25" r="760" customHeight="1" ht="15.75">
      <c r="A760" s="11"/>
      <c r="B760" s="11"/>
      <c r="C760" s="11"/>
      <c r="D760" s="11"/>
      <c r="E760" s="11"/>
      <c r="F760" s="6"/>
      <c r="G760" s="6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x14ac:dyDescent="0.25" r="761" customHeight="1" ht="15.75">
      <c r="A761" s="11"/>
      <c r="B761" s="11"/>
      <c r="C761" s="11"/>
      <c r="D761" s="11"/>
      <c r="E761" s="11"/>
      <c r="F761" s="6"/>
      <c r="G761" s="6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x14ac:dyDescent="0.25" r="762" customHeight="1" ht="15.75">
      <c r="A762" s="11"/>
      <c r="B762" s="11"/>
      <c r="C762" s="11"/>
      <c r="D762" s="11"/>
      <c r="E762" s="11"/>
      <c r="F762" s="6"/>
      <c r="G762" s="6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x14ac:dyDescent="0.25" r="763" customHeight="1" ht="15.75">
      <c r="A763" s="11"/>
      <c r="B763" s="11"/>
      <c r="C763" s="11"/>
      <c r="D763" s="11"/>
      <c r="E763" s="11"/>
      <c r="F763" s="6"/>
      <c r="G763" s="6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x14ac:dyDescent="0.25" r="764" customHeight="1" ht="15.75">
      <c r="A764" s="11"/>
      <c r="B764" s="11"/>
      <c r="C764" s="11"/>
      <c r="D764" s="11"/>
      <c r="E764" s="11"/>
      <c r="F764" s="6"/>
      <c r="G764" s="6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x14ac:dyDescent="0.25" r="765" customHeight="1" ht="15.75">
      <c r="A765" s="11"/>
      <c r="B765" s="11"/>
      <c r="C765" s="11"/>
      <c r="D765" s="11"/>
      <c r="E765" s="11"/>
      <c r="F765" s="6"/>
      <c r="G765" s="6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x14ac:dyDescent="0.25" r="766" customHeight="1" ht="15.75">
      <c r="A766" s="11"/>
      <c r="B766" s="11"/>
      <c r="C766" s="11"/>
      <c r="D766" s="11"/>
      <c r="E766" s="11"/>
      <c r="F766" s="6"/>
      <c r="G766" s="6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x14ac:dyDescent="0.25" r="767" customHeight="1" ht="15.75">
      <c r="A767" s="11"/>
      <c r="B767" s="11"/>
      <c r="C767" s="11"/>
      <c r="D767" s="11"/>
      <c r="E767" s="11"/>
      <c r="F767" s="6"/>
      <c r="G767" s="6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x14ac:dyDescent="0.25" r="768" customHeight="1" ht="15.75">
      <c r="A768" s="11"/>
      <c r="B768" s="11"/>
      <c r="C768" s="11"/>
      <c r="D768" s="11"/>
      <c r="E768" s="11"/>
      <c r="F768" s="6"/>
      <c r="G768" s="6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x14ac:dyDescent="0.25" r="769" customHeight="1" ht="15.75">
      <c r="A769" s="11"/>
      <c r="B769" s="11"/>
      <c r="C769" s="11"/>
      <c r="D769" s="11"/>
      <c r="E769" s="11"/>
      <c r="F769" s="6"/>
      <c r="G769" s="6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x14ac:dyDescent="0.25" r="770" customHeight="1" ht="15.75">
      <c r="A770" s="11"/>
      <c r="B770" s="11"/>
      <c r="C770" s="11"/>
      <c r="D770" s="11"/>
      <c r="E770" s="11"/>
      <c r="F770" s="6"/>
      <c r="G770" s="6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x14ac:dyDescent="0.25" r="771" customHeight="1" ht="15.75">
      <c r="A771" s="11"/>
      <c r="B771" s="11"/>
      <c r="C771" s="11"/>
      <c r="D771" s="11"/>
      <c r="E771" s="11"/>
      <c r="F771" s="6"/>
      <c r="G771" s="6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x14ac:dyDescent="0.25" r="772" customHeight="1" ht="15.75">
      <c r="A772" s="11"/>
      <c r="B772" s="11"/>
      <c r="C772" s="11"/>
      <c r="D772" s="11"/>
      <c r="E772" s="11"/>
      <c r="F772" s="6"/>
      <c r="G772" s="6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x14ac:dyDescent="0.25" r="773" customHeight="1" ht="15.75">
      <c r="A773" s="11"/>
      <c r="B773" s="11"/>
      <c r="C773" s="11"/>
      <c r="D773" s="11"/>
      <c r="E773" s="11"/>
      <c r="F773" s="6"/>
      <c r="G773" s="6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x14ac:dyDescent="0.25" r="774" customHeight="1" ht="15.75">
      <c r="A774" s="11"/>
      <c r="B774" s="11"/>
      <c r="C774" s="11"/>
      <c r="D774" s="11"/>
      <c r="E774" s="11"/>
      <c r="F774" s="6"/>
      <c r="G774" s="6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x14ac:dyDescent="0.25" r="775" customHeight="1" ht="15.75">
      <c r="A775" s="11"/>
      <c r="B775" s="11"/>
      <c r="C775" s="11"/>
      <c r="D775" s="11"/>
      <c r="E775" s="11"/>
      <c r="F775" s="6"/>
      <c r="G775" s="6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x14ac:dyDescent="0.25" r="776" customHeight="1" ht="15.75">
      <c r="A776" s="11"/>
      <c r="B776" s="11"/>
      <c r="C776" s="11"/>
      <c r="D776" s="11"/>
      <c r="E776" s="11"/>
      <c r="F776" s="6"/>
      <c r="G776" s="6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x14ac:dyDescent="0.25" r="777" customHeight="1" ht="15.75">
      <c r="A777" s="11"/>
      <c r="B777" s="11"/>
      <c r="C777" s="11"/>
      <c r="D777" s="11"/>
      <c r="E777" s="11"/>
      <c r="F777" s="6"/>
      <c r="G777" s="6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x14ac:dyDescent="0.25" r="778" customHeight="1" ht="15.75">
      <c r="A778" s="11"/>
      <c r="B778" s="11"/>
      <c r="C778" s="11"/>
      <c r="D778" s="11"/>
      <c r="E778" s="11"/>
      <c r="F778" s="6"/>
      <c r="G778" s="6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x14ac:dyDescent="0.25" r="779" customHeight="1" ht="15.75">
      <c r="A779" s="11"/>
      <c r="B779" s="11"/>
      <c r="C779" s="11"/>
      <c r="D779" s="11"/>
      <c r="E779" s="11"/>
      <c r="F779" s="6"/>
      <c r="G779" s="6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x14ac:dyDescent="0.25" r="780" customHeight="1" ht="15.75">
      <c r="A780" s="11"/>
      <c r="B780" s="11"/>
      <c r="C780" s="11"/>
      <c r="D780" s="11"/>
      <c r="E780" s="11"/>
      <c r="F780" s="6"/>
      <c r="G780" s="6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x14ac:dyDescent="0.25" r="781" customHeight="1" ht="15.75">
      <c r="A781" s="11"/>
      <c r="B781" s="11"/>
      <c r="C781" s="11"/>
      <c r="D781" s="11"/>
      <c r="E781" s="11"/>
      <c r="F781" s="6"/>
      <c r="G781" s="6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x14ac:dyDescent="0.25" r="782" customHeight="1" ht="15.75">
      <c r="A782" s="11"/>
      <c r="B782" s="11"/>
      <c r="C782" s="11"/>
      <c r="D782" s="11"/>
      <c r="E782" s="11"/>
      <c r="F782" s="6"/>
      <c r="G782" s="6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x14ac:dyDescent="0.25" r="783" customHeight="1" ht="15.75">
      <c r="A783" s="11"/>
      <c r="B783" s="11"/>
      <c r="C783" s="11"/>
      <c r="D783" s="11"/>
      <c r="E783" s="11"/>
      <c r="F783" s="6"/>
      <c r="G783" s="6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x14ac:dyDescent="0.25" r="784" customHeight="1" ht="15.75">
      <c r="A784" s="11"/>
      <c r="B784" s="11"/>
      <c r="C784" s="11"/>
      <c r="D784" s="11"/>
      <c r="E784" s="11"/>
      <c r="F784" s="6"/>
      <c r="G784" s="6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x14ac:dyDescent="0.25" r="785" customHeight="1" ht="15.75">
      <c r="A785" s="11"/>
      <c r="B785" s="11"/>
      <c r="C785" s="11"/>
      <c r="D785" s="11"/>
      <c r="E785" s="11"/>
      <c r="F785" s="6"/>
      <c r="G785" s="6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x14ac:dyDescent="0.25" r="786" customHeight="1" ht="15.75">
      <c r="A786" s="11"/>
      <c r="B786" s="11"/>
      <c r="C786" s="11"/>
      <c r="D786" s="11"/>
      <c r="E786" s="11"/>
      <c r="F786" s="6"/>
      <c r="G786" s="6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x14ac:dyDescent="0.25" r="787" customHeight="1" ht="15.75">
      <c r="A787" s="11"/>
      <c r="B787" s="11"/>
      <c r="C787" s="11"/>
      <c r="D787" s="11"/>
      <c r="E787" s="11"/>
      <c r="F787" s="6"/>
      <c r="G787" s="6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x14ac:dyDescent="0.25" r="788" customHeight="1" ht="15.75">
      <c r="A788" s="11"/>
      <c r="B788" s="11"/>
      <c r="C788" s="11"/>
      <c r="D788" s="11"/>
      <c r="E788" s="11"/>
      <c r="F788" s="6"/>
      <c r="G788" s="6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x14ac:dyDescent="0.25" r="789" customHeight="1" ht="15.75">
      <c r="A789" s="11"/>
      <c r="B789" s="11"/>
      <c r="C789" s="11"/>
      <c r="D789" s="11"/>
      <c r="E789" s="11"/>
      <c r="F789" s="6"/>
      <c r="G789" s="6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x14ac:dyDescent="0.25" r="790" customHeight="1" ht="15.75">
      <c r="A790" s="11"/>
      <c r="B790" s="11"/>
      <c r="C790" s="11"/>
      <c r="D790" s="11"/>
      <c r="E790" s="11"/>
      <c r="F790" s="6"/>
      <c r="G790" s="6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x14ac:dyDescent="0.25" r="791" customHeight="1" ht="15.75">
      <c r="A791" s="11"/>
      <c r="B791" s="11"/>
      <c r="C791" s="11"/>
      <c r="D791" s="11"/>
      <c r="E791" s="11"/>
      <c r="F791" s="6"/>
      <c r="G791" s="6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x14ac:dyDescent="0.25" r="792" customHeight="1" ht="15.75">
      <c r="A792" s="11"/>
      <c r="B792" s="11"/>
      <c r="C792" s="11"/>
      <c r="D792" s="11"/>
      <c r="E792" s="11"/>
      <c r="F792" s="6"/>
      <c r="G792" s="6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x14ac:dyDescent="0.25" r="793" customHeight="1" ht="15.75">
      <c r="A793" s="11"/>
      <c r="B793" s="11"/>
      <c r="C793" s="11"/>
      <c r="D793" s="11"/>
      <c r="E793" s="11"/>
      <c r="F793" s="6"/>
      <c r="G793" s="6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x14ac:dyDescent="0.25" r="794" customHeight="1" ht="15.75">
      <c r="A794" s="11"/>
      <c r="B794" s="11"/>
      <c r="C794" s="11"/>
      <c r="D794" s="11"/>
      <c r="E794" s="11"/>
      <c r="F794" s="6"/>
      <c r="G794" s="6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x14ac:dyDescent="0.25" r="795" customHeight="1" ht="15.75">
      <c r="A795" s="11"/>
      <c r="B795" s="11"/>
      <c r="C795" s="11"/>
      <c r="D795" s="11"/>
      <c r="E795" s="11"/>
      <c r="F795" s="6"/>
      <c r="G795" s="6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x14ac:dyDescent="0.25" r="796" customHeight="1" ht="15.75">
      <c r="A796" s="11"/>
      <c r="B796" s="11"/>
      <c r="C796" s="11"/>
      <c r="D796" s="11"/>
      <c r="E796" s="11"/>
      <c r="F796" s="6"/>
      <c r="G796" s="6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x14ac:dyDescent="0.25" r="797" customHeight="1" ht="15.75">
      <c r="A797" s="11"/>
      <c r="B797" s="11"/>
      <c r="C797" s="11"/>
      <c r="D797" s="11"/>
      <c r="E797" s="11"/>
      <c r="F797" s="6"/>
      <c r="G797" s="6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x14ac:dyDescent="0.25" r="798" customHeight="1" ht="15.75">
      <c r="A798" s="11"/>
      <c r="B798" s="11"/>
      <c r="C798" s="11"/>
      <c r="D798" s="11"/>
      <c r="E798" s="11"/>
      <c r="F798" s="6"/>
      <c r="G798" s="6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x14ac:dyDescent="0.25" r="799" customHeight="1" ht="15.75">
      <c r="A799" s="11"/>
      <c r="B799" s="11"/>
      <c r="C799" s="11"/>
      <c r="D799" s="11"/>
      <c r="E799" s="11"/>
      <c r="F799" s="6"/>
      <c r="G799" s="6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x14ac:dyDescent="0.25" r="800" customHeight="1" ht="15.75">
      <c r="A800" s="11"/>
      <c r="B800" s="11"/>
      <c r="C800" s="11"/>
      <c r="D800" s="11"/>
      <c r="E800" s="11"/>
      <c r="F800" s="6"/>
      <c r="G800" s="6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x14ac:dyDescent="0.25" r="801" customHeight="1" ht="15.75">
      <c r="A801" s="11"/>
      <c r="B801" s="11"/>
      <c r="C801" s="11"/>
      <c r="D801" s="11"/>
      <c r="E801" s="11"/>
      <c r="F801" s="6"/>
      <c r="G801" s="6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x14ac:dyDescent="0.25" r="802" customHeight="1" ht="15.75">
      <c r="A802" s="11"/>
      <c r="B802" s="11"/>
      <c r="C802" s="11"/>
      <c r="D802" s="11"/>
      <c r="E802" s="11"/>
      <c r="F802" s="6"/>
      <c r="G802" s="6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x14ac:dyDescent="0.25" r="803" customHeight="1" ht="15.75">
      <c r="A803" s="11"/>
      <c r="B803" s="11"/>
      <c r="C803" s="11"/>
      <c r="D803" s="11"/>
      <c r="E803" s="11"/>
      <c r="F803" s="6"/>
      <c r="G803" s="6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x14ac:dyDescent="0.25" r="804" customHeight="1" ht="15.75">
      <c r="A804" s="11"/>
      <c r="B804" s="11"/>
      <c r="C804" s="11"/>
      <c r="D804" s="11"/>
      <c r="E804" s="11"/>
      <c r="F804" s="6"/>
      <c r="G804" s="6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x14ac:dyDescent="0.25" r="805" customHeight="1" ht="15.75">
      <c r="A805" s="11"/>
      <c r="B805" s="11"/>
      <c r="C805" s="11"/>
      <c r="D805" s="11"/>
      <c r="E805" s="11"/>
      <c r="F805" s="6"/>
      <c r="G805" s="6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x14ac:dyDescent="0.25" r="806" customHeight="1" ht="15.75">
      <c r="A806" s="11"/>
      <c r="B806" s="11"/>
      <c r="C806" s="11"/>
      <c r="D806" s="11"/>
      <c r="E806" s="11"/>
      <c r="F806" s="6"/>
      <c r="G806" s="6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x14ac:dyDescent="0.25" r="807" customHeight="1" ht="15.75">
      <c r="A807" s="11"/>
      <c r="B807" s="11"/>
      <c r="C807" s="11"/>
      <c r="D807" s="11"/>
      <c r="E807" s="11"/>
      <c r="F807" s="6"/>
      <c r="G807" s="6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x14ac:dyDescent="0.25" r="808" customHeight="1" ht="15.75">
      <c r="A808" s="11"/>
      <c r="B808" s="11"/>
      <c r="C808" s="11"/>
      <c r="D808" s="11"/>
      <c r="E808" s="11"/>
      <c r="F808" s="6"/>
      <c r="G808" s="6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x14ac:dyDescent="0.25" r="809" customHeight="1" ht="15.75">
      <c r="A809" s="11"/>
      <c r="B809" s="11"/>
      <c r="C809" s="11"/>
      <c r="D809" s="11"/>
      <c r="E809" s="11"/>
      <c r="F809" s="6"/>
      <c r="G809" s="6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x14ac:dyDescent="0.25" r="810" customHeight="1" ht="15.75">
      <c r="A810" s="11"/>
      <c r="B810" s="11"/>
      <c r="C810" s="11"/>
      <c r="D810" s="11"/>
      <c r="E810" s="11"/>
      <c r="F810" s="6"/>
      <c r="G810" s="6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x14ac:dyDescent="0.25" r="811" customHeight="1" ht="15.75">
      <c r="A811" s="11"/>
      <c r="B811" s="11"/>
      <c r="C811" s="11"/>
      <c r="D811" s="11"/>
      <c r="E811" s="11"/>
      <c r="F811" s="6"/>
      <c r="G811" s="6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x14ac:dyDescent="0.25" r="812" customHeight="1" ht="15.75">
      <c r="A812" s="11"/>
      <c r="B812" s="11"/>
      <c r="C812" s="11"/>
      <c r="D812" s="11"/>
      <c r="E812" s="11"/>
      <c r="F812" s="6"/>
      <c r="G812" s="6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x14ac:dyDescent="0.25" r="813" customHeight="1" ht="15.75">
      <c r="A813" s="11"/>
      <c r="B813" s="11"/>
      <c r="C813" s="11"/>
      <c r="D813" s="11"/>
      <c r="E813" s="11"/>
      <c r="F813" s="6"/>
      <c r="G813" s="6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x14ac:dyDescent="0.25" r="814" customHeight="1" ht="15.75">
      <c r="A814" s="11"/>
      <c r="B814" s="11"/>
      <c r="C814" s="11"/>
      <c r="D814" s="11"/>
      <c r="E814" s="11"/>
      <c r="F814" s="6"/>
      <c r="G814" s="6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x14ac:dyDescent="0.25" r="815" customHeight="1" ht="15.75">
      <c r="A815" s="11"/>
      <c r="B815" s="11"/>
      <c r="C815" s="11"/>
      <c r="D815" s="11"/>
      <c r="E815" s="11"/>
      <c r="F815" s="6"/>
      <c r="G815" s="6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x14ac:dyDescent="0.25" r="816" customHeight="1" ht="15.75">
      <c r="A816" s="11"/>
      <c r="B816" s="11"/>
      <c r="C816" s="11"/>
      <c r="D816" s="11"/>
      <c r="E816" s="11"/>
      <c r="F816" s="6"/>
      <c r="G816" s="6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x14ac:dyDescent="0.25" r="817" customHeight="1" ht="15.75">
      <c r="A817" s="11"/>
      <c r="B817" s="11"/>
      <c r="C817" s="11"/>
      <c r="D817" s="11"/>
      <c r="E817" s="11"/>
      <c r="F817" s="6"/>
      <c r="G817" s="6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x14ac:dyDescent="0.25" r="818" customHeight="1" ht="15.75">
      <c r="A818" s="11"/>
      <c r="B818" s="11"/>
      <c r="C818" s="11"/>
      <c r="D818" s="11"/>
      <c r="E818" s="11"/>
      <c r="F818" s="6"/>
      <c r="G818" s="6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x14ac:dyDescent="0.25" r="819" customHeight="1" ht="15.75">
      <c r="A819" s="11"/>
      <c r="B819" s="11"/>
      <c r="C819" s="11"/>
      <c r="D819" s="11"/>
      <c r="E819" s="11"/>
      <c r="F819" s="6"/>
      <c r="G819" s="6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x14ac:dyDescent="0.25" r="820" customHeight="1" ht="15.75">
      <c r="A820" s="11"/>
      <c r="B820" s="11"/>
      <c r="C820" s="11"/>
      <c r="D820" s="11"/>
      <c r="E820" s="11"/>
      <c r="F820" s="6"/>
      <c r="G820" s="6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x14ac:dyDescent="0.25" r="821" customHeight="1" ht="15.75">
      <c r="A821" s="11"/>
      <c r="B821" s="11"/>
      <c r="C821" s="11"/>
      <c r="D821" s="11"/>
      <c r="E821" s="11"/>
      <c r="F821" s="6"/>
      <c r="G821" s="6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x14ac:dyDescent="0.25" r="822" customHeight="1" ht="15.75">
      <c r="A822" s="11"/>
      <c r="B822" s="11"/>
      <c r="C822" s="11"/>
      <c r="D822" s="11"/>
      <c r="E822" s="11"/>
      <c r="F822" s="6"/>
      <c r="G822" s="6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x14ac:dyDescent="0.25" r="823" customHeight="1" ht="15.75">
      <c r="A823" s="11"/>
      <c r="B823" s="11"/>
      <c r="C823" s="11"/>
      <c r="D823" s="11"/>
      <c r="E823" s="11"/>
      <c r="F823" s="6"/>
      <c r="G823" s="6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x14ac:dyDescent="0.25" r="824" customHeight="1" ht="15.75">
      <c r="A824" s="11"/>
      <c r="B824" s="11"/>
      <c r="C824" s="11"/>
      <c r="D824" s="11"/>
      <c r="E824" s="11"/>
      <c r="F824" s="6"/>
      <c r="G824" s="6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x14ac:dyDescent="0.25" r="825" customHeight="1" ht="15.75">
      <c r="A825" s="11"/>
      <c r="B825" s="11"/>
      <c r="C825" s="11"/>
      <c r="D825" s="11"/>
      <c r="E825" s="11"/>
      <c r="F825" s="6"/>
      <c r="G825" s="6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x14ac:dyDescent="0.25" r="826" customHeight="1" ht="15.75">
      <c r="A826" s="11"/>
      <c r="B826" s="11"/>
      <c r="C826" s="11"/>
      <c r="D826" s="11"/>
      <c r="E826" s="11"/>
      <c r="F826" s="6"/>
      <c r="G826" s="6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x14ac:dyDescent="0.25" r="827" customHeight="1" ht="15.75">
      <c r="A827" s="11"/>
      <c r="B827" s="11"/>
      <c r="C827" s="11"/>
      <c r="D827" s="11"/>
      <c r="E827" s="11"/>
      <c r="F827" s="6"/>
      <c r="G827" s="6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x14ac:dyDescent="0.25" r="828" customHeight="1" ht="15.75">
      <c r="A828" s="11"/>
      <c r="B828" s="11"/>
      <c r="C828" s="11"/>
      <c r="D828" s="11"/>
      <c r="E828" s="11"/>
      <c r="F828" s="6"/>
      <c r="G828" s="6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x14ac:dyDescent="0.25" r="829" customHeight="1" ht="15.75">
      <c r="A829" s="11"/>
      <c r="B829" s="11"/>
      <c r="C829" s="11"/>
      <c r="D829" s="11"/>
      <c r="E829" s="11"/>
      <c r="F829" s="6"/>
      <c r="G829" s="6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x14ac:dyDescent="0.25" r="830" customHeight="1" ht="15.75">
      <c r="A830" s="11"/>
      <c r="B830" s="11"/>
      <c r="C830" s="11"/>
      <c r="D830" s="11"/>
      <c r="E830" s="11"/>
      <c r="F830" s="6"/>
      <c r="G830" s="6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x14ac:dyDescent="0.25" r="831" customHeight="1" ht="15.75">
      <c r="A831" s="11"/>
      <c r="B831" s="11"/>
      <c r="C831" s="11"/>
      <c r="D831" s="11"/>
      <c r="E831" s="11"/>
      <c r="F831" s="6"/>
      <c r="G831" s="6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x14ac:dyDescent="0.25" r="832" customHeight="1" ht="15.75">
      <c r="A832" s="11"/>
      <c r="B832" s="11"/>
      <c r="C832" s="11"/>
      <c r="D832" s="11"/>
      <c r="E832" s="11"/>
      <c r="F832" s="6"/>
      <c r="G832" s="6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x14ac:dyDescent="0.25" r="833" customHeight="1" ht="15.75">
      <c r="A833" s="11"/>
      <c r="B833" s="11"/>
      <c r="C833" s="11"/>
      <c r="D833" s="11"/>
      <c r="E833" s="11"/>
      <c r="F833" s="6"/>
      <c r="G833" s="6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x14ac:dyDescent="0.25" r="834" customHeight="1" ht="15.75">
      <c r="A834" s="11"/>
      <c r="B834" s="11"/>
      <c r="C834" s="11"/>
      <c r="D834" s="11"/>
      <c r="E834" s="11"/>
      <c r="F834" s="6"/>
      <c r="G834" s="6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x14ac:dyDescent="0.25" r="835" customHeight="1" ht="15.75">
      <c r="A835" s="11"/>
      <c r="B835" s="11"/>
      <c r="C835" s="11"/>
      <c r="D835" s="11"/>
      <c r="E835" s="11"/>
      <c r="F835" s="6"/>
      <c r="G835" s="6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x14ac:dyDescent="0.25" r="836" customHeight="1" ht="15.75">
      <c r="A836" s="11"/>
      <c r="B836" s="11"/>
      <c r="C836" s="11"/>
      <c r="D836" s="11"/>
      <c r="E836" s="11"/>
      <c r="F836" s="6"/>
      <c r="G836" s="6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x14ac:dyDescent="0.25" r="837" customHeight="1" ht="15.75">
      <c r="A837" s="11"/>
      <c r="B837" s="11"/>
      <c r="C837" s="11"/>
      <c r="D837" s="11"/>
      <c r="E837" s="11"/>
      <c r="F837" s="6"/>
      <c r="G837" s="6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x14ac:dyDescent="0.25" r="838" customHeight="1" ht="15.75">
      <c r="A838" s="11"/>
      <c r="B838" s="11"/>
      <c r="C838" s="11"/>
      <c r="D838" s="11"/>
      <c r="E838" s="11"/>
      <c r="F838" s="6"/>
      <c r="G838" s="6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x14ac:dyDescent="0.25" r="839" customHeight="1" ht="15.75">
      <c r="A839" s="11"/>
      <c r="B839" s="11"/>
      <c r="C839" s="11"/>
      <c r="D839" s="11"/>
      <c r="E839" s="11"/>
      <c r="F839" s="6"/>
      <c r="G839" s="6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x14ac:dyDescent="0.25" r="840" customHeight="1" ht="15.75">
      <c r="A840" s="11"/>
      <c r="B840" s="11"/>
      <c r="C840" s="11"/>
      <c r="D840" s="11"/>
      <c r="E840" s="11"/>
      <c r="F840" s="6"/>
      <c r="G840" s="6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x14ac:dyDescent="0.25" r="841" customHeight="1" ht="15.75">
      <c r="A841" s="11"/>
      <c r="B841" s="11"/>
      <c r="C841" s="11"/>
      <c r="D841" s="11"/>
      <c r="E841" s="11"/>
      <c r="F841" s="6"/>
      <c r="G841" s="6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x14ac:dyDescent="0.25" r="842" customHeight="1" ht="15.75">
      <c r="A842" s="11"/>
      <c r="B842" s="11"/>
      <c r="C842" s="11"/>
      <c r="D842" s="11"/>
      <c r="E842" s="11"/>
      <c r="F842" s="6"/>
      <c r="G842" s="6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x14ac:dyDescent="0.25" r="843" customHeight="1" ht="15.75">
      <c r="A843" s="11"/>
      <c r="B843" s="11"/>
      <c r="C843" s="11"/>
      <c r="D843" s="11"/>
      <c r="E843" s="11"/>
      <c r="F843" s="6"/>
      <c r="G843" s="6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x14ac:dyDescent="0.25" r="844" customHeight="1" ht="15.75">
      <c r="A844" s="11"/>
      <c r="B844" s="11"/>
      <c r="C844" s="11"/>
      <c r="D844" s="11"/>
      <c r="E844" s="11"/>
      <c r="F844" s="6"/>
      <c r="G844" s="6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x14ac:dyDescent="0.25" r="845" customHeight="1" ht="15.75">
      <c r="A845" s="11"/>
      <c r="B845" s="11"/>
      <c r="C845" s="11"/>
      <c r="D845" s="11"/>
      <c r="E845" s="11"/>
      <c r="F845" s="6"/>
      <c r="G845" s="6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x14ac:dyDescent="0.25" r="846" customHeight="1" ht="15.75">
      <c r="A846" s="11"/>
      <c r="B846" s="11"/>
      <c r="C846" s="11"/>
      <c r="D846" s="11"/>
      <c r="E846" s="11"/>
      <c r="F846" s="6"/>
      <c r="G846" s="6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x14ac:dyDescent="0.25" r="847" customHeight="1" ht="15.75">
      <c r="A847" s="11"/>
      <c r="B847" s="11"/>
      <c r="C847" s="11"/>
      <c r="D847" s="11"/>
      <c r="E847" s="11"/>
      <c r="F847" s="6"/>
      <c r="G847" s="6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x14ac:dyDescent="0.25" r="848" customHeight="1" ht="15.75">
      <c r="A848" s="11"/>
      <c r="B848" s="11"/>
      <c r="C848" s="11"/>
      <c r="D848" s="11"/>
      <c r="E848" s="11"/>
      <c r="F848" s="6"/>
      <c r="G848" s="6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x14ac:dyDescent="0.25" r="849" customHeight="1" ht="15.75">
      <c r="A849" s="11"/>
      <c r="B849" s="11"/>
      <c r="C849" s="11"/>
      <c r="D849" s="11"/>
      <c r="E849" s="11"/>
      <c r="F849" s="6"/>
      <c r="G849" s="6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x14ac:dyDescent="0.25" r="850" customHeight="1" ht="15.75">
      <c r="A850" s="11"/>
      <c r="B850" s="11"/>
      <c r="C850" s="11"/>
      <c r="D850" s="11"/>
      <c r="E850" s="11"/>
      <c r="F850" s="6"/>
      <c r="G850" s="6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x14ac:dyDescent="0.25" r="851" customHeight="1" ht="15.75">
      <c r="A851" s="11"/>
      <c r="B851" s="11"/>
      <c r="C851" s="11"/>
      <c r="D851" s="11"/>
      <c r="E851" s="11"/>
      <c r="F851" s="6"/>
      <c r="G851" s="6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x14ac:dyDescent="0.25" r="852" customHeight="1" ht="15.75">
      <c r="A852" s="11"/>
      <c r="B852" s="11"/>
      <c r="C852" s="11"/>
      <c r="D852" s="11"/>
      <c r="E852" s="11"/>
      <c r="F852" s="6"/>
      <c r="G852" s="6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x14ac:dyDescent="0.25" r="853" customHeight="1" ht="15.75">
      <c r="A853" s="11"/>
      <c r="B853" s="11"/>
      <c r="C853" s="11"/>
      <c r="D853" s="11"/>
      <c r="E853" s="11"/>
      <c r="F853" s="6"/>
      <c r="G853" s="6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x14ac:dyDescent="0.25" r="854" customHeight="1" ht="15.75">
      <c r="A854" s="11"/>
      <c r="B854" s="11"/>
      <c r="C854" s="11"/>
      <c r="D854" s="11"/>
      <c r="E854" s="11"/>
      <c r="F854" s="6"/>
      <c r="G854" s="6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x14ac:dyDescent="0.25" r="855" customHeight="1" ht="15.75">
      <c r="A855" s="11"/>
      <c r="B855" s="11"/>
      <c r="C855" s="11"/>
      <c r="D855" s="11"/>
      <c r="E855" s="11"/>
      <c r="F855" s="6"/>
      <c r="G855" s="6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x14ac:dyDescent="0.25" r="856" customHeight="1" ht="15.75">
      <c r="A856" s="11"/>
      <c r="B856" s="11"/>
      <c r="C856" s="11"/>
      <c r="D856" s="11"/>
      <c r="E856" s="11"/>
      <c r="F856" s="6"/>
      <c r="G856" s="6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x14ac:dyDescent="0.25" r="857" customHeight="1" ht="15.75">
      <c r="A857" s="11"/>
      <c r="B857" s="11"/>
      <c r="C857" s="11"/>
      <c r="D857" s="11"/>
      <c r="E857" s="11"/>
      <c r="F857" s="6"/>
      <c r="G857" s="6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x14ac:dyDescent="0.25" r="858" customHeight="1" ht="15.75">
      <c r="A858" s="11"/>
      <c r="B858" s="11"/>
      <c r="C858" s="11"/>
      <c r="D858" s="11"/>
      <c r="E858" s="11"/>
      <c r="F858" s="6"/>
      <c r="G858" s="6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x14ac:dyDescent="0.25" r="859" customHeight="1" ht="15.75">
      <c r="A859" s="11"/>
      <c r="B859" s="11"/>
      <c r="C859" s="11"/>
      <c r="D859" s="11"/>
      <c r="E859" s="11"/>
      <c r="F859" s="6"/>
      <c r="G859" s="6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x14ac:dyDescent="0.25" r="860" customHeight="1" ht="15.75">
      <c r="A860" s="11"/>
      <c r="B860" s="11"/>
      <c r="C860" s="11"/>
      <c r="D860" s="11"/>
      <c r="E860" s="11"/>
      <c r="F860" s="6"/>
      <c r="G860" s="6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x14ac:dyDescent="0.25" r="861" customHeight="1" ht="15.75">
      <c r="A861" s="11"/>
      <c r="B861" s="11"/>
      <c r="C861" s="11"/>
      <c r="D861" s="11"/>
      <c r="E861" s="11"/>
      <c r="F861" s="6"/>
      <c r="G861" s="6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x14ac:dyDescent="0.25" r="862" customHeight="1" ht="15.75">
      <c r="A862" s="11"/>
      <c r="B862" s="11"/>
      <c r="C862" s="11"/>
      <c r="D862" s="11"/>
      <c r="E862" s="11"/>
      <c r="F862" s="6"/>
      <c r="G862" s="6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x14ac:dyDescent="0.25" r="863" customHeight="1" ht="15.75">
      <c r="A863" s="11"/>
      <c r="B863" s="11"/>
      <c r="C863" s="11"/>
      <c r="D863" s="11"/>
      <c r="E863" s="11"/>
      <c r="F863" s="6"/>
      <c r="G863" s="6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x14ac:dyDescent="0.25" r="864" customHeight="1" ht="15.75">
      <c r="A864" s="11"/>
      <c r="B864" s="11"/>
      <c r="C864" s="11"/>
      <c r="D864" s="11"/>
      <c r="E864" s="11"/>
      <c r="F864" s="6"/>
      <c r="G864" s="6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x14ac:dyDescent="0.25" r="865" customHeight="1" ht="15.75">
      <c r="A865" s="11"/>
      <c r="B865" s="11"/>
      <c r="C865" s="11"/>
      <c r="D865" s="11"/>
      <c r="E865" s="11"/>
      <c r="F865" s="6"/>
      <c r="G865" s="6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x14ac:dyDescent="0.25" r="866" customHeight="1" ht="15.75">
      <c r="A866" s="11"/>
      <c r="B866" s="11"/>
      <c r="C866" s="11"/>
      <c r="D866" s="11"/>
      <c r="E866" s="11"/>
      <c r="F866" s="6"/>
      <c r="G866" s="6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x14ac:dyDescent="0.25" r="867" customHeight="1" ht="15.75">
      <c r="A867" s="11"/>
      <c r="B867" s="11"/>
      <c r="C867" s="11"/>
      <c r="D867" s="11"/>
      <c r="E867" s="11"/>
      <c r="F867" s="6"/>
      <c r="G867" s="6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x14ac:dyDescent="0.25" r="868" customHeight="1" ht="15.75">
      <c r="A868" s="11"/>
      <c r="B868" s="11"/>
      <c r="C868" s="11"/>
      <c r="D868" s="11"/>
      <c r="E868" s="11"/>
      <c r="F868" s="6"/>
      <c r="G868" s="6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x14ac:dyDescent="0.25" r="869" customHeight="1" ht="15.75">
      <c r="A869" s="11"/>
      <c r="B869" s="11"/>
      <c r="C869" s="11"/>
      <c r="D869" s="11"/>
      <c r="E869" s="11"/>
      <c r="F869" s="6"/>
      <c r="G869" s="6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x14ac:dyDescent="0.25" r="870" customHeight="1" ht="15.75">
      <c r="A870" s="11"/>
      <c r="B870" s="11"/>
      <c r="C870" s="11"/>
      <c r="D870" s="11"/>
      <c r="E870" s="11"/>
      <c r="F870" s="6"/>
      <c r="G870" s="6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x14ac:dyDescent="0.25" r="871" customHeight="1" ht="15.75">
      <c r="A871" s="11"/>
      <c r="B871" s="11"/>
      <c r="C871" s="11"/>
      <c r="D871" s="11"/>
      <c r="E871" s="11"/>
      <c r="F871" s="6"/>
      <c r="G871" s="6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x14ac:dyDescent="0.25" r="872" customHeight="1" ht="15.75">
      <c r="A872" s="11"/>
      <c r="B872" s="11"/>
      <c r="C872" s="11"/>
      <c r="D872" s="11"/>
      <c r="E872" s="11"/>
      <c r="F872" s="6"/>
      <c r="G872" s="6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x14ac:dyDescent="0.25" r="873" customHeight="1" ht="15.75">
      <c r="A873" s="11"/>
      <c r="B873" s="11"/>
      <c r="C873" s="11"/>
      <c r="D873" s="11"/>
      <c r="E873" s="11"/>
      <c r="F873" s="6"/>
      <c r="G873" s="6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x14ac:dyDescent="0.25" r="874" customHeight="1" ht="15.75">
      <c r="A874" s="11"/>
      <c r="B874" s="11"/>
      <c r="C874" s="11"/>
      <c r="D874" s="11"/>
      <c r="E874" s="11"/>
      <c r="F874" s="6"/>
      <c r="G874" s="6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x14ac:dyDescent="0.25" r="875" customHeight="1" ht="15.75">
      <c r="A875" s="11"/>
      <c r="B875" s="11"/>
      <c r="C875" s="11"/>
      <c r="D875" s="11"/>
      <c r="E875" s="11"/>
      <c r="F875" s="6"/>
      <c r="G875" s="6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x14ac:dyDescent="0.25" r="876" customHeight="1" ht="15.75">
      <c r="A876" s="11"/>
      <c r="B876" s="11"/>
      <c r="C876" s="11"/>
      <c r="D876" s="11"/>
      <c r="E876" s="11"/>
      <c r="F876" s="6"/>
      <c r="G876" s="6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x14ac:dyDescent="0.25" r="877" customHeight="1" ht="15.75">
      <c r="A877" s="11"/>
      <c r="B877" s="11"/>
      <c r="C877" s="11"/>
      <c r="D877" s="11"/>
      <c r="E877" s="11"/>
      <c r="F877" s="6"/>
      <c r="G877" s="6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x14ac:dyDescent="0.25" r="878" customHeight="1" ht="15.75">
      <c r="A878" s="11"/>
      <c r="B878" s="11"/>
      <c r="C878" s="11"/>
      <c r="D878" s="11"/>
      <c r="E878" s="11"/>
      <c r="F878" s="6"/>
      <c r="G878" s="6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x14ac:dyDescent="0.25" r="879" customHeight="1" ht="15.75">
      <c r="A879" s="11"/>
      <c r="B879" s="11"/>
      <c r="C879" s="11"/>
      <c r="D879" s="11"/>
      <c r="E879" s="11"/>
      <c r="F879" s="6"/>
      <c r="G879" s="6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x14ac:dyDescent="0.25" r="880" customHeight="1" ht="15.75">
      <c r="A880" s="11"/>
      <c r="B880" s="11"/>
      <c r="C880" s="11"/>
      <c r="D880" s="11"/>
      <c r="E880" s="11"/>
      <c r="F880" s="6"/>
      <c r="G880" s="6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x14ac:dyDescent="0.25" r="881" customHeight="1" ht="15.75">
      <c r="A881" s="11"/>
      <c r="B881" s="11"/>
      <c r="C881" s="11"/>
      <c r="D881" s="11"/>
      <c r="E881" s="11"/>
      <c r="F881" s="6"/>
      <c r="G881" s="6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x14ac:dyDescent="0.25" r="882" customHeight="1" ht="15.75">
      <c r="A882" s="11"/>
      <c r="B882" s="11"/>
      <c r="C882" s="11"/>
      <c r="D882" s="11"/>
      <c r="E882" s="11"/>
      <c r="F882" s="6"/>
      <c r="G882" s="6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x14ac:dyDescent="0.25" r="883" customHeight="1" ht="15.75">
      <c r="A883" s="11"/>
      <c r="B883" s="11"/>
      <c r="C883" s="11"/>
      <c r="D883" s="11"/>
      <c r="E883" s="11"/>
      <c r="F883" s="6"/>
      <c r="G883" s="6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x14ac:dyDescent="0.25" r="884" customHeight="1" ht="15.75">
      <c r="A884" s="11"/>
      <c r="B884" s="11"/>
      <c r="C884" s="11"/>
      <c r="D884" s="11"/>
      <c r="E884" s="11"/>
      <c r="F884" s="6"/>
      <c r="G884" s="6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x14ac:dyDescent="0.25" r="885" customHeight="1" ht="15.75">
      <c r="A885" s="11"/>
      <c r="B885" s="11"/>
      <c r="C885" s="11"/>
      <c r="D885" s="11"/>
      <c r="E885" s="11"/>
      <c r="F885" s="6"/>
      <c r="G885" s="6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x14ac:dyDescent="0.25" r="886" customHeight="1" ht="15.75">
      <c r="A886" s="11"/>
      <c r="B886" s="11"/>
      <c r="C886" s="11"/>
      <c r="D886" s="11"/>
      <c r="E886" s="11"/>
      <c r="F886" s="6"/>
      <c r="G886" s="6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x14ac:dyDescent="0.25" r="887" customHeight="1" ht="15.75">
      <c r="A887" s="11"/>
      <c r="B887" s="11"/>
      <c r="C887" s="11"/>
      <c r="D887" s="11"/>
      <c r="E887" s="11"/>
      <c r="F887" s="6"/>
      <c r="G887" s="6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x14ac:dyDescent="0.25" r="888" customHeight="1" ht="15.75">
      <c r="A888" s="11"/>
      <c r="B888" s="11"/>
      <c r="C888" s="11"/>
      <c r="D888" s="11"/>
      <c r="E888" s="11"/>
      <c r="F888" s="6"/>
      <c r="G888" s="6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x14ac:dyDescent="0.25" r="889" customHeight="1" ht="15.75">
      <c r="A889" s="11"/>
      <c r="B889" s="11"/>
      <c r="C889" s="11"/>
      <c r="D889" s="11"/>
      <c r="E889" s="11"/>
      <c r="F889" s="6"/>
      <c r="G889" s="6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x14ac:dyDescent="0.25" r="890" customHeight="1" ht="15.75">
      <c r="A890" s="11"/>
      <c r="B890" s="11"/>
      <c r="C890" s="11"/>
      <c r="D890" s="11"/>
      <c r="E890" s="11"/>
      <c r="F890" s="6"/>
      <c r="G890" s="6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x14ac:dyDescent="0.25" r="891" customHeight="1" ht="15.75">
      <c r="A891" s="11"/>
      <c r="B891" s="11"/>
      <c r="C891" s="11"/>
      <c r="D891" s="11"/>
      <c r="E891" s="11"/>
      <c r="F891" s="6"/>
      <c r="G891" s="6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x14ac:dyDescent="0.25" r="892" customHeight="1" ht="15.75">
      <c r="A892" s="11"/>
      <c r="B892" s="11"/>
      <c r="C892" s="11"/>
      <c r="D892" s="11"/>
      <c r="E892" s="11"/>
      <c r="F892" s="6"/>
      <c r="G892" s="6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x14ac:dyDescent="0.25" r="893" customHeight="1" ht="15.75">
      <c r="A893" s="11"/>
      <c r="B893" s="11"/>
      <c r="C893" s="11"/>
      <c r="D893" s="11"/>
      <c r="E893" s="11"/>
      <c r="F893" s="6"/>
      <c r="G893" s="6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x14ac:dyDescent="0.25" r="894" customHeight="1" ht="15.75">
      <c r="A894" s="11"/>
      <c r="B894" s="11"/>
      <c r="C894" s="11"/>
      <c r="D894" s="11"/>
      <c r="E894" s="11"/>
      <c r="F894" s="6"/>
      <c r="G894" s="6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x14ac:dyDescent="0.25" r="895" customHeight="1" ht="15.75">
      <c r="A895" s="11"/>
      <c r="B895" s="11"/>
      <c r="C895" s="11"/>
      <c r="D895" s="11"/>
      <c r="E895" s="11"/>
      <c r="F895" s="6"/>
      <c r="G895" s="6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x14ac:dyDescent="0.25" r="896" customHeight="1" ht="15.75">
      <c r="A896" s="11"/>
      <c r="B896" s="11"/>
      <c r="C896" s="11"/>
      <c r="D896" s="11"/>
      <c r="E896" s="11"/>
      <c r="F896" s="6"/>
      <c r="G896" s="6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x14ac:dyDescent="0.25" r="897" customHeight="1" ht="15.75">
      <c r="A897" s="11"/>
      <c r="B897" s="11"/>
      <c r="C897" s="11"/>
      <c r="D897" s="11"/>
      <c r="E897" s="11"/>
      <c r="F897" s="6"/>
      <c r="G897" s="6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x14ac:dyDescent="0.25" r="898" customHeight="1" ht="15.75">
      <c r="A898" s="11"/>
      <c r="B898" s="11"/>
      <c r="C898" s="11"/>
      <c r="D898" s="11"/>
      <c r="E898" s="11"/>
      <c r="F898" s="6"/>
      <c r="G898" s="6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x14ac:dyDescent="0.25" r="899" customHeight="1" ht="15.75">
      <c r="A899" s="11"/>
      <c r="B899" s="11"/>
      <c r="C899" s="11"/>
      <c r="D899" s="11"/>
      <c r="E899" s="11"/>
      <c r="F899" s="6"/>
      <c r="G899" s="6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x14ac:dyDescent="0.25" r="900" customHeight="1" ht="15.75">
      <c r="A900" s="11"/>
      <c r="B900" s="11"/>
      <c r="C900" s="11"/>
      <c r="D900" s="11"/>
      <c r="E900" s="11"/>
      <c r="F900" s="6"/>
      <c r="G900" s="6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x14ac:dyDescent="0.25" r="901" customHeight="1" ht="15.75">
      <c r="A901" s="11"/>
      <c r="B901" s="11"/>
      <c r="C901" s="11"/>
      <c r="D901" s="11"/>
      <c r="E901" s="11"/>
      <c r="F901" s="6"/>
      <c r="G901" s="6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x14ac:dyDescent="0.25" r="902" customHeight="1" ht="15.75">
      <c r="A902" s="11"/>
      <c r="B902" s="11"/>
      <c r="C902" s="11"/>
      <c r="D902" s="11"/>
      <c r="E902" s="11"/>
      <c r="F902" s="6"/>
      <c r="G902" s="6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x14ac:dyDescent="0.25" r="903" customHeight="1" ht="15.75">
      <c r="A903" s="11"/>
      <c r="B903" s="11"/>
      <c r="C903" s="11"/>
      <c r="D903" s="11"/>
      <c r="E903" s="11"/>
      <c r="F903" s="6"/>
      <c r="G903" s="6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x14ac:dyDescent="0.25" r="904" customHeight="1" ht="15.75">
      <c r="A904" s="11"/>
      <c r="B904" s="11"/>
      <c r="C904" s="11"/>
      <c r="D904" s="11"/>
      <c r="E904" s="11"/>
      <c r="F904" s="6"/>
      <c r="G904" s="6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x14ac:dyDescent="0.25" r="905" customHeight="1" ht="15.75">
      <c r="A905" s="11"/>
      <c r="B905" s="11"/>
      <c r="C905" s="11"/>
      <c r="D905" s="11"/>
      <c r="E905" s="11"/>
      <c r="F905" s="6"/>
      <c r="G905" s="6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x14ac:dyDescent="0.25" r="906" customHeight="1" ht="15.75">
      <c r="A906" s="11"/>
      <c r="B906" s="11"/>
      <c r="C906" s="11"/>
      <c r="D906" s="11"/>
      <c r="E906" s="11"/>
      <c r="F906" s="6"/>
      <c r="G906" s="6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x14ac:dyDescent="0.25" r="907" customHeight="1" ht="15.75">
      <c r="A907" s="11"/>
      <c r="B907" s="11"/>
      <c r="C907" s="11"/>
      <c r="D907" s="11"/>
      <c r="E907" s="11"/>
      <c r="F907" s="6"/>
      <c r="G907" s="6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x14ac:dyDescent="0.25" r="908" customHeight="1" ht="15.75">
      <c r="A908" s="11"/>
      <c r="B908" s="11"/>
      <c r="C908" s="11"/>
      <c r="D908" s="11"/>
      <c r="E908" s="11"/>
      <c r="F908" s="6"/>
      <c r="G908" s="6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x14ac:dyDescent="0.25" r="909" customHeight="1" ht="15.75">
      <c r="A909" s="11"/>
      <c r="B909" s="11"/>
      <c r="C909" s="11"/>
      <c r="D909" s="11"/>
      <c r="E909" s="11"/>
      <c r="F909" s="6"/>
      <c r="G909" s="6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x14ac:dyDescent="0.25" r="910" customHeight="1" ht="15.75">
      <c r="A910" s="11"/>
      <c r="B910" s="11"/>
      <c r="C910" s="11"/>
      <c r="D910" s="11"/>
      <c r="E910" s="11"/>
      <c r="F910" s="6"/>
      <c r="G910" s="6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x14ac:dyDescent="0.25" r="911" customHeight="1" ht="15.75">
      <c r="A911" s="11"/>
      <c r="B911" s="11"/>
      <c r="C911" s="11"/>
      <c r="D911" s="11"/>
      <c r="E911" s="11"/>
      <c r="F911" s="6"/>
      <c r="G911" s="6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x14ac:dyDescent="0.25" r="912" customHeight="1" ht="15.75">
      <c r="A912" s="11"/>
      <c r="B912" s="11"/>
      <c r="C912" s="11"/>
      <c r="D912" s="11"/>
      <c r="E912" s="11"/>
      <c r="F912" s="6"/>
      <c r="G912" s="6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x14ac:dyDescent="0.25" r="913" customHeight="1" ht="15.75">
      <c r="A913" s="11"/>
      <c r="B913" s="11"/>
      <c r="C913" s="11"/>
      <c r="D913" s="11"/>
      <c r="E913" s="11"/>
      <c r="F913" s="6"/>
      <c r="G913" s="6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x14ac:dyDescent="0.25" r="914" customHeight="1" ht="15.75">
      <c r="A914" s="11"/>
      <c r="B914" s="11"/>
      <c r="C914" s="11"/>
      <c r="D914" s="11"/>
      <c r="E914" s="11"/>
      <c r="F914" s="6"/>
      <c r="G914" s="6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x14ac:dyDescent="0.25" r="915" customHeight="1" ht="15.75">
      <c r="A915" s="11"/>
      <c r="B915" s="11"/>
      <c r="C915" s="11"/>
      <c r="D915" s="11"/>
      <c r="E915" s="11"/>
      <c r="F915" s="6"/>
      <c r="G915" s="6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x14ac:dyDescent="0.25" r="916" customHeight="1" ht="15.75">
      <c r="A916" s="11"/>
      <c r="B916" s="11"/>
      <c r="C916" s="11"/>
      <c r="D916" s="11"/>
      <c r="E916" s="11"/>
      <c r="F916" s="6"/>
      <c r="G916" s="6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x14ac:dyDescent="0.25" r="917" customHeight="1" ht="15.75">
      <c r="A917" s="11"/>
      <c r="B917" s="11"/>
      <c r="C917" s="11"/>
      <c r="D917" s="11"/>
      <c r="E917" s="11"/>
      <c r="F917" s="6"/>
      <c r="G917" s="6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x14ac:dyDescent="0.25" r="918" customHeight="1" ht="15.75">
      <c r="A918" s="11"/>
      <c r="B918" s="11"/>
      <c r="C918" s="11"/>
      <c r="D918" s="11"/>
      <c r="E918" s="11"/>
      <c r="F918" s="6"/>
      <c r="G918" s="6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x14ac:dyDescent="0.25" r="919" customHeight="1" ht="15.75">
      <c r="A919" s="11"/>
      <c r="B919" s="11"/>
      <c r="C919" s="11"/>
      <c r="D919" s="11"/>
      <c r="E919" s="11"/>
      <c r="F919" s="6"/>
      <c r="G919" s="6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x14ac:dyDescent="0.25" r="920" customHeight="1" ht="15.75">
      <c r="A920" s="11"/>
      <c r="B920" s="11"/>
      <c r="C920" s="11"/>
      <c r="D920" s="11"/>
      <c r="E920" s="11"/>
      <c r="F920" s="6"/>
      <c r="G920" s="6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x14ac:dyDescent="0.25" r="921" customHeight="1" ht="15.75">
      <c r="A921" s="11"/>
      <c r="B921" s="11"/>
      <c r="C921" s="11"/>
      <c r="D921" s="11"/>
      <c r="E921" s="11"/>
      <c r="F921" s="6"/>
      <c r="G921" s="6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x14ac:dyDescent="0.25" r="922" customHeight="1" ht="15.75">
      <c r="A922" s="11"/>
      <c r="B922" s="11"/>
      <c r="C922" s="11"/>
      <c r="D922" s="11"/>
      <c r="E922" s="11"/>
      <c r="F922" s="6"/>
      <c r="G922" s="6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x14ac:dyDescent="0.25" r="923" customHeight="1" ht="15.75">
      <c r="A923" s="11"/>
      <c r="B923" s="11"/>
      <c r="C923" s="11"/>
      <c r="D923" s="11"/>
      <c r="E923" s="11"/>
      <c r="F923" s="6"/>
      <c r="G923" s="6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x14ac:dyDescent="0.25" r="924" customHeight="1" ht="15.75">
      <c r="A924" s="11"/>
      <c r="B924" s="11"/>
      <c r="C924" s="11"/>
      <c r="D924" s="11"/>
      <c r="E924" s="11"/>
      <c r="F924" s="6"/>
      <c r="G924" s="6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x14ac:dyDescent="0.25" r="925" customHeight="1" ht="15.75">
      <c r="A925" s="11"/>
      <c r="B925" s="11"/>
      <c r="C925" s="11"/>
      <c r="D925" s="11"/>
      <c r="E925" s="11"/>
      <c r="F925" s="6"/>
      <c r="G925" s="6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x14ac:dyDescent="0.25" r="926" customHeight="1" ht="15.75">
      <c r="A926" s="11"/>
      <c r="B926" s="11"/>
      <c r="C926" s="11"/>
      <c r="D926" s="11"/>
      <c r="E926" s="11"/>
      <c r="F926" s="6"/>
      <c r="G926" s="6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x14ac:dyDescent="0.25" r="927" customHeight="1" ht="15.75">
      <c r="A927" s="11"/>
      <c r="B927" s="11"/>
      <c r="C927" s="11"/>
      <c r="D927" s="11"/>
      <c r="E927" s="11"/>
      <c r="F927" s="6"/>
      <c r="G927" s="6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x14ac:dyDescent="0.25" r="928" customHeight="1" ht="15.75">
      <c r="A928" s="11"/>
      <c r="B928" s="11"/>
      <c r="C928" s="11"/>
      <c r="D928" s="11"/>
      <c r="E928" s="11"/>
      <c r="F928" s="6"/>
      <c r="G928" s="6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x14ac:dyDescent="0.25" r="929" customHeight="1" ht="15.75">
      <c r="A929" s="11"/>
      <c r="B929" s="11"/>
      <c r="C929" s="11"/>
      <c r="D929" s="11"/>
      <c r="E929" s="11"/>
      <c r="F929" s="6"/>
      <c r="G929" s="6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x14ac:dyDescent="0.25" r="930" customHeight="1" ht="15.75">
      <c r="A930" s="11"/>
      <c r="B930" s="11"/>
      <c r="C930" s="11"/>
      <c r="D930" s="11"/>
      <c r="E930" s="11"/>
      <c r="F930" s="6"/>
      <c r="G930" s="6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x14ac:dyDescent="0.25" r="931" customHeight="1" ht="15.75">
      <c r="A931" s="11"/>
      <c r="B931" s="11"/>
      <c r="C931" s="11"/>
      <c r="D931" s="11"/>
      <c r="E931" s="11"/>
      <c r="F931" s="6"/>
      <c r="G931" s="6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x14ac:dyDescent="0.25" r="932" customHeight="1" ht="15.75">
      <c r="A932" s="11"/>
      <c r="B932" s="11"/>
      <c r="C932" s="11"/>
      <c r="D932" s="11"/>
      <c r="E932" s="11"/>
      <c r="F932" s="6"/>
      <c r="G932" s="6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x14ac:dyDescent="0.25" r="933" customHeight="1" ht="15.75">
      <c r="A933" s="11"/>
      <c r="B933" s="11"/>
      <c r="C933" s="11"/>
      <c r="D933" s="11"/>
      <c r="E933" s="11"/>
      <c r="F933" s="6"/>
      <c r="G933" s="6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x14ac:dyDescent="0.25" r="934" customHeight="1" ht="15.75">
      <c r="A934" s="11"/>
      <c r="B934" s="11"/>
      <c r="C934" s="11"/>
      <c r="D934" s="11"/>
      <c r="E934" s="11"/>
      <c r="F934" s="6"/>
      <c r="G934" s="6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x14ac:dyDescent="0.25" r="935" customHeight="1" ht="15.75">
      <c r="A935" s="11"/>
      <c r="B935" s="11"/>
      <c r="C935" s="11"/>
      <c r="D935" s="11"/>
      <c r="E935" s="11"/>
      <c r="F935" s="6"/>
      <c r="G935" s="6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x14ac:dyDescent="0.25" r="936" customHeight="1" ht="15.75">
      <c r="A936" s="11"/>
      <c r="B936" s="11"/>
      <c r="C936" s="11"/>
      <c r="D936" s="11"/>
      <c r="E936" s="11"/>
      <c r="F936" s="6"/>
      <c r="G936" s="6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x14ac:dyDescent="0.25" r="937" customHeight="1" ht="15.75">
      <c r="A937" s="11"/>
      <c r="B937" s="11"/>
      <c r="C937" s="11"/>
      <c r="D937" s="11"/>
      <c r="E937" s="11"/>
      <c r="F937" s="6"/>
      <c r="G937" s="6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x14ac:dyDescent="0.25" r="938" customHeight="1" ht="15.75">
      <c r="A938" s="11"/>
      <c r="B938" s="11"/>
      <c r="C938" s="11"/>
      <c r="D938" s="11"/>
      <c r="E938" s="11"/>
      <c r="F938" s="6"/>
      <c r="G938" s="6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x14ac:dyDescent="0.25" r="939" customHeight="1" ht="15.75">
      <c r="A939" s="11"/>
      <c r="B939" s="11"/>
      <c r="C939" s="11"/>
      <c r="D939" s="11"/>
      <c r="E939" s="11"/>
      <c r="F939" s="6"/>
      <c r="G939" s="6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x14ac:dyDescent="0.25" r="940" customHeight="1" ht="15.75">
      <c r="A940" s="11"/>
      <c r="B940" s="11"/>
      <c r="C940" s="11"/>
      <c r="D940" s="11"/>
      <c r="E940" s="11"/>
      <c r="F940" s="6"/>
      <c r="G940" s="6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x14ac:dyDescent="0.25" r="941" customHeight="1" ht="15.75">
      <c r="A941" s="11"/>
      <c r="B941" s="11"/>
      <c r="C941" s="11"/>
      <c r="D941" s="11"/>
      <c r="E941" s="11"/>
      <c r="F941" s="6"/>
      <c r="G941" s="6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x14ac:dyDescent="0.25" r="942" customHeight="1" ht="15.75">
      <c r="A942" s="11"/>
      <c r="B942" s="11"/>
      <c r="C942" s="11"/>
      <c r="D942" s="11"/>
      <c r="E942" s="11"/>
      <c r="F942" s="6"/>
      <c r="G942" s="6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x14ac:dyDescent="0.25" r="943" customHeight="1" ht="15.75">
      <c r="A943" s="11"/>
      <c r="B943" s="11"/>
      <c r="C943" s="11"/>
      <c r="D943" s="11"/>
      <c r="E943" s="11"/>
      <c r="F943" s="6"/>
      <c r="G943" s="6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x14ac:dyDescent="0.25" r="944" customHeight="1" ht="15.75">
      <c r="A944" s="11"/>
      <c r="B944" s="11"/>
      <c r="C944" s="11"/>
      <c r="D944" s="11"/>
      <c r="E944" s="11"/>
      <c r="F944" s="6"/>
      <c r="G944" s="6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x14ac:dyDescent="0.25" r="945" customHeight="1" ht="15.75">
      <c r="A945" s="11"/>
      <c r="B945" s="11"/>
      <c r="C945" s="11"/>
      <c r="D945" s="11"/>
      <c r="E945" s="11"/>
      <c r="F945" s="6"/>
      <c r="G945" s="6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x14ac:dyDescent="0.25" r="946" customHeight="1" ht="15.75">
      <c r="A946" s="11"/>
      <c r="B946" s="11"/>
      <c r="C946" s="11"/>
      <c r="D946" s="11"/>
      <c r="E946" s="11"/>
      <c r="F946" s="6"/>
      <c r="G946" s="6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x14ac:dyDescent="0.25" r="947" customHeight="1" ht="15.75">
      <c r="A947" s="11"/>
      <c r="B947" s="11"/>
      <c r="C947" s="11"/>
      <c r="D947" s="11"/>
      <c r="E947" s="11"/>
      <c r="F947" s="6"/>
      <c r="G947" s="6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x14ac:dyDescent="0.25" r="948" customHeight="1" ht="15.75">
      <c r="A948" s="11"/>
      <c r="B948" s="11"/>
      <c r="C948" s="11"/>
      <c r="D948" s="11"/>
      <c r="E948" s="11"/>
      <c r="F948" s="6"/>
      <c r="G948" s="6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x14ac:dyDescent="0.25" r="949" customHeight="1" ht="15.75">
      <c r="A949" s="11"/>
      <c r="B949" s="11"/>
      <c r="C949" s="11"/>
      <c r="D949" s="11"/>
      <c r="E949" s="11"/>
      <c r="F949" s="6"/>
      <c r="G949" s="6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x14ac:dyDescent="0.25" r="950" customHeight="1" ht="15.75">
      <c r="A950" s="11"/>
      <c r="B950" s="11"/>
      <c r="C950" s="11"/>
      <c r="D950" s="11"/>
      <c r="E950" s="11"/>
      <c r="F950" s="6"/>
      <c r="G950" s="6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x14ac:dyDescent="0.25" r="951" customHeight="1" ht="15.75">
      <c r="A951" s="11"/>
      <c r="B951" s="11"/>
      <c r="C951" s="11"/>
      <c r="D951" s="11"/>
      <c r="E951" s="11"/>
      <c r="F951" s="6"/>
      <c r="G951" s="6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x14ac:dyDescent="0.25" r="952" customHeight="1" ht="15.75">
      <c r="A952" s="11"/>
      <c r="B952" s="11"/>
      <c r="C952" s="11"/>
      <c r="D952" s="11"/>
      <c r="E952" s="11"/>
      <c r="F952" s="6"/>
      <c r="G952" s="6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x14ac:dyDescent="0.25" r="953" customHeight="1" ht="15.75">
      <c r="A953" s="11"/>
      <c r="B953" s="11"/>
      <c r="C953" s="11"/>
      <c r="D953" s="11"/>
      <c r="E953" s="11"/>
      <c r="F953" s="6"/>
      <c r="G953" s="6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x14ac:dyDescent="0.25" r="954" customHeight="1" ht="15.75">
      <c r="A954" s="11"/>
      <c r="B954" s="11"/>
      <c r="C954" s="11"/>
      <c r="D954" s="11"/>
      <c r="E954" s="11"/>
      <c r="F954" s="6"/>
      <c r="G954" s="6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x14ac:dyDescent="0.25" r="955" customHeight="1" ht="15.75">
      <c r="A955" s="11"/>
      <c r="B955" s="11"/>
      <c r="C955" s="11"/>
      <c r="D955" s="11"/>
      <c r="E955" s="11"/>
      <c r="F955" s="6"/>
      <c r="G955" s="6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x14ac:dyDescent="0.25" r="956" customHeight="1" ht="15.75">
      <c r="A956" s="11"/>
      <c r="B956" s="11"/>
      <c r="C956" s="11"/>
      <c r="D956" s="11"/>
      <c r="E956" s="11"/>
      <c r="F956" s="6"/>
      <c r="G956" s="6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x14ac:dyDescent="0.25" r="957" customHeight="1" ht="15.75">
      <c r="A957" s="11"/>
      <c r="B957" s="11"/>
      <c r="C957" s="11"/>
      <c r="D957" s="11"/>
      <c r="E957" s="11"/>
      <c r="F957" s="6"/>
      <c r="G957" s="6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x14ac:dyDescent="0.25" r="958" customHeight="1" ht="15.75">
      <c r="A958" s="11"/>
      <c r="B958" s="11"/>
      <c r="C958" s="11"/>
      <c r="D958" s="11"/>
      <c r="E958" s="11"/>
      <c r="F958" s="6"/>
      <c r="G958" s="6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x14ac:dyDescent="0.25" r="959" customHeight="1" ht="15.75">
      <c r="A959" s="11"/>
      <c r="B959" s="11"/>
      <c r="C959" s="11"/>
      <c r="D959" s="11"/>
      <c r="E959" s="11"/>
      <c r="F959" s="6"/>
      <c r="G959" s="6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x14ac:dyDescent="0.25" r="960" customHeight="1" ht="15.75">
      <c r="A960" s="11"/>
      <c r="B960" s="11"/>
      <c r="C960" s="11"/>
      <c r="D960" s="11"/>
      <c r="E960" s="11"/>
      <c r="F960" s="6"/>
      <c r="G960" s="6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x14ac:dyDescent="0.25" r="961" customHeight="1" ht="15.75">
      <c r="A961" s="11"/>
      <c r="B961" s="11"/>
      <c r="C961" s="11"/>
      <c r="D961" s="11"/>
      <c r="E961" s="11"/>
      <c r="F961" s="6"/>
      <c r="G961" s="6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x14ac:dyDescent="0.25" r="962" customHeight="1" ht="15.75">
      <c r="A962" s="11"/>
      <c r="B962" s="11"/>
      <c r="C962" s="11"/>
      <c r="D962" s="11"/>
      <c r="E962" s="11"/>
      <c r="F962" s="6"/>
      <c r="G962" s="6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x14ac:dyDescent="0.25" r="963" customHeight="1" ht="15.75">
      <c r="A963" s="11"/>
      <c r="B963" s="11"/>
      <c r="C963" s="11"/>
      <c r="D963" s="11"/>
      <c r="E963" s="11"/>
      <c r="F963" s="6"/>
      <c r="G963" s="6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x14ac:dyDescent="0.25" r="964" customHeight="1" ht="15.75">
      <c r="A964" s="11"/>
      <c r="B964" s="11"/>
      <c r="C964" s="11"/>
      <c r="D964" s="11"/>
      <c r="E964" s="11"/>
      <c r="F964" s="6"/>
      <c r="G964" s="6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x14ac:dyDescent="0.25" r="965" customHeight="1" ht="15.75">
      <c r="A965" s="11"/>
      <c r="B965" s="11"/>
      <c r="C965" s="11"/>
      <c r="D965" s="11"/>
      <c r="E965" s="11"/>
      <c r="F965" s="6"/>
      <c r="G965" s="6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x14ac:dyDescent="0.25" r="966" customHeight="1" ht="15.75">
      <c r="A966" s="11"/>
      <c r="B966" s="11"/>
      <c r="C966" s="11"/>
      <c r="D966" s="11"/>
      <c r="E966" s="11"/>
      <c r="F966" s="6"/>
      <c r="G966" s="6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x14ac:dyDescent="0.25" r="967" customHeight="1" ht="15.75">
      <c r="A967" s="11"/>
      <c r="B967" s="11"/>
      <c r="C967" s="11"/>
      <c r="D967" s="11"/>
      <c r="E967" s="11"/>
      <c r="F967" s="6"/>
      <c r="G967" s="6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x14ac:dyDescent="0.25" r="968" customHeight="1" ht="15.75">
      <c r="A968" s="11"/>
      <c r="B968" s="11"/>
      <c r="C968" s="11"/>
      <c r="D968" s="11"/>
      <c r="E968" s="11"/>
      <c r="F968" s="6"/>
      <c r="G968" s="6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x14ac:dyDescent="0.25" r="969" customHeight="1" ht="15.75">
      <c r="A969" s="11"/>
      <c r="B969" s="11"/>
      <c r="C969" s="11"/>
      <c r="D969" s="11"/>
      <c r="E969" s="11"/>
      <c r="F969" s="6"/>
      <c r="G969" s="6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x14ac:dyDescent="0.25" r="970" customHeight="1" ht="15.75">
      <c r="A970" s="11"/>
      <c r="B970" s="11"/>
      <c r="C970" s="11"/>
      <c r="D970" s="11"/>
      <c r="E970" s="11"/>
      <c r="F970" s="6"/>
      <c r="G970" s="6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x14ac:dyDescent="0.25" r="971" customHeight="1" ht="15.75">
      <c r="A971" s="11"/>
      <c r="B971" s="11"/>
      <c r="C971" s="11"/>
      <c r="D971" s="11"/>
      <c r="E971" s="11"/>
      <c r="F971" s="6"/>
      <c r="G971" s="6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x14ac:dyDescent="0.25" r="972" customHeight="1" ht="15.75">
      <c r="A972" s="11"/>
      <c r="B972" s="11"/>
      <c r="C972" s="11"/>
      <c r="D972" s="11"/>
      <c r="E972" s="11"/>
      <c r="F972" s="6"/>
      <c r="G972" s="6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x14ac:dyDescent="0.25" r="973" customHeight="1" ht="15.75">
      <c r="A973" s="11"/>
      <c r="B973" s="11"/>
      <c r="C973" s="11"/>
      <c r="D973" s="11"/>
      <c r="E973" s="11"/>
      <c r="F973" s="6"/>
      <c r="G973" s="6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x14ac:dyDescent="0.25" r="974" customHeight="1" ht="15.75">
      <c r="A974" s="11"/>
      <c r="B974" s="11"/>
      <c r="C974" s="11"/>
      <c r="D974" s="11"/>
      <c r="E974" s="11"/>
      <c r="F974" s="6"/>
      <c r="G974" s="6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x14ac:dyDescent="0.25" r="975" customHeight="1" ht="15.75">
      <c r="A975" s="11"/>
      <c r="B975" s="11"/>
      <c r="C975" s="11"/>
      <c r="D975" s="11"/>
      <c r="E975" s="11"/>
      <c r="F975" s="6"/>
      <c r="G975" s="6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x14ac:dyDescent="0.25" r="976" customHeight="1" ht="15.75">
      <c r="A976" s="11"/>
      <c r="B976" s="11"/>
      <c r="C976" s="11"/>
      <c r="D976" s="11"/>
      <c r="E976" s="11"/>
      <c r="F976" s="6"/>
      <c r="G976" s="6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x14ac:dyDescent="0.25" r="977" customHeight="1" ht="15.75">
      <c r="A977" s="11"/>
      <c r="B977" s="11"/>
      <c r="C977" s="11"/>
      <c r="D977" s="11"/>
      <c r="E977" s="11"/>
      <c r="F977" s="6"/>
      <c r="G977" s="6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x14ac:dyDescent="0.25" r="978" customHeight="1" ht="15.75">
      <c r="A978" s="11"/>
      <c r="B978" s="11"/>
      <c r="C978" s="11"/>
      <c r="D978" s="11"/>
      <c r="E978" s="11"/>
      <c r="F978" s="6"/>
      <c r="G978" s="6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x14ac:dyDescent="0.25" r="979" customHeight="1" ht="15.75">
      <c r="A979" s="11"/>
      <c r="B979" s="11"/>
      <c r="C979" s="11"/>
      <c r="D979" s="11"/>
      <c r="E979" s="11"/>
      <c r="F979" s="6"/>
      <c r="G979" s="6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x14ac:dyDescent="0.25" r="980" customHeight="1" ht="15.75">
      <c r="A980" s="11"/>
      <c r="B980" s="11"/>
      <c r="C980" s="11"/>
      <c r="D980" s="11"/>
      <c r="E980" s="11"/>
      <c r="F980" s="6"/>
      <c r="G980" s="6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x14ac:dyDescent="0.25" r="981" customHeight="1" ht="15.75">
      <c r="A981" s="11"/>
      <c r="B981" s="11"/>
      <c r="C981" s="11"/>
      <c r="D981" s="11"/>
      <c r="E981" s="11"/>
      <c r="F981" s="6"/>
      <c r="G981" s="6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x14ac:dyDescent="0.25" r="982" customHeight="1" ht="15.75">
      <c r="A982" s="11"/>
      <c r="B982" s="11"/>
      <c r="C982" s="11"/>
      <c r="D982" s="11"/>
      <c r="E982" s="11"/>
      <c r="F982" s="6"/>
      <c r="G982" s="6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x14ac:dyDescent="0.25" r="983" customHeight="1" ht="15.75">
      <c r="A983" s="11"/>
      <c r="B983" s="11"/>
      <c r="C983" s="11"/>
      <c r="D983" s="11"/>
      <c r="E983" s="11"/>
      <c r="F983" s="6"/>
      <c r="G983" s="6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x14ac:dyDescent="0.25" r="984" customHeight="1" ht="15.75">
      <c r="A984" s="11"/>
      <c r="B984" s="11"/>
      <c r="C984" s="11"/>
      <c r="D984" s="11"/>
      <c r="E984" s="11"/>
      <c r="F984" s="6"/>
      <c r="G984" s="6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x14ac:dyDescent="0.25" r="985" customHeight="1" ht="15.75">
      <c r="A985" s="11"/>
      <c r="B985" s="11"/>
      <c r="C985" s="11"/>
      <c r="D985" s="11"/>
      <c r="E985" s="11"/>
      <c r="F985" s="6"/>
      <c r="G985" s="6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x14ac:dyDescent="0.25" r="986" customHeight="1" ht="15.75">
      <c r="A986" s="11"/>
      <c r="B986" s="11"/>
      <c r="C986" s="11"/>
      <c r="D986" s="11"/>
      <c r="E986" s="11"/>
      <c r="F986" s="6"/>
      <c r="G986" s="6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x14ac:dyDescent="0.25" r="987" customHeight="1" ht="15.75">
      <c r="A987" s="11"/>
      <c r="B987" s="11"/>
      <c r="C987" s="11"/>
      <c r="D987" s="11"/>
      <c r="E987" s="11"/>
      <c r="F987" s="6"/>
      <c r="G987" s="6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x14ac:dyDescent="0.25" r="988" customHeight="1" ht="15.75">
      <c r="A988" s="11"/>
      <c r="B988" s="11"/>
      <c r="C988" s="11"/>
      <c r="D988" s="11"/>
      <c r="E988" s="11"/>
      <c r="F988" s="6"/>
      <c r="G988" s="6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x14ac:dyDescent="0.25" r="989" customHeight="1" ht="15.75">
      <c r="A989" s="11"/>
      <c r="B989" s="11"/>
      <c r="C989" s="11"/>
      <c r="D989" s="11"/>
      <c r="E989" s="11"/>
      <c r="F989" s="6"/>
      <c r="G989" s="6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x14ac:dyDescent="0.25" r="990" customHeight="1" ht="15.75">
      <c r="A990" s="11"/>
      <c r="B990" s="11"/>
      <c r="C990" s="11"/>
      <c r="D990" s="11"/>
      <c r="E990" s="11"/>
      <c r="F990" s="6"/>
      <c r="G990" s="6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x14ac:dyDescent="0.25" r="991" customHeight="1" ht="15.75">
      <c r="A991" s="11"/>
      <c r="B991" s="11"/>
      <c r="C991" s="11"/>
      <c r="D991" s="11"/>
      <c r="E991" s="11"/>
      <c r="F991" s="6"/>
      <c r="G991" s="6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x14ac:dyDescent="0.25" r="992" customHeight="1" ht="15.75">
      <c r="A992" s="11"/>
      <c r="B992" s="11"/>
      <c r="C992" s="11"/>
      <c r="D992" s="11"/>
      <c r="E992" s="11"/>
      <c r="F992" s="6"/>
      <c r="G992" s="6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x14ac:dyDescent="0.25" r="993" customHeight="1" ht="15.75">
      <c r="A993" s="11"/>
      <c r="B993" s="11"/>
      <c r="C993" s="11"/>
      <c r="D993" s="11"/>
      <c r="E993" s="11"/>
      <c r="F993" s="6"/>
      <c r="G993" s="6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x14ac:dyDescent="0.25" r="994" customHeight="1" ht="15.75">
      <c r="A994" s="11"/>
      <c r="B994" s="11"/>
      <c r="C994" s="11"/>
      <c r="D994" s="11"/>
      <c r="E994" s="11"/>
      <c r="F994" s="6"/>
      <c r="G994" s="6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x14ac:dyDescent="0.25" r="995" customHeight="1" ht="15.75">
      <c r="A995" s="11"/>
      <c r="B995" s="11"/>
      <c r="C995" s="11"/>
      <c r="D995" s="11"/>
      <c r="E995" s="11"/>
      <c r="F995" s="6"/>
      <c r="G995" s="6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x14ac:dyDescent="0.25" r="996" customHeight="1" ht="15.75">
      <c r="A996" s="11"/>
      <c r="B996" s="11"/>
      <c r="C996" s="11"/>
      <c r="D996" s="11"/>
      <c r="E996" s="11"/>
      <c r="F996" s="6"/>
      <c r="G996" s="6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</row>
    <row x14ac:dyDescent="0.25" r="997" customHeight="1" ht="15.75">
      <c r="A997" s="11"/>
      <c r="B997" s="11"/>
      <c r="C997" s="11"/>
      <c r="D997" s="11"/>
      <c r="E997" s="11"/>
      <c r="F997" s="6"/>
      <c r="G997" s="6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</row>
    <row x14ac:dyDescent="0.25" r="998" customHeight="1" ht="15.75">
      <c r="A998" s="11"/>
      <c r="B998" s="11"/>
      <c r="C998" s="11"/>
      <c r="D998" s="11"/>
      <c r="E998" s="11"/>
      <c r="F998" s="6"/>
      <c r="G998" s="6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</row>
    <row x14ac:dyDescent="0.25" r="999" customHeight="1" ht="15.75">
      <c r="A999" s="11"/>
      <c r="B999" s="11"/>
      <c r="C999" s="11"/>
      <c r="D999" s="11"/>
      <c r="E999" s="11"/>
      <c r="F999" s="6"/>
      <c r="G999" s="6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</row>
    <row x14ac:dyDescent="0.25" r="1000" customHeight="1" ht="15.75">
      <c r="A1000" s="11"/>
      <c r="B1000" s="11"/>
      <c r="C1000" s="11"/>
      <c r="D1000" s="11"/>
      <c r="E1000" s="11"/>
      <c r="F1000" s="6"/>
      <c r="G1000" s="6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</row>
    <row x14ac:dyDescent="0.25" r="1001" customHeight="1" ht="15.75">
      <c r="A1001" s="11"/>
      <c r="B1001" s="11"/>
      <c r="C1001" s="11"/>
      <c r="D1001" s="11"/>
      <c r="E1001" s="11"/>
      <c r="F1001" s="6"/>
      <c r="G1001" s="6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</row>
    <row x14ac:dyDescent="0.25" r="1002" customHeight="1" ht="15.75">
      <c r="A1002" s="11"/>
      <c r="B1002" s="11"/>
      <c r="C1002" s="11"/>
      <c r="D1002" s="11"/>
      <c r="E1002" s="11"/>
      <c r="F1002" s="6"/>
      <c r="G1002" s="6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</row>
    <row x14ac:dyDescent="0.25" r="1003" customHeight="1" ht="15.75">
      <c r="A1003" s="11"/>
      <c r="B1003" s="11"/>
      <c r="C1003" s="11"/>
      <c r="D1003" s="11"/>
      <c r="E1003" s="11"/>
      <c r="F1003" s="6"/>
      <c r="G1003" s="6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</row>
    <row x14ac:dyDescent="0.25" r="1004" customHeight="1" ht="15.75">
      <c r="A1004" s="11"/>
      <c r="B1004" s="11"/>
      <c r="C1004" s="11"/>
      <c r="D1004" s="11"/>
      <c r="E1004" s="11"/>
      <c r="F1004" s="6"/>
      <c r="G1004" s="6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</row>
    <row x14ac:dyDescent="0.25" r="1005" customHeight="1" ht="15.75">
      <c r="A1005" s="11"/>
      <c r="B1005" s="11"/>
      <c r="C1005" s="11"/>
      <c r="D1005" s="11"/>
      <c r="E1005" s="11"/>
      <c r="F1005" s="6"/>
      <c r="G1005" s="6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</row>
  </sheetData>
  <mergeCells count="10">
    <mergeCell ref="E1:H1"/>
    <mergeCell ref="D20:D24"/>
    <mergeCell ref="D25:D34"/>
    <mergeCell ref="D35:D38"/>
    <mergeCell ref="D39:D42"/>
    <mergeCell ref="D43:D45"/>
    <mergeCell ref="D46:D50"/>
    <mergeCell ref="D51:D54"/>
    <mergeCell ref="D57:D59"/>
    <mergeCell ref="D60:D6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3" width="8.290714285714287" customWidth="1" bestFit="1"/>
    <col min="2" max="2" style="13" width="22.719285714285714" customWidth="1" bestFit="1"/>
    <col min="3" max="3" style="13" width="9.290714285714287" customWidth="1" bestFit="1"/>
    <col min="4" max="4" style="13" width="9.290714285714287" customWidth="1" bestFit="1"/>
    <col min="5" max="5" style="13" width="9.290714285714287" customWidth="1" bestFit="1"/>
    <col min="6" max="6" style="13" width="9.290714285714287" customWidth="1" bestFit="1"/>
    <col min="7" max="7" style="13" width="9.290714285714287" customWidth="1" bestFit="1"/>
    <col min="8" max="8" style="13" width="9.290714285714287" customWidth="1" bestFit="1"/>
    <col min="9" max="9" style="13" width="9.290714285714287" customWidth="1" bestFit="1"/>
    <col min="10" max="10" style="13" width="9.290714285714287" customWidth="1" bestFit="1"/>
    <col min="11" max="11" style="13" width="8.719285714285713" customWidth="1" bestFit="1"/>
    <col min="12" max="12" style="13" width="8.719285714285713" customWidth="1" bestFit="1"/>
    <col min="13" max="13" style="13" width="8.719285714285713" customWidth="1" bestFit="1"/>
    <col min="14" max="14" style="13" width="8.719285714285713" customWidth="1" bestFit="1"/>
    <col min="15" max="15" style="13" width="8.719285714285713" customWidth="1" bestFit="1"/>
    <col min="16" max="16" style="13" width="8.719285714285713" customWidth="1" bestFit="1"/>
    <col min="17" max="17" style="13" width="8.719285714285713" customWidth="1" bestFit="1"/>
    <col min="18" max="18" style="13" width="8.719285714285713" customWidth="1" bestFit="1"/>
    <col min="19" max="19" style="13" width="8.719285714285713" customWidth="1" bestFit="1"/>
    <col min="20" max="20" style="13" width="8.719285714285713" customWidth="1" bestFit="1"/>
    <col min="21" max="21" style="13" width="8.719285714285713" customWidth="1" bestFit="1"/>
    <col min="22" max="22" style="13" width="14.147857142857141" customWidth="1" bestFit="1"/>
    <col min="23" max="23" style="13" width="14.147857142857141" customWidth="1" bestFit="1"/>
    <col min="24" max="24" style="13" width="14.147857142857141" customWidth="1" bestFit="1"/>
    <col min="25" max="25" style="13" width="14.147857142857141" customWidth="1" bestFit="1"/>
    <col min="26" max="26" style="13" width="14.147857142857141" customWidth="1" bestFit="1"/>
  </cols>
  <sheetData>
    <row x14ac:dyDescent="0.25" r="1" customHeight="1" ht="63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19"/>
      <c r="X1" s="19"/>
      <c r="Y1" s="19"/>
      <c r="Z1" s="19"/>
    </row>
    <row x14ac:dyDescent="0.25" r="2" customHeight="1" ht="15.75">
      <c r="A2" s="73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73"/>
      <c r="W2" s="19"/>
      <c r="X2" s="19"/>
      <c r="Y2" s="19"/>
      <c r="Z2" s="19"/>
    </row>
    <row x14ac:dyDescent="0.25" r="3" customHeight="1" ht="15.75">
      <c r="A3" s="73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4"/>
      <c r="U3" s="19"/>
      <c r="V3" s="73"/>
      <c r="W3" s="19"/>
      <c r="X3" s="19"/>
      <c r="Y3" s="19"/>
      <c r="Z3" s="19"/>
    </row>
    <row x14ac:dyDescent="0.25" r="4" customHeight="1" ht="15.75">
      <c r="A4" s="73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4"/>
      <c r="U4" s="19"/>
      <c r="V4" s="73"/>
      <c r="W4" s="19"/>
      <c r="X4" s="19"/>
      <c r="Y4" s="19"/>
      <c r="Z4" s="19"/>
    </row>
    <row x14ac:dyDescent="0.25" r="5" customHeight="1" ht="19.5">
      <c r="A5" s="73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4"/>
      <c r="U5" s="19"/>
      <c r="V5" s="73"/>
      <c r="W5" s="19"/>
      <c r="X5" s="19"/>
      <c r="Y5" s="19"/>
      <c r="Z5" s="19"/>
    </row>
    <row x14ac:dyDescent="0.25" r="6" customHeight="1" ht="19.5">
      <c r="A6" s="73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4"/>
      <c r="U6" s="19"/>
      <c r="V6" s="73"/>
      <c r="W6" s="19"/>
      <c r="X6" s="19"/>
      <c r="Y6" s="19"/>
      <c r="Z6" s="19"/>
    </row>
    <row x14ac:dyDescent="0.25" r="7" customHeight="1" ht="19.5">
      <c r="A7" s="73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4"/>
      <c r="U7" s="19"/>
      <c r="V7" s="73"/>
      <c r="W7" s="19"/>
      <c r="X7" s="19"/>
      <c r="Y7" s="19"/>
      <c r="Z7" s="19"/>
    </row>
    <row x14ac:dyDescent="0.25" r="8" customHeight="1" ht="19.5">
      <c r="A8" s="73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4"/>
      <c r="U8" s="19"/>
      <c r="V8" s="73"/>
      <c r="W8" s="19"/>
      <c r="X8" s="19"/>
      <c r="Y8" s="19"/>
      <c r="Z8" s="19"/>
    </row>
    <row x14ac:dyDescent="0.25" r="9" customHeight="1" ht="19.5">
      <c r="A9" s="73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4"/>
      <c r="U9" s="19"/>
      <c r="V9" s="73"/>
      <c r="W9" s="19"/>
      <c r="X9" s="19"/>
      <c r="Y9" s="19"/>
      <c r="Z9" s="19"/>
    </row>
    <row x14ac:dyDescent="0.25" r="10" customHeight="1" ht="15.75">
      <c r="A10" s="73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4"/>
      <c r="U10" s="19"/>
      <c r="V10" s="73"/>
      <c r="W10" s="19"/>
      <c r="X10" s="19"/>
      <c r="Y10" s="19"/>
      <c r="Z10" s="19"/>
    </row>
    <row x14ac:dyDescent="0.25" r="11" customHeight="1" ht="15.75">
      <c r="A11" s="73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4"/>
      <c r="U11" s="19"/>
      <c r="V11" s="73"/>
      <c r="W11" s="19"/>
      <c r="X11" s="19"/>
      <c r="Y11" s="19"/>
      <c r="Z11" s="19"/>
    </row>
    <row x14ac:dyDescent="0.25" r="12" customHeight="1" ht="15.75">
      <c r="A12" s="73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4"/>
      <c r="U12" s="19"/>
      <c r="V12" s="73"/>
      <c r="W12" s="19"/>
      <c r="X12" s="19"/>
      <c r="Y12" s="19"/>
      <c r="Z12" s="19"/>
    </row>
    <row x14ac:dyDescent="0.25" r="13" customHeight="1" ht="15.75">
      <c r="A13" s="73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4"/>
      <c r="U13" s="19"/>
      <c r="V13" s="73"/>
      <c r="W13" s="19"/>
      <c r="X13" s="19"/>
      <c r="Y13" s="19"/>
      <c r="Z13" s="19"/>
    </row>
    <row x14ac:dyDescent="0.25" r="14" customHeight="1" ht="15.75">
      <c r="A14" s="73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4"/>
      <c r="U14" s="19"/>
      <c r="V14" s="73"/>
      <c r="W14" s="19"/>
      <c r="X14" s="19"/>
      <c r="Y14" s="19"/>
      <c r="Z14" s="19"/>
    </row>
    <row x14ac:dyDescent="0.25" r="15" customHeight="1" ht="15.75">
      <c r="A15" s="73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4"/>
      <c r="U15" s="19"/>
      <c r="V15" s="73"/>
      <c r="W15" s="19"/>
      <c r="X15" s="19"/>
      <c r="Y15" s="19"/>
      <c r="Z15" s="19"/>
    </row>
    <row x14ac:dyDescent="0.25" r="16" customHeight="1" ht="15.75">
      <c r="A16" s="73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4"/>
      <c r="U16" s="19"/>
      <c r="V16" s="73"/>
      <c r="W16" s="19"/>
      <c r="X16" s="19"/>
      <c r="Y16" s="19"/>
      <c r="Z16" s="19"/>
    </row>
    <row x14ac:dyDescent="0.25" r="17" customHeight="1" ht="15.75">
      <c r="A17" s="73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4"/>
      <c r="U17" s="19"/>
      <c r="V17" s="73"/>
      <c r="W17" s="19"/>
      <c r="X17" s="19"/>
      <c r="Y17" s="19"/>
      <c r="Z17" s="19"/>
    </row>
    <row x14ac:dyDescent="0.25" r="18" customHeight="1" ht="15.75">
      <c r="A18" s="73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4"/>
      <c r="U18" s="19"/>
      <c r="V18" s="73"/>
      <c r="W18" s="19"/>
      <c r="X18" s="19"/>
      <c r="Y18" s="19"/>
      <c r="Z18" s="19"/>
    </row>
    <row x14ac:dyDescent="0.25" r="19" customHeight="1" ht="15.75">
      <c r="A19" s="73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4"/>
      <c r="U19" s="19"/>
      <c r="V19" s="73"/>
      <c r="W19" s="19"/>
      <c r="X19" s="19"/>
      <c r="Y19" s="19"/>
      <c r="Z19" s="19"/>
    </row>
    <row x14ac:dyDescent="0.25" r="20" customHeight="1" ht="15.75">
      <c r="A20" s="73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4"/>
      <c r="U20" s="19"/>
      <c r="V20" s="73"/>
      <c r="W20" s="19"/>
      <c r="X20" s="19"/>
      <c r="Y20" s="19"/>
      <c r="Z20" s="19"/>
    </row>
    <row x14ac:dyDescent="0.25" r="21" customHeight="1" ht="15.75">
      <c r="A21" s="73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4"/>
      <c r="U21" s="19"/>
      <c r="V21" s="73"/>
      <c r="W21" s="19"/>
      <c r="X21" s="19"/>
      <c r="Y21" s="19"/>
      <c r="Z21" s="19"/>
    </row>
    <row x14ac:dyDescent="0.25" r="22" customHeight="1" ht="15.75">
      <c r="A22" s="73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4"/>
      <c r="U22" s="19"/>
      <c r="V22" s="73"/>
      <c r="W22" s="19"/>
      <c r="X22" s="19"/>
      <c r="Y22" s="19"/>
      <c r="Z22" s="19"/>
    </row>
    <row x14ac:dyDescent="0.25" r="23" customHeight="1" ht="15.75">
      <c r="A23" s="73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73"/>
      <c r="W23" s="19"/>
      <c r="X23" s="19"/>
      <c r="Y23" s="19"/>
      <c r="Z23" s="19"/>
    </row>
    <row x14ac:dyDescent="0.25" r="24" customHeight="1" ht="15.75">
      <c r="A24" s="73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73"/>
      <c r="W24" s="19"/>
      <c r="X24" s="19"/>
      <c r="Y24" s="19"/>
      <c r="Z24" s="19"/>
    </row>
    <row x14ac:dyDescent="0.25" r="25" customHeight="1" ht="15.75">
      <c r="A25" s="73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73"/>
      <c r="W25" s="19"/>
      <c r="X25" s="19"/>
      <c r="Y25" s="19"/>
      <c r="Z25" s="19"/>
    </row>
    <row x14ac:dyDescent="0.25" r="26" customHeight="1" ht="15.75">
      <c r="A26" s="73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73"/>
      <c r="W26" s="19"/>
      <c r="X26" s="19"/>
      <c r="Y26" s="19"/>
      <c r="Z26" s="19"/>
    </row>
    <row x14ac:dyDescent="0.25" r="27" customHeight="1" ht="15.75">
      <c r="A27" s="73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73"/>
      <c r="W27" s="19"/>
      <c r="X27" s="19"/>
      <c r="Y27" s="19"/>
      <c r="Z27" s="19"/>
    </row>
    <row x14ac:dyDescent="0.25" r="28" customHeight="1" ht="15.75">
      <c r="A28" s="73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73"/>
      <c r="W28" s="19"/>
      <c r="X28" s="19"/>
      <c r="Y28" s="19"/>
      <c r="Z28" s="19"/>
    </row>
    <row x14ac:dyDescent="0.25" r="29" customHeight="1" ht="15.75">
      <c r="A29" s="73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73"/>
      <c r="W29" s="19"/>
      <c r="X29" s="19"/>
      <c r="Y29" s="19"/>
      <c r="Z29" s="19"/>
    </row>
    <row x14ac:dyDescent="0.25" r="30" customHeight="1" ht="15.75">
      <c r="A30" s="73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73"/>
      <c r="W30" s="19"/>
      <c r="X30" s="19"/>
      <c r="Y30" s="19"/>
      <c r="Z30" s="19"/>
    </row>
    <row x14ac:dyDescent="0.25" r="31" customHeight="1" ht="15.75">
      <c r="A31" s="73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73"/>
      <c r="W31" s="19"/>
      <c r="X31" s="19"/>
      <c r="Y31" s="19"/>
      <c r="Z31" s="19"/>
    </row>
    <row x14ac:dyDescent="0.25" r="32" customHeight="1" ht="15.75">
      <c r="A32" s="73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73"/>
      <c r="W32" s="19"/>
      <c r="X32" s="19"/>
      <c r="Y32" s="19"/>
      <c r="Z32" s="19"/>
    </row>
    <row x14ac:dyDescent="0.25" r="33" customHeight="1" ht="15.75">
      <c r="A33" s="73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73"/>
      <c r="W33" s="19"/>
      <c r="X33" s="19"/>
      <c r="Y33" s="19"/>
      <c r="Z33" s="19"/>
    </row>
    <row x14ac:dyDescent="0.25" r="34" customHeight="1" ht="15.75">
      <c r="A34" s="73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73"/>
      <c r="W34" s="19"/>
      <c r="X34" s="19"/>
      <c r="Y34" s="19"/>
      <c r="Z34" s="19"/>
    </row>
    <row x14ac:dyDescent="0.25" r="35" customHeight="1" ht="15.75">
      <c r="A35" s="73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73"/>
      <c r="W35" s="19"/>
      <c r="X35" s="19"/>
      <c r="Y35" s="19"/>
      <c r="Z35" s="19"/>
    </row>
    <row x14ac:dyDescent="0.25" r="36" customHeight="1" ht="15.75">
      <c r="A36" s="73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73"/>
      <c r="W36" s="19"/>
      <c r="X36" s="19"/>
      <c r="Y36" s="19"/>
      <c r="Z36" s="19"/>
    </row>
    <row x14ac:dyDescent="0.25" r="37" customHeight="1" ht="15.75">
      <c r="A37" s="73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73"/>
      <c r="W37" s="19"/>
      <c r="X37" s="19"/>
      <c r="Y37" s="19"/>
      <c r="Z37" s="19"/>
    </row>
    <row x14ac:dyDescent="0.25" r="38" customHeight="1" ht="15.75">
      <c r="A38" s="73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73"/>
      <c r="W38" s="19"/>
      <c r="X38" s="19"/>
      <c r="Y38" s="19"/>
      <c r="Z38" s="19"/>
    </row>
    <row x14ac:dyDescent="0.25" r="39" customHeight="1" ht="15.75">
      <c r="A39" s="73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73"/>
      <c r="W39" s="19"/>
      <c r="X39" s="19"/>
      <c r="Y39" s="19"/>
      <c r="Z39" s="19"/>
    </row>
    <row x14ac:dyDescent="0.25" r="40" customHeight="1" ht="15.75">
      <c r="A40" s="73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73"/>
      <c r="W40" s="19"/>
      <c r="X40" s="19"/>
      <c r="Y40" s="19"/>
      <c r="Z40" s="19"/>
    </row>
    <row x14ac:dyDescent="0.25" r="41" customHeight="1" ht="15.75">
      <c r="A41" s="73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73"/>
      <c r="W41" s="19"/>
      <c r="X41" s="19"/>
      <c r="Y41" s="19"/>
      <c r="Z41" s="19"/>
    </row>
    <row x14ac:dyDescent="0.25" r="42" customHeight="1" ht="15.75">
      <c r="A42" s="73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73"/>
      <c r="W42" s="19"/>
      <c r="X42" s="19"/>
      <c r="Y42" s="19"/>
      <c r="Z42" s="19"/>
    </row>
    <row x14ac:dyDescent="0.25" r="43" customHeight="1" ht="15.75">
      <c r="A43" s="73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73"/>
      <c r="W43" s="19"/>
      <c r="X43" s="19"/>
      <c r="Y43" s="19"/>
      <c r="Z43" s="19"/>
    </row>
    <row x14ac:dyDescent="0.25" r="44" customHeight="1" ht="15.75">
      <c r="A44" s="73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73"/>
      <c r="W44" s="19"/>
      <c r="X44" s="19"/>
      <c r="Y44" s="19"/>
      <c r="Z44" s="19"/>
    </row>
    <row x14ac:dyDescent="0.25" r="45" customHeight="1" ht="15.75">
      <c r="A45" s="73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73"/>
      <c r="W45" s="19"/>
      <c r="X45" s="19"/>
      <c r="Y45" s="19"/>
      <c r="Z45" s="19"/>
    </row>
    <row x14ac:dyDescent="0.25" r="46" customHeight="1" ht="15.75">
      <c r="A46" s="73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73"/>
      <c r="W46" s="19"/>
      <c r="X46" s="19"/>
      <c r="Y46" s="19"/>
      <c r="Z46" s="19"/>
    </row>
    <row x14ac:dyDescent="0.25" r="47" customHeight="1" ht="15.75">
      <c r="A47" s="73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73"/>
      <c r="W47" s="19"/>
      <c r="X47" s="19"/>
      <c r="Y47" s="19"/>
      <c r="Z47" s="19"/>
    </row>
    <row x14ac:dyDescent="0.25" r="48" customHeight="1" ht="15.75">
      <c r="A48" s="73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73"/>
      <c r="W48" s="19"/>
      <c r="X48" s="19"/>
      <c r="Y48" s="19"/>
      <c r="Z48" s="19"/>
    </row>
    <row x14ac:dyDescent="0.25" r="49" customHeight="1" ht="15.75">
      <c r="A49" s="73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73"/>
      <c r="W49" s="19"/>
      <c r="X49" s="19"/>
      <c r="Y49" s="19"/>
      <c r="Z49" s="19"/>
    </row>
    <row x14ac:dyDescent="0.25" r="50" customHeight="1" ht="15.75">
      <c r="A50" s="73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73"/>
      <c r="W50" s="19"/>
      <c r="X50" s="19"/>
      <c r="Y50" s="19"/>
      <c r="Z50" s="19"/>
    </row>
    <row x14ac:dyDescent="0.25" r="51" customHeight="1" ht="15.75">
      <c r="A51" s="73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73"/>
      <c r="W51" s="19"/>
      <c r="X51" s="19"/>
      <c r="Y51" s="19"/>
      <c r="Z51" s="19"/>
    </row>
    <row x14ac:dyDescent="0.25" r="52" customHeight="1" ht="15.75">
      <c r="A52" s="73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73"/>
      <c r="W52" s="19"/>
      <c r="X52" s="19"/>
      <c r="Y52" s="19"/>
      <c r="Z52" s="19"/>
    </row>
    <row x14ac:dyDescent="0.25" r="53" customHeight="1" ht="15.75">
      <c r="A53" s="73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73"/>
      <c r="W53" s="19"/>
      <c r="X53" s="19"/>
      <c r="Y53" s="19"/>
      <c r="Z53" s="19"/>
    </row>
    <row x14ac:dyDescent="0.25" r="54" customHeight="1" ht="15.75">
      <c r="A54" s="73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73"/>
      <c r="W54" s="19"/>
      <c r="X54" s="19"/>
      <c r="Y54" s="19"/>
      <c r="Z54" s="19"/>
    </row>
    <row x14ac:dyDescent="0.25" r="55" customHeight="1" ht="15.75">
      <c r="A55" s="73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73"/>
      <c r="W55" s="19"/>
      <c r="X55" s="19"/>
      <c r="Y55" s="19"/>
      <c r="Z55" s="19"/>
    </row>
    <row x14ac:dyDescent="0.25" r="56" customHeight="1" ht="15.75">
      <c r="A56" s="73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73"/>
      <c r="W56" s="19"/>
      <c r="X56" s="19"/>
      <c r="Y56" s="19"/>
      <c r="Z56" s="19"/>
    </row>
    <row x14ac:dyDescent="0.25" r="57" customHeight="1" ht="15.75">
      <c r="A57" s="73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73"/>
      <c r="W57" s="19"/>
      <c r="X57" s="19"/>
      <c r="Y57" s="19"/>
      <c r="Z57" s="19"/>
    </row>
    <row x14ac:dyDescent="0.25" r="58" customHeight="1" ht="15.75">
      <c r="A58" s="73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73"/>
      <c r="W58" s="19"/>
      <c r="X58" s="19"/>
      <c r="Y58" s="19"/>
      <c r="Z58" s="19"/>
    </row>
    <row x14ac:dyDescent="0.25" r="59" customHeight="1" ht="15.75">
      <c r="A59" s="73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73"/>
      <c r="W59" s="19"/>
      <c r="X59" s="19"/>
      <c r="Y59" s="19"/>
      <c r="Z59" s="19"/>
    </row>
    <row x14ac:dyDescent="0.25" r="60" customHeight="1" ht="15.75">
      <c r="A60" s="73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73"/>
      <c r="W60" s="19"/>
      <c r="X60" s="19"/>
      <c r="Y60" s="19"/>
      <c r="Z60" s="19"/>
    </row>
    <row x14ac:dyDescent="0.25" r="61" customHeight="1" ht="15.75">
      <c r="A61" s="73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73"/>
      <c r="W61" s="19"/>
      <c r="X61" s="19"/>
      <c r="Y61" s="19"/>
      <c r="Z61" s="19"/>
    </row>
    <row x14ac:dyDescent="0.25" r="62" customHeight="1" ht="15.75">
      <c r="A62" s="73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73"/>
      <c r="W62" s="19"/>
      <c r="X62" s="19"/>
      <c r="Y62" s="19"/>
      <c r="Z62" s="19"/>
    </row>
    <row x14ac:dyDescent="0.25" r="63" customHeight="1" ht="15.75">
      <c r="A63" s="73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73"/>
      <c r="W63" s="19"/>
      <c r="X63" s="19"/>
      <c r="Y63" s="19"/>
      <c r="Z63" s="19"/>
    </row>
    <row x14ac:dyDescent="0.25" r="64" customHeight="1" ht="15.75">
      <c r="A64" s="73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73"/>
      <c r="W64" s="19"/>
      <c r="X64" s="19"/>
      <c r="Y64" s="19"/>
      <c r="Z64" s="19"/>
    </row>
    <row x14ac:dyDescent="0.25" r="65" customHeight="1" ht="15.75">
      <c r="A65" s="73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73"/>
      <c r="W65" s="19"/>
      <c r="X65" s="19"/>
      <c r="Y65" s="19"/>
      <c r="Z65" s="19"/>
    </row>
    <row x14ac:dyDescent="0.25" r="66" customHeight="1" ht="15.75">
      <c r="A66" s="73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73"/>
      <c r="W66" s="19"/>
      <c r="X66" s="19"/>
      <c r="Y66" s="19"/>
      <c r="Z66" s="19"/>
    </row>
    <row x14ac:dyDescent="0.25" r="67" customHeight="1" ht="15.75">
      <c r="A67" s="73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73"/>
      <c r="W67" s="19"/>
      <c r="X67" s="19"/>
      <c r="Y67" s="19"/>
      <c r="Z67" s="19"/>
    </row>
    <row x14ac:dyDescent="0.25" r="68" customHeight="1" ht="15.75">
      <c r="A68" s="73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73"/>
      <c r="W68" s="19"/>
      <c r="X68" s="19"/>
      <c r="Y68" s="19"/>
      <c r="Z68" s="19"/>
    </row>
    <row x14ac:dyDescent="0.25" r="69" customHeight="1" ht="15.75">
      <c r="A69" s="73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73"/>
      <c r="W69" s="19"/>
      <c r="X69" s="19"/>
      <c r="Y69" s="19"/>
      <c r="Z69" s="19"/>
    </row>
    <row x14ac:dyDescent="0.25" r="70" customHeight="1" ht="15.75">
      <c r="A70" s="73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73"/>
      <c r="W70" s="19"/>
      <c r="X70" s="19"/>
      <c r="Y70" s="19"/>
      <c r="Z70" s="19"/>
    </row>
    <row x14ac:dyDescent="0.25" r="71" customHeight="1" ht="15.75">
      <c r="A71" s="73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73"/>
      <c r="W71" s="19"/>
      <c r="X71" s="19"/>
      <c r="Y71" s="19"/>
      <c r="Z71" s="19"/>
    </row>
    <row x14ac:dyDescent="0.25" r="72" customHeight="1" ht="15.75">
      <c r="A72" s="73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73"/>
      <c r="W72" s="19"/>
      <c r="X72" s="19"/>
      <c r="Y72" s="19"/>
      <c r="Z72" s="19"/>
    </row>
    <row x14ac:dyDescent="0.25" r="73" customHeight="1" ht="15.75">
      <c r="A73" s="73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73"/>
      <c r="W73" s="19"/>
      <c r="X73" s="19"/>
      <c r="Y73" s="19"/>
      <c r="Z73" s="19"/>
    </row>
    <row x14ac:dyDescent="0.25" r="74" customHeight="1" ht="15.75">
      <c r="A74" s="73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73"/>
      <c r="W74" s="19"/>
      <c r="X74" s="19"/>
      <c r="Y74" s="19"/>
      <c r="Z74" s="19"/>
    </row>
    <row x14ac:dyDescent="0.25" r="75" customHeight="1" ht="15.75">
      <c r="A75" s="73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73"/>
      <c r="W75" s="19"/>
      <c r="X75" s="19"/>
      <c r="Y75" s="19"/>
      <c r="Z75" s="19"/>
    </row>
    <row x14ac:dyDescent="0.25" r="76" customHeight="1" ht="15.75">
      <c r="A76" s="73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73"/>
      <c r="W76" s="19"/>
      <c r="X76" s="19"/>
      <c r="Y76" s="19"/>
      <c r="Z76" s="19"/>
    </row>
    <row x14ac:dyDescent="0.25" r="77" customHeight="1" ht="15.75">
      <c r="A77" s="73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73"/>
      <c r="W77" s="19"/>
      <c r="X77" s="19"/>
      <c r="Y77" s="19"/>
      <c r="Z77" s="19"/>
    </row>
    <row x14ac:dyDescent="0.25" r="78" customHeight="1" ht="15.75">
      <c r="A78" s="73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73"/>
      <c r="W78" s="19"/>
      <c r="X78" s="19"/>
      <c r="Y78" s="19"/>
      <c r="Z78" s="19"/>
    </row>
    <row x14ac:dyDescent="0.25" r="79" customHeight="1" ht="15.75">
      <c r="A79" s="73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73"/>
      <c r="W79" s="19"/>
      <c r="X79" s="19"/>
      <c r="Y79" s="19"/>
      <c r="Z79" s="19"/>
    </row>
    <row x14ac:dyDescent="0.25" r="80" customHeight="1" ht="15.75">
      <c r="A80" s="73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73"/>
      <c r="W80" s="19"/>
      <c r="X80" s="19"/>
      <c r="Y80" s="19"/>
      <c r="Z80" s="19"/>
    </row>
    <row x14ac:dyDescent="0.25" r="81" customHeight="1" ht="15.75">
      <c r="A81" s="73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73"/>
      <c r="W81" s="19"/>
      <c r="X81" s="19"/>
      <c r="Y81" s="19"/>
      <c r="Z81" s="19"/>
    </row>
    <row x14ac:dyDescent="0.25" r="82" customHeight="1" ht="15.75">
      <c r="A82" s="73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73"/>
      <c r="W82" s="19"/>
      <c r="X82" s="19"/>
      <c r="Y82" s="19"/>
      <c r="Z82" s="19"/>
    </row>
    <row x14ac:dyDescent="0.25" r="83" customHeight="1" ht="15.75">
      <c r="A83" s="73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73"/>
      <c r="W83" s="19"/>
      <c r="X83" s="19"/>
      <c r="Y83" s="19"/>
      <c r="Z83" s="19"/>
    </row>
    <row x14ac:dyDescent="0.25" r="84" customHeight="1" ht="15.75">
      <c r="A84" s="73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73"/>
      <c r="W84" s="19"/>
      <c r="X84" s="19"/>
      <c r="Y84" s="19"/>
      <c r="Z84" s="19"/>
    </row>
    <row x14ac:dyDescent="0.25" r="85" customHeight="1" ht="15.75">
      <c r="A85" s="73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73"/>
      <c r="W85" s="19"/>
      <c r="X85" s="19"/>
      <c r="Y85" s="19"/>
      <c r="Z85" s="19"/>
    </row>
    <row x14ac:dyDescent="0.25" r="86" customHeight="1" ht="15.75">
      <c r="A86" s="73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73"/>
      <c r="W86" s="19"/>
      <c r="X86" s="19"/>
      <c r="Y86" s="19"/>
      <c r="Z86" s="19"/>
    </row>
    <row x14ac:dyDescent="0.25" r="87" customHeight="1" ht="15.75">
      <c r="A87" s="73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73"/>
      <c r="W87" s="19"/>
      <c r="X87" s="19"/>
      <c r="Y87" s="19"/>
      <c r="Z87" s="19"/>
    </row>
    <row x14ac:dyDescent="0.25" r="88" customHeight="1" ht="15.75">
      <c r="A88" s="73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73"/>
      <c r="W88" s="19"/>
      <c r="X88" s="19"/>
      <c r="Y88" s="19"/>
      <c r="Z88" s="19"/>
    </row>
    <row x14ac:dyDescent="0.25" r="89" customHeight="1" ht="15.75">
      <c r="A89" s="73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73"/>
      <c r="W89" s="19"/>
      <c r="X89" s="19"/>
      <c r="Y89" s="19"/>
      <c r="Z89" s="19"/>
    </row>
    <row x14ac:dyDescent="0.25" r="90" customHeight="1" ht="15.75">
      <c r="A90" s="73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73"/>
      <c r="W90" s="19"/>
      <c r="X90" s="19"/>
      <c r="Y90" s="19"/>
      <c r="Z90" s="19"/>
    </row>
    <row x14ac:dyDescent="0.25" r="91" customHeight="1" ht="15.75">
      <c r="A91" s="73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73"/>
      <c r="W91" s="19"/>
      <c r="X91" s="19"/>
      <c r="Y91" s="19"/>
      <c r="Z91" s="19"/>
    </row>
    <row x14ac:dyDescent="0.25" r="92" customHeight="1" ht="15.75">
      <c r="A92" s="73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73"/>
      <c r="W92" s="19"/>
      <c r="X92" s="19"/>
      <c r="Y92" s="19"/>
      <c r="Z92" s="19"/>
    </row>
    <row x14ac:dyDescent="0.25" r="93" customHeight="1" ht="15.75">
      <c r="A93" s="73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73"/>
      <c r="W93" s="19"/>
      <c r="X93" s="19"/>
      <c r="Y93" s="19"/>
      <c r="Z93" s="19"/>
    </row>
    <row x14ac:dyDescent="0.25" r="94" customHeight="1" ht="15.75">
      <c r="A94" s="73"/>
      <c r="B94" s="19"/>
      <c r="C94" s="19"/>
      <c r="D94" s="19"/>
      <c r="E94" s="19"/>
      <c r="F94" s="19"/>
      <c r="G94" s="19"/>
      <c r="H94" s="19"/>
      <c r="I94" s="19"/>
      <c r="J94" s="123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73"/>
      <c r="W94" s="19"/>
      <c r="X94" s="19"/>
      <c r="Y94" s="19"/>
      <c r="Z94" s="19"/>
    </row>
    <row x14ac:dyDescent="0.25" r="95" customHeight="1" ht="15.75">
      <c r="A95" s="73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73"/>
      <c r="W95" s="19"/>
      <c r="X95" s="19"/>
      <c r="Y95" s="19"/>
      <c r="Z95" s="19"/>
    </row>
    <row x14ac:dyDescent="0.25" r="96" customHeight="1" ht="15.75">
      <c r="A96" s="73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73"/>
      <c r="W96" s="19"/>
      <c r="X96" s="19"/>
      <c r="Y96" s="19"/>
      <c r="Z96" s="19"/>
    </row>
    <row x14ac:dyDescent="0.25" r="97" customHeight="1" ht="15.75">
      <c r="A97" s="73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73"/>
      <c r="W97" s="19"/>
      <c r="X97" s="19"/>
      <c r="Y97" s="19"/>
      <c r="Z97" s="19"/>
    </row>
    <row x14ac:dyDescent="0.25" r="98" customHeight="1" ht="15.75">
      <c r="A98" s="73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73"/>
      <c r="W98" s="19"/>
      <c r="X98" s="19"/>
      <c r="Y98" s="19"/>
      <c r="Z98" s="19"/>
    </row>
    <row x14ac:dyDescent="0.25" r="99" customHeight="1" ht="15.75">
      <c r="A99" s="73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73"/>
      <c r="W99" s="19"/>
      <c r="X99" s="19"/>
      <c r="Y99" s="19"/>
      <c r="Z99" s="19"/>
    </row>
    <row x14ac:dyDescent="0.25" r="100" customHeight="1" ht="15.75">
      <c r="A100" s="73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73"/>
      <c r="W100" s="19"/>
      <c r="X100" s="19"/>
      <c r="Y100" s="19"/>
      <c r="Z100" s="19"/>
    </row>
    <row x14ac:dyDescent="0.25" r="101" customHeight="1" ht="15.75">
      <c r="A101" s="73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73"/>
      <c r="W101" s="19"/>
      <c r="X101" s="19"/>
      <c r="Y101" s="19"/>
      <c r="Z101" s="19"/>
    </row>
    <row x14ac:dyDescent="0.25" r="102" customHeight="1" ht="15.75">
      <c r="A102" s="73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73"/>
      <c r="W102" s="19"/>
      <c r="X102" s="19"/>
      <c r="Y102" s="19"/>
      <c r="Z102" s="19"/>
    </row>
    <row x14ac:dyDescent="0.25" r="103" customHeight="1" ht="15.75">
      <c r="A103" s="73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73"/>
      <c r="W103" s="19"/>
      <c r="X103" s="19"/>
      <c r="Y103" s="19"/>
      <c r="Z103" s="19"/>
    </row>
    <row x14ac:dyDescent="0.25" r="104" customHeight="1" ht="19.5" hidden="1">
      <c r="A104" s="73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73"/>
      <c r="W104" s="19"/>
      <c r="X104" s="19"/>
      <c r="Y104" s="19"/>
      <c r="Z104" s="19"/>
    </row>
    <row x14ac:dyDescent="0.25" r="105" customHeight="1" ht="19.5" hidden="1">
      <c r="A105" s="73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73"/>
      <c r="W105" s="19"/>
      <c r="X105" s="19"/>
      <c r="Y105" s="19"/>
      <c r="Z105" s="19"/>
    </row>
    <row x14ac:dyDescent="0.25" r="106" customHeight="1" ht="19.5" hidden="1">
      <c r="A106" s="73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73"/>
      <c r="W106" s="19"/>
      <c r="X106" s="19"/>
      <c r="Y106" s="19"/>
      <c r="Z106" s="19"/>
    </row>
    <row x14ac:dyDescent="0.25" r="107" customHeight="1" ht="19.5" hidden="1">
      <c r="A107" s="73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73"/>
      <c r="W107" s="19"/>
      <c r="X107" s="19"/>
      <c r="Y107" s="19"/>
      <c r="Z107" s="19"/>
    </row>
    <row x14ac:dyDescent="0.25" r="108" customHeight="1" ht="19.5" hidden="1">
      <c r="A108" s="73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73"/>
      <c r="W108" s="19"/>
      <c r="X108" s="19"/>
      <c r="Y108" s="19"/>
      <c r="Z108" s="19"/>
    </row>
    <row x14ac:dyDescent="0.25" r="109" customHeight="1" ht="19.5" hidden="1">
      <c r="A109" s="73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73"/>
      <c r="W109" s="19"/>
      <c r="X109" s="19"/>
      <c r="Y109" s="19"/>
      <c r="Z109" s="19"/>
    </row>
    <row x14ac:dyDescent="0.25" r="110" customHeight="1" ht="19.5" hidden="1">
      <c r="A110" s="73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73"/>
      <c r="W110" s="19"/>
      <c r="X110" s="19"/>
      <c r="Y110" s="19"/>
      <c r="Z110" s="19"/>
    </row>
    <row x14ac:dyDescent="0.25" r="111" customHeight="1" ht="19.5" hidden="1">
      <c r="A111" s="73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73"/>
      <c r="W111" s="19"/>
      <c r="X111" s="19"/>
      <c r="Y111" s="19"/>
      <c r="Z111" s="19"/>
    </row>
    <row x14ac:dyDescent="0.25" r="112" customHeight="1" ht="15.75">
      <c r="A112" s="73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73"/>
      <c r="W112" s="19"/>
      <c r="X112" s="19"/>
      <c r="Y112" s="19"/>
      <c r="Z112" s="19"/>
    </row>
    <row x14ac:dyDescent="0.25" r="113" customHeight="1" ht="45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19"/>
      <c r="X113" s="19"/>
      <c r="Y113" s="19"/>
      <c r="Z113" s="19"/>
    </row>
    <row x14ac:dyDescent="0.25" r="114" customHeight="1" ht="15.75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x14ac:dyDescent="0.25" r="115" customHeight="1" ht="15.7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x14ac:dyDescent="0.25" r="116" customHeight="1" ht="15.75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x14ac:dyDescent="0.25" r="117" customHeight="1" ht="15.75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x14ac:dyDescent="0.25" r="118" customHeight="1" ht="15.75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x14ac:dyDescent="0.25" r="119" customHeight="1" ht="15.75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x14ac:dyDescent="0.25" r="120" customHeight="1" ht="15.75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x14ac:dyDescent="0.25" r="121" customHeight="1" ht="15.75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x14ac:dyDescent="0.25" r="122" customHeight="1" ht="15.75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x14ac:dyDescent="0.25" r="123" customHeight="1" ht="15.75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x14ac:dyDescent="0.25" r="124" customHeight="1" ht="15.75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x14ac:dyDescent="0.25" r="125" customHeight="1" ht="15.7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x14ac:dyDescent="0.25" r="126" customHeight="1" ht="15.75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x14ac:dyDescent="0.25" r="127" customHeight="1" ht="15.75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x14ac:dyDescent="0.25" r="128" customHeight="1" ht="15.75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x14ac:dyDescent="0.25" r="129" customHeight="1" ht="15.75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x14ac:dyDescent="0.25" r="130" customHeight="1" ht="15.75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x14ac:dyDescent="0.25" r="131" customHeight="1" ht="15.75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x14ac:dyDescent="0.25" r="132" customHeight="1" ht="15.75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x14ac:dyDescent="0.25" r="133" customHeight="1" ht="15.75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x14ac:dyDescent="0.25" r="134" customHeight="1" ht="15.75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x14ac:dyDescent="0.25" r="135" customHeight="1" ht="15.7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x14ac:dyDescent="0.25" r="136" customHeight="1" ht="15.75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x14ac:dyDescent="0.25" r="137" customHeight="1" ht="15.7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x14ac:dyDescent="0.25" r="138" customHeight="1" ht="15.7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x14ac:dyDescent="0.25" r="139" customHeight="1" ht="15.7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x14ac:dyDescent="0.25" r="140" customHeight="1" ht="15.7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x14ac:dyDescent="0.25" r="141" customHeight="1" ht="15.7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x14ac:dyDescent="0.25" r="142" customHeight="1" ht="15.7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x14ac:dyDescent="0.25" r="143" customHeight="1" ht="15.7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x14ac:dyDescent="0.25" r="144" customHeight="1" ht="15.7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x14ac:dyDescent="0.25" r="145" customHeight="1" ht="15.7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x14ac:dyDescent="0.25" r="146" customHeight="1" ht="15.75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x14ac:dyDescent="0.25" r="147" customHeight="1" ht="15.75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x14ac:dyDescent="0.25" r="148" customHeight="1" ht="15.75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x14ac:dyDescent="0.25" r="149" customHeight="1" ht="15.75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x14ac:dyDescent="0.25" r="150" customHeight="1" ht="15.75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x14ac:dyDescent="0.25" r="151" customHeight="1" ht="15.75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x14ac:dyDescent="0.25" r="152" customHeight="1" ht="15.75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x14ac:dyDescent="0.25" r="153" customHeight="1" ht="15.75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x14ac:dyDescent="0.25" r="154" customHeight="1" ht="15.75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x14ac:dyDescent="0.25" r="155" customHeight="1" ht="15.7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x14ac:dyDescent="0.25" r="156" customHeight="1" ht="15.75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x14ac:dyDescent="0.25" r="157" customHeight="1" ht="15.75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x14ac:dyDescent="0.25" r="158" customHeight="1" ht="15.75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x14ac:dyDescent="0.25" r="159" customHeight="1" ht="15.75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x14ac:dyDescent="0.25" r="160" customHeight="1" ht="15.75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x14ac:dyDescent="0.25" r="161" customHeight="1" ht="15.75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x14ac:dyDescent="0.25" r="162" customHeight="1" ht="15.75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x14ac:dyDescent="0.25" r="163" customHeight="1" ht="15.75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x14ac:dyDescent="0.25" r="164" customHeight="1" ht="15.75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x14ac:dyDescent="0.25" r="165" customHeight="1" ht="15.7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x14ac:dyDescent="0.25" r="166" customHeight="1" ht="15.75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x14ac:dyDescent="0.25" r="167" customHeight="1" ht="15.75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x14ac:dyDescent="0.25" r="168" customHeight="1" ht="15.75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x14ac:dyDescent="0.25" r="169" customHeight="1" ht="15.75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x14ac:dyDescent="0.25" r="170" customHeight="1" ht="15.7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x14ac:dyDescent="0.25" r="171" customHeight="1" ht="15.7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x14ac:dyDescent="0.25" r="172" customHeight="1" ht="15.7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x14ac:dyDescent="0.25" r="173" customHeight="1" ht="15.7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x14ac:dyDescent="0.25" r="174" customHeight="1" ht="15.75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x14ac:dyDescent="0.25" r="175" customHeight="1" ht="15.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x14ac:dyDescent="0.25" r="176" customHeight="1" ht="15.75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x14ac:dyDescent="0.25" r="177" customHeight="1" ht="15.75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x14ac:dyDescent="0.25" r="178" customHeight="1" ht="15.75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x14ac:dyDescent="0.25" r="179" customHeight="1" ht="15.75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x14ac:dyDescent="0.25" r="180" customHeight="1" ht="15.75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x14ac:dyDescent="0.25" r="181" customHeight="1" ht="15.75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x14ac:dyDescent="0.25" r="182" customHeight="1" ht="15.75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x14ac:dyDescent="0.25" r="183" customHeight="1" ht="15.75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x14ac:dyDescent="0.25" r="184" customHeight="1" ht="15.75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x14ac:dyDescent="0.25" r="185" customHeight="1" ht="15.7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x14ac:dyDescent="0.25" r="186" customHeight="1" ht="15.75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x14ac:dyDescent="0.25" r="187" customHeight="1" ht="15.75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x14ac:dyDescent="0.25" r="188" customHeight="1" ht="15.75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x14ac:dyDescent="0.25" r="189" customHeight="1" ht="15.75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x14ac:dyDescent="0.25" r="190" customHeight="1" ht="15.75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x14ac:dyDescent="0.25" r="191" customHeight="1" ht="15.75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x14ac:dyDescent="0.25" r="192" customHeight="1" ht="15.75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x14ac:dyDescent="0.25" r="193" customHeight="1" ht="15.75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x14ac:dyDescent="0.25" r="194" customHeight="1" ht="15.75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x14ac:dyDescent="0.25" r="195" customHeight="1" ht="15.7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x14ac:dyDescent="0.25" r="196" customHeight="1" ht="15.75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x14ac:dyDescent="0.25" r="197" customHeight="1" ht="15.75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x14ac:dyDescent="0.25" r="198" customHeight="1" ht="15.75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x14ac:dyDescent="0.25" r="199" customHeight="1" ht="15.75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x14ac:dyDescent="0.25" r="200" customHeight="1" ht="15.75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x14ac:dyDescent="0.25" r="201" customHeight="1" ht="15.75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x14ac:dyDescent="0.25" r="202" customHeight="1" ht="15.75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x14ac:dyDescent="0.25" r="203" customHeight="1" ht="15.75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x14ac:dyDescent="0.25" r="204" customHeight="1" ht="15.75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x14ac:dyDescent="0.25" r="205" customHeight="1" ht="15.7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x14ac:dyDescent="0.25" r="206" customHeight="1" ht="15.75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x14ac:dyDescent="0.25" r="207" customHeight="1" ht="15.75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x14ac:dyDescent="0.25" r="208" customHeight="1" ht="15.75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x14ac:dyDescent="0.25" r="209" customHeight="1" ht="15.75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x14ac:dyDescent="0.25" r="210" customHeight="1" ht="15.75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x14ac:dyDescent="0.25" r="211" customHeight="1" ht="15.75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x14ac:dyDescent="0.25" r="212" customHeight="1" ht="15.75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x14ac:dyDescent="0.25" r="213" customHeight="1" ht="15.75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x14ac:dyDescent="0.25" r="214" customHeight="1" ht="15.75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x14ac:dyDescent="0.25" r="215" customHeight="1" ht="15.7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x14ac:dyDescent="0.25" r="216" customHeight="1" ht="15.75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x14ac:dyDescent="0.25" r="217" customHeight="1" ht="15.75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x14ac:dyDescent="0.25" r="218" customHeight="1" ht="15.75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x14ac:dyDescent="0.25" r="219" customHeight="1" ht="15.75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x14ac:dyDescent="0.25" r="220" customHeight="1" ht="15.75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x14ac:dyDescent="0.25" r="221" customHeight="1" ht="15.7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x14ac:dyDescent="0.25" r="222" customHeight="1" ht="15.7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x14ac:dyDescent="0.25" r="223" customHeight="1" ht="15.7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x14ac:dyDescent="0.25" r="224" customHeight="1" ht="15.7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x14ac:dyDescent="0.25" r="225" customHeight="1" ht="15.7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x14ac:dyDescent="0.25" r="226" customHeight="1" ht="15.7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x14ac:dyDescent="0.25" r="227" customHeight="1" ht="15.7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x14ac:dyDescent="0.25" r="228" customHeight="1" ht="15.7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x14ac:dyDescent="0.25" r="229" customHeight="1" ht="15.7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x14ac:dyDescent="0.25" r="230" customHeight="1" ht="15.75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x14ac:dyDescent="0.25" r="231" customHeight="1" ht="15.75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x14ac:dyDescent="0.25" r="232" customHeight="1" ht="15.75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x14ac:dyDescent="0.25" r="233" customHeight="1" ht="15.75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x14ac:dyDescent="0.25" r="234" customHeight="1" ht="15.75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x14ac:dyDescent="0.25" r="235" customHeight="1" ht="15.7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x14ac:dyDescent="0.25" r="236" customHeight="1" ht="15.75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x14ac:dyDescent="0.25" r="237" customHeight="1" ht="15.75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x14ac:dyDescent="0.25" r="238" customHeight="1" ht="15.75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x14ac:dyDescent="0.25" r="239" customHeight="1" ht="15.75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x14ac:dyDescent="0.25" r="240" customHeight="1" ht="15.7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x14ac:dyDescent="0.25" r="241" customHeight="1" ht="15.75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x14ac:dyDescent="0.25" r="242" customHeight="1" ht="15.75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x14ac:dyDescent="0.25" r="243" customHeight="1" ht="15.75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x14ac:dyDescent="0.25" r="244" customHeight="1" ht="15.75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x14ac:dyDescent="0.25" r="245" customHeight="1" ht="15.7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x14ac:dyDescent="0.25" r="246" customHeight="1" ht="15.75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x14ac:dyDescent="0.25" r="247" customHeight="1" ht="15.75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x14ac:dyDescent="0.25" r="248" customHeight="1" ht="15.75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x14ac:dyDescent="0.25" r="249" customHeight="1" ht="15.75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x14ac:dyDescent="0.25" r="250" customHeight="1" ht="15.7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x14ac:dyDescent="0.25" r="251" customHeight="1" ht="15.75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x14ac:dyDescent="0.25" r="252" customHeight="1" ht="15.75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x14ac:dyDescent="0.25" r="253" customHeight="1" ht="15.75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x14ac:dyDescent="0.25" r="254" customHeight="1" ht="15.75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x14ac:dyDescent="0.25" r="255" customHeight="1" ht="15.7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x14ac:dyDescent="0.25" r="256" customHeight="1" ht="15.75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x14ac:dyDescent="0.25" r="257" customHeight="1" ht="15.75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x14ac:dyDescent="0.25" r="258" customHeight="1" ht="15.75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x14ac:dyDescent="0.25" r="259" customHeight="1" ht="15.75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x14ac:dyDescent="0.25" r="260" customHeight="1" ht="15.75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x14ac:dyDescent="0.25" r="261" customHeight="1" ht="15.75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x14ac:dyDescent="0.25" r="262" customHeight="1" ht="15.75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x14ac:dyDescent="0.25" r="263" customHeight="1" ht="15.75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x14ac:dyDescent="0.25" r="264" customHeight="1" ht="15.75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x14ac:dyDescent="0.25" r="265" customHeight="1" ht="15.7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x14ac:dyDescent="0.25" r="266" customHeight="1" ht="15.75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x14ac:dyDescent="0.25" r="267" customHeight="1" ht="15.75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x14ac:dyDescent="0.25" r="268" customHeight="1" ht="15.75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x14ac:dyDescent="0.25" r="269" customHeight="1" ht="15.75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x14ac:dyDescent="0.25" r="270" customHeight="1" ht="15.75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x14ac:dyDescent="0.25" r="271" customHeight="1" ht="15.75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x14ac:dyDescent="0.25" r="272" customHeight="1" ht="15.75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x14ac:dyDescent="0.25" r="273" customHeight="1" ht="15.75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x14ac:dyDescent="0.25" r="274" customHeight="1" ht="15.75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x14ac:dyDescent="0.25" r="275" customHeight="1" ht="15.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x14ac:dyDescent="0.25" r="276" customHeight="1" ht="15.75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x14ac:dyDescent="0.25" r="277" customHeight="1" ht="15.75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x14ac:dyDescent="0.25" r="278" customHeight="1" ht="15.75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x14ac:dyDescent="0.25" r="279" customHeight="1" ht="15.75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x14ac:dyDescent="0.25" r="280" customHeight="1" ht="15.75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x14ac:dyDescent="0.25" r="281" customHeight="1" ht="15.75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x14ac:dyDescent="0.25" r="282" customHeight="1" ht="15.75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x14ac:dyDescent="0.25" r="283" customHeight="1" ht="15.75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x14ac:dyDescent="0.25" r="284" customHeight="1" ht="15.75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x14ac:dyDescent="0.25" r="285" customHeight="1" ht="15.7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x14ac:dyDescent="0.25" r="286" customHeight="1" ht="15.75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x14ac:dyDescent="0.25" r="287" customHeight="1" ht="15.75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x14ac:dyDescent="0.25" r="288" customHeight="1" ht="15.75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x14ac:dyDescent="0.25" r="289" customHeight="1" ht="15.75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x14ac:dyDescent="0.25" r="290" customHeight="1" ht="15.75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x14ac:dyDescent="0.25" r="291" customHeight="1" ht="15.75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x14ac:dyDescent="0.25" r="292" customHeight="1" ht="15.75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x14ac:dyDescent="0.25" r="293" customHeight="1" ht="15.75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x14ac:dyDescent="0.25" r="294" customHeight="1" ht="15.75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x14ac:dyDescent="0.25" r="295" customHeight="1" ht="15.7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x14ac:dyDescent="0.25" r="296" customHeight="1" ht="15.75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x14ac:dyDescent="0.25" r="297" customHeight="1" ht="15.75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x14ac:dyDescent="0.25" r="298" customHeight="1" ht="15.75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x14ac:dyDescent="0.25" r="299" customHeight="1" ht="15.75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x14ac:dyDescent="0.25" r="300" customHeight="1" ht="15.75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x14ac:dyDescent="0.25" r="301" customHeight="1" ht="15.75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x14ac:dyDescent="0.25" r="302" customHeight="1" ht="15.75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x14ac:dyDescent="0.25" r="303" customHeight="1" ht="15.75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x14ac:dyDescent="0.25" r="304" customHeight="1" ht="15.75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x14ac:dyDescent="0.25" r="305" customHeight="1" ht="15.7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x14ac:dyDescent="0.25" r="306" customHeight="1" ht="15.75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x14ac:dyDescent="0.25" r="307" customHeight="1" ht="15.75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x14ac:dyDescent="0.25" r="308" customHeight="1" ht="15.75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x14ac:dyDescent="0.25" r="309" customHeight="1" ht="15.75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x14ac:dyDescent="0.25" r="310" customHeight="1" ht="15.75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x14ac:dyDescent="0.25" r="311" customHeight="1" ht="15.75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x14ac:dyDescent="0.25" r="312" customHeight="1" ht="15.75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x14ac:dyDescent="0.25" r="313" customHeight="1" ht="15.75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x14ac:dyDescent="0.25" r="314" customHeight="1" ht="15.75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x14ac:dyDescent="0.25" r="315" customHeight="1" ht="15.7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x14ac:dyDescent="0.25" r="316" customHeight="1" ht="15.75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x14ac:dyDescent="0.25" r="317" customHeight="1" ht="15.75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x14ac:dyDescent="0.25" r="318" customHeight="1" ht="15.75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x14ac:dyDescent="0.25" r="319" customHeight="1" ht="15.75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x14ac:dyDescent="0.25" r="320" customHeight="1" ht="15.75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x14ac:dyDescent="0.25" r="321" customHeight="1" ht="15.75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x14ac:dyDescent="0.25" r="322" customHeight="1" ht="15.75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x14ac:dyDescent="0.25" r="323" customHeight="1" ht="15.75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x14ac:dyDescent="0.25" r="324" customHeight="1" ht="15.75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x14ac:dyDescent="0.25" r="325" customHeight="1" ht="15.7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x14ac:dyDescent="0.25" r="326" customHeight="1" ht="15.75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x14ac:dyDescent="0.25" r="327" customHeight="1" ht="15.75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x14ac:dyDescent="0.25" r="328" customHeight="1" ht="15.75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x14ac:dyDescent="0.25" r="329" customHeight="1" ht="15.75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x14ac:dyDescent="0.25" r="330" customHeight="1" ht="15.75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x14ac:dyDescent="0.25" r="331" customHeight="1" ht="15.75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x14ac:dyDescent="0.25" r="332" customHeight="1" ht="15.75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x14ac:dyDescent="0.25" r="333" customHeight="1" ht="15.75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x14ac:dyDescent="0.25" r="334" customHeight="1" ht="15.75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x14ac:dyDescent="0.25" r="335" customHeight="1" ht="15.7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x14ac:dyDescent="0.25" r="336" customHeight="1" ht="15.75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x14ac:dyDescent="0.25" r="337" customHeight="1" ht="15.75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x14ac:dyDescent="0.25" r="338" customHeight="1" ht="15.75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x14ac:dyDescent="0.25" r="339" customHeight="1" ht="15.75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x14ac:dyDescent="0.25" r="340" customHeight="1" ht="15.75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x14ac:dyDescent="0.25" r="341" customHeight="1" ht="15.75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x14ac:dyDescent="0.25" r="342" customHeight="1" ht="15.75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x14ac:dyDescent="0.25" r="343" customHeight="1" ht="15.75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x14ac:dyDescent="0.25" r="344" customHeight="1" ht="15.75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x14ac:dyDescent="0.25" r="345" customHeight="1" ht="15.7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x14ac:dyDescent="0.25" r="346" customHeight="1" ht="15.75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x14ac:dyDescent="0.25" r="347" customHeight="1" ht="15.75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x14ac:dyDescent="0.25" r="348" customHeight="1" ht="15.75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x14ac:dyDescent="0.25" r="349" customHeight="1" ht="15.75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x14ac:dyDescent="0.25" r="350" customHeight="1" ht="15.75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x14ac:dyDescent="0.25" r="351" customHeight="1" ht="15.75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x14ac:dyDescent="0.25" r="352" customHeight="1" ht="15.75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x14ac:dyDescent="0.25" r="353" customHeight="1" ht="15.75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x14ac:dyDescent="0.25" r="354" customHeight="1" ht="15.75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x14ac:dyDescent="0.25" r="355" customHeight="1" ht="15.7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x14ac:dyDescent="0.25" r="356" customHeight="1" ht="15.75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x14ac:dyDescent="0.25" r="357" customHeight="1" ht="15.75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x14ac:dyDescent="0.25" r="358" customHeight="1" ht="15.75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x14ac:dyDescent="0.25" r="359" customHeight="1" ht="15.75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x14ac:dyDescent="0.25" r="360" customHeight="1" ht="15.75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x14ac:dyDescent="0.25" r="361" customHeight="1" ht="15.75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x14ac:dyDescent="0.25" r="362" customHeight="1" ht="15.75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x14ac:dyDescent="0.25" r="363" customHeight="1" ht="15.75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x14ac:dyDescent="0.25" r="364" customHeight="1" ht="15.75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x14ac:dyDescent="0.25" r="365" customHeight="1" ht="15.7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x14ac:dyDescent="0.25" r="366" customHeight="1" ht="15.75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x14ac:dyDescent="0.25" r="367" customHeight="1" ht="15.75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x14ac:dyDescent="0.25" r="368" customHeight="1" ht="15.75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x14ac:dyDescent="0.25" r="369" customHeight="1" ht="15.75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x14ac:dyDescent="0.25" r="370" customHeight="1" ht="15.75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x14ac:dyDescent="0.25" r="371" customHeight="1" ht="15.75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x14ac:dyDescent="0.25" r="372" customHeight="1" ht="15.75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x14ac:dyDescent="0.25" r="373" customHeight="1" ht="15.75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x14ac:dyDescent="0.25" r="374" customHeight="1" ht="15.75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x14ac:dyDescent="0.25" r="375" customHeight="1" ht="15.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x14ac:dyDescent="0.25" r="376" customHeight="1" ht="15.75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x14ac:dyDescent="0.25" r="377" customHeight="1" ht="15.75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x14ac:dyDescent="0.25" r="378" customHeight="1" ht="15.75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x14ac:dyDescent="0.25" r="379" customHeight="1" ht="15.75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x14ac:dyDescent="0.25" r="380" customHeight="1" ht="15.75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x14ac:dyDescent="0.25" r="381" customHeight="1" ht="15.75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x14ac:dyDescent="0.25" r="382" customHeight="1" ht="15.75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x14ac:dyDescent="0.25" r="383" customHeight="1" ht="15.75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x14ac:dyDescent="0.25" r="384" customHeight="1" ht="15.75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x14ac:dyDescent="0.25" r="385" customHeight="1" ht="15.7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x14ac:dyDescent="0.25" r="386" customHeight="1" ht="15.75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x14ac:dyDescent="0.25" r="387" customHeight="1" ht="15.75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x14ac:dyDescent="0.25" r="388" customHeight="1" ht="15.75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x14ac:dyDescent="0.25" r="389" customHeight="1" ht="15.75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x14ac:dyDescent="0.25" r="390" customHeight="1" ht="15.75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x14ac:dyDescent="0.25" r="391" customHeight="1" ht="15.75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x14ac:dyDescent="0.25" r="392" customHeight="1" ht="15.75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x14ac:dyDescent="0.25" r="393" customHeight="1" ht="15.75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x14ac:dyDescent="0.25" r="394" customHeight="1" ht="15.75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x14ac:dyDescent="0.25" r="395" customHeight="1" ht="15.7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x14ac:dyDescent="0.25" r="396" customHeight="1" ht="15.75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x14ac:dyDescent="0.25" r="397" customHeight="1" ht="15.75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x14ac:dyDescent="0.25" r="398" customHeight="1" ht="15.75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x14ac:dyDescent="0.25" r="399" customHeight="1" ht="15.75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x14ac:dyDescent="0.25" r="400" customHeight="1" ht="15.75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x14ac:dyDescent="0.25" r="401" customHeight="1" ht="15.75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x14ac:dyDescent="0.25" r="402" customHeight="1" ht="15.75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x14ac:dyDescent="0.25" r="403" customHeight="1" ht="15.75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x14ac:dyDescent="0.25" r="404" customHeight="1" ht="15.75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x14ac:dyDescent="0.25" r="405" customHeight="1" ht="15.7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x14ac:dyDescent="0.25" r="406" customHeight="1" ht="15.75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x14ac:dyDescent="0.25" r="407" customHeight="1" ht="15.75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x14ac:dyDescent="0.25" r="408" customHeight="1" ht="15.75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x14ac:dyDescent="0.25" r="409" customHeight="1" ht="15.75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x14ac:dyDescent="0.25" r="410" customHeight="1" ht="15.75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x14ac:dyDescent="0.25" r="411" customHeight="1" ht="15.75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x14ac:dyDescent="0.25" r="412" customHeight="1" ht="15.75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x14ac:dyDescent="0.25" r="413" customHeight="1" ht="15.75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x14ac:dyDescent="0.25" r="414" customHeight="1" ht="15.75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x14ac:dyDescent="0.25" r="415" customHeight="1" ht="15.7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x14ac:dyDescent="0.25" r="416" customHeight="1" ht="15.75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x14ac:dyDescent="0.25" r="417" customHeight="1" ht="15.75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x14ac:dyDescent="0.25" r="418" customHeight="1" ht="15.75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x14ac:dyDescent="0.25" r="419" customHeight="1" ht="15.75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x14ac:dyDescent="0.25" r="420" customHeight="1" ht="15.75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x14ac:dyDescent="0.25" r="421" customHeight="1" ht="15.75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x14ac:dyDescent="0.25" r="422" customHeight="1" ht="15.75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x14ac:dyDescent="0.25" r="423" customHeight="1" ht="15.75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x14ac:dyDescent="0.25" r="424" customHeight="1" ht="15.75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x14ac:dyDescent="0.25" r="425" customHeight="1" ht="15.7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x14ac:dyDescent="0.25" r="426" customHeight="1" ht="15.75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x14ac:dyDescent="0.25" r="427" customHeight="1" ht="15.75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x14ac:dyDescent="0.25" r="428" customHeight="1" ht="15.75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x14ac:dyDescent="0.25" r="429" customHeight="1" ht="15.75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x14ac:dyDescent="0.25" r="430" customHeight="1" ht="15.75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x14ac:dyDescent="0.25" r="431" customHeight="1" ht="15.75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x14ac:dyDescent="0.25" r="432" customHeight="1" ht="15.75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x14ac:dyDescent="0.25" r="433" customHeight="1" ht="15.75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x14ac:dyDescent="0.25" r="434" customHeight="1" ht="15.75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x14ac:dyDescent="0.25" r="435" customHeight="1" ht="15.7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x14ac:dyDescent="0.25" r="436" customHeight="1" ht="15.75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x14ac:dyDescent="0.25" r="437" customHeight="1" ht="15.75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x14ac:dyDescent="0.25" r="438" customHeight="1" ht="15.75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x14ac:dyDescent="0.25" r="439" customHeight="1" ht="15.75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x14ac:dyDescent="0.25" r="440" customHeight="1" ht="15.75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x14ac:dyDescent="0.25" r="441" customHeight="1" ht="15.75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x14ac:dyDescent="0.25" r="442" customHeight="1" ht="15.75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x14ac:dyDescent="0.25" r="443" customHeight="1" ht="15.75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x14ac:dyDescent="0.25" r="444" customHeight="1" ht="15.75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x14ac:dyDescent="0.25" r="445" customHeight="1" ht="15.7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x14ac:dyDescent="0.25" r="446" customHeight="1" ht="15.75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x14ac:dyDescent="0.25" r="447" customHeight="1" ht="15.75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x14ac:dyDescent="0.25" r="448" customHeight="1" ht="15.75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x14ac:dyDescent="0.25" r="449" customHeight="1" ht="15.75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x14ac:dyDescent="0.25" r="450" customHeight="1" ht="15.75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x14ac:dyDescent="0.25" r="451" customHeight="1" ht="15.75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x14ac:dyDescent="0.25" r="452" customHeight="1" ht="15.75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x14ac:dyDescent="0.25" r="453" customHeight="1" ht="15.75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x14ac:dyDescent="0.25" r="454" customHeight="1" ht="15.75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x14ac:dyDescent="0.25" r="455" customHeight="1" ht="15.7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x14ac:dyDescent="0.25" r="456" customHeight="1" ht="15.75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x14ac:dyDescent="0.25" r="457" customHeight="1" ht="15.75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x14ac:dyDescent="0.25" r="458" customHeight="1" ht="15.75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x14ac:dyDescent="0.25" r="459" customHeight="1" ht="15.75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x14ac:dyDescent="0.25" r="460" customHeight="1" ht="15.75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x14ac:dyDescent="0.25" r="461" customHeight="1" ht="15.75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x14ac:dyDescent="0.25" r="462" customHeight="1" ht="15.75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x14ac:dyDescent="0.25" r="463" customHeight="1" ht="15.75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x14ac:dyDescent="0.25" r="464" customHeight="1" ht="15.75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x14ac:dyDescent="0.25" r="465" customHeight="1" ht="15.7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x14ac:dyDescent="0.25" r="466" customHeight="1" ht="15.75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x14ac:dyDescent="0.25" r="467" customHeight="1" ht="15.75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x14ac:dyDescent="0.25" r="468" customHeight="1" ht="15.75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x14ac:dyDescent="0.25" r="469" customHeight="1" ht="15.75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x14ac:dyDescent="0.25" r="470" customHeight="1" ht="15.75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x14ac:dyDescent="0.25" r="471" customHeight="1" ht="15.75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x14ac:dyDescent="0.25" r="472" customHeight="1" ht="15.75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x14ac:dyDescent="0.25" r="473" customHeight="1" ht="15.75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x14ac:dyDescent="0.25" r="474" customHeight="1" ht="15.75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x14ac:dyDescent="0.25" r="475" customHeight="1" ht="15.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x14ac:dyDescent="0.25" r="476" customHeight="1" ht="15.75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x14ac:dyDescent="0.25" r="477" customHeight="1" ht="15.75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x14ac:dyDescent="0.25" r="478" customHeight="1" ht="15.75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x14ac:dyDescent="0.25" r="479" customHeight="1" ht="15.75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x14ac:dyDescent="0.25" r="480" customHeight="1" ht="15.75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x14ac:dyDescent="0.25" r="481" customHeight="1" ht="15.75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x14ac:dyDescent="0.25" r="482" customHeight="1" ht="15.75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x14ac:dyDescent="0.25" r="483" customHeight="1" ht="15.75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x14ac:dyDescent="0.25" r="484" customHeight="1" ht="15.75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x14ac:dyDescent="0.25" r="485" customHeight="1" ht="15.7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x14ac:dyDescent="0.25" r="486" customHeight="1" ht="15.75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x14ac:dyDescent="0.25" r="487" customHeight="1" ht="15.75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x14ac:dyDescent="0.25" r="488" customHeight="1" ht="15.75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x14ac:dyDescent="0.25" r="489" customHeight="1" ht="15.75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x14ac:dyDescent="0.25" r="490" customHeight="1" ht="15.75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x14ac:dyDescent="0.25" r="491" customHeight="1" ht="15.75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x14ac:dyDescent="0.25" r="492" customHeight="1" ht="15.75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x14ac:dyDescent="0.25" r="493" customHeight="1" ht="15.75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x14ac:dyDescent="0.25" r="494" customHeight="1" ht="15.75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x14ac:dyDescent="0.25" r="495" customHeight="1" ht="15.7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x14ac:dyDescent="0.25" r="496" customHeight="1" ht="15.75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x14ac:dyDescent="0.25" r="497" customHeight="1" ht="15.75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x14ac:dyDescent="0.25" r="498" customHeight="1" ht="15.75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x14ac:dyDescent="0.25" r="499" customHeight="1" ht="15.75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x14ac:dyDescent="0.25" r="500" customHeight="1" ht="15.75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x14ac:dyDescent="0.25" r="501" customHeight="1" ht="15.75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x14ac:dyDescent="0.25" r="502" customHeight="1" ht="15.75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x14ac:dyDescent="0.25" r="503" customHeight="1" ht="15.75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x14ac:dyDescent="0.25" r="504" customHeight="1" ht="15.75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x14ac:dyDescent="0.25" r="505" customHeight="1" ht="15.7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x14ac:dyDescent="0.25" r="506" customHeight="1" ht="15.75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x14ac:dyDescent="0.25" r="507" customHeight="1" ht="15.75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x14ac:dyDescent="0.25" r="508" customHeight="1" ht="15.75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x14ac:dyDescent="0.25" r="509" customHeight="1" ht="15.75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x14ac:dyDescent="0.25" r="510" customHeight="1" ht="15.75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x14ac:dyDescent="0.25" r="511" customHeight="1" ht="15.75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x14ac:dyDescent="0.25" r="512" customHeight="1" ht="15.75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x14ac:dyDescent="0.25" r="513" customHeight="1" ht="15.75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x14ac:dyDescent="0.25" r="514" customHeight="1" ht="15.75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x14ac:dyDescent="0.25" r="515" customHeight="1" ht="15.7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x14ac:dyDescent="0.25" r="516" customHeight="1" ht="15.75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x14ac:dyDescent="0.25" r="517" customHeight="1" ht="15.75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x14ac:dyDescent="0.25" r="518" customHeight="1" ht="15.75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x14ac:dyDescent="0.25" r="519" customHeight="1" ht="15.75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x14ac:dyDescent="0.25" r="520" customHeight="1" ht="15.75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x14ac:dyDescent="0.25" r="521" customHeight="1" ht="15.75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x14ac:dyDescent="0.25" r="522" customHeight="1" ht="15.75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x14ac:dyDescent="0.25" r="523" customHeight="1" ht="15.75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x14ac:dyDescent="0.25" r="524" customHeight="1" ht="15.75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x14ac:dyDescent="0.25" r="525" customHeight="1" ht="15.7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x14ac:dyDescent="0.25" r="526" customHeight="1" ht="15.75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x14ac:dyDescent="0.25" r="527" customHeight="1" ht="15.75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x14ac:dyDescent="0.25" r="528" customHeight="1" ht="15.75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x14ac:dyDescent="0.25" r="529" customHeight="1" ht="15.75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x14ac:dyDescent="0.25" r="530" customHeight="1" ht="15.75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x14ac:dyDescent="0.25" r="531" customHeight="1" ht="15.75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x14ac:dyDescent="0.25" r="532" customHeight="1" ht="15.75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x14ac:dyDescent="0.25" r="533" customHeight="1" ht="15.75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x14ac:dyDescent="0.25" r="534" customHeight="1" ht="15.75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x14ac:dyDescent="0.25" r="535" customHeight="1" ht="15.7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x14ac:dyDescent="0.25" r="536" customHeight="1" ht="15.75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x14ac:dyDescent="0.25" r="537" customHeight="1" ht="15.75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x14ac:dyDescent="0.25" r="538" customHeight="1" ht="15.75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x14ac:dyDescent="0.25" r="539" customHeight="1" ht="15.75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x14ac:dyDescent="0.25" r="540" customHeight="1" ht="15.75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x14ac:dyDescent="0.25" r="541" customHeight="1" ht="15.75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x14ac:dyDescent="0.25" r="542" customHeight="1" ht="15.75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x14ac:dyDescent="0.25" r="543" customHeight="1" ht="15.75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x14ac:dyDescent="0.25" r="544" customHeight="1" ht="15.75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x14ac:dyDescent="0.25" r="545" customHeight="1" ht="15.7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x14ac:dyDescent="0.25" r="546" customHeight="1" ht="15.75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x14ac:dyDescent="0.25" r="547" customHeight="1" ht="15.75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x14ac:dyDescent="0.25" r="548" customHeight="1" ht="15.75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x14ac:dyDescent="0.25" r="549" customHeight="1" ht="15.75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x14ac:dyDescent="0.25" r="550" customHeight="1" ht="15.75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x14ac:dyDescent="0.25" r="551" customHeight="1" ht="15.75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x14ac:dyDescent="0.25" r="552" customHeight="1" ht="15.75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x14ac:dyDescent="0.25" r="553" customHeight="1" ht="15.75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x14ac:dyDescent="0.25" r="554" customHeight="1" ht="15.75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x14ac:dyDescent="0.25" r="555" customHeight="1" ht="15.7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x14ac:dyDescent="0.25" r="556" customHeight="1" ht="15.75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x14ac:dyDescent="0.25" r="557" customHeight="1" ht="15.75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x14ac:dyDescent="0.25" r="558" customHeight="1" ht="15.75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x14ac:dyDescent="0.25" r="559" customHeight="1" ht="15.75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x14ac:dyDescent="0.25" r="560" customHeight="1" ht="15.75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x14ac:dyDescent="0.25" r="561" customHeight="1" ht="15.75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x14ac:dyDescent="0.25" r="562" customHeight="1" ht="15.75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x14ac:dyDescent="0.25" r="563" customHeight="1" ht="15.75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x14ac:dyDescent="0.25" r="564" customHeight="1" ht="15.75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x14ac:dyDescent="0.25" r="565" customHeight="1" ht="15.7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x14ac:dyDescent="0.25" r="566" customHeight="1" ht="15.75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x14ac:dyDescent="0.25" r="567" customHeight="1" ht="15.75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x14ac:dyDescent="0.25" r="568" customHeight="1" ht="15.75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x14ac:dyDescent="0.25" r="569" customHeight="1" ht="15.75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x14ac:dyDescent="0.25" r="570" customHeight="1" ht="15.75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x14ac:dyDescent="0.25" r="571" customHeight="1" ht="15.75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x14ac:dyDescent="0.25" r="572" customHeight="1" ht="15.75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x14ac:dyDescent="0.25" r="573" customHeight="1" ht="15.75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x14ac:dyDescent="0.25" r="574" customHeight="1" ht="15.75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x14ac:dyDescent="0.25" r="575" customHeight="1" ht="15.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x14ac:dyDescent="0.25" r="576" customHeight="1" ht="15.75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x14ac:dyDescent="0.25" r="577" customHeight="1" ht="15.75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x14ac:dyDescent="0.25" r="578" customHeight="1" ht="15.75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x14ac:dyDescent="0.25" r="579" customHeight="1" ht="15.75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x14ac:dyDescent="0.25" r="580" customHeight="1" ht="15.75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x14ac:dyDescent="0.25" r="581" customHeight="1" ht="15.75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x14ac:dyDescent="0.25" r="582" customHeight="1" ht="15.75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x14ac:dyDescent="0.25" r="583" customHeight="1" ht="15.75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x14ac:dyDescent="0.25" r="584" customHeight="1" ht="15.75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x14ac:dyDescent="0.25" r="585" customHeight="1" ht="15.7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x14ac:dyDescent="0.25" r="586" customHeight="1" ht="15.75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x14ac:dyDescent="0.25" r="587" customHeight="1" ht="15.75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x14ac:dyDescent="0.25" r="588" customHeight="1" ht="15.75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x14ac:dyDescent="0.25" r="589" customHeight="1" ht="15.75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x14ac:dyDescent="0.25" r="590" customHeight="1" ht="15.75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x14ac:dyDescent="0.25" r="591" customHeight="1" ht="15.75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x14ac:dyDescent="0.25" r="592" customHeight="1" ht="15.75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x14ac:dyDescent="0.25" r="593" customHeight="1" ht="15.75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x14ac:dyDescent="0.25" r="594" customHeight="1" ht="15.75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x14ac:dyDescent="0.25" r="595" customHeight="1" ht="15.7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x14ac:dyDescent="0.25" r="596" customHeight="1" ht="15.75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x14ac:dyDescent="0.25" r="597" customHeight="1" ht="15.75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x14ac:dyDescent="0.25" r="598" customHeight="1" ht="15.75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x14ac:dyDescent="0.25" r="599" customHeight="1" ht="15.75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x14ac:dyDescent="0.25" r="600" customHeight="1" ht="15.75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x14ac:dyDescent="0.25" r="601" customHeight="1" ht="15.75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x14ac:dyDescent="0.25" r="602" customHeight="1" ht="15.75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x14ac:dyDescent="0.25" r="603" customHeight="1" ht="15.75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x14ac:dyDescent="0.25" r="604" customHeight="1" ht="15.75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x14ac:dyDescent="0.25" r="605" customHeight="1" ht="15.7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x14ac:dyDescent="0.25" r="606" customHeight="1" ht="15.75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x14ac:dyDescent="0.25" r="607" customHeight="1" ht="15.75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x14ac:dyDescent="0.25" r="608" customHeight="1" ht="15.75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x14ac:dyDescent="0.25" r="609" customHeight="1" ht="15.75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x14ac:dyDescent="0.25" r="610" customHeight="1" ht="15.75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x14ac:dyDescent="0.25" r="611" customHeight="1" ht="15.75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x14ac:dyDescent="0.25" r="612" customHeight="1" ht="15.75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x14ac:dyDescent="0.25" r="613" customHeight="1" ht="15.75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x14ac:dyDescent="0.25" r="614" customHeight="1" ht="15.75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x14ac:dyDescent="0.25" r="615" customHeight="1" ht="15.7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x14ac:dyDescent="0.25" r="616" customHeight="1" ht="15.75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x14ac:dyDescent="0.25" r="617" customHeight="1" ht="15.75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x14ac:dyDescent="0.25" r="618" customHeight="1" ht="15.75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x14ac:dyDescent="0.25" r="619" customHeight="1" ht="15.75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x14ac:dyDescent="0.25" r="620" customHeight="1" ht="15.75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x14ac:dyDescent="0.25" r="621" customHeight="1" ht="15.75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x14ac:dyDescent="0.25" r="622" customHeight="1" ht="15.75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x14ac:dyDescent="0.25" r="623" customHeight="1" ht="15.75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x14ac:dyDescent="0.25" r="624" customHeight="1" ht="15.75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x14ac:dyDescent="0.25" r="625" customHeight="1" ht="15.7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x14ac:dyDescent="0.25" r="626" customHeight="1" ht="15.75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x14ac:dyDescent="0.25" r="627" customHeight="1" ht="15.75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x14ac:dyDescent="0.25" r="628" customHeight="1" ht="15.75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x14ac:dyDescent="0.25" r="629" customHeight="1" ht="15.75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x14ac:dyDescent="0.25" r="630" customHeight="1" ht="15.75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x14ac:dyDescent="0.25" r="631" customHeight="1" ht="15.75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x14ac:dyDescent="0.25" r="632" customHeight="1" ht="15.75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x14ac:dyDescent="0.25" r="633" customHeight="1" ht="15.75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x14ac:dyDescent="0.25" r="634" customHeight="1" ht="15.75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x14ac:dyDescent="0.25" r="635" customHeight="1" ht="15.7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x14ac:dyDescent="0.25" r="636" customHeight="1" ht="15.75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x14ac:dyDescent="0.25" r="637" customHeight="1" ht="15.75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x14ac:dyDescent="0.25" r="638" customHeight="1" ht="15.75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x14ac:dyDescent="0.25" r="639" customHeight="1" ht="15.75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x14ac:dyDescent="0.25" r="640" customHeight="1" ht="15.75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x14ac:dyDescent="0.25" r="641" customHeight="1" ht="15.75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x14ac:dyDescent="0.25" r="642" customHeight="1" ht="15.75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x14ac:dyDescent="0.25" r="643" customHeight="1" ht="15.75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x14ac:dyDescent="0.25" r="644" customHeight="1" ht="15.75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x14ac:dyDescent="0.25" r="645" customHeight="1" ht="15.7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x14ac:dyDescent="0.25" r="646" customHeight="1" ht="15.75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x14ac:dyDescent="0.25" r="647" customHeight="1" ht="15.75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x14ac:dyDescent="0.25" r="648" customHeight="1" ht="15.75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x14ac:dyDescent="0.25" r="649" customHeight="1" ht="15.75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x14ac:dyDescent="0.25" r="650" customHeight="1" ht="15.75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x14ac:dyDescent="0.25" r="651" customHeight="1" ht="15.75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x14ac:dyDescent="0.25" r="652" customHeight="1" ht="15.75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x14ac:dyDescent="0.25" r="653" customHeight="1" ht="15.75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x14ac:dyDescent="0.25" r="654" customHeight="1" ht="15.75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x14ac:dyDescent="0.25" r="655" customHeight="1" ht="15.7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x14ac:dyDescent="0.25" r="656" customHeight="1" ht="15.75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x14ac:dyDescent="0.25" r="657" customHeight="1" ht="15.75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x14ac:dyDescent="0.25" r="658" customHeight="1" ht="15.75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x14ac:dyDescent="0.25" r="659" customHeight="1" ht="15.75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x14ac:dyDescent="0.25" r="660" customHeight="1" ht="15.75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x14ac:dyDescent="0.25" r="661" customHeight="1" ht="15.75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x14ac:dyDescent="0.25" r="662" customHeight="1" ht="15.75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x14ac:dyDescent="0.25" r="663" customHeight="1" ht="15.75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x14ac:dyDescent="0.25" r="664" customHeight="1" ht="15.75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x14ac:dyDescent="0.25" r="665" customHeight="1" ht="15.7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x14ac:dyDescent="0.25" r="666" customHeight="1" ht="15.75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x14ac:dyDescent="0.25" r="667" customHeight="1" ht="15.75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x14ac:dyDescent="0.25" r="668" customHeight="1" ht="15.75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x14ac:dyDescent="0.25" r="669" customHeight="1" ht="15.75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x14ac:dyDescent="0.25" r="670" customHeight="1" ht="15.75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x14ac:dyDescent="0.25" r="671" customHeight="1" ht="15.75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x14ac:dyDescent="0.25" r="672" customHeight="1" ht="15.75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x14ac:dyDescent="0.25" r="673" customHeight="1" ht="15.75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x14ac:dyDescent="0.25" r="674" customHeight="1" ht="15.75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x14ac:dyDescent="0.25" r="675" customHeight="1" ht="15.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x14ac:dyDescent="0.25" r="676" customHeight="1" ht="15.75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x14ac:dyDescent="0.25" r="677" customHeight="1" ht="15.75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x14ac:dyDescent="0.25" r="678" customHeight="1" ht="15.75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x14ac:dyDescent="0.25" r="679" customHeight="1" ht="15.75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x14ac:dyDescent="0.25" r="680" customHeight="1" ht="15.75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x14ac:dyDescent="0.25" r="681" customHeight="1" ht="15.75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x14ac:dyDescent="0.25" r="682" customHeight="1" ht="15.75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x14ac:dyDescent="0.25" r="683" customHeight="1" ht="15.75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x14ac:dyDescent="0.25" r="684" customHeight="1" ht="15.75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x14ac:dyDescent="0.25" r="685" customHeight="1" ht="15.7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x14ac:dyDescent="0.25" r="686" customHeight="1" ht="15.75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x14ac:dyDescent="0.25" r="687" customHeight="1" ht="15.75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x14ac:dyDescent="0.25" r="688" customHeight="1" ht="15.75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x14ac:dyDescent="0.25" r="689" customHeight="1" ht="15.75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x14ac:dyDescent="0.25" r="690" customHeight="1" ht="15.75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x14ac:dyDescent="0.25" r="691" customHeight="1" ht="15.75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x14ac:dyDescent="0.25" r="692" customHeight="1" ht="15.75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x14ac:dyDescent="0.25" r="693" customHeight="1" ht="15.75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x14ac:dyDescent="0.25" r="694" customHeight="1" ht="15.75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x14ac:dyDescent="0.25" r="695" customHeight="1" ht="15.7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x14ac:dyDescent="0.25" r="696" customHeight="1" ht="15.75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x14ac:dyDescent="0.25" r="697" customHeight="1" ht="15.75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x14ac:dyDescent="0.25" r="698" customHeight="1" ht="15.75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x14ac:dyDescent="0.25" r="699" customHeight="1" ht="15.75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x14ac:dyDescent="0.25" r="700" customHeight="1" ht="15.75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x14ac:dyDescent="0.25" r="701" customHeight="1" ht="15.75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x14ac:dyDescent="0.25" r="702" customHeight="1" ht="15.75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x14ac:dyDescent="0.25" r="703" customHeight="1" ht="15.75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x14ac:dyDescent="0.25" r="704" customHeight="1" ht="15.75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x14ac:dyDescent="0.25" r="705" customHeight="1" ht="15.7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x14ac:dyDescent="0.25" r="706" customHeight="1" ht="15.75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x14ac:dyDescent="0.25" r="707" customHeight="1" ht="15.75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x14ac:dyDescent="0.25" r="708" customHeight="1" ht="15.75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x14ac:dyDescent="0.25" r="709" customHeight="1" ht="15.75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x14ac:dyDescent="0.25" r="710" customHeight="1" ht="15.75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x14ac:dyDescent="0.25" r="711" customHeight="1" ht="15.75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x14ac:dyDescent="0.25" r="712" customHeight="1" ht="15.75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x14ac:dyDescent="0.25" r="713" customHeight="1" ht="15.75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x14ac:dyDescent="0.25" r="714" customHeight="1" ht="15.75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x14ac:dyDescent="0.25" r="715" customHeight="1" ht="15.7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x14ac:dyDescent="0.25" r="716" customHeight="1" ht="15.75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x14ac:dyDescent="0.25" r="717" customHeight="1" ht="15.75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x14ac:dyDescent="0.25" r="718" customHeight="1" ht="15.75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x14ac:dyDescent="0.25" r="719" customHeight="1" ht="15.75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x14ac:dyDescent="0.25" r="720" customHeight="1" ht="15.75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x14ac:dyDescent="0.25" r="721" customHeight="1" ht="15.75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x14ac:dyDescent="0.25" r="722" customHeight="1" ht="15.75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x14ac:dyDescent="0.25" r="723" customHeight="1" ht="15.75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x14ac:dyDescent="0.25" r="724" customHeight="1" ht="15.75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x14ac:dyDescent="0.25" r="725" customHeight="1" ht="15.7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x14ac:dyDescent="0.25" r="726" customHeight="1" ht="15.75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x14ac:dyDescent="0.25" r="727" customHeight="1" ht="15.75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x14ac:dyDescent="0.25" r="728" customHeight="1" ht="15.75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x14ac:dyDescent="0.25" r="729" customHeight="1" ht="15.75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x14ac:dyDescent="0.25" r="730" customHeight="1" ht="15.75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x14ac:dyDescent="0.25" r="731" customHeight="1" ht="15.75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x14ac:dyDescent="0.25" r="732" customHeight="1" ht="15.75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x14ac:dyDescent="0.25" r="733" customHeight="1" ht="15.75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x14ac:dyDescent="0.25" r="734" customHeight="1" ht="15.75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x14ac:dyDescent="0.25" r="735" customHeight="1" ht="15.7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x14ac:dyDescent="0.25" r="736" customHeight="1" ht="15.75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x14ac:dyDescent="0.25" r="737" customHeight="1" ht="15.75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x14ac:dyDescent="0.25" r="738" customHeight="1" ht="15.75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x14ac:dyDescent="0.25" r="739" customHeight="1" ht="15.75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x14ac:dyDescent="0.25" r="740" customHeight="1" ht="15.75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x14ac:dyDescent="0.25" r="741" customHeight="1" ht="15.75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x14ac:dyDescent="0.25" r="742" customHeight="1" ht="15.75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x14ac:dyDescent="0.25" r="743" customHeight="1" ht="15.75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x14ac:dyDescent="0.25" r="744" customHeight="1" ht="15.75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x14ac:dyDescent="0.25" r="745" customHeight="1" ht="15.7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x14ac:dyDescent="0.25" r="746" customHeight="1" ht="15.75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x14ac:dyDescent="0.25" r="747" customHeight="1" ht="15.75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x14ac:dyDescent="0.25" r="748" customHeight="1" ht="15.75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x14ac:dyDescent="0.25" r="749" customHeight="1" ht="15.75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x14ac:dyDescent="0.25" r="750" customHeight="1" ht="15.75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x14ac:dyDescent="0.25" r="751" customHeight="1" ht="15.75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x14ac:dyDescent="0.25" r="752" customHeight="1" ht="15.75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x14ac:dyDescent="0.25" r="753" customHeight="1" ht="15.75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x14ac:dyDescent="0.25" r="754" customHeight="1" ht="15.75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x14ac:dyDescent="0.25" r="755" customHeight="1" ht="15.7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x14ac:dyDescent="0.25" r="756" customHeight="1" ht="15.75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x14ac:dyDescent="0.25" r="757" customHeight="1" ht="15.75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x14ac:dyDescent="0.25" r="758" customHeight="1" ht="15.75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x14ac:dyDescent="0.25" r="759" customHeight="1" ht="15.75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x14ac:dyDescent="0.25" r="760" customHeight="1" ht="15.75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x14ac:dyDescent="0.25" r="761" customHeight="1" ht="15.75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x14ac:dyDescent="0.25" r="762" customHeight="1" ht="15.75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x14ac:dyDescent="0.25" r="763" customHeight="1" ht="15.75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x14ac:dyDescent="0.25" r="764" customHeight="1" ht="15.75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x14ac:dyDescent="0.25" r="765" customHeight="1" ht="15.7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x14ac:dyDescent="0.25" r="766" customHeight="1" ht="15.75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x14ac:dyDescent="0.25" r="767" customHeight="1" ht="15.75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x14ac:dyDescent="0.25" r="768" customHeight="1" ht="15.75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x14ac:dyDescent="0.25" r="769" customHeight="1" ht="15.75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x14ac:dyDescent="0.25" r="770" customHeight="1" ht="15.75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x14ac:dyDescent="0.25" r="771" customHeight="1" ht="15.75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x14ac:dyDescent="0.25" r="772" customHeight="1" ht="15.75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x14ac:dyDescent="0.25" r="773" customHeight="1" ht="15.75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x14ac:dyDescent="0.25" r="774" customHeight="1" ht="15.75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x14ac:dyDescent="0.25" r="775" customHeight="1" ht="15.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x14ac:dyDescent="0.25" r="776" customHeight="1" ht="15.75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x14ac:dyDescent="0.25" r="777" customHeight="1" ht="15.75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x14ac:dyDescent="0.25" r="778" customHeight="1" ht="15.75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x14ac:dyDescent="0.25" r="779" customHeight="1" ht="15.75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x14ac:dyDescent="0.25" r="780" customHeight="1" ht="15.75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x14ac:dyDescent="0.25" r="781" customHeight="1" ht="15.75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x14ac:dyDescent="0.25" r="782" customHeight="1" ht="15.75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x14ac:dyDescent="0.25" r="783" customHeight="1" ht="15.75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x14ac:dyDescent="0.25" r="784" customHeight="1" ht="15.75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x14ac:dyDescent="0.25" r="785" customHeight="1" ht="15.7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x14ac:dyDescent="0.25" r="786" customHeight="1" ht="15.75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x14ac:dyDescent="0.25" r="787" customHeight="1" ht="15.75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x14ac:dyDescent="0.25" r="788" customHeight="1" ht="15.75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x14ac:dyDescent="0.25" r="789" customHeight="1" ht="15.75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x14ac:dyDescent="0.25" r="790" customHeight="1" ht="15.75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x14ac:dyDescent="0.25" r="791" customHeight="1" ht="15.75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x14ac:dyDescent="0.25" r="792" customHeight="1" ht="15.75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x14ac:dyDescent="0.25" r="793" customHeight="1" ht="15.75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x14ac:dyDescent="0.25" r="794" customHeight="1" ht="15.75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x14ac:dyDescent="0.25" r="795" customHeight="1" ht="15.7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x14ac:dyDescent="0.25" r="796" customHeight="1" ht="15.75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x14ac:dyDescent="0.25" r="797" customHeight="1" ht="15.75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x14ac:dyDescent="0.25" r="798" customHeight="1" ht="15.75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x14ac:dyDescent="0.25" r="799" customHeight="1" ht="15.75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x14ac:dyDescent="0.25" r="800" customHeight="1" ht="15.75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x14ac:dyDescent="0.25" r="801" customHeight="1" ht="15.75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x14ac:dyDescent="0.25" r="802" customHeight="1" ht="15.75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x14ac:dyDescent="0.25" r="803" customHeight="1" ht="15.75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x14ac:dyDescent="0.25" r="804" customHeight="1" ht="15.75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x14ac:dyDescent="0.25" r="805" customHeight="1" ht="15.7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x14ac:dyDescent="0.25" r="806" customHeight="1" ht="15.75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x14ac:dyDescent="0.25" r="807" customHeight="1" ht="15.75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x14ac:dyDescent="0.25" r="808" customHeight="1" ht="15.75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x14ac:dyDescent="0.25" r="809" customHeight="1" ht="15.75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x14ac:dyDescent="0.25" r="810" customHeight="1" ht="15.75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x14ac:dyDescent="0.25" r="811" customHeight="1" ht="15.75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x14ac:dyDescent="0.25" r="812" customHeight="1" ht="15.75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x14ac:dyDescent="0.25" r="813" customHeight="1" ht="15.75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x14ac:dyDescent="0.25" r="814" customHeight="1" ht="15.75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x14ac:dyDescent="0.25" r="815" customHeight="1" ht="15.7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x14ac:dyDescent="0.25" r="816" customHeight="1" ht="15.75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x14ac:dyDescent="0.25" r="817" customHeight="1" ht="15.75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x14ac:dyDescent="0.25" r="818" customHeight="1" ht="15.75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x14ac:dyDescent="0.25" r="819" customHeight="1" ht="15.75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x14ac:dyDescent="0.25" r="820" customHeight="1" ht="15.75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x14ac:dyDescent="0.25" r="821" customHeight="1" ht="15.75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x14ac:dyDescent="0.25" r="822" customHeight="1" ht="15.75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x14ac:dyDescent="0.25" r="823" customHeight="1" ht="15.75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x14ac:dyDescent="0.25" r="824" customHeight="1" ht="15.75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x14ac:dyDescent="0.25" r="825" customHeight="1" ht="15.7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x14ac:dyDescent="0.25" r="826" customHeight="1" ht="15.75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x14ac:dyDescent="0.25" r="827" customHeight="1" ht="15.75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x14ac:dyDescent="0.25" r="828" customHeight="1" ht="15.75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x14ac:dyDescent="0.25" r="829" customHeight="1" ht="15.75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x14ac:dyDescent="0.25" r="830" customHeight="1" ht="15.75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x14ac:dyDescent="0.25" r="831" customHeight="1" ht="15.75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x14ac:dyDescent="0.25" r="832" customHeight="1" ht="15.75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x14ac:dyDescent="0.25" r="833" customHeight="1" ht="15.75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x14ac:dyDescent="0.25" r="834" customHeight="1" ht="15.75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x14ac:dyDescent="0.25" r="835" customHeight="1" ht="15.7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x14ac:dyDescent="0.25" r="836" customHeight="1" ht="15.75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x14ac:dyDescent="0.25" r="837" customHeight="1" ht="15.75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x14ac:dyDescent="0.25" r="838" customHeight="1" ht="15.75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x14ac:dyDescent="0.25" r="839" customHeight="1" ht="15.75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x14ac:dyDescent="0.25" r="840" customHeight="1" ht="15.75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x14ac:dyDescent="0.25" r="841" customHeight="1" ht="15.75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x14ac:dyDescent="0.25" r="842" customHeight="1" ht="15.75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x14ac:dyDescent="0.25" r="843" customHeight="1" ht="15.75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x14ac:dyDescent="0.25" r="844" customHeight="1" ht="15.75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x14ac:dyDescent="0.25" r="845" customHeight="1" ht="15.7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x14ac:dyDescent="0.25" r="846" customHeight="1" ht="15.75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x14ac:dyDescent="0.25" r="847" customHeight="1" ht="15.75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x14ac:dyDescent="0.25" r="848" customHeight="1" ht="15.75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x14ac:dyDescent="0.25" r="849" customHeight="1" ht="15.75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x14ac:dyDescent="0.25" r="850" customHeight="1" ht="15.75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x14ac:dyDescent="0.25" r="851" customHeight="1" ht="15.75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x14ac:dyDescent="0.25" r="852" customHeight="1" ht="15.75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x14ac:dyDescent="0.25" r="853" customHeight="1" ht="15.75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x14ac:dyDescent="0.25" r="854" customHeight="1" ht="15.75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x14ac:dyDescent="0.25" r="855" customHeight="1" ht="15.7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x14ac:dyDescent="0.25" r="856" customHeight="1" ht="15.75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x14ac:dyDescent="0.25" r="857" customHeight="1" ht="15.75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x14ac:dyDescent="0.25" r="858" customHeight="1" ht="15.75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x14ac:dyDescent="0.25" r="859" customHeight="1" ht="15.75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x14ac:dyDescent="0.25" r="860" customHeight="1" ht="15.75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x14ac:dyDescent="0.25" r="861" customHeight="1" ht="15.75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x14ac:dyDescent="0.25" r="862" customHeight="1" ht="15.75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x14ac:dyDescent="0.25" r="863" customHeight="1" ht="15.75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x14ac:dyDescent="0.25" r="864" customHeight="1" ht="15.75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x14ac:dyDescent="0.25" r="865" customHeight="1" ht="15.7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x14ac:dyDescent="0.25" r="866" customHeight="1" ht="15.75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x14ac:dyDescent="0.25" r="867" customHeight="1" ht="15.75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x14ac:dyDescent="0.25" r="868" customHeight="1" ht="15.75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x14ac:dyDescent="0.25" r="869" customHeight="1" ht="15.75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x14ac:dyDescent="0.25" r="870" customHeight="1" ht="15.75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x14ac:dyDescent="0.25" r="871" customHeight="1" ht="15.75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x14ac:dyDescent="0.25" r="872" customHeight="1" ht="15.75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x14ac:dyDescent="0.25" r="873" customHeight="1" ht="15.75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x14ac:dyDescent="0.25" r="874" customHeight="1" ht="15.75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x14ac:dyDescent="0.25" r="875" customHeight="1" ht="15.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x14ac:dyDescent="0.25" r="876" customHeight="1" ht="15.75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x14ac:dyDescent="0.25" r="877" customHeight="1" ht="15.75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x14ac:dyDescent="0.25" r="878" customHeight="1" ht="15.75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x14ac:dyDescent="0.25" r="879" customHeight="1" ht="15.75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x14ac:dyDescent="0.25" r="880" customHeight="1" ht="15.75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x14ac:dyDescent="0.25" r="881" customHeight="1" ht="15.75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x14ac:dyDescent="0.25" r="882" customHeight="1" ht="15.75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x14ac:dyDescent="0.25" r="883" customHeight="1" ht="15.75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x14ac:dyDescent="0.25" r="884" customHeight="1" ht="15.75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x14ac:dyDescent="0.25" r="885" customHeight="1" ht="15.7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x14ac:dyDescent="0.25" r="886" customHeight="1" ht="15.75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x14ac:dyDescent="0.25" r="887" customHeight="1" ht="15.75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x14ac:dyDescent="0.25" r="888" customHeight="1" ht="15.75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x14ac:dyDescent="0.25" r="889" customHeight="1" ht="15.75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x14ac:dyDescent="0.25" r="890" customHeight="1" ht="15.75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x14ac:dyDescent="0.25" r="891" customHeight="1" ht="15.75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x14ac:dyDescent="0.25" r="892" customHeight="1" ht="15.75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x14ac:dyDescent="0.25" r="893" customHeight="1" ht="15.75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x14ac:dyDescent="0.25" r="894" customHeight="1" ht="15.75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x14ac:dyDescent="0.25" r="895" customHeight="1" ht="15.7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x14ac:dyDescent="0.25" r="896" customHeight="1" ht="15.75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x14ac:dyDescent="0.25" r="897" customHeight="1" ht="15.75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x14ac:dyDescent="0.25" r="898" customHeight="1" ht="15.75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x14ac:dyDescent="0.25" r="899" customHeight="1" ht="15.75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x14ac:dyDescent="0.25" r="900" customHeight="1" ht="15.75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x14ac:dyDescent="0.25" r="901" customHeight="1" ht="15.75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x14ac:dyDescent="0.25" r="902" customHeight="1" ht="15.75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x14ac:dyDescent="0.25" r="903" customHeight="1" ht="15.75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x14ac:dyDescent="0.25" r="904" customHeight="1" ht="15.75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x14ac:dyDescent="0.25" r="905" customHeight="1" ht="15.7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x14ac:dyDescent="0.25" r="906" customHeight="1" ht="15.75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x14ac:dyDescent="0.25" r="907" customHeight="1" ht="15.75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x14ac:dyDescent="0.25" r="908" customHeight="1" ht="15.75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x14ac:dyDescent="0.25" r="909" customHeight="1" ht="15.75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x14ac:dyDescent="0.25" r="910" customHeight="1" ht="15.75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x14ac:dyDescent="0.25" r="911" customHeight="1" ht="15.75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x14ac:dyDescent="0.25" r="912" customHeight="1" ht="15.75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x14ac:dyDescent="0.25" r="913" customHeight="1" ht="15.75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x14ac:dyDescent="0.25" r="914" customHeight="1" ht="15.75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x14ac:dyDescent="0.25" r="915" customHeight="1" ht="15.7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x14ac:dyDescent="0.25" r="916" customHeight="1" ht="15.75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x14ac:dyDescent="0.25" r="917" customHeight="1" ht="15.75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x14ac:dyDescent="0.25" r="918" customHeight="1" ht="15.75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x14ac:dyDescent="0.25" r="919" customHeight="1" ht="15.75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x14ac:dyDescent="0.25" r="920" customHeight="1" ht="15.75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x14ac:dyDescent="0.25" r="921" customHeight="1" ht="15.75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x14ac:dyDescent="0.25" r="922" customHeight="1" ht="15.75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x14ac:dyDescent="0.25" r="923" customHeight="1" ht="15.75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x14ac:dyDescent="0.25" r="924" customHeight="1" ht="15.75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x14ac:dyDescent="0.25" r="925" customHeight="1" ht="15.7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x14ac:dyDescent="0.25" r="926" customHeight="1" ht="15.75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x14ac:dyDescent="0.25" r="927" customHeight="1" ht="15.75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x14ac:dyDescent="0.25" r="928" customHeight="1" ht="15.75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x14ac:dyDescent="0.25" r="929" customHeight="1" ht="15.75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x14ac:dyDescent="0.25" r="930" customHeight="1" ht="15.75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x14ac:dyDescent="0.25" r="931" customHeight="1" ht="15.75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x14ac:dyDescent="0.25" r="932" customHeight="1" ht="15.75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x14ac:dyDescent="0.25" r="933" customHeight="1" ht="15.75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x14ac:dyDescent="0.25" r="934" customHeight="1" ht="15.75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x14ac:dyDescent="0.25" r="935" customHeight="1" ht="15.7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x14ac:dyDescent="0.25" r="936" customHeight="1" ht="15.75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x14ac:dyDescent="0.25" r="937" customHeight="1" ht="15.75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x14ac:dyDescent="0.25" r="938" customHeight="1" ht="15.75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x14ac:dyDescent="0.25" r="939" customHeight="1" ht="15.75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x14ac:dyDescent="0.25" r="940" customHeight="1" ht="15.75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x14ac:dyDescent="0.25" r="941" customHeight="1" ht="15.75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x14ac:dyDescent="0.25" r="942" customHeight="1" ht="15.75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x14ac:dyDescent="0.25" r="943" customHeight="1" ht="15.75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x14ac:dyDescent="0.25" r="944" customHeight="1" ht="15.75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x14ac:dyDescent="0.25" r="945" customHeight="1" ht="15.7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x14ac:dyDescent="0.25" r="946" customHeight="1" ht="15.75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x14ac:dyDescent="0.25" r="947" customHeight="1" ht="15.75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x14ac:dyDescent="0.25" r="948" customHeight="1" ht="15.75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x14ac:dyDescent="0.25" r="949" customHeight="1" ht="15.75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x14ac:dyDescent="0.25" r="950" customHeight="1" ht="15.75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x14ac:dyDescent="0.25" r="951" customHeight="1" ht="15.75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x14ac:dyDescent="0.25" r="952" customHeight="1" ht="15.75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x14ac:dyDescent="0.25" r="953" customHeight="1" ht="15.75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x14ac:dyDescent="0.25" r="954" customHeight="1" ht="15.75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x14ac:dyDescent="0.25" r="955" customHeight="1" ht="15.7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x14ac:dyDescent="0.25" r="956" customHeight="1" ht="15.75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x14ac:dyDescent="0.25" r="957" customHeight="1" ht="15.75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x14ac:dyDescent="0.25" r="958" customHeight="1" ht="15.75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x14ac:dyDescent="0.25" r="959" customHeight="1" ht="15.75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x14ac:dyDescent="0.25" r="960" customHeight="1" ht="15.75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x14ac:dyDescent="0.25" r="961" customHeight="1" ht="15.75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x14ac:dyDescent="0.25" r="962" customHeight="1" ht="15.75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x14ac:dyDescent="0.25" r="963" customHeight="1" ht="15.75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x14ac:dyDescent="0.25" r="964" customHeight="1" ht="15.75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x14ac:dyDescent="0.25" r="965" customHeight="1" ht="15.7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x14ac:dyDescent="0.25" r="966" customHeight="1" ht="15.75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x14ac:dyDescent="0.25" r="967" customHeight="1" ht="15.75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x14ac:dyDescent="0.25" r="968" customHeight="1" ht="15.75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x14ac:dyDescent="0.25" r="969" customHeight="1" ht="15.75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x14ac:dyDescent="0.25" r="970" customHeight="1" ht="15.75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x14ac:dyDescent="0.25" r="971" customHeight="1" ht="15.75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x14ac:dyDescent="0.25" r="972" customHeight="1" ht="15.75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x14ac:dyDescent="0.25" r="973" customHeight="1" ht="15.75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x14ac:dyDescent="0.25" r="974" customHeight="1" ht="15.75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x14ac:dyDescent="0.25" r="975" customHeight="1" ht="15.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x14ac:dyDescent="0.25" r="976" customHeight="1" ht="15.75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x14ac:dyDescent="0.25" r="977" customHeight="1" ht="15.75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x14ac:dyDescent="0.25" r="978" customHeight="1" ht="15.75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x14ac:dyDescent="0.25" r="979" customHeight="1" ht="15.75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x14ac:dyDescent="0.25" r="980" customHeight="1" ht="15.75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x14ac:dyDescent="0.25" r="981" customHeight="1" ht="15.75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x14ac:dyDescent="0.25" r="982" customHeight="1" ht="15.75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x14ac:dyDescent="0.25" r="983" customHeight="1" ht="15.75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x14ac:dyDescent="0.25" r="984" customHeight="1" ht="15.75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x14ac:dyDescent="0.25" r="985" customHeight="1" ht="15.7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x14ac:dyDescent="0.25" r="986" customHeight="1" ht="15.75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x14ac:dyDescent="0.25" r="987" customHeight="1" ht="15.75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x14ac:dyDescent="0.25" r="988" customHeight="1" ht="15.75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x14ac:dyDescent="0.25" r="989" customHeight="1" ht="15.75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x14ac:dyDescent="0.25" r="990" customHeight="1" ht="15.75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x14ac:dyDescent="0.25" r="991" customHeight="1" ht="15.75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x14ac:dyDescent="0.25" r="992" customHeight="1" ht="15.75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x14ac:dyDescent="0.25" r="993" customHeight="1" ht="15.75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x14ac:dyDescent="0.25" r="994" customHeight="1" ht="15.75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x14ac:dyDescent="0.25" r="995" customHeight="1" ht="15.7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x14ac:dyDescent="0.25" r="996" customHeight="1" ht="15.75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x14ac:dyDescent="0.25" r="997" customHeight="1" ht="15.75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x14ac:dyDescent="0.25" r="998" customHeight="1" ht="15.75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x14ac:dyDescent="0.25" r="999" customHeight="1" ht="15.75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x14ac:dyDescent="0.25" r="1000" customHeight="1" ht="15.75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3" width="8.290714285714287" customWidth="1" bestFit="1"/>
    <col min="2" max="2" style="13" width="22.719285714285714" customWidth="1" bestFit="1"/>
    <col min="3" max="3" style="13" width="9.290714285714287" customWidth="1" bestFit="1"/>
    <col min="4" max="4" style="13" width="9.290714285714287" customWidth="1" bestFit="1"/>
    <col min="5" max="5" style="13" width="9.290714285714287" customWidth="1" bestFit="1"/>
    <col min="6" max="6" style="13" width="9.290714285714287" customWidth="1" bestFit="1"/>
    <col min="7" max="7" style="13" width="9.290714285714287" customWidth="1" bestFit="1"/>
    <col min="8" max="8" style="13" width="8.719285714285713" customWidth="1" bestFit="1"/>
    <col min="9" max="9" style="13" width="8.719285714285713" customWidth="1" bestFit="1"/>
    <col min="10" max="10" style="13" width="8.719285714285713" customWidth="1" bestFit="1"/>
    <col min="11" max="11" style="13" width="8.719285714285713" customWidth="1" bestFit="1"/>
    <col min="12" max="12" style="13" width="8.719285714285713" customWidth="1" bestFit="1"/>
    <col min="13" max="13" style="13" width="8.719285714285713" customWidth="1" bestFit="1"/>
    <col min="14" max="14" style="13" width="8.719285714285713" customWidth="1" bestFit="1"/>
    <col min="15" max="15" style="13" width="8.719285714285713" customWidth="1" bestFit="1"/>
    <col min="16" max="16" style="13" width="8.719285714285713" customWidth="1" bestFit="1"/>
    <col min="17" max="17" style="13" width="8.719285714285713" customWidth="1" bestFit="1"/>
    <col min="18" max="18" style="13" width="8.719285714285713" customWidth="1" bestFit="1"/>
    <col min="19" max="19" style="13" width="8.719285714285713" customWidth="1" bestFit="1"/>
    <col min="20" max="20" style="13" width="8.719285714285713" customWidth="1" bestFit="1"/>
    <col min="21" max="21" style="13" width="8.290714285714287" customWidth="1" bestFit="1"/>
  </cols>
  <sheetData>
    <row x14ac:dyDescent="0.25" r="1" customHeight="1" ht="63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</row>
    <row x14ac:dyDescent="0.25" r="2" customHeight="1" ht="14.25">
      <c r="A2" s="73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73"/>
    </row>
    <row x14ac:dyDescent="0.25" r="3" customHeight="1" ht="14.25">
      <c r="A3" s="73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73"/>
    </row>
    <row x14ac:dyDescent="0.25" r="4" customHeight="1" ht="14.25">
      <c r="A4" s="73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73"/>
    </row>
    <row x14ac:dyDescent="0.25" r="5" customHeight="1" ht="14.25">
      <c r="A5" s="73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73"/>
    </row>
    <row x14ac:dyDescent="0.25" r="6" customHeight="1" ht="14.25">
      <c r="A6" s="73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73"/>
    </row>
    <row x14ac:dyDescent="0.25" r="7" customHeight="1" ht="14.25">
      <c r="A7" s="73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73"/>
    </row>
    <row x14ac:dyDescent="0.25" r="8" customHeight="1" ht="14.25">
      <c r="A8" s="73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73"/>
    </row>
    <row x14ac:dyDescent="0.25" r="9" customHeight="1" ht="14.25">
      <c r="A9" s="73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73"/>
    </row>
    <row x14ac:dyDescent="0.25" r="10" customHeight="1" ht="14.25">
      <c r="A10" s="73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73"/>
    </row>
    <row x14ac:dyDescent="0.25" r="11" customHeight="1" ht="14.25">
      <c r="A11" s="73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73"/>
    </row>
    <row x14ac:dyDescent="0.25" r="12" customHeight="1" ht="14.25">
      <c r="A12" s="73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73"/>
    </row>
    <row x14ac:dyDescent="0.25" r="13" customHeight="1" ht="14.25">
      <c r="A13" s="73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73"/>
    </row>
    <row x14ac:dyDescent="0.25" r="14" customHeight="1" ht="14.25">
      <c r="A14" s="73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73"/>
    </row>
    <row x14ac:dyDescent="0.25" r="15" customHeight="1" ht="14.25">
      <c r="A15" s="73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73"/>
    </row>
    <row x14ac:dyDescent="0.25" r="16" customHeight="1" ht="14.25">
      <c r="A16" s="73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73"/>
    </row>
    <row x14ac:dyDescent="0.25" r="17" customHeight="1" ht="14.25">
      <c r="A17" s="73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73"/>
    </row>
    <row x14ac:dyDescent="0.25" r="18" customHeight="1" ht="14.25">
      <c r="A18" s="73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73"/>
    </row>
    <row x14ac:dyDescent="0.25" r="19" customHeight="1" ht="14.25">
      <c r="A19" s="73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73"/>
    </row>
    <row x14ac:dyDescent="0.25" r="20" customHeight="1" ht="14.25">
      <c r="A20" s="73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73"/>
    </row>
    <row x14ac:dyDescent="0.25" r="21" customHeight="1" ht="14.25">
      <c r="A21" s="73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73"/>
    </row>
    <row x14ac:dyDescent="0.25" r="22" customHeight="1" ht="4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</row>
    <row x14ac:dyDescent="0.25" r="23" customHeight="1" ht="14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</row>
    <row x14ac:dyDescent="0.25" r="24" customHeight="1" ht="14.2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</row>
    <row x14ac:dyDescent="0.25" r="25" customHeight="1" ht="14.2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</row>
    <row x14ac:dyDescent="0.25" r="26" customHeight="1" ht="14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</row>
    <row x14ac:dyDescent="0.25" r="27" customHeight="1" ht="14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</row>
    <row x14ac:dyDescent="0.25" r="28" customHeight="1" ht="14.2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</row>
    <row x14ac:dyDescent="0.25" r="29" customHeight="1" ht="14.25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</row>
    <row x14ac:dyDescent="0.25" r="30" customHeight="1" ht="14.2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</row>
    <row x14ac:dyDescent="0.25" r="31" customHeight="1" ht="14.25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</row>
    <row x14ac:dyDescent="0.25" r="32" customHeight="1" ht="14.25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</row>
    <row x14ac:dyDescent="0.25" r="33" customHeight="1" ht="14.25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</row>
    <row x14ac:dyDescent="0.25" r="34" customHeight="1" ht="14.25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</row>
    <row x14ac:dyDescent="0.25" r="35" customHeight="1" ht="14.2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</row>
    <row x14ac:dyDescent="0.25" r="36" customHeight="1" ht="14.25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</row>
    <row x14ac:dyDescent="0.25" r="37" customHeight="1" ht="14.25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</row>
    <row x14ac:dyDescent="0.25" r="38" customHeight="1" ht="14.25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</row>
    <row x14ac:dyDescent="0.25" r="39" customHeight="1" ht="14.25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</row>
    <row x14ac:dyDescent="0.25" r="40" customHeight="1" ht="14.25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</row>
    <row x14ac:dyDescent="0.25" r="41" customHeight="1" ht="14.25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</row>
    <row x14ac:dyDescent="0.25" r="42" customHeight="1" ht="14.25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</row>
    <row x14ac:dyDescent="0.25" r="43" customHeight="1" ht="14.25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</row>
    <row x14ac:dyDescent="0.25" r="44" customHeight="1" ht="14.25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</row>
    <row x14ac:dyDescent="0.25" r="45" customHeight="1" ht="14.2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</row>
    <row x14ac:dyDescent="0.25" r="46" customHeight="1" ht="14.25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</row>
    <row x14ac:dyDescent="0.25" r="47" customHeight="1" ht="14.25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</row>
    <row x14ac:dyDescent="0.25" r="48" customHeight="1" ht="14.25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</row>
    <row x14ac:dyDescent="0.25" r="49" customHeight="1" ht="14.25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</row>
    <row x14ac:dyDescent="0.25" r="50" customHeight="1" ht="14.25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</row>
    <row x14ac:dyDescent="0.25" r="51" customHeight="1" ht="14.2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</row>
    <row x14ac:dyDescent="0.25" r="52" customHeight="1" ht="14.2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</row>
    <row x14ac:dyDescent="0.25" r="53" customHeight="1" ht="14.25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</row>
    <row x14ac:dyDescent="0.25" r="54" customHeight="1" ht="14.25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</row>
    <row x14ac:dyDescent="0.25" r="55" customHeight="1" ht="14.2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</row>
    <row x14ac:dyDescent="0.25" r="56" customHeight="1" ht="14.25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</row>
    <row x14ac:dyDescent="0.25" r="57" customHeight="1" ht="14.25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</row>
    <row x14ac:dyDescent="0.25" r="58" customHeight="1" ht="14.25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</row>
    <row x14ac:dyDescent="0.25" r="59" customHeight="1" ht="14.25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</row>
    <row x14ac:dyDescent="0.25" r="60" customHeight="1" ht="14.25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</row>
    <row x14ac:dyDescent="0.25" r="61" customHeight="1" ht="14.2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</row>
    <row x14ac:dyDescent="0.25" r="62" customHeight="1" ht="14.25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</row>
    <row x14ac:dyDescent="0.25" r="63" customHeight="1" ht="14.25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</row>
    <row x14ac:dyDescent="0.25" r="64" customHeight="1" ht="14.25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</row>
    <row x14ac:dyDescent="0.25" r="65" customHeight="1" ht="14.2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</row>
    <row x14ac:dyDescent="0.25" r="66" customHeight="1" ht="14.25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</row>
    <row x14ac:dyDescent="0.25" r="67" customHeight="1" ht="14.25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</row>
    <row x14ac:dyDescent="0.25" r="68" customHeight="1" ht="14.25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</row>
    <row x14ac:dyDescent="0.25" r="69" customHeight="1" ht="14.25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</row>
    <row x14ac:dyDescent="0.25" r="70" customHeight="1" ht="14.25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</row>
    <row x14ac:dyDescent="0.25" r="71" customHeight="1" ht="14.25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</row>
    <row x14ac:dyDescent="0.25" r="72" customHeight="1" ht="14.25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</row>
    <row x14ac:dyDescent="0.25" r="73" customHeight="1" ht="14.25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</row>
    <row x14ac:dyDescent="0.25" r="74" customHeight="1" ht="14.25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</row>
    <row x14ac:dyDescent="0.25" r="75" customHeight="1" ht="14.2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</row>
    <row x14ac:dyDescent="0.25" r="76" customHeight="1" ht="14.2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</row>
    <row x14ac:dyDescent="0.25" r="77" customHeight="1" ht="14.2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</row>
    <row x14ac:dyDescent="0.25" r="78" customHeight="1" ht="14.2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</row>
    <row x14ac:dyDescent="0.25" r="79" customHeight="1" ht="14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</row>
    <row x14ac:dyDescent="0.25" r="80" customHeight="1" ht="14.2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</row>
    <row x14ac:dyDescent="0.25" r="81" customHeight="1" ht="14.2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</row>
    <row x14ac:dyDescent="0.25" r="82" customHeight="1" ht="14.2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</row>
    <row x14ac:dyDescent="0.25" r="83" customHeight="1" ht="14.2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</row>
    <row x14ac:dyDescent="0.25" r="84" customHeight="1" ht="14.2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</row>
    <row x14ac:dyDescent="0.25" r="85" customHeight="1" ht="14.2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</row>
    <row x14ac:dyDescent="0.25" r="86" customHeight="1" ht="14.2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</row>
    <row x14ac:dyDescent="0.25" r="87" customHeight="1" ht="14.2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</row>
    <row x14ac:dyDescent="0.25" r="88" customHeight="1" ht="14.2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</row>
    <row x14ac:dyDescent="0.25" r="89" customHeight="1" ht="14.25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</row>
    <row x14ac:dyDescent="0.25" r="90" customHeight="1" ht="14.25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</row>
    <row x14ac:dyDescent="0.25" r="91" customHeight="1" ht="14.25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</row>
    <row x14ac:dyDescent="0.25" r="92" customHeight="1" ht="14.25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</row>
    <row x14ac:dyDescent="0.25" r="93" customHeight="1" ht="14.25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</row>
    <row x14ac:dyDescent="0.25" r="94" customHeight="1" ht="14.25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</row>
    <row x14ac:dyDescent="0.25" r="95" customHeight="1" ht="14.2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</row>
    <row x14ac:dyDescent="0.25" r="96" customHeight="1" ht="14.25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</row>
    <row x14ac:dyDescent="0.25" r="97" customHeight="1" ht="14.25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</row>
    <row x14ac:dyDescent="0.25" r="98" customHeight="1" ht="14.25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</row>
    <row x14ac:dyDescent="0.25" r="99" customHeight="1" ht="14.25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</row>
    <row x14ac:dyDescent="0.25" r="100" customHeight="1" ht="14.25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</row>
    <row x14ac:dyDescent="0.25" r="101" customHeight="1" ht="14.25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</row>
    <row x14ac:dyDescent="0.25" r="102" customHeight="1" ht="14.25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</row>
    <row x14ac:dyDescent="0.25" r="103" customHeight="1" ht="14.25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</row>
    <row x14ac:dyDescent="0.25" r="104" customHeight="1" ht="14.25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</row>
    <row x14ac:dyDescent="0.25" r="105" customHeight="1" ht="14.2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</row>
    <row x14ac:dyDescent="0.25" r="106" customHeight="1" ht="14.25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</row>
    <row x14ac:dyDescent="0.25" r="107" customHeight="1" ht="14.25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</row>
    <row x14ac:dyDescent="0.25" r="108" customHeight="1" ht="14.25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</row>
    <row x14ac:dyDescent="0.25" r="109" customHeight="1" ht="14.25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</row>
    <row x14ac:dyDescent="0.25" r="110" customHeight="1" ht="14.25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</row>
    <row x14ac:dyDescent="0.25" r="111" customHeight="1" ht="14.25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</row>
    <row x14ac:dyDescent="0.25" r="112" customHeight="1" ht="14.25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</row>
    <row x14ac:dyDescent="0.25" r="113" customHeight="1" ht="14.25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</row>
    <row x14ac:dyDescent="0.25" r="114" customHeight="1" ht="14.25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</row>
    <row x14ac:dyDescent="0.25" r="115" customHeight="1" ht="14.2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</row>
    <row x14ac:dyDescent="0.25" r="116" customHeight="1" ht="14.25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</row>
    <row x14ac:dyDescent="0.25" r="117" customHeight="1" ht="14.25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</row>
    <row x14ac:dyDescent="0.25" r="118" customHeight="1" ht="14.25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</row>
    <row x14ac:dyDescent="0.25" r="119" customHeight="1" ht="14.25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x14ac:dyDescent="0.25" r="120" customHeight="1" ht="14.25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x14ac:dyDescent="0.25" r="121" customHeight="1" ht="14.25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x14ac:dyDescent="0.25" r="122" customHeight="1" ht="14.25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x14ac:dyDescent="0.25" r="123" customHeight="1" ht="14.25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x14ac:dyDescent="0.25" r="124" customHeight="1" ht="14.25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x14ac:dyDescent="0.25" r="125" customHeight="1" ht="14.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x14ac:dyDescent="0.25" r="126" customHeight="1" ht="14.25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x14ac:dyDescent="0.25" r="127" customHeight="1" ht="14.25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x14ac:dyDescent="0.25" r="128" customHeight="1" ht="14.25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</row>
    <row x14ac:dyDescent="0.25" r="129" customHeight="1" ht="14.25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</row>
    <row x14ac:dyDescent="0.25" r="130" customHeight="1" ht="14.25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</row>
    <row x14ac:dyDescent="0.25" r="131" customHeight="1" ht="14.25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</row>
    <row x14ac:dyDescent="0.25" r="132" customHeight="1" ht="14.25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</row>
    <row x14ac:dyDescent="0.25" r="133" customHeight="1" ht="14.25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</row>
    <row x14ac:dyDescent="0.25" r="134" customHeight="1" ht="14.25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</row>
    <row x14ac:dyDescent="0.25" r="135" customHeight="1" ht="14.2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</row>
    <row x14ac:dyDescent="0.25" r="136" customHeight="1" ht="14.25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</row>
    <row x14ac:dyDescent="0.25" r="137" customHeight="1" ht="14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</row>
    <row x14ac:dyDescent="0.25" r="138" customHeight="1" ht="14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</row>
    <row x14ac:dyDescent="0.25" r="139" customHeight="1" ht="14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</row>
    <row x14ac:dyDescent="0.25" r="140" customHeight="1" ht="14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</row>
    <row x14ac:dyDescent="0.25" r="141" customHeight="1" ht="14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</row>
    <row x14ac:dyDescent="0.25" r="142" customHeight="1" ht="14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</row>
    <row x14ac:dyDescent="0.25" r="143" customHeight="1" ht="14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</row>
    <row x14ac:dyDescent="0.25" r="144" customHeight="1" ht="14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</row>
    <row x14ac:dyDescent="0.25" r="145" customHeight="1" ht="14.2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</row>
    <row x14ac:dyDescent="0.25" r="146" customHeight="1" ht="14.25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</row>
    <row x14ac:dyDescent="0.25" r="147" customHeight="1" ht="14.25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</row>
    <row x14ac:dyDescent="0.25" r="148" customHeight="1" ht="14.25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</row>
    <row x14ac:dyDescent="0.25" r="149" customHeight="1" ht="14.25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</row>
    <row x14ac:dyDescent="0.25" r="150" customHeight="1" ht="14.25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</row>
    <row x14ac:dyDescent="0.25" r="151" customHeight="1" ht="14.25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</row>
    <row x14ac:dyDescent="0.25" r="152" customHeight="1" ht="14.25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</row>
    <row x14ac:dyDescent="0.25" r="153" customHeight="1" ht="14.25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</row>
    <row x14ac:dyDescent="0.25" r="154" customHeight="1" ht="14.25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</row>
    <row x14ac:dyDescent="0.25" r="155" customHeight="1" ht="14.2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</row>
    <row x14ac:dyDescent="0.25" r="156" customHeight="1" ht="14.25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</row>
    <row x14ac:dyDescent="0.25" r="157" customHeight="1" ht="14.25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</row>
    <row x14ac:dyDescent="0.25" r="158" customHeight="1" ht="14.25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</row>
    <row x14ac:dyDescent="0.25" r="159" customHeight="1" ht="14.25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</row>
    <row x14ac:dyDescent="0.25" r="160" customHeight="1" ht="14.25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</row>
    <row x14ac:dyDescent="0.25" r="161" customHeight="1" ht="14.25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</row>
    <row x14ac:dyDescent="0.25" r="162" customHeight="1" ht="14.25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</row>
    <row x14ac:dyDescent="0.25" r="163" customHeight="1" ht="14.25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</row>
    <row x14ac:dyDescent="0.25" r="164" customHeight="1" ht="14.25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</row>
    <row x14ac:dyDescent="0.25" r="165" customHeight="1" ht="14.2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</row>
    <row x14ac:dyDescent="0.25" r="166" customHeight="1" ht="14.25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</row>
    <row x14ac:dyDescent="0.25" r="167" customHeight="1" ht="14.25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</row>
    <row x14ac:dyDescent="0.25" r="168" customHeight="1" ht="14.25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</row>
    <row x14ac:dyDescent="0.25" r="169" customHeight="1" ht="14.25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</row>
    <row x14ac:dyDescent="0.25" r="170" customHeight="1" ht="14.2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</row>
    <row x14ac:dyDescent="0.25" r="171" customHeight="1" ht="14.2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</row>
    <row x14ac:dyDescent="0.25" r="172" customHeight="1" ht="14.2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</row>
    <row x14ac:dyDescent="0.25" r="173" customHeight="1" ht="14.2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</row>
    <row x14ac:dyDescent="0.25" r="174" customHeight="1" ht="14.25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</row>
    <row x14ac:dyDescent="0.25" r="175" customHeight="1" ht="14.2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</row>
    <row x14ac:dyDescent="0.25" r="176" customHeight="1" ht="14.25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</row>
    <row x14ac:dyDescent="0.25" r="177" customHeight="1" ht="14.25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</row>
    <row x14ac:dyDescent="0.25" r="178" customHeight="1" ht="14.25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</row>
    <row x14ac:dyDescent="0.25" r="179" customHeight="1" ht="14.25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</row>
    <row x14ac:dyDescent="0.25" r="180" customHeight="1" ht="14.25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</row>
    <row x14ac:dyDescent="0.25" r="181" customHeight="1" ht="14.25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</row>
    <row x14ac:dyDescent="0.25" r="182" customHeight="1" ht="14.25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</row>
    <row x14ac:dyDescent="0.25" r="183" customHeight="1" ht="14.25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</row>
    <row x14ac:dyDescent="0.25" r="184" customHeight="1" ht="14.25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</row>
    <row x14ac:dyDescent="0.25" r="185" customHeight="1" ht="14.2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</row>
    <row x14ac:dyDescent="0.25" r="186" customHeight="1" ht="14.25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</row>
    <row x14ac:dyDescent="0.25" r="187" customHeight="1" ht="14.25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</row>
    <row x14ac:dyDescent="0.25" r="188" customHeight="1" ht="14.25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</row>
    <row x14ac:dyDescent="0.25" r="189" customHeight="1" ht="14.25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</row>
    <row x14ac:dyDescent="0.25" r="190" customHeight="1" ht="14.25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</row>
    <row x14ac:dyDescent="0.25" r="191" customHeight="1" ht="14.25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</row>
    <row x14ac:dyDescent="0.25" r="192" customHeight="1" ht="14.25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</row>
    <row x14ac:dyDescent="0.25" r="193" customHeight="1" ht="14.25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</row>
    <row x14ac:dyDescent="0.25" r="194" customHeight="1" ht="14.25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</row>
    <row x14ac:dyDescent="0.25" r="195" customHeight="1" ht="14.2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</row>
    <row x14ac:dyDescent="0.25" r="196" customHeight="1" ht="14.25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</row>
    <row x14ac:dyDescent="0.25" r="197" customHeight="1" ht="14.25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</row>
    <row x14ac:dyDescent="0.25" r="198" customHeight="1" ht="14.25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</row>
    <row x14ac:dyDescent="0.25" r="199" customHeight="1" ht="14.25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</row>
    <row x14ac:dyDescent="0.25" r="200" customHeight="1" ht="14.25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</row>
    <row x14ac:dyDescent="0.25" r="201" customHeight="1" ht="14.25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</row>
    <row x14ac:dyDescent="0.25" r="202" customHeight="1" ht="14.25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</row>
    <row x14ac:dyDescent="0.25" r="203" customHeight="1" ht="14.25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</row>
    <row x14ac:dyDescent="0.25" r="204" customHeight="1" ht="14.25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</row>
    <row x14ac:dyDescent="0.25" r="205" customHeight="1" ht="14.2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</row>
    <row x14ac:dyDescent="0.25" r="206" customHeight="1" ht="14.25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</row>
    <row x14ac:dyDescent="0.25" r="207" customHeight="1" ht="14.25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</row>
    <row x14ac:dyDescent="0.25" r="208" customHeight="1" ht="14.25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</row>
    <row x14ac:dyDescent="0.25" r="209" customHeight="1" ht="14.25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</row>
    <row x14ac:dyDescent="0.25" r="210" customHeight="1" ht="14.25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</row>
    <row x14ac:dyDescent="0.25" r="211" customHeight="1" ht="14.25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</row>
    <row x14ac:dyDescent="0.25" r="212" customHeight="1" ht="14.25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</row>
    <row x14ac:dyDescent="0.25" r="213" customHeight="1" ht="14.25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</row>
    <row x14ac:dyDescent="0.25" r="214" customHeight="1" ht="14.25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</row>
    <row x14ac:dyDescent="0.25" r="215" customHeight="1" ht="14.2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</row>
    <row x14ac:dyDescent="0.25" r="216" customHeight="1" ht="14.25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</row>
    <row x14ac:dyDescent="0.25" r="217" customHeight="1" ht="14.25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</row>
    <row x14ac:dyDescent="0.25" r="218" customHeight="1" ht="14.25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</row>
    <row x14ac:dyDescent="0.25" r="219" customHeight="1" ht="14.25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</row>
    <row x14ac:dyDescent="0.25" r="220" customHeight="1" ht="14.25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</row>
    <row x14ac:dyDescent="0.25" r="221" customHeight="1" ht="15.7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</row>
    <row x14ac:dyDescent="0.25" r="222" customHeight="1" ht="15.7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</row>
    <row x14ac:dyDescent="0.25" r="223" customHeight="1" ht="15.7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</row>
    <row x14ac:dyDescent="0.25" r="224" customHeight="1" ht="15.7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</row>
    <row x14ac:dyDescent="0.25" r="225" customHeight="1" ht="15.7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</row>
    <row x14ac:dyDescent="0.25" r="226" customHeight="1" ht="15.7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</row>
    <row x14ac:dyDescent="0.25" r="227" customHeight="1" ht="15.7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</row>
    <row x14ac:dyDescent="0.25" r="228" customHeight="1" ht="15.7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</row>
    <row x14ac:dyDescent="0.25" r="229" customHeight="1" ht="15.7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</row>
    <row x14ac:dyDescent="0.25" r="230" customHeight="1" ht="15.75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</row>
    <row x14ac:dyDescent="0.25" r="231" customHeight="1" ht="15.75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</row>
    <row x14ac:dyDescent="0.25" r="232" customHeight="1" ht="15.75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</row>
    <row x14ac:dyDescent="0.25" r="233" customHeight="1" ht="15.75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</row>
    <row x14ac:dyDescent="0.25" r="234" customHeight="1" ht="15.75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</row>
    <row x14ac:dyDescent="0.25" r="235" customHeight="1" ht="15.7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</row>
    <row x14ac:dyDescent="0.25" r="236" customHeight="1" ht="15.75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</row>
    <row x14ac:dyDescent="0.25" r="237" customHeight="1" ht="15.75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</row>
    <row x14ac:dyDescent="0.25" r="238" customHeight="1" ht="15.75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</row>
    <row x14ac:dyDescent="0.25" r="239" customHeight="1" ht="15.75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</row>
    <row x14ac:dyDescent="0.25" r="240" customHeight="1" ht="15.7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</row>
    <row x14ac:dyDescent="0.25" r="241" customHeight="1" ht="15.75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</row>
    <row x14ac:dyDescent="0.25" r="242" customHeight="1" ht="15.75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</row>
    <row x14ac:dyDescent="0.25" r="243" customHeight="1" ht="15.75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</row>
    <row x14ac:dyDescent="0.25" r="244" customHeight="1" ht="15.75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</row>
    <row x14ac:dyDescent="0.25" r="245" customHeight="1" ht="15.7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</row>
    <row x14ac:dyDescent="0.25" r="246" customHeight="1" ht="15.75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</row>
    <row x14ac:dyDescent="0.25" r="247" customHeight="1" ht="15.75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</row>
    <row x14ac:dyDescent="0.25" r="248" customHeight="1" ht="15.75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</row>
    <row x14ac:dyDescent="0.25" r="249" customHeight="1" ht="15.75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</row>
    <row x14ac:dyDescent="0.25" r="250" customHeight="1" ht="15.7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</row>
    <row x14ac:dyDescent="0.25" r="251" customHeight="1" ht="15.75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</row>
    <row x14ac:dyDescent="0.25" r="252" customHeight="1" ht="15.75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</row>
    <row x14ac:dyDescent="0.25" r="253" customHeight="1" ht="15.75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</row>
    <row x14ac:dyDescent="0.25" r="254" customHeight="1" ht="15.75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</row>
    <row x14ac:dyDescent="0.25" r="255" customHeight="1" ht="15.7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</row>
    <row x14ac:dyDescent="0.25" r="256" customHeight="1" ht="15.75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</row>
    <row x14ac:dyDescent="0.25" r="257" customHeight="1" ht="15.75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</row>
    <row x14ac:dyDescent="0.25" r="258" customHeight="1" ht="15.75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</row>
    <row x14ac:dyDescent="0.25" r="259" customHeight="1" ht="15.75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</row>
    <row x14ac:dyDescent="0.25" r="260" customHeight="1" ht="15.75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</row>
    <row x14ac:dyDescent="0.25" r="261" customHeight="1" ht="15.75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</row>
    <row x14ac:dyDescent="0.25" r="262" customHeight="1" ht="15.75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</row>
    <row x14ac:dyDescent="0.25" r="263" customHeight="1" ht="15.75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</row>
    <row x14ac:dyDescent="0.25" r="264" customHeight="1" ht="15.75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</row>
    <row x14ac:dyDescent="0.25" r="265" customHeight="1" ht="15.7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</row>
    <row x14ac:dyDescent="0.25" r="266" customHeight="1" ht="15.75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</row>
    <row x14ac:dyDescent="0.25" r="267" customHeight="1" ht="15.75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</row>
    <row x14ac:dyDescent="0.25" r="268" customHeight="1" ht="15.75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</row>
    <row x14ac:dyDescent="0.25" r="269" customHeight="1" ht="15.75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</row>
    <row x14ac:dyDescent="0.25" r="270" customHeight="1" ht="15.75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</row>
    <row x14ac:dyDescent="0.25" r="271" customHeight="1" ht="15.75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</row>
    <row x14ac:dyDescent="0.25" r="272" customHeight="1" ht="15.75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</row>
    <row x14ac:dyDescent="0.25" r="273" customHeight="1" ht="15.75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</row>
    <row x14ac:dyDescent="0.25" r="274" customHeight="1" ht="15.75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</row>
    <row x14ac:dyDescent="0.25" r="275" customHeight="1" ht="15.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</row>
    <row x14ac:dyDescent="0.25" r="276" customHeight="1" ht="15.75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</row>
    <row x14ac:dyDescent="0.25" r="277" customHeight="1" ht="15.75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</row>
    <row x14ac:dyDescent="0.25" r="278" customHeight="1" ht="15.75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</row>
    <row x14ac:dyDescent="0.25" r="279" customHeight="1" ht="15.75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</row>
    <row x14ac:dyDescent="0.25" r="280" customHeight="1" ht="15.75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</row>
    <row x14ac:dyDescent="0.25" r="281" customHeight="1" ht="15.75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</row>
    <row x14ac:dyDescent="0.25" r="282" customHeight="1" ht="15.75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</row>
    <row x14ac:dyDescent="0.25" r="283" customHeight="1" ht="15.75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</row>
    <row x14ac:dyDescent="0.25" r="284" customHeight="1" ht="15.75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</row>
    <row x14ac:dyDescent="0.25" r="285" customHeight="1" ht="15.7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</row>
    <row x14ac:dyDescent="0.25" r="286" customHeight="1" ht="15.75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</row>
    <row x14ac:dyDescent="0.25" r="287" customHeight="1" ht="15.75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</row>
    <row x14ac:dyDescent="0.25" r="288" customHeight="1" ht="15.75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</row>
    <row x14ac:dyDescent="0.25" r="289" customHeight="1" ht="15.75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</row>
    <row x14ac:dyDescent="0.25" r="290" customHeight="1" ht="15.75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</row>
    <row x14ac:dyDescent="0.25" r="291" customHeight="1" ht="15.75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</row>
    <row x14ac:dyDescent="0.25" r="292" customHeight="1" ht="15.75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</row>
    <row x14ac:dyDescent="0.25" r="293" customHeight="1" ht="15.75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</row>
    <row x14ac:dyDescent="0.25" r="294" customHeight="1" ht="15.75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</row>
    <row x14ac:dyDescent="0.25" r="295" customHeight="1" ht="15.7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</row>
    <row x14ac:dyDescent="0.25" r="296" customHeight="1" ht="15.75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</row>
    <row x14ac:dyDescent="0.25" r="297" customHeight="1" ht="15.75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</row>
    <row x14ac:dyDescent="0.25" r="298" customHeight="1" ht="15.75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</row>
    <row x14ac:dyDescent="0.25" r="299" customHeight="1" ht="15.75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</row>
    <row x14ac:dyDescent="0.25" r="300" customHeight="1" ht="15.75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</row>
    <row x14ac:dyDescent="0.25" r="301" customHeight="1" ht="15.75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</row>
    <row x14ac:dyDescent="0.25" r="302" customHeight="1" ht="15.75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</row>
    <row x14ac:dyDescent="0.25" r="303" customHeight="1" ht="15.75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</row>
    <row x14ac:dyDescent="0.25" r="304" customHeight="1" ht="15.75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</row>
    <row x14ac:dyDescent="0.25" r="305" customHeight="1" ht="15.7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</row>
    <row x14ac:dyDescent="0.25" r="306" customHeight="1" ht="15.75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</row>
    <row x14ac:dyDescent="0.25" r="307" customHeight="1" ht="15.75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</row>
    <row x14ac:dyDescent="0.25" r="308" customHeight="1" ht="15.75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</row>
    <row x14ac:dyDescent="0.25" r="309" customHeight="1" ht="15.75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</row>
    <row x14ac:dyDescent="0.25" r="310" customHeight="1" ht="15.75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</row>
    <row x14ac:dyDescent="0.25" r="311" customHeight="1" ht="15.75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</row>
    <row x14ac:dyDescent="0.25" r="312" customHeight="1" ht="15.75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</row>
    <row x14ac:dyDescent="0.25" r="313" customHeight="1" ht="15.75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</row>
    <row x14ac:dyDescent="0.25" r="314" customHeight="1" ht="15.75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</row>
    <row x14ac:dyDescent="0.25" r="315" customHeight="1" ht="15.7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</row>
    <row x14ac:dyDescent="0.25" r="316" customHeight="1" ht="15.75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</row>
    <row x14ac:dyDescent="0.25" r="317" customHeight="1" ht="15.75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</row>
    <row x14ac:dyDescent="0.25" r="318" customHeight="1" ht="15.75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</row>
    <row x14ac:dyDescent="0.25" r="319" customHeight="1" ht="15.75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</row>
    <row x14ac:dyDescent="0.25" r="320" customHeight="1" ht="15.75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</row>
    <row x14ac:dyDescent="0.25" r="321" customHeight="1" ht="15.75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</row>
    <row x14ac:dyDescent="0.25" r="322" customHeight="1" ht="15.75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</row>
    <row x14ac:dyDescent="0.25" r="323" customHeight="1" ht="15.75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</row>
    <row x14ac:dyDescent="0.25" r="324" customHeight="1" ht="15.75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</row>
    <row x14ac:dyDescent="0.25" r="325" customHeight="1" ht="15.7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</row>
    <row x14ac:dyDescent="0.25" r="326" customHeight="1" ht="15.75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</row>
    <row x14ac:dyDescent="0.25" r="327" customHeight="1" ht="15.75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</row>
    <row x14ac:dyDescent="0.25" r="328" customHeight="1" ht="15.75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</row>
    <row x14ac:dyDescent="0.25" r="329" customHeight="1" ht="15.75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</row>
    <row x14ac:dyDescent="0.25" r="330" customHeight="1" ht="15.75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</row>
    <row x14ac:dyDescent="0.25" r="331" customHeight="1" ht="15.75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</row>
    <row x14ac:dyDescent="0.25" r="332" customHeight="1" ht="15.75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</row>
    <row x14ac:dyDescent="0.25" r="333" customHeight="1" ht="15.75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</row>
    <row x14ac:dyDescent="0.25" r="334" customHeight="1" ht="15.75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</row>
    <row x14ac:dyDescent="0.25" r="335" customHeight="1" ht="15.7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</row>
    <row x14ac:dyDescent="0.25" r="336" customHeight="1" ht="15.75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</row>
    <row x14ac:dyDescent="0.25" r="337" customHeight="1" ht="15.75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</row>
    <row x14ac:dyDescent="0.25" r="338" customHeight="1" ht="15.75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</row>
    <row x14ac:dyDescent="0.25" r="339" customHeight="1" ht="15.75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</row>
    <row x14ac:dyDescent="0.25" r="340" customHeight="1" ht="15.75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</row>
    <row x14ac:dyDescent="0.25" r="341" customHeight="1" ht="15.75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</row>
    <row x14ac:dyDescent="0.25" r="342" customHeight="1" ht="15.75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</row>
    <row x14ac:dyDescent="0.25" r="343" customHeight="1" ht="15.75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</row>
    <row x14ac:dyDescent="0.25" r="344" customHeight="1" ht="15.75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</row>
    <row x14ac:dyDescent="0.25" r="345" customHeight="1" ht="15.7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</row>
    <row x14ac:dyDescent="0.25" r="346" customHeight="1" ht="15.75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</row>
    <row x14ac:dyDescent="0.25" r="347" customHeight="1" ht="15.75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</row>
    <row x14ac:dyDescent="0.25" r="348" customHeight="1" ht="15.75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</row>
    <row x14ac:dyDescent="0.25" r="349" customHeight="1" ht="15.75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</row>
    <row x14ac:dyDescent="0.25" r="350" customHeight="1" ht="15.75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</row>
    <row x14ac:dyDescent="0.25" r="351" customHeight="1" ht="15.75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</row>
    <row x14ac:dyDescent="0.25" r="352" customHeight="1" ht="15.75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</row>
    <row x14ac:dyDescent="0.25" r="353" customHeight="1" ht="15.75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</row>
    <row x14ac:dyDescent="0.25" r="354" customHeight="1" ht="15.75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</row>
    <row x14ac:dyDescent="0.25" r="355" customHeight="1" ht="15.7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</row>
    <row x14ac:dyDescent="0.25" r="356" customHeight="1" ht="15.75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</row>
    <row x14ac:dyDescent="0.25" r="357" customHeight="1" ht="15.75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</row>
    <row x14ac:dyDescent="0.25" r="358" customHeight="1" ht="15.75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</row>
    <row x14ac:dyDescent="0.25" r="359" customHeight="1" ht="15.75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</row>
    <row x14ac:dyDescent="0.25" r="360" customHeight="1" ht="15.75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</row>
    <row x14ac:dyDescent="0.25" r="361" customHeight="1" ht="15.75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</row>
    <row x14ac:dyDescent="0.25" r="362" customHeight="1" ht="15.75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</row>
    <row x14ac:dyDescent="0.25" r="363" customHeight="1" ht="15.75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</row>
    <row x14ac:dyDescent="0.25" r="364" customHeight="1" ht="15.75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</row>
    <row x14ac:dyDescent="0.25" r="365" customHeight="1" ht="15.7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</row>
    <row x14ac:dyDescent="0.25" r="366" customHeight="1" ht="15.75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</row>
    <row x14ac:dyDescent="0.25" r="367" customHeight="1" ht="15.75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</row>
    <row x14ac:dyDescent="0.25" r="368" customHeight="1" ht="15.75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</row>
    <row x14ac:dyDescent="0.25" r="369" customHeight="1" ht="15.75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</row>
    <row x14ac:dyDescent="0.25" r="370" customHeight="1" ht="15.75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</row>
    <row x14ac:dyDescent="0.25" r="371" customHeight="1" ht="15.75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</row>
    <row x14ac:dyDescent="0.25" r="372" customHeight="1" ht="15.75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</row>
    <row x14ac:dyDescent="0.25" r="373" customHeight="1" ht="15.75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</row>
    <row x14ac:dyDescent="0.25" r="374" customHeight="1" ht="15.75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</row>
    <row x14ac:dyDescent="0.25" r="375" customHeight="1" ht="15.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</row>
    <row x14ac:dyDescent="0.25" r="376" customHeight="1" ht="15.75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</row>
    <row x14ac:dyDescent="0.25" r="377" customHeight="1" ht="15.75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</row>
    <row x14ac:dyDescent="0.25" r="378" customHeight="1" ht="15.75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</row>
    <row x14ac:dyDescent="0.25" r="379" customHeight="1" ht="15.75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</row>
    <row x14ac:dyDescent="0.25" r="380" customHeight="1" ht="15.75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</row>
    <row x14ac:dyDescent="0.25" r="381" customHeight="1" ht="15.75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</row>
    <row x14ac:dyDescent="0.25" r="382" customHeight="1" ht="15.75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</row>
    <row x14ac:dyDescent="0.25" r="383" customHeight="1" ht="15.75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</row>
    <row x14ac:dyDescent="0.25" r="384" customHeight="1" ht="15.75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</row>
    <row x14ac:dyDescent="0.25" r="385" customHeight="1" ht="15.7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</row>
    <row x14ac:dyDescent="0.25" r="386" customHeight="1" ht="15.75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</row>
    <row x14ac:dyDescent="0.25" r="387" customHeight="1" ht="15.75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</row>
    <row x14ac:dyDescent="0.25" r="388" customHeight="1" ht="15.75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</row>
    <row x14ac:dyDescent="0.25" r="389" customHeight="1" ht="15.75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</row>
    <row x14ac:dyDescent="0.25" r="390" customHeight="1" ht="15.75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</row>
    <row x14ac:dyDescent="0.25" r="391" customHeight="1" ht="15.75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</row>
    <row x14ac:dyDescent="0.25" r="392" customHeight="1" ht="15.75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</row>
    <row x14ac:dyDescent="0.25" r="393" customHeight="1" ht="15.75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</row>
    <row x14ac:dyDescent="0.25" r="394" customHeight="1" ht="15.75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</row>
    <row x14ac:dyDescent="0.25" r="395" customHeight="1" ht="15.7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</row>
    <row x14ac:dyDescent="0.25" r="396" customHeight="1" ht="15.75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</row>
    <row x14ac:dyDescent="0.25" r="397" customHeight="1" ht="15.75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</row>
    <row x14ac:dyDescent="0.25" r="398" customHeight="1" ht="15.75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</row>
    <row x14ac:dyDescent="0.25" r="399" customHeight="1" ht="15.75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</row>
    <row x14ac:dyDescent="0.25" r="400" customHeight="1" ht="15.75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</row>
    <row x14ac:dyDescent="0.25" r="401" customHeight="1" ht="15.75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</row>
    <row x14ac:dyDescent="0.25" r="402" customHeight="1" ht="15.75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</row>
    <row x14ac:dyDescent="0.25" r="403" customHeight="1" ht="15.75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</row>
    <row x14ac:dyDescent="0.25" r="404" customHeight="1" ht="15.75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</row>
    <row x14ac:dyDescent="0.25" r="405" customHeight="1" ht="15.7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</row>
    <row x14ac:dyDescent="0.25" r="406" customHeight="1" ht="15.75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</row>
    <row x14ac:dyDescent="0.25" r="407" customHeight="1" ht="15.75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</row>
    <row x14ac:dyDescent="0.25" r="408" customHeight="1" ht="15.75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</row>
    <row x14ac:dyDescent="0.25" r="409" customHeight="1" ht="15.75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</row>
    <row x14ac:dyDescent="0.25" r="410" customHeight="1" ht="15.75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</row>
    <row x14ac:dyDescent="0.25" r="411" customHeight="1" ht="15.75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</row>
    <row x14ac:dyDescent="0.25" r="412" customHeight="1" ht="15.75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</row>
    <row x14ac:dyDescent="0.25" r="413" customHeight="1" ht="15.75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</row>
    <row x14ac:dyDescent="0.25" r="414" customHeight="1" ht="15.75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</row>
    <row x14ac:dyDescent="0.25" r="415" customHeight="1" ht="15.7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</row>
    <row x14ac:dyDescent="0.25" r="416" customHeight="1" ht="15.75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</row>
    <row x14ac:dyDescent="0.25" r="417" customHeight="1" ht="15.75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</row>
    <row x14ac:dyDescent="0.25" r="418" customHeight="1" ht="15.75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</row>
    <row x14ac:dyDescent="0.25" r="419" customHeight="1" ht="15.75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</row>
    <row x14ac:dyDescent="0.25" r="420" customHeight="1" ht="15.75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</row>
    <row x14ac:dyDescent="0.25" r="421" customHeight="1" ht="15.75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</row>
    <row x14ac:dyDescent="0.25" r="422" customHeight="1" ht="15.75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</row>
    <row x14ac:dyDescent="0.25" r="423" customHeight="1" ht="15.75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</row>
    <row x14ac:dyDescent="0.25" r="424" customHeight="1" ht="15.75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</row>
    <row x14ac:dyDescent="0.25" r="425" customHeight="1" ht="15.7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</row>
    <row x14ac:dyDescent="0.25" r="426" customHeight="1" ht="15.75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</row>
    <row x14ac:dyDescent="0.25" r="427" customHeight="1" ht="15.75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</row>
    <row x14ac:dyDescent="0.25" r="428" customHeight="1" ht="15.75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</row>
    <row x14ac:dyDescent="0.25" r="429" customHeight="1" ht="15.75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</row>
    <row x14ac:dyDescent="0.25" r="430" customHeight="1" ht="15.75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</row>
    <row x14ac:dyDescent="0.25" r="431" customHeight="1" ht="15.75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</row>
    <row x14ac:dyDescent="0.25" r="432" customHeight="1" ht="15.75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</row>
    <row x14ac:dyDescent="0.25" r="433" customHeight="1" ht="15.75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</row>
    <row x14ac:dyDescent="0.25" r="434" customHeight="1" ht="15.75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</row>
    <row x14ac:dyDescent="0.25" r="435" customHeight="1" ht="15.7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</row>
    <row x14ac:dyDescent="0.25" r="436" customHeight="1" ht="15.75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</row>
    <row x14ac:dyDescent="0.25" r="437" customHeight="1" ht="15.75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</row>
    <row x14ac:dyDescent="0.25" r="438" customHeight="1" ht="15.75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</row>
    <row x14ac:dyDescent="0.25" r="439" customHeight="1" ht="15.75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</row>
    <row x14ac:dyDescent="0.25" r="440" customHeight="1" ht="15.75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</row>
    <row x14ac:dyDescent="0.25" r="441" customHeight="1" ht="15.75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</row>
    <row x14ac:dyDescent="0.25" r="442" customHeight="1" ht="15.75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</row>
    <row x14ac:dyDescent="0.25" r="443" customHeight="1" ht="15.75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</row>
    <row x14ac:dyDescent="0.25" r="444" customHeight="1" ht="15.75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</row>
    <row x14ac:dyDescent="0.25" r="445" customHeight="1" ht="15.7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</row>
    <row x14ac:dyDescent="0.25" r="446" customHeight="1" ht="15.75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</row>
    <row x14ac:dyDescent="0.25" r="447" customHeight="1" ht="15.75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</row>
    <row x14ac:dyDescent="0.25" r="448" customHeight="1" ht="15.75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</row>
    <row x14ac:dyDescent="0.25" r="449" customHeight="1" ht="15.75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</row>
    <row x14ac:dyDescent="0.25" r="450" customHeight="1" ht="15.75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</row>
    <row x14ac:dyDescent="0.25" r="451" customHeight="1" ht="15.75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</row>
    <row x14ac:dyDescent="0.25" r="452" customHeight="1" ht="15.75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</row>
    <row x14ac:dyDescent="0.25" r="453" customHeight="1" ht="15.75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</row>
    <row x14ac:dyDescent="0.25" r="454" customHeight="1" ht="15.75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</row>
    <row x14ac:dyDescent="0.25" r="455" customHeight="1" ht="15.7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</row>
    <row x14ac:dyDescent="0.25" r="456" customHeight="1" ht="15.75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</row>
    <row x14ac:dyDescent="0.25" r="457" customHeight="1" ht="15.75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</row>
    <row x14ac:dyDescent="0.25" r="458" customHeight="1" ht="15.75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</row>
    <row x14ac:dyDescent="0.25" r="459" customHeight="1" ht="15.75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</row>
    <row x14ac:dyDescent="0.25" r="460" customHeight="1" ht="15.75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</row>
    <row x14ac:dyDescent="0.25" r="461" customHeight="1" ht="15.75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</row>
    <row x14ac:dyDescent="0.25" r="462" customHeight="1" ht="15.75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</row>
    <row x14ac:dyDescent="0.25" r="463" customHeight="1" ht="15.75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</row>
    <row x14ac:dyDescent="0.25" r="464" customHeight="1" ht="15.75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</row>
    <row x14ac:dyDescent="0.25" r="465" customHeight="1" ht="15.7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</row>
    <row x14ac:dyDescent="0.25" r="466" customHeight="1" ht="15.75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</row>
    <row x14ac:dyDescent="0.25" r="467" customHeight="1" ht="15.75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</row>
    <row x14ac:dyDescent="0.25" r="468" customHeight="1" ht="15.75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</row>
    <row x14ac:dyDescent="0.25" r="469" customHeight="1" ht="15.75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</row>
    <row x14ac:dyDescent="0.25" r="470" customHeight="1" ht="15.75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</row>
    <row x14ac:dyDescent="0.25" r="471" customHeight="1" ht="15.75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</row>
    <row x14ac:dyDescent="0.25" r="472" customHeight="1" ht="15.75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</row>
    <row x14ac:dyDescent="0.25" r="473" customHeight="1" ht="15.75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</row>
    <row x14ac:dyDescent="0.25" r="474" customHeight="1" ht="15.75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</row>
    <row x14ac:dyDescent="0.25" r="475" customHeight="1" ht="15.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</row>
    <row x14ac:dyDescent="0.25" r="476" customHeight="1" ht="15.75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</row>
    <row x14ac:dyDescent="0.25" r="477" customHeight="1" ht="15.75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</row>
    <row x14ac:dyDescent="0.25" r="478" customHeight="1" ht="15.75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</row>
    <row x14ac:dyDescent="0.25" r="479" customHeight="1" ht="15.75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</row>
    <row x14ac:dyDescent="0.25" r="480" customHeight="1" ht="15.75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</row>
    <row x14ac:dyDescent="0.25" r="481" customHeight="1" ht="15.75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</row>
    <row x14ac:dyDescent="0.25" r="482" customHeight="1" ht="15.75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</row>
    <row x14ac:dyDescent="0.25" r="483" customHeight="1" ht="15.75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</row>
    <row x14ac:dyDescent="0.25" r="484" customHeight="1" ht="15.75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</row>
    <row x14ac:dyDescent="0.25" r="485" customHeight="1" ht="15.7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</row>
    <row x14ac:dyDescent="0.25" r="486" customHeight="1" ht="15.75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</row>
    <row x14ac:dyDescent="0.25" r="487" customHeight="1" ht="15.75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</row>
    <row x14ac:dyDescent="0.25" r="488" customHeight="1" ht="15.75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</row>
    <row x14ac:dyDescent="0.25" r="489" customHeight="1" ht="15.75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</row>
    <row x14ac:dyDescent="0.25" r="490" customHeight="1" ht="15.75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</row>
    <row x14ac:dyDescent="0.25" r="491" customHeight="1" ht="15.75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</row>
    <row x14ac:dyDescent="0.25" r="492" customHeight="1" ht="15.75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</row>
    <row x14ac:dyDescent="0.25" r="493" customHeight="1" ht="15.75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</row>
    <row x14ac:dyDescent="0.25" r="494" customHeight="1" ht="15.75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</row>
    <row x14ac:dyDescent="0.25" r="495" customHeight="1" ht="15.7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</row>
    <row x14ac:dyDescent="0.25" r="496" customHeight="1" ht="15.75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</row>
    <row x14ac:dyDescent="0.25" r="497" customHeight="1" ht="15.75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</row>
    <row x14ac:dyDescent="0.25" r="498" customHeight="1" ht="15.75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</row>
    <row x14ac:dyDescent="0.25" r="499" customHeight="1" ht="15.75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</row>
    <row x14ac:dyDescent="0.25" r="500" customHeight="1" ht="15.75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</row>
    <row x14ac:dyDescent="0.25" r="501" customHeight="1" ht="15.75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</row>
    <row x14ac:dyDescent="0.25" r="502" customHeight="1" ht="15.75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</row>
    <row x14ac:dyDescent="0.25" r="503" customHeight="1" ht="15.75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</row>
    <row x14ac:dyDescent="0.25" r="504" customHeight="1" ht="15.75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</row>
    <row x14ac:dyDescent="0.25" r="505" customHeight="1" ht="15.7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</row>
    <row x14ac:dyDescent="0.25" r="506" customHeight="1" ht="15.75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</row>
    <row x14ac:dyDescent="0.25" r="507" customHeight="1" ht="15.75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</row>
    <row x14ac:dyDescent="0.25" r="508" customHeight="1" ht="15.75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</row>
    <row x14ac:dyDescent="0.25" r="509" customHeight="1" ht="15.75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</row>
    <row x14ac:dyDescent="0.25" r="510" customHeight="1" ht="15.75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</row>
    <row x14ac:dyDescent="0.25" r="511" customHeight="1" ht="15.75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</row>
    <row x14ac:dyDescent="0.25" r="512" customHeight="1" ht="15.75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</row>
    <row x14ac:dyDescent="0.25" r="513" customHeight="1" ht="15.75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</row>
    <row x14ac:dyDescent="0.25" r="514" customHeight="1" ht="15.75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</row>
    <row x14ac:dyDescent="0.25" r="515" customHeight="1" ht="15.7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</row>
    <row x14ac:dyDescent="0.25" r="516" customHeight="1" ht="15.75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</row>
    <row x14ac:dyDescent="0.25" r="517" customHeight="1" ht="15.75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</row>
    <row x14ac:dyDescent="0.25" r="518" customHeight="1" ht="15.75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</row>
    <row x14ac:dyDescent="0.25" r="519" customHeight="1" ht="15.75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</row>
    <row x14ac:dyDescent="0.25" r="520" customHeight="1" ht="15.75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</row>
    <row x14ac:dyDescent="0.25" r="521" customHeight="1" ht="15.75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</row>
    <row x14ac:dyDescent="0.25" r="522" customHeight="1" ht="15.75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</row>
    <row x14ac:dyDescent="0.25" r="523" customHeight="1" ht="15.75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</row>
    <row x14ac:dyDescent="0.25" r="524" customHeight="1" ht="15.75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</row>
    <row x14ac:dyDescent="0.25" r="525" customHeight="1" ht="15.7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</row>
    <row x14ac:dyDescent="0.25" r="526" customHeight="1" ht="15.75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</row>
    <row x14ac:dyDescent="0.25" r="527" customHeight="1" ht="15.75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</row>
    <row x14ac:dyDescent="0.25" r="528" customHeight="1" ht="15.75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</row>
    <row x14ac:dyDescent="0.25" r="529" customHeight="1" ht="15.75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</row>
    <row x14ac:dyDescent="0.25" r="530" customHeight="1" ht="15.75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</row>
    <row x14ac:dyDescent="0.25" r="531" customHeight="1" ht="15.75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</row>
    <row x14ac:dyDescent="0.25" r="532" customHeight="1" ht="15.75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</row>
    <row x14ac:dyDescent="0.25" r="533" customHeight="1" ht="15.75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</row>
    <row x14ac:dyDescent="0.25" r="534" customHeight="1" ht="15.75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</row>
    <row x14ac:dyDescent="0.25" r="535" customHeight="1" ht="15.7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</row>
    <row x14ac:dyDescent="0.25" r="536" customHeight="1" ht="15.75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</row>
    <row x14ac:dyDescent="0.25" r="537" customHeight="1" ht="15.75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</row>
    <row x14ac:dyDescent="0.25" r="538" customHeight="1" ht="15.75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</row>
    <row x14ac:dyDescent="0.25" r="539" customHeight="1" ht="15.75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</row>
    <row x14ac:dyDescent="0.25" r="540" customHeight="1" ht="15.75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</row>
    <row x14ac:dyDescent="0.25" r="541" customHeight="1" ht="15.75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</row>
    <row x14ac:dyDescent="0.25" r="542" customHeight="1" ht="15.75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</row>
    <row x14ac:dyDescent="0.25" r="543" customHeight="1" ht="15.75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</row>
    <row x14ac:dyDescent="0.25" r="544" customHeight="1" ht="15.75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</row>
    <row x14ac:dyDescent="0.25" r="545" customHeight="1" ht="15.7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</row>
    <row x14ac:dyDescent="0.25" r="546" customHeight="1" ht="15.75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</row>
    <row x14ac:dyDescent="0.25" r="547" customHeight="1" ht="15.75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</row>
    <row x14ac:dyDescent="0.25" r="548" customHeight="1" ht="15.75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</row>
    <row x14ac:dyDescent="0.25" r="549" customHeight="1" ht="15.75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</row>
    <row x14ac:dyDescent="0.25" r="550" customHeight="1" ht="15.75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</row>
    <row x14ac:dyDescent="0.25" r="551" customHeight="1" ht="15.75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</row>
    <row x14ac:dyDescent="0.25" r="552" customHeight="1" ht="15.75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</row>
    <row x14ac:dyDescent="0.25" r="553" customHeight="1" ht="15.75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</row>
    <row x14ac:dyDescent="0.25" r="554" customHeight="1" ht="15.75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</row>
    <row x14ac:dyDescent="0.25" r="555" customHeight="1" ht="15.7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</row>
    <row x14ac:dyDescent="0.25" r="556" customHeight="1" ht="15.75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</row>
    <row x14ac:dyDescent="0.25" r="557" customHeight="1" ht="15.75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</row>
    <row x14ac:dyDescent="0.25" r="558" customHeight="1" ht="15.75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</row>
    <row x14ac:dyDescent="0.25" r="559" customHeight="1" ht="15.75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</row>
    <row x14ac:dyDescent="0.25" r="560" customHeight="1" ht="15.75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</row>
    <row x14ac:dyDescent="0.25" r="561" customHeight="1" ht="15.75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</row>
    <row x14ac:dyDescent="0.25" r="562" customHeight="1" ht="15.75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</row>
    <row x14ac:dyDescent="0.25" r="563" customHeight="1" ht="15.75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</row>
    <row x14ac:dyDescent="0.25" r="564" customHeight="1" ht="15.75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</row>
    <row x14ac:dyDescent="0.25" r="565" customHeight="1" ht="15.7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</row>
    <row x14ac:dyDescent="0.25" r="566" customHeight="1" ht="15.75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</row>
    <row x14ac:dyDescent="0.25" r="567" customHeight="1" ht="15.75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</row>
    <row x14ac:dyDescent="0.25" r="568" customHeight="1" ht="15.75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</row>
    <row x14ac:dyDescent="0.25" r="569" customHeight="1" ht="15.75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</row>
    <row x14ac:dyDescent="0.25" r="570" customHeight="1" ht="15.75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</row>
    <row x14ac:dyDescent="0.25" r="571" customHeight="1" ht="15.75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</row>
    <row x14ac:dyDescent="0.25" r="572" customHeight="1" ht="15.75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</row>
    <row x14ac:dyDescent="0.25" r="573" customHeight="1" ht="15.75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</row>
    <row x14ac:dyDescent="0.25" r="574" customHeight="1" ht="15.75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</row>
    <row x14ac:dyDescent="0.25" r="575" customHeight="1" ht="15.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</row>
    <row x14ac:dyDescent="0.25" r="576" customHeight="1" ht="15.75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</row>
    <row x14ac:dyDescent="0.25" r="577" customHeight="1" ht="15.75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</row>
    <row x14ac:dyDescent="0.25" r="578" customHeight="1" ht="15.75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</row>
    <row x14ac:dyDescent="0.25" r="579" customHeight="1" ht="15.75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</row>
    <row x14ac:dyDescent="0.25" r="580" customHeight="1" ht="15.75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</row>
    <row x14ac:dyDescent="0.25" r="581" customHeight="1" ht="15.75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</row>
    <row x14ac:dyDescent="0.25" r="582" customHeight="1" ht="15.75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</row>
    <row x14ac:dyDescent="0.25" r="583" customHeight="1" ht="15.75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</row>
    <row x14ac:dyDescent="0.25" r="584" customHeight="1" ht="15.75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</row>
    <row x14ac:dyDescent="0.25" r="585" customHeight="1" ht="15.7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</row>
    <row x14ac:dyDescent="0.25" r="586" customHeight="1" ht="15.75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</row>
    <row x14ac:dyDescent="0.25" r="587" customHeight="1" ht="15.75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</row>
    <row x14ac:dyDescent="0.25" r="588" customHeight="1" ht="15.75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</row>
    <row x14ac:dyDescent="0.25" r="589" customHeight="1" ht="15.75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</row>
    <row x14ac:dyDescent="0.25" r="590" customHeight="1" ht="15.75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</row>
    <row x14ac:dyDescent="0.25" r="591" customHeight="1" ht="15.75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</row>
    <row x14ac:dyDescent="0.25" r="592" customHeight="1" ht="15.75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</row>
    <row x14ac:dyDescent="0.25" r="593" customHeight="1" ht="15.75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</row>
    <row x14ac:dyDescent="0.25" r="594" customHeight="1" ht="15.75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</row>
    <row x14ac:dyDescent="0.25" r="595" customHeight="1" ht="15.7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</row>
    <row x14ac:dyDescent="0.25" r="596" customHeight="1" ht="15.75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</row>
    <row x14ac:dyDescent="0.25" r="597" customHeight="1" ht="15.75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</row>
    <row x14ac:dyDescent="0.25" r="598" customHeight="1" ht="15.75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</row>
    <row x14ac:dyDescent="0.25" r="599" customHeight="1" ht="15.75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</row>
    <row x14ac:dyDescent="0.25" r="600" customHeight="1" ht="15.75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</row>
    <row x14ac:dyDescent="0.25" r="601" customHeight="1" ht="15.75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</row>
    <row x14ac:dyDescent="0.25" r="602" customHeight="1" ht="15.75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</row>
    <row x14ac:dyDescent="0.25" r="603" customHeight="1" ht="15.75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</row>
    <row x14ac:dyDescent="0.25" r="604" customHeight="1" ht="15.75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</row>
    <row x14ac:dyDescent="0.25" r="605" customHeight="1" ht="15.7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</row>
    <row x14ac:dyDescent="0.25" r="606" customHeight="1" ht="15.75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</row>
    <row x14ac:dyDescent="0.25" r="607" customHeight="1" ht="15.75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</row>
    <row x14ac:dyDescent="0.25" r="608" customHeight="1" ht="15.75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</row>
    <row x14ac:dyDescent="0.25" r="609" customHeight="1" ht="15.75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</row>
    <row x14ac:dyDescent="0.25" r="610" customHeight="1" ht="15.75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</row>
    <row x14ac:dyDescent="0.25" r="611" customHeight="1" ht="15.75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</row>
    <row x14ac:dyDescent="0.25" r="612" customHeight="1" ht="15.75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</row>
    <row x14ac:dyDescent="0.25" r="613" customHeight="1" ht="15.75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</row>
    <row x14ac:dyDescent="0.25" r="614" customHeight="1" ht="15.75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</row>
    <row x14ac:dyDescent="0.25" r="615" customHeight="1" ht="15.7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</row>
    <row x14ac:dyDescent="0.25" r="616" customHeight="1" ht="15.75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</row>
    <row x14ac:dyDescent="0.25" r="617" customHeight="1" ht="15.75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</row>
    <row x14ac:dyDescent="0.25" r="618" customHeight="1" ht="15.75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</row>
    <row x14ac:dyDescent="0.25" r="619" customHeight="1" ht="15.75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</row>
    <row x14ac:dyDescent="0.25" r="620" customHeight="1" ht="15.75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</row>
    <row x14ac:dyDescent="0.25" r="621" customHeight="1" ht="15.75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</row>
    <row x14ac:dyDescent="0.25" r="622" customHeight="1" ht="15.75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</row>
    <row x14ac:dyDescent="0.25" r="623" customHeight="1" ht="15.75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</row>
    <row x14ac:dyDescent="0.25" r="624" customHeight="1" ht="15.75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</row>
    <row x14ac:dyDescent="0.25" r="625" customHeight="1" ht="15.7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</row>
    <row x14ac:dyDescent="0.25" r="626" customHeight="1" ht="15.75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</row>
    <row x14ac:dyDescent="0.25" r="627" customHeight="1" ht="15.75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</row>
    <row x14ac:dyDescent="0.25" r="628" customHeight="1" ht="15.75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</row>
    <row x14ac:dyDescent="0.25" r="629" customHeight="1" ht="15.75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</row>
    <row x14ac:dyDescent="0.25" r="630" customHeight="1" ht="15.75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</row>
    <row x14ac:dyDescent="0.25" r="631" customHeight="1" ht="15.75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</row>
    <row x14ac:dyDescent="0.25" r="632" customHeight="1" ht="15.75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</row>
    <row x14ac:dyDescent="0.25" r="633" customHeight="1" ht="15.75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</row>
    <row x14ac:dyDescent="0.25" r="634" customHeight="1" ht="15.75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</row>
    <row x14ac:dyDescent="0.25" r="635" customHeight="1" ht="15.7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</row>
    <row x14ac:dyDescent="0.25" r="636" customHeight="1" ht="15.75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</row>
    <row x14ac:dyDescent="0.25" r="637" customHeight="1" ht="15.75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</row>
    <row x14ac:dyDescent="0.25" r="638" customHeight="1" ht="15.75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</row>
    <row x14ac:dyDescent="0.25" r="639" customHeight="1" ht="15.75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</row>
    <row x14ac:dyDescent="0.25" r="640" customHeight="1" ht="15.75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</row>
    <row x14ac:dyDescent="0.25" r="641" customHeight="1" ht="15.75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</row>
    <row x14ac:dyDescent="0.25" r="642" customHeight="1" ht="15.75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</row>
    <row x14ac:dyDescent="0.25" r="643" customHeight="1" ht="15.75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</row>
    <row x14ac:dyDescent="0.25" r="644" customHeight="1" ht="15.75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</row>
    <row x14ac:dyDescent="0.25" r="645" customHeight="1" ht="15.7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</row>
    <row x14ac:dyDescent="0.25" r="646" customHeight="1" ht="15.75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</row>
    <row x14ac:dyDescent="0.25" r="647" customHeight="1" ht="15.75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</row>
    <row x14ac:dyDescent="0.25" r="648" customHeight="1" ht="15.75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</row>
    <row x14ac:dyDescent="0.25" r="649" customHeight="1" ht="15.75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</row>
    <row x14ac:dyDescent="0.25" r="650" customHeight="1" ht="15.75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</row>
    <row x14ac:dyDescent="0.25" r="651" customHeight="1" ht="15.75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</row>
    <row x14ac:dyDescent="0.25" r="652" customHeight="1" ht="15.75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</row>
    <row x14ac:dyDescent="0.25" r="653" customHeight="1" ht="15.75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</row>
    <row x14ac:dyDescent="0.25" r="654" customHeight="1" ht="15.75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</row>
    <row x14ac:dyDescent="0.25" r="655" customHeight="1" ht="15.7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</row>
    <row x14ac:dyDescent="0.25" r="656" customHeight="1" ht="15.75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</row>
    <row x14ac:dyDescent="0.25" r="657" customHeight="1" ht="15.75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</row>
    <row x14ac:dyDescent="0.25" r="658" customHeight="1" ht="15.75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</row>
    <row x14ac:dyDescent="0.25" r="659" customHeight="1" ht="15.75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</row>
    <row x14ac:dyDescent="0.25" r="660" customHeight="1" ht="15.75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</row>
    <row x14ac:dyDescent="0.25" r="661" customHeight="1" ht="15.75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</row>
    <row x14ac:dyDescent="0.25" r="662" customHeight="1" ht="15.75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</row>
    <row x14ac:dyDescent="0.25" r="663" customHeight="1" ht="15.75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</row>
    <row x14ac:dyDescent="0.25" r="664" customHeight="1" ht="15.75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</row>
    <row x14ac:dyDescent="0.25" r="665" customHeight="1" ht="15.7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</row>
    <row x14ac:dyDescent="0.25" r="666" customHeight="1" ht="15.75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</row>
    <row x14ac:dyDescent="0.25" r="667" customHeight="1" ht="15.75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</row>
    <row x14ac:dyDescent="0.25" r="668" customHeight="1" ht="15.75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</row>
    <row x14ac:dyDescent="0.25" r="669" customHeight="1" ht="15.75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</row>
    <row x14ac:dyDescent="0.25" r="670" customHeight="1" ht="15.75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</row>
    <row x14ac:dyDescent="0.25" r="671" customHeight="1" ht="15.75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</row>
    <row x14ac:dyDescent="0.25" r="672" customHeight="1" ht="15.75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</row>
    <row x14ac:dyDescent="0.25" r="673" customHeight="1" ht="15.75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</row>
    <row x14ac:dyDescent="0.25" r="674" customHeight="1" ht="15.75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</row>
    <row x14ac:dyDescent="0.25" r="675" customHeight="1" ht="15.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</row>
    <row x14ac:dyDescent="0.25" r="676" customHeight="1" ht="15.75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</row>
    <row x14ac:dyDescent="0.25" r="677" customHeight="1" ht="15.75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</row>
    <row x14ac:dyDescent="0.25" r="678" customHeight="1" ht="15.75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</row>
    <row x14ac:dyDescent="0.25" r="679" customHeight="1" ht="15.75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</row>
    <row x14ac:dyDescent="0.25" r="680" customHeight="1" ht="15.75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</row>
    <row x14ac:dyDescent="0.25" r="681" customHeight="1" ht="15.75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</row>
    <row x14ac:dyDescent="0.25" r="682" customHeight="1" ht="15.75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</row>
    <row x14ac:dyDescent="0.25" r="683" customHeight="1" ht="15.75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</row>
    <row x14ac:dyDescent="0.25" r="684" customHeight="1" ht="15.75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</row>
    <row x14ac:dyDescent="0.25" r="685" customHeight="1" ht="15.7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</row>
    <row x14ac:dyDescent="0.25" r="686" customHeight="1" ht="15.75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</row>
    <row x14ac:dyDescent="0.25" r="687" customHeight="1" ht="15.75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</row>
    <row x14ac:dyDescent="0.25" r="688" customHeight="1" ht="15.75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</row>
    <row x14ac:dyDescent="0.25" r="689" customHeight="1" ht="15.75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</row>
    <row x14ac:dyDescent="0.25" r="690" customHeight="1" ht="15.75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</row>
    <row x14ac:dyDescent="0.25" r="691" customHeight="1" ht="15.75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</row>
    <row x14ac:dyDescent="0.25" r="692" customHeight="1" ht="15.75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</row>
    <row x14ac:dyDescent="0.25" r="693" customHeight="1" ht="15.75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</row>
    <row x14ac:dyDescent="0.25" r="694" customHeight="1" ht="15.75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</row>
    <row x14ac:dyDescent="0.25" r="695" customHeight="1" ht="15.7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</row>
    <row x14ac:dyDescent="0.25" r="696" customHeight="1" ht="15.75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</row>
    <row x14ac:dyDescent="0.25" r="697" customHeight="1" ht="15.75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</row>
    <row x14ac:dyDescent="0.25" r="698" customHeight="1" ht="15.75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</row>
    <row x14ac:dyDescent="0.25" r="699" customHeight="1" ht="15.75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</row>
    <row x14ac:dyDescent="0.25" r="700" customHeight="1" ht="15.75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</row>
    <row x14ac:dyDescent="0.25" r="701" customHeight="1" ht="15.75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</row>
    <row x14ac:dyDescent="0.25" r="702" customHeight="1" ht="15.75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</row>
    <row x14ac:dyDescent="0.25" r="703" customHeight="1" ht="15.75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</row>
    <row x14ac:dyDescent="0.25" r="704" customHeight="1" ht="15.75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</row>
    <row x14ac:dyDescent="0.25" r="705" customHeight="1" ht="15.7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</row>
    <row x14ac:dyDescent="0.25" r="706" customHeight="1" ht="15.75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</row>
    <row x14ac:dyDescent="0.25" r="707" customHeight="1" ht="15.75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</row>
    <row x14ac:dyDescent="0.25" r="708" customHeight="1" ht="15.75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</row>
    <row x14ac:dyDescent="0.25" r="709" customHeight="1" ht="15.75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</row>
    <row x14ac:dyDescent="0.25" r="710" customHeight="1" ht="15.75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</row>
    <row x14ac:dyDescent="0.25" r="711" customHeight="1" ht="15.75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</row>
    <row x14ac:dyDescent="0.25" r="712" customHeight="1" ht="15.75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</row>
    <row x14ac:dyDescent="0.25" r="713" customHeight="1" ht="15.75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</row>
    <row x14ac:dyDescent="0.25" r="714" customHeight="1" ht="15.75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</row>
    <row x14ac:dyDescent="0.25" r="715" customHeight="1" ht="15.7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</row>
    <row x14ac:dyDescent="0.25" r="716" customHeight="1" ht="15.75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</row>
    <row x14ac:dyDescent="0.25" r="717" customHeight="1" ht="15.75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</row>
    <row x14ac:dyDescent="0.25" r="718" customHeight="1" ht="15.75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</row>
    <row x14ac:dyDescent="0.25" r="719" customHeight="1" ht="15.75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</row>
    <row x14ac:dyDescent="0.25" r="720" customHeight="1" ht="15.75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</row>
    <row x14ac:dyDescent="0.25" r="721" customHeight="1" ht="15.75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</row>
    <row x14ac:dyDescent="0.25" r="722" customHeight="1" ht="15.75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</row>
    <row x14ac:dyDescent="0.25" r="723" customHeight="1" ht="15.75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</row>
    <row x14ac:dyDescent="0.25" r="724" customHeight="1" ht="15.75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</row>
    <row x14ac:dyDescent="0.25" r="725" customHeight="1" ht="15.7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</row>
    <row x14ac:dyDescent="0.25" r="726" customHeight="1" ht="15.75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</row>
    <row x14ac:dyDescent="0.25" r="727" customHeight="1" ht="15.75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</row>
    <row x14ac:dyDescent="0.25" r="728" customHeight="1" ht="15.75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</row>
    <row x14ac:dyDescent="0.25" r="729" customHeight="1" ht="15.75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</row>
    <row x14ac:dyDescent="0.25" r="730" customHeight="1" ht="15.75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</row>
    <row x14ac:dyDescent="0.25" r="731" customHeight="1" ht="15.75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</row>
    <row x14ac:dyDescent="0.25" r="732" customHeight="1" ht="15.75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</row>
    <row x14ac:dyDescent="0.25" r="733" customHeight="1" ht="15.75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</row>
    <row x14ac:dyDescent="0.25" r="734" customHeight="1" ht="15.75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</row>
    <row x14ac:dyDescent="0.25" r="735" customHeight="1" ht="15.7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</row>
    <row x14ac:dyDescent="0.25" r="736" customHeight="1" ht="15.75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</row>
    <row x14ac:dyDescent="0.25" r="737" customHeight="1" ht="15.75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</row>
    <row x14ac:dyDescent="0.25" r="738" customHeight="1" ht="15.75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</row>
    <row x14ac:dyDescent="0.25" r="739" customHeight="1" ht="15.75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</row>
    <row x14ac:dyDescent="0.25" r="740" customHeight="1" ht="15.75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</row>
    <row x14ac:dyDescent="0.25" r="741" customHeight="1" ht="15.75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</row>
    <row x14ac:dyDescent="0.25" r="742" customHeight="1" ht="15.75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</row>
    <row x14ac:dyDescent="0.25" r="743" customHeight="1" ht="15.75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</row>
    <row x14ac:dyDescent="0.25" r="744" customHeight="1" ht="15.75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</row>
    <row x14ac:dyDescent="0.25" r="745" customHeight="1" ht="15.7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</row>
    <row x14ac:dyDescent="0.25" r="746" customHeight="1" ht="15.75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</row>
    <row x14ac:dyDescent="0.25" r="747" customHeight="1" ht="15.75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</row>
    <row x14ac:dyDescent="0.25" r="748" customHeight="1" ht="15.75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</row>
    <row x14ac:dyDescent="0.25" r="749" customHeight="1" ht="15.75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</row>
    <row x14ac:dyDescent="0.25" r="750" customHeight="1" ht="15.75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</row>
    <row x14ac:dyDescent="0.25" r="751" customHeight="1" ht="15.75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</row>
    <row x14ac:dyDescent="0.25" r="752" customHeight="1" ht="15.75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</row>
    <row x14ac:dyDescent="0.25" r="753" customHeight="1" ht="15.75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</row>
    <row x14ac:dyDescent="0.25" r="754" customHeight="1" ht="15.75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</row>
    <row x14ac:dyDescent="0.25" r="755" customHeight="1" ht="15.7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</row>
    <row x14ac:dyDescent="0.25" r="756" customHeight="1" ht="15.75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</row>
    <row x14ac:dyDescent="0.25" r="757" customHeight="1" ht="15.75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</row>
    <row x14ac:dyDescent="0.25" r="758" customHeight="1" ht="15.75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</row>
    <row x14ac:dyDescent="0.25" r="759" customHeight="1" ht="15.75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</row>
    <row x14ac:dyDescent="0.25" r="760" customHeight="1" ht="15.75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</row>
    <row x14ac:dyDescent="0.25" r="761" customHeight="1" ht="15.75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</row>
    <row x14ac:dyDescent="0.25" r="762" customHeight="1" ht="15.75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</row>
    <row x14ac:dyDescent="0.25" r="763" customHeight="1" ht="15.75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</row>
    <row x14ac:dyDescent="0.25" r="764" customHeight="1" ht="15.75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</row>
    <row x14ac:dyDescent="0.25" r="765" customHeight="1" ht="15.7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</row>
    <row x14ac:dyDescent="0.25" r="766" customHeight="1" ht="15.75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</row>
    <row x14ac:dyDescent="0.25" r="767" customHeight="1" ht="15.75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</row>
    <row x14ac:dyDescent="0.25" r="768" customHeight="1" ht="15.75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</row>
    <row x14ac:dyDescent="0.25" r="769" customHeight="1" ht="15.75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</row>
    <row x14ac:dyDescent="0.25" r="770" customHeight="1" ht="15.75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</row>
    <row x14ac:dyDescent="0.25" r="771" customHeight="1" ht="15.75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</row>
    <row x14ac:dyDescent="0.25" r="772" customHeight="1" ht="15.75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</row>
    <row x14ac:dyDescent="0.25" r="773" customHeight="1" ht="15.75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</row>
    <row x14ac:dyDescent="0.25" r="774" customHeight="1" ht="15.75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</row>
    <row x14ac:dyDescent="0.25" r="775" customHeight="1" ht="15.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</row>
    <row x14ac:dyDescent="0.25" r="776" customHeight="1" ht="15.75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</row>
    <row x14ac:dyDescent="0.25" r="777" customHeight="1" ht="15.75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</row>
    <row x14ac:dyDescent="0.25" r="778" customHeight="1" ht="15.75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</row>
    <row x14ac:dyDescent="0.25" r="779" customHeight="1" ht="15.75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</row>
    <row x14ac:dyDescent="0.25" r="780" customHeight="1" ht="15.75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</row>
    <row x14ac:dyDescent="0.25" r="781" customHeight="1" ht="15.75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</row>
    <row x14ac:dyDescent="0.25" r="782" customHeight="1" ht="15.75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</row>
    <row x14ac:dyDescent="0.25" r="783" customHeight="1" ht="15.75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</row>
    <row x14ac:dyDescent="0.25" r="784" customHeight="1" ht="15.75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</row>
    <row x14ac:dyDescent="0.25" r="785" customHeight="1" ht="15.7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</row>
    <row x14ac:dyDescent="0.25" r="786" customHeight="1" ht="15.75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</row>
    <row x14ac:dyDescent="0.25" r="787" customHeight="1" ht="15.75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</row>
    <row x14ac:dyDescent="0.25" r="788" customHeight="1" ht="15.75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</row>
    <row x14ac:dyDescent="0.25" r="789" customHeight="1" ht="15.75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</row>
    <row x14ac:dyDescent="0.25" r="790" customHeight="1" ht="15.75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</row>
    <row x14ac:dyDescent="0.25" r="791" customHeight="1" ht="15.75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</row>
    <row x14ac:dyDescent="0.25" r="792" customHeight="1" ht="15.75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</row>
    <row x14ac:dyDescent="0.25" r="793" customHeight="1" ht="15.75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</row>
    <row x14ac:dyDescent="0.25" r="794" customHeight="1" ht="15.75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</row>
    <row x14ac:dyDescent="0.25" r="795" customHeight="1" ht="15.7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</row>
    <row x14ac:dyDescent="0.25" r="796" customHeight="1" ht="15.75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</row>
    <row x14ac:dyDescent="0.25" r="797" customHeight="1" ht="15.75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</row>
    <row x14ac:dyDescent="0.25" r="798" customHeight="1" ht="15.75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</row>
    <row x14ac:dyDescent="0.25" r="799" customHeight="1" ht="15.75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</row>
    <row x14ac:dyDescent="0.25" r="800" customHeight="1" ht="15.75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</row>
    <row x14ac:dyDescent="0.25" r="801" customHeight="1" ht="15.75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</row>
    <row x14ac:dyDescent="0.25" r="802" customHeight="1" ht="15.75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</row>
    <row x14ac:dyDescent="0.25" r="803" customHeight="1" ht="15.75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</row>
    <row x14ac:dyDescent="0.25" r="804" customHeight="1" ht="15.75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</row>
    <row x14ac:dyDescent="0.25" r="805" customHeight="1" ht="15.7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</row>
    <row x14ac:dyDescent="0.25" r="806" customHeight="1" ht="15.75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</row>
    <row x14ac:dyDescent="0.25" r="807" customHeight="1" ht="15.75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</row>
    <row x14ac:dyDescent="0.25" r="808" customHeight="1" ht="15.75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</row>
    <row x14ac:dyDescent="0.25" r="809" customHeight="1" ht="15.75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</row>
    <row x14ac:dyDescent="0.25" r="810" customHeight="1" ht="15.75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</row>
    <row x14ac:dyDescent="0.25" r="811" customHeight="1" ht="15.75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</row>
    <row x14ac:dyDescent="0.25" r="812" customHeight="1" ht="15.75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</row>
    <row x14ac:dyDescent="0.25" r="813" customHeight="1" ht="15.75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</row>
    <row x14ac:dyDescent="0.25" r="814" customHeight="1" ht="15.75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</row>
    <row x14ac:dyDescent="0.25" r="815" customHeight="1" ht="15.7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</row>
    <row x14ac:dyDescent="0.25" r="816" customHeight="1" ht="15.75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</row>
    <row x14ac:dyDescent="0.25" r="817" customHeight="1" ht="15.75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</row>
    <row x14ac:dyDescent="0.25" r="818" customHeight="1" ht="15.75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</row>
    <row x14ac:dyDescent="0.25" r="819" customHeight="1" ht="15.75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</row>
    <row x14ac:dyDescent="0.25" r="820" customHeight="1" ht="15.75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</row>
    <row x14ac:dyDescent="0.25" r="821" customHeight="1" ht="15.75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</row>
    <row x14ac:dyDescent="0.25" r="822" customHeight="1" ht="15.75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</row>
    <row x14ac:dyDescent="0.25" r="823" customHeight="1" ht="15.75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</row>
    <row x14ac:dyDescent="0.25" r="824" customHeight="1" ht="15.75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</row>
    <row x14ac:dyDescent="0.25" r="825" customHeight="1" ht="15.7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</row>
    <row x14ac:dyDescent="0.25" r="826" customHeight="1" ht="15.75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</row>
    <row x14ac:dyDescent="0.25" r="827" customHeight="1" ht="15.75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</row>
    <row x14ac:dyDescent="0.25" r="828" customHeight="1" ht="15.75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</row>
    <row x14ac:dyDescent="0.25" r="829" customHeight="1" ht="15.75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</row>
    <row x14ac:dyDescent="0.25" r="830" customHeight="1" ht="15.75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</row>
    <row x14ac:dyDescent="0.25" r="831" customHeight="1" ht="15.75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</row>
    <row x14ac:dyDescent="0.25" r="832" customHeight="1" ht="15.75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</row>
    <row x14ac:dyDescent="0.25" r="833" customHeight="1" ht="15.75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</row>
    <row x14ac:dyDescent="0.25" r="834" customHeight="1" ht="15.75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</row>
    <row x14ac:dyDescent="0.25" r="835" customHeight="1" ht="15.7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</row>
    <row x14ac:dyDescent="0.25" r="836" customHeight="1" ht="15.75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</row>
    <row x14ac:dyDescent="0.25" r="837" customHeight="1" ht="15.75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</row>
    <row x14ac:dyDescent="0.25" r="838" customHeight="1" ht="15.75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</row>
    <row x14ac:dyDescent="0.25" r="839" customHeight="1" ht="15.75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</row>
    <row x14ac:dyDescent="0.25" r="840" customHeight="1" ht="15.75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</row>
    <row x14ac:dyDescent="0.25" r="841" customHeight="1" ht="15.75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</row>
    <row x14ac:dyDescent="0.25" r="842" customHeight="1" ht="15.75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</row>
    <row x14ac:dyDescent="0.25" r="843" customHeight="1" ht="15.75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</row>
    <row x14ac:dyDescent="0.25" r="844" customHeight="1" ht="15.75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</row>
    <row x14ac:dyDescent="0.25" r="845" customHeight="1" ht="15.7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</row>
    <row x14ac:dyDescent="0.25" r="846" customHeight="1" ht="15.75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</row>
    <row x14ac:dyDescent="0.25" r="847" customHeight="1" ht="15.75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</row>
    <row x14ac:dyDescent="0.25" r="848" customHeight="1" ht="15.75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</row>
    <row x14ac:dyDescent="0.25" r="849" customHeight="1" ht="15.75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</row>
    <row x14ac:dyDescent="0.25" r="850" customHeight="1" ht="15.75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</row>
    <row x14ac:dyDescent="0.25" r="851" customHeight="1" ht="15.75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</row>
    <row x14ac:dyDescent="0.25" r="852" customHeight="1" ht="15.75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</row>
    <row x14ac:dyDescent="0.25" r="853" customHeight="1" ht="15.75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</row>
    <row x14ac:dyDescent="0.25" r="854" customHeight="1" ht="15.75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</row>
    <row x14ac:dyDescent="0.25" r="855" customHeight="1" ht="15.7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</row>
    <row x14ac:dyDescent="0.25" r="856" customHeight="1" ht="15.75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</row>
    <row x14ac:dyDescent="0.25" r="857" customHeight="1" ht="15.75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</row>
    <row x14ac:dyDescent="0.25" r="858" customHeight="1" ht="15.75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</row>
    <row x14ac:dyDescent="0.25" r="859" customHeight="1" ht="15.75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</row>
    <row x14ac:dyDescent="0.25" r="860" customHeight="1" ht="15.75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</row>
    <row x14ac:dyDescent="0.25" r="861" customHeight="1" ht="15.75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</row>
    <row x14ac:dyDescent="0.25" r="862" customHeight="1" ht="15.75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</row>
    <row x14ac:dyDescent="0.25" r="863" customHeight="1" ht="15.75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</row>
    <row x14ac:dyDescent="0.25" r="864" customHeight="1" ht="15.75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</row>
    <row x14ac:dyDescent="0.25" r="865" customHeight="1" ht="15.7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</row>
    <row x14ac:dyDescent="0.25" r="866" customHeight="1" ht="15.75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</row>
    <row x14ac:dyDescent="0.25" r="867" customHeight="1" ht="15.75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</row>
    <row x14ac:dyDescent="0.25" r="868" customHeight="1" ht="15.75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</row>
    <row x14ac:dyDescent="0.25" r="869" customHeight="1" ht="15.75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</row>
    <row x14ac:dyDescent="0.25" r="870" customHeight="1" ht="15.75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</row>
    <row x14ac:dyDescent="0.25" r="871" customHeight="1" ht="15.75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</row>
    <row x14ac:dyDescent="0.25" r="872" customHeight="1" ht="15.75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</row>
    <row x14ac:dyDescent="0.25" r="873" customHeight="1" ht="15.75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</row>
    <row x14ac:dyDescent="0.25" r="874" customHeight="1" ht="15.75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</row>
    <row x14ac:dyDescent="0.25" r="875" customHeight="1" ht="15.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</row>
    <row x14ac:dyDescent="0.25" r="876" customHeight="1" ht="15.75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</row>
    <row x14ac:dyDescent="0.25" r="877" customHeight="1" ht="15.75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</row>
    <row x14ac:dyDescent="0.25" r="878" customHeight="1" ht="15.75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</row>
    <row x14ac:dyDescent="0.25" r="879" customHeight="1" ht="15.75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</row>
    <row x14ac:dyDescent="0.25" r="880" customHeight="1" ht="15.75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</row>
    <row x14ac:dyDescent="0.25" r="881" customHeight="1" ht="15.75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</row>
    <row x14ac:dyDescent="0.25" r="882" customHeight="1" ht="15.75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</row>
    <row x14ac:dyDescent="0.25" r="883" customHeight="1" ht="15.75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</row>
    <row x14ac:dyDescent="0.25" r="884" customHeight="1" ht="15.75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</row>
    <row x14ac:dyDescent="0.25" r="885" customHeight="1" ht="15.7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</row>
    <row x14ac:dyDescent="0.25" r="886" customHeight="1" ht="15.75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</row>
    <row x14ac:dyDescent="0.25" r="887" customHeight="1" ht="15.75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</row>
    <row x14ac:dyDescent="0.25" r="888" customHeight="1" ht="15.75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</row>
    <row x14ac:dyDescent="0.25" r="889" customHeight="1" ht="15.75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</row>
    <row x14ac:dyDescent="0.25" r="890" customHeight="1" ht="15.75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</row>
    <row x14ac:dyDescent="0.25" r="891" customHeight="1" ht="15.75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</row>
    <row x14ac:dyDescent="0.25" r="892" customHeight="1" ht="15.75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</row>
    <row x14ac:dyDescent="0.25" r="893" customHeight="1" ht="15.75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</row>
    <row x14ac:dyDescent="0.25" r="894" customHeight="1" ht="15.75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</row>
    <row x14ac:dyDescent="0.25" r="895" customHeight="1" ht="15.7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</row>
    <row x14ac:dyDescent="0.25" r="896" customHeight="1" ht="15.75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</row>
    <row x14ac:dyDescent="0.25" r="897" customHeight="1" ht="15.75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</row>
    <row x14ac:dyDescent="0.25" r="898" customHeight="1" ht="15.75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</row>
    <row x14ac:dyDescent="0.25" r="899" customHeight="1" ht="15.75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</row>
    <row x14ac:dyDescent="0.25" r="900" customHeight="1" ht="15.75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</row>
    <row x14ac:dyDescent="0.25" r="901" customHeight="1" ht="15.75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</row>
    <row x14ac:dyDescent="0.25" r="902" customHeight="1" ht="15.75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</row>
    <row x14ac:dyDescent="0.25" r="903" customHeight="1" ht="15.75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</row>
    <row x14ac:dyDescent="0.25" r="904" customHeight="1" ht="15.75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</row>
    <row x14ac:dyDescent="0.25" r="905" customHeight="1" ht="15.7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</row>
    <row x14ac:dyDescent="0.25" r="906" customHeight="1" ht="15.75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</row>
    <row x14ac:dyDescent="0.25" r="907" customHeight="1" ht="15.75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</row>
    <row x14ac:dyDescent="0.25" r="908" customHeight="1" ht="15.75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</row>
    <row x14ac:dyDescent="0.25" r="909" customHeight="1" ht="15.75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</row>
    <row x14ac:dyDescent="0.25" r="910" customHeight="1" ht="15.75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</row>
    <row x14ac:dyDescent="0.25" r="911" customHeight="1" ht="15.75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</row>
    <row x14ac:dyDescent="0.25" r="912" customHeight="1" ht="15.75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</row>
    <row x14ac:dyDescent="0.25" r="913" customHeight="1" ht="15.75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</row>
    <row x14ac:dyDescent="0.25" r="914" customHeight="1" ht="15.75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</row>
    <row x14ac:dyDescent="0.25" r="915" customHeight="1" ht="15.7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</row>
    <row x14ac:dyDescent="0.25" r="916" customHeight="1" ht="15.75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</row>
    <row x14ac:dyDescent="0.25" r="917" customHeight="1" ht="15.75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</row>
    <row x14ac:dyDescent="0.25" r="918" customHeight="1" ht="15.75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</row>
    <row x14ac:dyDescent="0.25" r="919" customHeight="1" ht="15.75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</row>
    <row x14ac:dyDescent="0.25" r="920" customHeight="1" ht="15.75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</row>
    <row x14ac:dyDescent="0.25" r="921" customHeight="1" ht="15.75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</row>
    <row x14ac:dyDescent="0.25" r="922" customHeight="1" ht="15.75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</row>
    <row x14ac:dyDescent="0.25" r="923" customHeight="1" ht="15.75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</row>
    <row x14ac:dyDescent="0.25" r="924" customHeight="1" ht="15.75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</row>
    <row x14ac:dyDescent="0.25" r="925" customHeight="1" ht="15.7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</row>
    <row x14ac:dyDescent="0.25" r="926" customHeight="1" ht="15.75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</row>
    <row x14ac:dyDescent="0.25" r="927" customHeight="1" ht="15.75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</row>
    <row x14ac:dyDescent="0.25" r="928" customHeight="1" ht="15.75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</row>
    <row x14ac:dyDescent="0.25" r="929" customHeight="1" ht="15.75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</row>
    <row x14ac:dyDescent="0.25" r="930" customHeight="1" ht="15.75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</row>
    <row x14ac:dyDescent="0.25" r="931" customHeight="1" ht="15.75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</row>
    <row x14ac:dyDescent="0.25" r="932" customHeight="1" ht="15.75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</row>
    <row x14ac:dyDescent="0.25" r="933" customHeight="1" ht="15.75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</row>
    <row x14ac:dyDescent="0.25" r="934" customHeight="1" ht="15.75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</row>
    <row x14ac:dyDescent="0.25" r="935" customHeight="1" ht="15.7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</row>
    <row x14ac:dyDescent="0.25" r="936" customHeight="1" ht="15.75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</row>
    <row x14ac:dyDescent="0.25" r="937" customHeight="1" ht="15.75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</row>
    <row x14ac:dyDescent="0.25" r="938" customHeight="1" ht="15.75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</row>
    <row x14ac:dyDescent="0.25" r="939" customHeight="1" ht="15.75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</row>
    <row x14ac:dyDescent="0.25" r="940" customHeight="1" ht="15.75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</row>
    <row x14ac:dyDescent="0.25" r="941" customHeight="1" ht="15.75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</row>
    <row x14ac:dyDescent="0.25" r="942" customHeight="1" ht="15.75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</row>
    <row x14ac:dyDescent="0.25" r="943" customHeight="1" ht="15.75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</row>
    <row x14ac:dyDescent="0.25" r="944" customHeight="1" ht="15.75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</row>
    <row x14ac:dyDescent="0.25" r="945" customHeight="1" ht="15.7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</row>
    <row x14ac:dyDescent="0.25" r="946" customHeight="1" ht="15.75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</row>
    <row x14ac:dyDescent="0.25" r="947" customHeight="1" ht="15.75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</row>
    <row x14ac:dyDescent="0.25" r="948" customHeight="1" ht="15.75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</row>
    <row x14ac:dyDescent="0.25" r="949" customHeight="1" ht="15.75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</row>
    <row x14ac:dyDescent="0.25" r="950" customHeight="1" ht="15.75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</row>
    <row x14ac:dyDescent="0.25" r="951" customHeight="1" ht="15.75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</row>
    <row x14ac:dyDescent="0.25" r="952" customHeight="1" ht="15.75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</row>
    <row x14ac:dyDescent="0.25" r="953" customHeight="1" ht="15.75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</row>
    <row x14ac:dyDescent="0.25" r="954" customHeight="1" ht="15.75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</row>
    <row x14ac:dyDescent="0.25" r="955" customHeight="1" ht="15.7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</row>
    <row x14ac:dyDescent="0.25" r="956" customHeight="1" ht="15.75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</row>
    <row x14ac:dyDescent="0.25" r="957" customHeight="1" ht="15.75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</row>
    <row x14ac:dyDescent="0.25" r="958" customHeight="1" ht="15.75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</row>
    <row x14ac:dyDescent="0.25" r="959" customHeight="1" ht="15.75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</row>
    <row x14ac:dyDescent="0.25" r="960" customHeight="1" ht="15.75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</row>
    <row x14ac:dyDescent="0.25" r="961" customHeight="1" ht="15.75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</row>
    <row x14ac:dyDescent="0.25" r="962" customHeight="1" ht="15.75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</row>
    <row x14ac:dyDescent="0.25" r="963" customHeight="1" ht="15.75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</row>
    <row x14ac:dyDescent="0.25" r="964" customHeight="1" ht="15.75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</row>
    <row x14ac:dyDescent="0.25" r="965" customHeight="1" ht="15.7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</row>
    <row x14ac:dyDescent="0.25" r="966" customHeight="1" ht="15.75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</row>
    <row x14ac:dyDescent="0.25" r="967" customHeight="1" ht="15.75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</row>
    <row x14ac:dyDescent="0.25" r="968" customHeight="1" ht="15.75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</row>
    <row x14ac:dyDescent="0.25" r="969" customHeight="1" ht="15.75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</row>
    <row x14ac:dyDescent="0.25" r="970" customHeight="1" ht="15.75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</row>
    <row x14ac:dyDescent="0.25" r="971" customHeight="1" ht="15.75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</row>
    <row x14ac:dyDescent="0.25" r="972" customHeight="1" ht="15.75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</row>
    <row x14ac:dyDescent="0.25" r="973" customHeight="1" ht="15.75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</row>
    <row x14ac:dyDescent="0.25" r="974" customHeight="1" ht="15.75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</row>
    <row x14ac:dyDescent="0.25" r="975" customHeight="1" ht="15.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</row>
    <row x14ac:dyDescent="0.25" r="976" customHeight="1" ht="15.75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</row>
    <row x14ac:dyDescent="0.25" r="977" customHeight="1" ht="15.75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</row>
    <row x14ac:dyDescent="0.25" r="978" customHeight="1" ht="15.75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</row>
    <row x14ac:dyDescent="0.25" r="979" customHeight="1" ht="15.75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</row>
    <row x14ac:dyDescent="0.25" r="980" customHeight="1" ht="15.75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</row>
    <row x14ac:dyDescent="0.25" r="981" customHeight="1" ht="15.75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</row>
    <row x14ac:dyDescent="0.25" r="982" customHeight="1" ht="15.75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</row>
    <row x14ac:dyDescent="0.25" r="983" customHeight="1" ht="15.75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</row>
    <row x14ac:dyDescent="0.25" r="984" customHeight="1" ht="15.75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</row>
    <row x14ac:dyDescent="0.25" r="985" customHeight="1" ht="15.7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</row>
    <row x14ac:dyDescent="0.25" r="986" customHeight="1" ht="15.75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</row>
    <row x14ac:dyDescent="0.25" r="987" customHeight="1" ht="15.75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</row>
    <row x14ac:dyDescent="0.25" r="988" customHeight="1" ht="15.75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</row>
    <row x14ac:dyDescent="0.25" r="989" customHeight="1" ht="15.75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</row>
    <row x14ac:dyDescent="0.25" r="990" customHeight="1" ht="15.75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</row>
    <row x14ac:dyDescent="0.25" r="991" customHeight="1" ht="15.75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</row>
    <row x14ac:dyDescent="0.25" r="992" customHeight="1" ht="15.75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</row>
    <row x14ac:dyDescent="0.25" r="993" customHeight="1" ht="15.75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</row>
    <row x14ac:dyDescent="0.25" r="994" customHeight="1" ht="15.75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</row>
    <row x14ac:dyDescent="0.25" r="995" customHeight="1" ht="15.7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</row>
    <row x14ac:dyDescent="0.25" r="996" customHeight="1" ht="15.75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</row>
    <row x14ac:dyDescent="0.25" r="997" customHeight="1" ht="15.75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</row>
    <row x14ac:dyDescent="0.25" r="998" customHeight="1" ht="15.75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</row>
    <row x14ac:dyDescent="0.25" r="999" customHeight="1" ht="15.75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</row>
    <row x14ac:dyDescent="0.25" r="1000" customHeight="1" ht="15.75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1000"/>
  <sheetViews>
    <sheetView workbookViewId="0"/>
  </sheetViews>
  <sheetFormatPr defaultRowHeight="15" x14ac:dyDescent="0.25"/>
  <cols>
    <col min="1" max="1" style="13" width="8.290714285714287" customWidth="1" bestFit="1"/>
    <col min="2" max="2" style="13" width="22.719285714285714" customWidth="1" bestFit="1"/>
    <col min="3" max="3" style="13" width="9.290714285714287" customWidth="1" bestFit="1"/>
    <col min="4" max="4" style="13" width="9.290714285714287" customWidth="1" bestFit="1"/>
    <col min="5" max="5" style="13" width="9.290714285714287" customWidth="1" bestFit="1"/>
    <col min="6" max="6" style="13" width="9.290714285714287" customWidth="1" bestFit="1"/>
    <col min="7" max="7" style="13" width="9.290714285714287" customWidth="1" bestFit="1"/>
    <col min="8" max="8" style="13" width="8.719285714285713" customWidth="1" bestFit="1"/>
    <col min="9" max="9" style="13" width="8.719285714285713" customWidth="1" bestFit="1"/>
    <col min="10" max="10" style="13" width="8.719285714285713" customWidth="1" bestFit="1"/>
    <col min="11" max="11" style="13" width="8.719285714285713" customWidth="1" bestFit="1"/>
    <col min="12" max="12" style="13" width="8.719285714285713" customWidth="1" bestFit="1"/>
    <col min="13" max="13" style="13" width="8.719285714285713" customWidth="1" bestFit="1"/>
    <col min="14" max="14" style="13" width="8.719285714285713" customWidth="1" bestFit="1"/>
    <col min="15" max="15" style="13" width="8.719285714285713" customWidth="1" bestFit="1"/>
    <col min="16" max="16" style="13" width="8.719285714285713" customWidth="1" bestFit="1"/>
    <col min="17" max="17" style="13" width="8.719285714285713" customWidth="1" bestFit="1"/>
    <col min="18" max="18" style="13" width="8.719285714285713" customWidth="1" bestFit="1"/>
    <col min="19" max="19" style="13" width="8.719285714285713" customWidth="1" bestFit="1"/>
    <col min="20" max="20" style="13" width="8.719285714285713" customWidth="1" bestFit="1"/>
    <col min="21" max="21" style="13" width="8.290714285714287" customWidth="1" bestFit="1"/>
  </cols>
  <sheetData>
    <row x14ac:dyDescent="0.25" r="1" customHeight="1" ht="63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</row>
    <row x14ac:dyDescent="0.25" r="2" customHeight="1" ht="14.25">
      <c r="A2" s="73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73"/>
    </row>
    <row x14ac:dyDescent="0.25" r="3" customHeight="1" ht="14.25">
      <c r="A3" s="73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73"/>
    </row>
    <row x14ac:dyDescent="0.25" r="4" customHeight="1" ht="14.25">
      <c r="A4" s="73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73"/>
    </row>
    <row x14ac:dyDescent="0.25" r="5" customHeight="1" ht="14.25">
      <c r="A5" s="73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73"/>
    </row>
    <row x14ac:dyDescent="0.25" r="6" customHeight="1" ht="14.25">
      <c r="A6" s="73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73"/>
    </row>
    <row x14ac:dyDescent="0.25" r="7" customHeight="1" ht="14.25">
      <c r="A7" s="73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73"/>
    </row>
    <row x14ac:dyDescent="0.25" r="8" customHeight="1" ht="14.25">
      <c r="A8" s="73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73"/>
    </row>
    <row x14ac:dyDescent="0.25" r="9" customHeight="1" ht="14.25">
      <c r="A9" s="73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73"/>
    </row>
    <row x14ac:dyDescent="0.25" r="10" customHeight="1" ht="14.25">
      <c r="A10" s="73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73"/>
    </row>
    <row x14ac:dyDescent="0.25" r="11" customHeight="1" ht="14.25">
      <c r="A11" s="73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73"/>
    </row>
    <row x14ac:dyDescent="0.25" r="12" customHeight="1" ht="14.25">
      <c r="A12" s="73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73"/>
    </row>
    <row x14ac:dyDescent="0.25" r="13" customHeight="1" ht="14.25">
      <c r="A13" s="73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73"/>
    </row>
    <row x14ac:dyDescent="0.25" r="14" customHeight="1" ht="14.25">
      <c r="A14" s="73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73"/>
    </row>
    <row x14ac:dyDescent="0.25" r="15" customHeight="1" ht="14.25">
      <c r="A15" s="73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73"/>
    </row>
    <row x14ac:dyDescent="0.25" r="16" customHeight="1" ht="14.25">
      <c r="A16" s="73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73"/>
    </row>
    <row x14ac:dyDescent="0.25" r="17" customHeight="1" ht="14.25">
      <c r="A17" s="73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73"/>
    </row>
    <row x14ac:dyDescent="0.25" r="18" customHeight="1" ht="14.25">
      <c r="A18" s="73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73"/>
    </row>
    <row x14ac:dyDescent="0.25" r="19" customHeight="1" ht="14.25">
      <c r="A19" s="73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73"/>
    </row>
    <row x14ac:dyDescent="0.25" r="20" customHeight="1" ht="14.25">
      <c r="A20" s="73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73"/>
    </row>
    <row x14ac:dyDescent="0.25" r="21" customHeight="1" ht="14.25">
      <c r="A21" s="73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73"/>
    </row>
    <row x14ac:dyDescent="0.25" r="22" customHeight="1" ht="4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</row>
    <row x14ac:dyDescent="0.25" r="23" customHeight="1" ht="14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</row>
    <row x14ac:dyDescent="0.25" r="24" customHeight="1" ht="14.2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</row>
    <row x14ac:dyDescent="0.25" r="25" customHeight="1" ht="14.2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</row>
    <row x14ac:dyDescent="0.25" r="26" customHeight="1" ht="14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</row>
    <row x14ac:dyDescent="0.25" r="27" customHeight="1" ht="14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</row>
    <row x14ac:dyDescent="0.25" r="28" customHeight="1" ht="14.2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</row>
    <row x14ac:dyDescent="0.25" r="29" customHeight="1" ht="14.25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</row>
    <row x14ac:dyDescent="0.25" r="30" customHeight="1" ht="14.2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</row>
    <row x14ac:dyDescent="0.25" r="31" customHeight="1" ht="14.25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</row>
    <row x14ac:dyDescent="0.25" r="32" customHeight="1" ht="14.25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</row>
    <row x14ac:dyDescent="0.25" r="33" customHeight="1" ht="14.25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</row>
    <row x14ac:dyDescent="0.25" r="34" customHeight="1" ht="14.25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</row>
    <row x14ac:dyDescent="0.25" r="35" customHeight="1" ht="14.2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</row>
    <row x14ac:dyDescent="0.25" r="36" customHeight="1" ht="14.25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</row>
    <row x14ac:dyDescent="0.25" r="37" customHeight="1" ht="14.25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</row>
    <row x14ac:dyDescent="0.25" r="38" customHeight="1" ht="14.25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</row>
    <row x14ac:dyDescent="0.25" r="39" customHeight="1" ht="14.25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</row>
    <row x14ac:dyDescent="0.25" r="40" customHeight="1" ht="14.25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</row>
    <row x14ac:dyDescent="0.25" r="41" customHeight="1" ht="14.25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</row>
    <row x14ac:dyDescent="0.25" r="42" customHeight="1" ht="14.25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</row>
    <row x14ac:dyDescent="0.25" r="43" customHeight="1" ht="14.25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</row>
    <row x14ac:dyDescent="0.25" r="44" customHeight="1" ht="14.25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</row>
    <row x14ac:dyDescent="0.25" r="45" customHeight="1" ht="14.2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</row>
    <row x14ac:dyDescent="0.25" r="46" customHeight="1" ht="14.25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</row>
    <row x14ac:dyDescent="0.25" r="47" customHeight="1" ht="14.25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</row>
    <row x14ac:dyDescent="0.25" r="48" customHeight="1" ht="14.25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</row>
    <row x14ac:dyDescent="0.25" r="49" customHeight="1" ht="14.25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</row>
    <row x14ac:dyDescent="0.25" r="50" customHeight="1" ht="14.25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</row>
    <row x14ac:dyDescent="0.25" r="51" customHeight="1" ht="14.2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</row>
    <row x14ac:dyDescent="0.25" r="52" customHeight="1" ht="14.2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</row>
    <row x14ac:dyDescent="0.25" r="53" customHeight="1" ht="14.25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</row>
    <row x14ac:dyDescent="0.25" r="54" customHeight="1" ht="14.25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</row>
    <row x14ac:dyDescent="0.25" r="55" customHeight="1" ht="14.2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</row>
    <row x14ac:dyDescent="0.25" r="56" customHeight="1" ht="14.25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</row>
    <row x14ac:dyDescent="0.25" r="57" customHeight="1" ht="14.25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</row>
    <row x14ac:dyDescent="0.25" r="58" customHeight="1" ht="14.25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</row>
    <row x14ac:dyDescent="0.25" r="59" customHeight="1" ht="14.25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</row>
    <row x14ac:dyDescent="0.25" r="60" customHeight="1" ht="14.25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</row>
    <row x14ac:dyDescent="0.25" r="61" customHeight="1" ht="14.2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</row>
    <row x14ac:dyDescent="0.25" r="62" customHeight="1" ht="14.25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</row>
    <row x14ac:dyDescent="0.25" r="63" customHeight="1" ht="14.25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</row>
    <row x14ac:dyDescent="0.25" r="64" customHeight="1" ht="14.25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</row>
    <row x14ac:dyDescent="0.25" r="65" customHeight="1" ht="14.2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</row>
    <row x14ac:dyDescent="0.25" r="66" customHeight="1" ht="14.25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</row>
    <row x14ac:dyDescent="0.25" r="67" customHeight="1" ht="14.25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</row>
    <row x14ac:dyDescent="0.25" r="68" customHeight="1" ht="14.25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</row>
    <row x14ac:dyDescent="0.25" r="69" customHeight="1" ht="14.25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</row>
    <row x14ac:dyDescent="0.25" r="70" customHeight="1" ht="14.25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</row>
    <row x14ac:dyDescent="0.25" r="71" customHeight="1" ht="14.25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</row>
    <row x14ac:dyDescent="0.25" r="72" customHeight="1" ht="14.25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</row>
    <row x14ac:dyDescent="0.25" r="73" customHeight="1" ht="14.25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</row>
    <row x14ac:dyDescent="0.25" r="74" customHeight="1" ht="14.25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</row>
    <row x14ac:dyDescent="0.25" r="75" customHeight="1" ht="14.2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</row>
    <row x14ac:dyDescent="0.25" r="76" customHeight="1" ht="14.2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</row>
    <row x14ac:dyDescent="0.25" r="77" customHeight="1" ht="14.2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</row>
    <row x14ac:dyDescent="0.25" r="78" customHeight="1" ht="14.2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</row>
    <row x14ac:dyDescent="0.25" r="79" customHeight="1" ht="14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</row>
    <row x14ac:dyDescent="0.25" r="80" customHeight="1" ht="14.2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</row>
    <row x14ac:dyDescent="0.25" r="81" customHeight="1" ht="14.2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</row>
    <row x14ac:dyDescent="0.25" r="82" customHeight="1" ht="14.2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</row>
    <row x14ac:dyDescent="0.25" r="83" customHeight="1" ht="14.2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</row>
    <row x14ac:dyDescent="0.25" r="84" customHeight="1" ht="14.2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</row>
    <row x14ac:dyDescent="0.25" r="85" customHeight="1" ht="14.2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</row>
    <row x14ac:dyDescent="0.25" r="86" customHeight="1" ht="14.2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</row>
    <row x14ac:dyDescent="0.25" r="87" customHeight="1" ht="14.2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</row>
    <row x14ac:dyDescent="0.25" r="88" customHeight="1" ht="14.2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</row>
    <row x14ac:dyDescent="0.25" r="89" customHeight="1" ht="14.25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</row>
    <row x14ac:dyDescent="0.25" r="90" customHeight="1" ht="14.25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</row>
    <row x14ac:dyDescent="0.25" r="91" customHeight="1" ht="14.25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</row>
    <row x14ac:dyDescent="0.25" r="92" customHeight="1" ht="14.25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</row>
    <row x14ac:dyDescent="0.25" r="93" customHeight="1" ht="14.25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</row>
    <row x14ac:dyDescent="0.25" r="94" customHeight="1" ht="14.25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</row>
    <row x14ac:dyDescent="0.25" r="95" customHeight="1" ht="14.2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</row>
    <row x14ac:dyDescent="0.25" r="96" customHeight="1" ht="14.25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</row>
    <row x14ac:dyDescent="0.25" r="97" customHeight="1" ht="14.25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</row>
    <row x14ac:dyDescent="0.25" r="98" customHeight="1" ht="14.25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</row>
    <row x14ac:dyDescent="0.25" r="99" customHeight="1" ht="14.25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</row>
    <row x14ac:dyDescent="0.25" r="100" customHeight="1" ht="14.25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</row>
    <row x14ac:dyDescent="0.25" r="101" customHeight="1" ht="14.25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</row>
    <row x14ac:dyDescent="0.25" r="102" customHeight="1" ht="14.25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</row>
    <row x14ac:dyDescent="0.25" r="103" customHeight="1" ht="14.25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</row>
    <row x14ac:dyDescent="0.25" r="104" customHeight="1" ht="14.25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</row>
    <row x14ac:dyDescent="0.25" r="105" customHeight="1" ht="14.2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</row>
    <row x14ac:dyDescent="0.25" r="106" customHeight="1" ht="14.25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</row>
    <row x14ac:dyDescent="0.25" r="107" customHeight="1" ht="14.25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</row>
    <row x14ac:dyDescent="0.25" r="108" customHeight="1" ht="14.25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</row>
    <row x14ac:dyDescent="0.25" r="109" customHeight="1" ht="14.25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</row>
    <row x14ac:dyDescent="0.25" r="110" customHeight="1" ht="14.25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</row>
    <row x14ac:dyDescent="0.25" r="111" customHeight="1" ht="14.25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</row>
    <row x14ac:dyDescent="0.25" r="112" customHeight="1" ht="14.25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</row>
    <row x14ac:dyDescent="0.25" r="113" customHeight="1" ht="14.25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</row>
    <row x14ac:dyDescent="0.25" r="114" customHeight="1" ht="14.25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</row>
    <row x14ac:dyDescent="0.25" r="115" customHeight="1" ht="14.2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</row>
    <row x14ac:dyDescent="0.25" r="116" customHeight="1" ht="14.25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</row>
    <row x14ac:dyDescent="0.25" r="117" customHeight="1" ht="14.25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</row>
    <row x14ac:dyDescent="0.25" r="118" customHeight="1" ht="14.25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</row>
    <row x14ac:dyDescent="0.25" r="119" customHeight="1" ht="14.25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x14ac:dyDescent="0.25" r="120" customHeight="1" ht="14.25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x14ac:dyDescent="0.25" r="121" customHeight="1" ht="14.25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x14ac:dyDescent="0.25" r="122" customHeight="1" ht="14.25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x14ac:dyDescent="0.25" r="123" customHeight="1" ht="14.25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x14ac:dyDescent="0.25" r="124" customHeight="1" ht="14.25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x14ac:dyDescent="0.25" r="125" customHeight="1" ht="14.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x14ac:dyDescent="0.25" r="126" customHeight="1" ht="14.25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x14ac:dyDescent="0.25" r="127" customHeight="1" ht="14.25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x14ac:dyDescent="0.25" r="128" customHeight="1" ht="14.25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</row>
    <row x14ac:dyDescent="0.25" r="129" customHeight="1" ht="14.25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</row>
    <row x14ac:dyDescent="0.25" r="130" customHeight="1" ht="14.25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</row>
    <row x14ac:dyDescent="0.25" r="131" customHeight="1" ht="14.25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</row>
    <row x14ac:dyDescent="0.25" r="132" customHeight="1" ht="14.25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</row>
    <row x14ac:dyDescent="0.25" r="133" customHeight="1" ht="14.25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</row>
    <row x14ac:dyDescent="0.25" r="134" customHeight="1" ht="14.25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</row>
    <row x14ac:dyDescent="0.25" r="135" customHeight="1" ht="14.2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</row>
    <row x14ac:dyDescent="0.25" r="136" customHeight="1" ht="14.25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</row>
    <row x14ac:dyDescent="0.25" r="137" customHeight="1" ht="14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</row>
    <row x14ac:dyDescent="0.25" r="138" customHeight="1" ht="14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</row>
    <row x14ac:dyDescent="0.25" r="139" customHeight="1" ht="14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</row>
    <row x14ac:dyDescent="0.25" r="140" customHeight="1" ht="14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</row>
    <row x14ac:dyDescent="0.25" r="141" customHeight="1" ht="14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</row>
    <row x14ac:dyDescent="0.25" r="142" customHeight="1" ht="14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</row>
    <row x14ac:dyDescent="0.25" r="143" customHeight="1" ht="14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</row>
    <row x14ac:dyDescent="0.25" r="144" customHeight="1" ht="14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</row>
    <row x14ac:dyDescent="0.25" r="145" customHeight="1" ht="14.2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</row>
    <row x14ac:dyDescent="0.25" r="146" customHeight="1" ht="14.25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</row>
    <row x14ac:dyDescent="0.25" r="147" customHeight="1" ht="14.25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</row>
    <row x14ac:dyDescent="0.25" r="148" customHeight="1" ht="14.25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</row>
    <row x14ac:dyDescent="0.25" r="149" customHeight="1" ht="14.25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</row>
    <row x14ac:dyDescent="0.25" r="150" customHeight="1" ht="14.25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</row>
    <row x14ac:dyDescent="0.25" r="151" customHeight="1" ht="14.25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</row>
    <row x14ac:dyDescent="0.25" r="152" customHeight="1" ht="14.25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</row>
    <row x14ac:dyDescent="0.25" r="153" customHeight="1" ht="14.25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</row>
    <row x14ac:dyDescent="0.25" r="154" customHeight="1" ht="14.25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</row>
    <row x14ac:dyDescent="0.25" r="155" customHeight="1" ht="14.2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</row>
    <row x14ac:dyDescent="0.25" r="156" customHeight="1" ht="14.25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</row>
    <row x14ac:dyDescent="0.25" r="157" customHeight="1" ht="14.25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</row>
    <row x14ac:dyDescent="0.25" r="158" customHeight="1" ht="14.25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</row>
    <row x14ac:dyDescent="0.25" r="159" customHeight="1" ht="14.25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</row>
    <row x14ac:dyDescent="0.25" r="160" customHeight="1" ht="14.25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</row>
    <row x14ac:dyDescent="0.25" r="161" customHeight="1" ht="14.25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</row>
    <row x14ac:dyDescent="0.25" r="162" customHeight="1" ht="14.25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</row>
    <row x14ac:dyDescent="0.25" r="163" customHeight="1" ht="14.25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</row>
    <row x14ac:dyDescent="0.25" r="164" customHeight="1" ht="14.25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</row>
    <row x14ac:dyDescent="0.25" r="165" customHeight="1" ht="14.2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</row>
    <row x14ac:dyDescent="0.25" r="166" customHeight="1" ht="14.25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</row>
    <row x14ac:dyDescent="0.25" r="167" customHeight="1" ht="14.25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</row>
    <row x14ac:dyDescent="0.25" r="168" customHeight="1" ht="14.25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</row>
    <row x14ac:dyDescent="0.25" r="169" customHeight="1" ht="14.25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</row>
    <row x14ac:dyDescent="0.25" r="170" customHeight="1" ht="14.2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</row>
    <row x14ac:dyDescent="0.25" r="171" customHeight="1" ht="14.2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</row>
    <row x14ac:dyDescent="0.25" r="172" customHeight="1" ht="14.2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</row>
    <row x14ac:dyDescent="0.25" r="173" customHeight="1" ht="14.2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</row>
    <row x14ac:dyDescent="0.25" r="174" customHeight="1" ht="14.25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</row>
    <row x14ac:dyDescent="0.25" r="175" customHeight="1" ht="14.2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</row>
    <row x14ac:dyDescent="0.25" r="176" customHeight="1" ht="14.25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</row>
    <row x14ac:dyDescent="0.25" r="177" customHeight="1" ht="14.25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</row>
    <row x14ac:dyDescent="0.25" r="178" customHeight="1" ht="14.25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</row>
    <row x14ac:dyDescent="0.25" r="179" customHeight="1" ht="14.25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</row>
    <row x14ac:dyDescent="0.25" r="180" customHeight="1" ht="14.25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</row>
    <row x14ac:dyDescent="0.25" r="181" customHeight="1" ht="14.25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</row>
    <row x14ac:dyDescent="0.25" r="182" customHeight="1" ht="14.25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</row>
    <row x14ac:dyDescent="0.25" r="183" customHeight="1" ht="14.25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</row>
    <row x14ac:dyDescent="0.25" r="184" customHeight="1" ht="14.25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</row>
    <row x14ac:dyDescent="0.25" r="185" customHeight="1" ht="14.2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</row>
    <row x14ac:dyDescent="0.25" r="186" customHeight="1" ht="14.25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</row>
    <row x14ac:dyDescent="0.25" r="187" customHeight="1" ht="14.25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</row>
    <row x14ac:dyDescent="0.25" r="188" customHeight="1" ht="14.25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</row>
    <row x14ac:dyDescent="0.25" r="189" customHeight="1" ht="14.25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</row>
    <row x14ac:dyDescent="0.25" r="190" customHeight="1" ht="14.25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</row>
    <row x14ac:dyDescent="0.25" r="191" customHeight="1" ht="14.25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</row>
    <row x14ac:dyDescent="0.25" r="192" customHeight="1" ht="14.25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</row>
    <row x14ac:dyDescent="0.25" r="193" customHeight="1" ht="14.25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</row>
    <row x14ac:dyDescent="0.25" r="194" customHeight="1" ht="14.25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</row>
    <row x14ac:dyDescent="0.25" r="195" customHeight="1" ht="14.2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</row>
    <row x14ac:dyDescent="0.25" r="196" customHeight="1" ht="14.25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</row>
    <row x14ac:dyDescent="0.25" r="197" customHeight="1" ht="14.25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</row>
    <row x14ac:dyDescent="0.25" r="198" customHeight="1" ht="14.25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</row>
    <row x14ac:dyDescent="0.25" r="199" customHeight="1" ht="14.25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</row>
    <row x14ac:dyDescent="0.25" r="200" customHeight="1" ht="14.25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</row>
    <row x14ac:dyDescent="0.25" r="201" customHeight="1" ht="14.25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</row>
    <row x14ac:dyDescent="0.25" r="202" customHeight="1" ht="14.25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</row>
    <row x14ac:dyDescent="0.25" r="203" customHeight="1" ht="14.25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</row>
    <row x14ac:dyDescent="0.25" r="204" customHeight="1" ht="14.25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</row>
    <row x14ac:dyDescent="0.25" r="205" customHeight="1" ht="14.2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</row>
    <row x14ac:dyDescent="0.25" r="206" customHeight="1" ht="14.25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</row>
    <row x14ac:dyDescent="0.25" r="207" customHeight="1" ht="14.25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</row>
    <row x14ac:dyDescent="0.25" r="208" customHeight="1" ht="14.25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</row>
    <row x14ac:dyDescent="0.25" r="209" customHeight="1" ht="14.25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</row>
    <row x14ac:dyDescent="0.25" r="210" customHeight="1" ht="14.25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</row>
    <row x14ac:dyDescent="0.25" r="211" customHeight="1" ht="14.25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</row>
    <row x14ac:dyDescent="0.25" r="212" customHeight="1" ht="14.25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</row>
    <row x14ac:dyDescent="0.25" r="213" customHeight="1" ht="14.25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</row>
    <row x14ac:dyDescent="0.25" r="214" customHeight="1" ht="14.25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</row>
    <row x14ac:dyDescent="0.25" r="215" customHeight="1" ht="14.2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</row>
    <row x14ac:dyDescent="0.25" r="216" customHeight="1" ht="14.25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</row>
    <row x14ac:dyDescent="0.25" r="217" customHeight="1" ht="14.25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</row>
    <row x14ac:dyDescent="0.25" r="218" customHeight="1" ht="14.25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</row>
    <row x14ac:dyDescent="0.25" r="219" customHeight="1" ht="14.25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</row>
    <row x14ac:dyDescent="0.25" r="220" customHeight="1" ht="14.25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</row>
    <row x14ac:dyDescent="0.25" r="221" customHeight="1" ht="15.7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</row>
    <row x14ac:dyDescent="0.25" r="222" customHeight="1" ht="15.7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</row>
    <row x14ac:dyDescent="0.25" r="223" customHeight="1" ht="15.7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</row>
    <row x14ac:dyDescent="0.25" r="224" customHeight="1" ht="15.7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</row>
    <row x14ac:dyDescent="0.25" r="225" customHeight="1" ht="15.7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</row>
    <row x14ac:dyDescent="0.25" r="226" customHeight="1" ht="15.7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</row>
    <row x14ac:dyDescent="0.25" r="227" customHeight="1" ht="15.7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</row>
    <row x14ac:dyDescent="0.25" r="228" customHeight="1" ht="15.7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</row>
    <row x14ac:dyDescent="0.25" r="229" customHeight="1" ht="15.7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</row>
    <row x14ac:dyDescent="0.25" r="230" customHeight="1" ht="15.75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</row>
    <row x14ac:dyDescent="0.25" r="231" customHeight="1" ht="15.75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</row>
    <row x14ac:dyDescent="0.25" r="232" customHeight="1" ht="15.75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</row>
    <row x14ac:dyDescent="0.25" r="233" customHeight="1" ht="15.75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</row>
    <row x14ac:dyDescent="0.25" r="234" customHeight="1" ht="15.75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</row>
    <row x14ac:dyDescent="0.25" r="235" customHeight="1" ht="15.7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</row>
    <row x14ac:dyDescent="0.25" r="236" customHeight="1" ht="15.75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</row>
    <row x14ac:dyDescent="0.25" r="237" customHeight="1" ht="15.75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</row>
    <row x14ac:dyDescent="0.25" r="238" customHeight="1" ht="15.75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</row>
    <row x14ac:dyDescent="0.25" r="239" customHeight="1" ht="15.75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</row>
    <row x14ac:dyDescent="0.25" r="240" customHeight="1" ht="15.7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</row>
    <row x14ac:dyDescent="0.25" r="241" customHeight="1" ht="15.75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</row>
    <row x14ac:dyDescent="0.25" r="242" customHeight="1" ht="15.75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</row>
    <row x14ac:dyDescent="0.25" r="243" customHeight="1" ht="15.75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</row>
    <row x14ac:dyDescent="0.25" r="244" customHeight="1" ht="15.75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</row>
    <row x14ac:dyDescent="0.25" r="245" customHeight="1" ht="15.7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</row>
    <row x14ac:dyDescent="0.25" r="246" customHeight="1" ht="15.75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</row>
    <row x14ac:dyDescent="0.25" r="247" customHeight="1" ht="15.75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</row>
    <row x14ac:dyDescent="0.25" r="248" customHeight="1" ht="15.75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</row>
    <row x14ac:dyDescent="0.25" r="249" customHeight="1" ht="15.75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</row>
    <row x14ac:dyDescent="0.25" r="250" customHeight="1" ht="15.7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</row>
    <row x14ac:dyDescent="0.25" r="251" customHeight="1" ht="15.75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</row>
    <row x14ac:dyDescent="0.25" r="252" customHeight="1" ht="15.75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</row>
    <row x14ac:dyDescent="0.25" r="253" customHeight="1" ht="15.75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</row>
    <row x14ac:dyDescent="0.25" r="254" customHeight="1" ht="15.75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</row>
    <row x14ac:dyDescent="0.25" r="255" customHeight="1" ht="15.7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</row>
    <row x14ac:dyDescent="0.25" r="256" customHeight="1" ht="15.75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</row>
    <row x14ac:dyDescent="0.25" r="257" customHeight="1" ht="15.75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</row>
    <row x14ac:dyDescent="0.25" r="258" customHeight="1" ht="15.75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</row>
    <row x14ac:dyDescent="0.25" r="259" customHeight="1" ht="15.75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</row>
    <row x14ac:dyDescent="0.25" r="260" customHeight="1" ht="15.75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</row>
    <row x14ac:dyDescent="0.25" r="261" customHeight="1" ht="15.75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</row>
    <row x14ac:dyDescent="0.25" r="262" customHeight="1" ht="15.75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</row>
    <row x14ac:dyDescent="0.25" r="263" customHeight="1" ht="15.75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</row>
    <row x14ac:dyDescent="0.25" r="264" customHeight="1" ht="15.75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</row>
    <row x14ac:dyDescent="0.25" r="265" customHeight="1" ht="15.7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</row>
    <row x14ac:dyDescent="0.25" r="266" customHeight="1" ht="15.75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</row>
    <row x14ac:dyDescent="0.25" r="267" customHeight="1" ht="15.75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</row>
    <row x14ac:dyDescent="0.25" r="268" customHeight="1" ht="15.75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</row>
    <row x14ac:dyDescent="0.25" r="269" customHeight="1" ht="15.75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</row>
    <row x14ac:dyDescent="0.25" r="270" customHeight="1" ht="15.75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</row>
    <row x14ac:dyDescent="0.25" r="271" customHeight="1" ht="15.75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</row>
    <row x14ac:dyDescent="0.25" r="272" customHeight="1" ht="15.75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</row>
    <row x14ac:dyDescent="0.25" r="273" customHeight="1" ht="15.75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</row>
    <row x14ac:dyDescent="0.25" r="274" customHeight="1" ht="15.75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</row>
    <row x14ac:dyDescent="0.25" r="275" customHeight="1" ht="15.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</row>
    <row x14ac:dyDescent="0.25" r="276" customHeight="1" ht="15.75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</row>
    <row x14ac:dyDescent="0.25" r="277" customHeight="1" ht="15.75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</row>
    <row x14ac:dyDescent="0.25" r="278" customHeight="1" ht="15.75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</row>
    <row x14ac:dyDescent="0.25" r="279" customHeight="1" ht="15.75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</row>
    <row x14ac:dyDescent="0.25" r="280" customHeight="1" ht="15.75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</row>
    <row x14ac:dyDescent="0.25" r="281" customHeight="1" ht="15.75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</row>
    <row x14ac:dyDescent="0.25" r="282" customHeight="1" ht="15.75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</row>
    <row x14ac:dyDescent="0.25" r="283" customHeight="1" ht="15.75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</row>
    <row x14ac:dyDescent="0.25" r="284" customHeight="1" ht="15.75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</row>
    <row x14ac:dyDescent="0.25" r="285" customHeight="1" ht="15.7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</row>
    <row x14ac:dyDescent="0.25" r="286" customHeight="1" ht="15.75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</row>
    <row x14ac:dyDescent="0.25" r="287" customHeight="1" ht="15.75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</row>
    <row x14ac:dyDescent="0.25" r="288" customHeight="1" ht="15.75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</row>
    <row x14ac:dyDescent="0.25" r="289" customHeight="1" ht="15.75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</row>
    <row x14ac:dyDescent="0.25" r="290" customHeight="1" ht="15.75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</row>
    <row x14ac:dyDescent="0.25" r="291" customHeight="1" ht="15.75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</row>
    <row x14ac:dyDescent="0.25" r="292" customHeight="1" ht="15.75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</row>
    <row x14ac:dyDescent="0.25" r="293" customHeight="1" ht="15.75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</row>
    <row x14ac:dyDescent="0.25" r="294" customHeight="1" ht="15.75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</row>
    <row x14ac:dyDescent="0.25" r="295" customHeight="1" ht="15.7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</row>
    <row x14ac:dyDescent="0.25" r="296" customHeight="1" ht="15.75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</row>
    <row x14ac:dyDescent="0.25" r="297" customHeight="1" ht="15.75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</row>
    <row x14ac:dyDescent="0.25" r="298" customHeight="1" ht="15.75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</row>
    <row x14ac:dyDescent="0.25" r="299" customHeight="1" ht="15.75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</row>
    <row x14ac:dyDescent="0.25" r="300" customHeight="1" ht="15.75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</row>
    <row x14ac:dyDescent="0.25" r="301" customHeight="1" ht="15.75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</row>
    <row x14ac:dyDescent="0.25" r="302" customHeight="1" ht="15.75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</row>
    <row x14ac:dyDescent="0.25" r="303" customHeight="1" ht="15.75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</row>
    <row x14ac:dyDescent="0.25" r="304" customHeight="1" ht="15.75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</row>
    <row x14ac:dyDescent="0.25" r="305" customHeight="1" ht="15.7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</row>
    <row x14ac:dyDescent="0.25" r="306" customHeight="1" ht="15.75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</row>
    <row x14ac:dyDescent="0.25" r="307" customHeight="1" ht="15.75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</row>
    <row x14ac:dyDescent="0.25" r="308" customHeight="1" ht="15.75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</row>
    <row x14ac:dyDescent="0.25" r="309" customHeight="1" ht="15.75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</row>
    <row x14ac:dyDescent="0.25" r="310" customHeight="1" ht="15.75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</row>
    <row x14ac:dyDescent="0.25" r="311" customHeight="1" ht="15.75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</row>
    <row x14ac:dyDescent="0.25" r="312" customHeight="1" ht="15.75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</row>
    <row x14ac:dyDescent="0.25" r="313" customHeight="1" ht="15.75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</row>
    <row x14ac:dyDescent="0.25" r="314" customHeight="1" ht="15.75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</row>
    <row x14ac:dyDescent="0.25" r="315" customHeight="1" ht="15.7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</row>
    <row x14ac:dyDescent="0.25" r="316" customHeight="1" ht="15.75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</row>
    <row x14ac:dyDescent="0.25" r="317" customHeight="1" ht="15.75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</row>
    <row x14ac:dyDescent="0.25" r="318" customHeight="1" ht="15.75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</row>
    <row x14ac:dyDescent="0.25" r="319" customHeight="1" ht="15.75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</row>
    <row x14ac:dyDescent="0.25" r="320" customHeight="1" ht="15.75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</row>
    <row x14ac:dyDescent="0.25" r="321" customHeight="1" ht="15.75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</row>
    <row x14ac:dyDescent="0.25" r="322" customHeight="1" ht="15.75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</row>
    <row x14ac:dyDescent="0.25" r="323" customHeight="1" ht="15.75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</row>
    <row x14ac:dyDescent="0.25" r="324" customHeight="1" ht="15.75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</row>
    <row x14ac:dyDescent="0.25" r="325" customHeight="1" ht="15.7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</row>
    <row x14ac:dyDescent="0.25" r="326" customHeight="1" ht="15.75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</row>
    <row x14ac:dyDescent="0.25" r="327" customHeight="1" ht="15.75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</row>
    <row x14ac:dyDescent="0.25" r="328" customHeight="1" ht="15.75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</row>
    <row x14ac:dyDescent="0.25" r="329" customHeight="1" ht="15.75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</row>
    <row x14ac:dyDescent="0.25" r="330" customHeight="1" ht="15.75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</row>
    <row x14ac:dyDescent="0.25" r="331" customHeight="1" ht="15.75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</row>
    <row x14ac:dyDescent="0.25" r="332" customHeight="1" ht="15.75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</row>
    <row x14ac:dyDescent="0.25" r="333" customHeight="1" ht="15.75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</row>
    <row x14ac:dyDescent="0.25" r="334" customHeight="1" ht="15.75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</row>
    <row x14ac:dyDescent="0.25" r="335" customHeight="1" ht="15.7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</row>
    <row x14ac:dyDescent="0.25" r="336" customHeight="1" ht="15.75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</row>
    <row x14ac:dyDescent="0.25" r="337" customHeight="1" ht="15.75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</row>
    <row x14ac:dyDescent="0.25" r="338" customHeight="1" ht="15.75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</row>
    <row x14ac:dyDescent="0.25" r="339" customHeight="1" ht="15.75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</row>
    <row x14ac:dyDescent="0.25" r="340" customHeight="1" ht="15.75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</row>
    <row x14ac:dyDescent="0.25" r="341" customHeight="1" ht="15.75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</row>
    <row x14ac:dyDescent="0.25" r="342" customHeight="1" ht="15.75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</row>
    <row x14ac:dyDescent="0.25" r="343" customHeight="1" ht="15.75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</row>
    <row x14ac:dyDescent="0.25" r="344" customHeight="1" ht="15.75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</row>
    <row x14ac:dyDescent="0.25" r="345" customHeight="1" ht="15.7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</row>
    <row x14ac:dyDescent="0.25" r="346" customHeight="1" ht="15.75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</row>
    <row x14ac:dyDescent="0.25" r="347" customHeight="1" ht="15.75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</row>
    <row x14ac:dyDescent="0.25" r="348" customHeight="1" ht="15.75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</row>
    <row x14ac:dyDescent="0.25" r="349" customHeight="1" ht="15.75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</row>
    <row x14ac:dyDescent="0.25" r="350" customHeight="1" ht="15.75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</row>
    <row x14ac:dyDescent="0.25" r="351" customHeight="1" ht="15.75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</row>
    <row x14ac:dyDescent="0.25" r="352" customHeight="1" ht="15.75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</row>
    <row x14ac:dyDescent="0.25" r="353" customHeight="1" ht="15.75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</row>
    <row x14ac:dyDescent="0.25" r="354" customHeight="1" ht="15.75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</row>
    <row x14ac:dyDescent="0.25" r="355" customHeight="1" ht="15.7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</row>
    <row x14ac:dyDescent="0.25" r="356" customHeight="1" ht="15.75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</row>
    <row x14ac:dyDescent="0.25" r="357" customHeight="1" ht="15.75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</row>
    <row x14ac:dyDescent="0.25" r="358" customHeight="1" ht="15.75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</row>
    <row x14ac:dyDescent="0.25" r="359" customHeight="1" ht="15.75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</row>
    <row x14ac:dyDescent="0.25" r="360" customHeight="1" ht="15.75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</row>
    <row x14ac:dyDescent="0.25" r="361" customHeight="1" ht="15.75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</row>
    <row x14ac:dyDescent="0.25" r="362" customHeight="1" ht="15.75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</row>
    <row x14ac:dyDescent="0.25" r="363" customHeight="1" ht="15.75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</row>
    <row x14ac:dyDescent="0.25" r="364" customHeight="1" ht="15.75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</row>
    <row x14ac:dyDescent="0.25" r="365" customHeight="1" ht="15.7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</row>
    <row x14ac:dyDescent="0.25" r="366" customHeight="1" ht="15.75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</row>
    <row x14ac:dyDescent="0.25" r="367" customHeight="1" ht="15.75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</row>
    <row x14ac:dyDescent="0.25" r="368" customHeight="1" ht="15.75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</row>
    <row x14ac:dyDescent="0.25" r="369" customHeight="1" ht="15.75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</row>
    <row x14ac:dyDescent="0.25" r="370" customHeight="1" ht="15.75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</row>
    <row x14ac:dyDescent="0.25" r="371" customHeight="1" ht="15.75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</row>
    <row x14ac:dyDescent="0.25" r="372" customHeight="1" ht="15.75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</row>
    <row x14ac:dyDescent="0.25" r="373" customHeight="1" ht="15.75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</row>
    <row x14ac:dyDescent="0.25" r="374" customHeight="1" ht="15.75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</row>
    <row x14ac:dyDescent="0.25" r="375" customHeight="1" ht="15.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</row>
    <row x14ac:dyDescent="0.25" r="376" customHeight="1" ht="15.75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</row>
    <row x14ac:dyDescent="0.25" r="377" customHeight="1" ht="15.75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</row>
    <row x14ac:dyDescent="0.25" r="378" customHeight="1" ht="15.75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</row>
    <row x14ac:dyDescent="0.25" r="379" customHeight="1" ht="15.75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</row>
    <row x14ac:dyDescent="0.25" r="380" customHeight="1" ht="15.75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</row>
    <row x14ac:dyDescent="0.25" r="381" customHeight="1" ht="15.75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</row>
    <row x14ac:dyDescent="0.25" r="382" customHeight="1" ht="15.75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</row>
    <row x14ac:dyDescent="0.25" r="383" customHeight="1" ht="15.75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</row>
    <row x14ac:dyDescent="0.25" r="384" customHeight="1" ht="15.75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</row>
    <row x14ac:dyDescent="0.25" r="385" customHeight="1" ht="15.7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</row>
    <row x14ac:dyDescent="0.25" r="386" customHeight="1" ht="15.75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</row>
    <row x14ac:dyDescent="0.25" r="387" customHeight="1" ht="15.75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</row>
    <row x14ac:dyDescent="0.25" r="388" customHeight="1" ht="15.75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</row>
    <row x14ac:dyDescent="0.25" r="389" customHeight="1" ht="15.75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</row>
    <row x14ac:dyDescent="0.25" r="390" customHeight="1" ht="15.75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</row>
    <row x14ac:dyDescent="0.25" r="391" customHeight="1" ht="15.75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</row>
    <row x14ac:dyDescent="0.25" r="392" customHeight="1" ht="15.75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</row>
    <row x14ac:dyDescent="0.25" r="393" customHeight="1" ht="15.75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</row>
    <row x14ac:dyDescent="0.25" r="394" customHeight="1" ht="15.75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</row>
    <row x14ac:dyDescent="0.25" r="395" customHeight="1" ht="15.7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</row>
    <row x14ac:dyDescent="0.25" r="396" customHeight="1" ht="15.75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</row>
    <row x14ac:dyDescent="0.25" r="397" customHeight="1" ht="15.75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</row>
    <row x14ac:dyDescent="0.25" r="398" customHeight="1" ht="15.75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</row>
    <row x14ac:dyDescent="0.25" r="399" customHeight="1" ht="15.75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</row>
    <row x14ac:dyDescent="0.25" r="400" customHeight="1" ht="15.75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</row>
    <row x14ac:dyDescent="0.25" r="401" customHeight="1" ht="15.75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</row>
    <row x14ac:dyDescent="0.25" r="402" customHeight="1" ht="15.75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</row>
    <row x14ac:dyDescent="0.25" r="403" customHeight="1" ht="15.75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</row>
    <row x14ac:dyDescent="0.25" r="404" customHeight="1" ht="15.75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</row>
    <row x14ac:dyDescent="0.25" r="405" customHeight="1" ht="15.7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</row>
    <row x14ac:dyDescent="0.25" r="406" customHeight="1" ht="15.75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</row>
    <row x14ac:dyDescent="0.25" r="407" customHeight="1" ht="15.75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</row>
    <row x14ac:dyDescent="0.25" r="408" customHeight="1" ht="15.75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</row>
    <row x14ac:dyDescent="0.25" r="409" customHeight="1" ht="15.75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</row>
    <row x14ac:dyDescent="0.25" r="410" customHeight="1" ht="15.75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</row>
    <row x14ac:dyDescent="0.25" r="411" customHeight="1" ht="15.75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</row>
    <row x14ac:dyDescent="0.25" r="412" customHeight="1" ht="15.75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</row>
    <row x14ac:dyDescent="0.25" r="413" customHeight="1" ht="15.75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</row>
    <row x14ac:dyDescent="0.25" r="414" customHeight="1" ht="15.75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</row>
    <row x14ac:dyDescent="0.25" r="415" customHeight="1" ht="15.7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</row>
    <row x14ac:dyDescent="0.25" r="416" customHeight="1" ht="15.75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</row>
    <row x14ac:dyDescent="0.25" r="417" customHeight="1" ht="15.75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</row>
    <row x14ac:dyDescent="0.25" r="418" customHeight="1" ht="15.75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</row>
    <row x14ac:dyDescent="0.25" r="419" customHeight="1" ht="15.75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</row>
    <row x14ac:dyDescent="0.25" r="420" customHeight="1" ht="15.75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</row>
    <row x14ac:dyDescent="0.25" r="421" customHeight="1" ht="15.75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</row>
    <row x14ac:dyDescent="0.25" r="422" customHeight="1" ht="15.75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</row>
    <row x14ac:dyDescent="0.25" r="423" customHeight="1" ht="15.75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</row>
    <row x14ac:dyDescent="0.25" r="424" customHeight="1" ht="15.75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</row>
    <row x14ac:dyDescent="0.25" r="425" customHeight="1" ht="15.7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</row>
    <row x14ac:dyDescent="0.25" r="426" customHeight="1" ht="15.75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</row>
    <row x14ac:dyDescent="0.25" r="427" customHeight="1" ht="15.75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</row>
    <row x14ac:dyDescent="0.25" r="428" customHeight="1" ht="15.75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</row>
    <row x14ac:dyDescent="0.25" r="429" customHeight="1" ht="15.75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</row>
    <row x14ac:dyDescent="0.25" r="430" customHeight="1" ht="15.75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</row>
    <row x14ac:dyDescent="0.25" r="431" customHeight="1" ht="15.75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</row>
    <row x14ac:dyDescent="0.25" r="432" customHeight="1" ht="15.75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</row>
    <row x14ac:dyDescent="0.25" r="433" customHeight="1" ht="15.75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</row>
    <row x14ac:dyDescent="0.25" r="434" customHeight="1" ht="15.75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</row>
    <row x14ac:dyDescent="0.25" r="435" customHeight="1" ht="15.7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</row>
    <row x14ac:dyDescent="0.25" r="436" customHeight="1" ht="15.75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</row>
    <row x14ac:dyDescent="0.25" r="437" customHeight="1" ht="15.75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</row>
    <row x14ac:dyDescent="0.25" r="438" customHeight="1" ht="15.75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</row>
    <row x14ac:dyDescent="0.25" r="439" customHeight="1" ht="15.75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</row>
    <row x14ac:dyDescent="0.25" r="440" customHeight="1" ht="15.75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</row>
    <row x14ac:dyDescent="0.25" r="441" customHeight="1" ht="15.75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</row>
    <row x14ac:dyDescent="0.25" r="442" customHeight="1" ht="15.75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</row>
    <row x14ac:dyDescent="0.25" r="443" customHeight="1" ht="15.75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</row>
    <row x14ac:dyDescent="0.25" r="444" customHeight="1" ht="15.75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</row>
    <row x14ac:dyDescent="0.25" r="445" customHeight="1" ht="15.7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</row>
    <row x14ac:dyDescent="0.25" r="446" customHeight="1" ht="15.75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</row>
    <row x14ac:dyDescent="0.25" r="447" customHeight="1" ht="15.75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</row>
    <row x14ac:dyDescent="0.25" r="448" customHeight="1" ht="15.75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</row>
    <row x14ac:dyDescent="0.25" r="449" customHeight="1" ht="15.75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</row>
    <row x14ac:dyDescent="0.25" r="450" customHeight="1" ht="15.75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</row>
    <row x14ac:dyDescent="0.25" r="451" customHeight="1" ht="15.75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</row>
    <row x14ac:dyDescent="0.25" r="452" customHeight="1" ht="15.75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</row>
    <row x14ac:dyDescent="0.25" r="453" customHeight="1" ht="15.75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</row>
    <row x14ac:dyDescent="0.25" r="454" customHeight="1" ht="15.75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</row>
    <row x14ac:dyDescent="0.25" r="455" customHeight="1" ht="15.7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</row>
    <row x14ac:dyDescent="0.25" r="456" customHeight="1" ht="15.75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</row>
    <row x14ac:dyDescent="0.25" r="457" customHeight="1" ht="15.75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</row>
    <row x14ac:dyDescent="0.25" r="458" customHeight="1" ht="15.75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</row>
    <row x14ac:dyDescent="0.25" r="459" customHeight="1" ht="15.75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</row>
    <row x14ac:dyDescent="0.25" r="460" customHeight="1" ht="15.75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</row>
    <row x14ac:dyDescent="0.25" r="461" customHeight="1" ht="15.75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</row>
    <row x14ac:dyDescent="0.25" r="462" customHeight="1" ht="15.75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</row>
    <row x14ac:dyDescent="0.25" r="463" customHeight="1" ht="15.75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</row>
    <row x14ac:dyDescent="0.25" r="464" customHeight="1" ht="15.75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</row>
    <row x14ac:dyDescent="0.25" r="465" customHeight="1" ht="15.7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</row>
    <row x14ac:dyDescent="0.25" r="466" customHeight="1" ht="15.75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</row>
    <row x14ac:dyDescent="0.25" r="467" customHeight="1" ht="15.75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</row>
    <row x14ac:dyDescent="0.25" r="468" customHeight="1" ht="15.75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</row>
    <row x14ac:dyDescent="0.25" r="469" customHeight="1" ht="15.75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</row>
    <row x14ac:dyDescent="0.25" r="470" customHeight="1" ht="15.75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</row>
    <row x14ac:dyDescent="0.25" r="471" customHeight="1" ht="15.75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</row>
    <row x14ac:dyDescent="0.25" r="472" customHeight="1" ht="15.75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</row>
    <row x14ac:dyDescent="0.25" r="473" customHeight="1" ht="15.75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</row>
    <row x14ac:dyDescent="0.25" r="474" customHeight="1" ht="15.75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</row>
    <row x14ac:dyDescent="0.25" r="475" customHeight="1" ht="15.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</row>
    <row x14ac:dyDescent="0.25" r="476" customHeight="1" ht="15.75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</row>
    <row x14ac:dyDescent="0.25" r="477" customHeight="1" ht="15.75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</row>
    <row x14ac:dyDescent="0.25" r="478" customHeight="1" ht="15.75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</row>
    <row x14ac:dyDescent="0.25" r="479" customHeight="1" ht="15.75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</row>
    <row x14ac:dyDescent="0.25" r="480" customHeight="1" ht="15.75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</row>
    <row x14ac:dyDescent="0.25" r="481" customHeight="1" ht="15.75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</row>
    <row x14ac:dyDescent="0.25" r="482" customHeight="1" ht="15.75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</row>
    <row x14ac:dyDescent="0.25" r="483" customHeight="1" ht="15.75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</row>
    <row x14ac:dyDescent="0.25" r="484" customHeight="1" ht="15.75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</row>
    <row x14ac:dyDescent="0.25" r="485" customHeight="1" ht="15.7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</row>
    <row x14ac:dyDescent="0.25" r="486" customHeight="1" ht="15.75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</row>
    <row x14ac:dyDescent="0.25" r="487" customHeight="1" ht="15.75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</row>
    <row x14ac:dyDescent="0.25" r="488" customHeight="1" ht="15.75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</row>
    <row x14ac:dyDescent="0.25" r="489" customHeight="1" ht="15.75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</row>
    <row x14ac:dyDescent="0.25" r="490" customHeight="1" ht="15.75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</row>
    <row x14ac:dyDescent="0.25" r="491" customHeight="1" ht="15.75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</row>
    <row x14ac:dyDescent="0.25" r="492" customHeight="1" ht="15.75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</row>
    <row x14ac:dyDescent="0.25" r="493" customHeight="1" ht="15.75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</row>
    <row x14ac:dyDescent="0.25" r="494" customHeight="1" ht="15.75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</row>
    <row x14ac:dyDescent="0.25" r="495" customHeight="1" ht="15.7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</row>
    <row x14ac:dyDescent="0.25" r="496" customHeight="1" ht="15.75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</row>
    <row x14ac:dyDescent="0.25" r="497" customHeight="1" ht="15.75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</row>
    <row x14ac:dyDescent="0.25" r="498" customHeight="1" ht="15.75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</row>
    <row x14ac:dyDescent="0.25" r="499" customHeight="1" ht="15.75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</row>
    <row x14ac:dyDescent="0.25" r="500" customHeight="1" ht="15.75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</row>
    <row x14ac:dyDescent="0.25" r="501" customHeight="1" ht="15.75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</row>
    <row x14ac:dyDescent="0.25" r="502" customHeight="1" ht="15.75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</row>
    <row x14ac:dyDescent="0.25" r="503" customHeight="1" ht="15.75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</row>
    <row x14ac:dyDescent="0.25" r="504" customHeight="1" ht="15.75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</row>
    <row x14ac:dyDescent="0.25" r="505" customHeight="1" ht="15.7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</row>
    <row x14ac:dyDescent="0.25" r="506" customHeight="1" ht="15.75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</row>
    <row x14ac:dyDescent="0.25" r="507" customHeight="1" ht="15.75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</row>
    <row x14ac:dyDescent="0.25" r="508" customHeight="1" ht="15.75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</row>
    <row x14ac:dyDescent="0.25" r="509" customHeight="1" ht="15.75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</row>
    <row x14ac:dyDescent="0.25" r="510" customHeight="1" ht="15.75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</row>
    <row x14ac:dyDescent="0.25" r="511" customHeight="1" ht="15.75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</row>
    <row x14ac:dyDescent="0.25" r="512" customHeight="1" ht="15.75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</row>
    <row x14ac:dyDescent="0.25" r="513" customHeight="1" ht="15.75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</row>
    <row x14ac:dyDescent="0.25" r="514" customHeight="1" ht="15.75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</row>
    <row x14ac:dyDescent="0.25" r="515" customHeight="1" ht="15.7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</row>
    <row x14ac:dyDescent="0.25" r="516" customHeight="1" ht="15.75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</row>
    <row x14ac:dyDescent="0.25" r="517" customHeight="1" ht="15.75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</row>
    <row x14ac:dyDescent="0.25" r="518" customHeight="1" ht="15.75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</row>
    <row x14ac:dyDescent="0.25" r="519" customHeight="1" ht="15.75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</row>
    <row x14ac:dyDescent="0.25" r="520" customHeight="1" ht="15.75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</row>
    <row x14ac:dyDescent="0.25" r="521" customHeight="1" ht="15.75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</row>
    <row x14ac:dyDescent="0.25" r="522" customHeight="1" ht="15.75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</row>
    <row x14ac:dyDescent="0.25" r="523" customHeight="1" ht="15.75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</row>
    <row x14ac:dyDescent="0.25" r="524" customHeight="1" ht="15.75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</row>
    <row x14ac:dyDescent="0.25" r="525" customHeight="1" ht="15.7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</row>
    <row x14ac:dyDescent="0.25" r="526" customHeight="1" ht="15.75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</row>
    <row x14ac:dyDescent="0.25" r="527" customHeight="1" ht="15.75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</row>
    <row x14ac:dyDescent="0.25" r="528" customHeight="1" ht="15.75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</row>
    <row x14ac:dyDescent="0.25" r="529" customHeight="1" ht="15.75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</row>
    <row x14ac:dyDescent="0.25" r="530" customHeight="1" ht="15.75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</row>
    <row x14ac:dyDescent="0.25" r="531" customHeight="1" ht="15.75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</row>
    <row x14ac:dyDescent="0.25" r="532" customHeight="1" ht="15.75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</row>
    <row x14ac:dyDescent="0.25" r="533" customHeight="1" ht="15.75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</row>
    <row x14ac:dyDescent="0.25" r="534" customHeight="1" ht="15.75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</row>
    <row x14ac:dyDescent="0.25" r="535" customHeight="1" ht="15.7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</row>
    <row x14ac:dyDescent="0.25" r="536" customHeight="1" ht="15.75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</row>
    <row x14ac:dyDescent="0.25" r="537" customHeight="1" ht="15.75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</row>
    <row x14ac:dyDescent="0.25" r="538" customHeight="1" ht="15.75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</row>
    <row x14ac:dyDescent="0.25" r="539" customHeight="1" ht="15.75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</row>
    <row x14ac:dyDescent="0.25" r="540" customHeight="1" ht="15.75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</row>
    <row x14ac:dyDescent="0.25" r="541" customHeight="1" ht="15.75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</row>
    <row x14ac:dyDescent="0.25" r="542" customHeight="1" ht="15.75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</row>
    <row x14ac:dyDescent="0.25" r="543" customHeight="1" ht="15.75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</row>
    <row x14ac:dyDescent="0.25" r="544" customHeight="1" ht="15.75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</row>
    <row x14ac:dyDescent="0.25" r="545" customHeight="1" ht="15.7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</row>
    <row x14ac:dyDescent="0.25" r="546" customHeight="1" ht="15.75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</row>
    <row x14ac:dyDescent="0.25" r="547" customHeight="1" ht="15.75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</row>
    <row x14ac:dyDescent="0.25" r="548" customHeight="1" ht="15.75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</row>
    <row x14ac:dyDescent="0.25" r="549" customHeight="1" ht="15.75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</row>
    <row x14ac:dyDescent="0.25" r="550" customHeight="1" ht="15.75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</row>
    <row x14ac:dyDescent="0.25" r="551" customHeight="1" ht="15.75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</row>
    <row x14ac:dyDescent="0.25" r="552" customHeight="1" ht="15.75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</row>
    <row x14ac:dyDescent="0.25" r="553" customHeight="1" ht="15.75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</row>
    <row x14ac:dyDescent="0.25" r="554" customHeight="1" ht="15.75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</row>
    <row x14ac:dyDescent="0.25" r="555" customHeight="1" ht="15.7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</row>
    <row x14ac:dyDescent="0.25" r="556" customHeight="1" ht="15.75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</row>
    <row x14ac:dyDescent="0.25" r="557" customHeight="1" ht="15.75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</row>
    <row x14ac:dyDescent="0.25" r="558" customHeight="1" ht="15.75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</row>
    <row x14ac:dyDescent="0.25" r="559" customHeight="1" ht="15.75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</row>
    <row x14ac:dyDescent="0.25" r="560" customHeight="1" ht="15.75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</row>
    <row x14ac:dyDescent="0.25" r="561" customHeight="1" ht="15.75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</row>
    <row x14ac:dyDescent="0.25" r="562" customHeight="1" ht="15.75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</row>
    <row x14ac:dyDescent="0.25" r="563" customHeight="1" ht="15.75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</row>
    <row x14ac:dyDescent="0.25" r="564" customHeight="1" ht="15.75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</row>
    <row x14ac:dyDescent="0.25" r="565" customHeight="1" ht="15.7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</row>
    <row x14ac:dyDescent="0.25" r="566" customHeight="1" ht="15.75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</row>
    <row x14ac:dyDescent="0.25" r="567" customHeight="1" ht="15.75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</row>
    <row x14ac:dyDescent="0.25" r="568" customHeight="1" ht="15.75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</row>
    <row x14ac:dyDescent="0.25" r="569" customHeight="1" ht="15.75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</row>
    <row x14ac:dyDescent="0.25" r="570" customHeight="1" ht="15.75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</row>
    <row x14ac:dyDescent="0.25" r="571" customHeight="1" ht="15.75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</row>
    <row x14ac:dyDescent="0.25" r="572" customHeight="1" ht="15.75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</row>
    <row x14ac:dyDescent="0.25" r="573" customHeight="1" ht="15.75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</row>
    <row x14ac:dyDescent="0.25" r="574" customHeight="1" ht="15.75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</row>
    <row x14ac:dyDescent="0.25" r="575" customHeight="1" ht="15.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</row>
    <row x14ac:dyDescent="0.25" r="576" customHeight="1" ht="15.75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</row>
    <row x14ac:dyDescent="0.25" r="577" customHeight="1" ht="15.75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</row>
    <row x14ac:dyDescent="0.25" r="578" customHeight="1" ht="15.75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</row>
    <row x14ac:dyDescent="0.25" r="579" customHeight="1" ht="15.75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</row>
    <row x14ac:dyDescent="0.25" r="580" customHeight="1" ht="15.75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</row>
    <row x14ac:dyDescent="0.25" r="581" customHeight="1" ht="15.75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</row>
    <row x14ac:dyDescent="0.25" r="582" customHeight="1" ht="15.75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</row>
    <row x14ac:dyDescent="0.25" r="583" customHeight="1" ht="15.75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</row>
    <row x14ac:dyDescent="0.25" r="584" customHeight="1" ht="15.75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</row>
    <row x14ac:dyDescent="0.25" r="585" customHeight="1" ht="15.7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</row>
    <row x14ac:dyDescent="0.25" r="586" customHeight="1" ht="15.75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</row>
    <row x14ac:dyDescent="0.25" r="587" customHeight="1" ht="15.75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</row>
    <row x14ac:dyDescent="0.25" r="588" customHeight="1" ht="15.75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</row>
    <row x14ac:dyDescent="0.25" r="589" customHeight="1" ht="15.75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</row>
    <row x14ac:dyDescent="0.25" r="590" customHeight="1" ht="15.75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</row>
    <row x14ac:dyDescent="0.25" r="591" customHeight="1" ht="15.75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</row>
    <row x14ac:dyDescent="0.25" r="592" customHeight="1" ht="15.75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</row>
    <row x14ac:dyDescent="0.25" r="593" customHeight="1" ht="15.75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</row>
    <row x14ac:dyDescent="0.25" r="594" customHeight="1" ht="15.75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</row>
    <row x14ac:dyDescent="0.25" r="595" customHeight="1" ht="15.7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</row>
    <row x14ac:dyDescent="0.25" r="596" customHeight="1" ht="15.75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</row>
    <row x14ac:dyDescent="0.25" r="597" customHeight="1" ht="15.75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</row>
    <row x14ac:dyDescent="0.25" r="598" customHeight="1" ht="15.75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</row>
    <row x14ac:dyDescent="0.25" r="599" customHeight="1" ht="15.75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</row>
    <row x14ac:dyDescent="0.25" r="600" customHeight="1" ht="15.75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</row>
    <row x14ac:dyDescent="0.25" r="601" customHeight="1" ht="15.75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</row>
    <row x14ac:dyDescent="0.25" r="602" customHeight="1" ht="15.75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</row>
    <row x14ac:dyDescent="0.25" r="603" customHeight="1" ht="15.75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</row>
    <row x14ac:dyDescent="0.25" r="604" customHeight="1" ht="15.75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</row>
    <row x14ac:dyDescent="0.25" r="605" customHeight="1" ht="15.7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</row>
    <row x14ac:dyDescent="0.25" r="606" customHeight="1" ht="15.75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</row>
    <row x14ac:dyDescent="0.25" r="607" customHeight="1" ht="15.75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</row>
    <row x14ac:dyDescent="0.25" r="608" customHeight="1" ht="15.75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</row>
    <row x14ac:dyDescent="0.25" r="609" customHeight="1" ht="15.75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</row>
    <row x14ac:dyDescent="0.25" r="610" customHeight="1" ht="15.75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</row>
    <row x14ac:dyDescent="0.25" r="611" customHeight="1" ht="15.75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</row>
    <row x14ac:dyDescent="0.25" r="612" customHeight="1" ht="15.75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</row>
    <row x14ac:dyDescent="0.25" r="613" customHeight="1" ht="15.75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</row>
    <row x14ac:dyDescent="0.25" r="614" customHeight="1" ht="15.75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</row>
    <row x14ac:dyDescent="0.25" r="615" customHeight="1" ht="15.7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</row>
    <row x14ac:dyDescent="0.25" r="616" customHeight="1" ht="15.75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</row>
    <row x14ac:dyDescent="0.25" r="617" customHeight="1" ht="15.75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</row>
    <row x14ac:dyDescent="0.25" r="618" customHeight="1" ht="15.75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</row>
    <row x14ac:dyDescent="0.25" r="619" customHeight="1" ht="15.75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</row>
    <row x14ac:dyDescent="0.25" r="620" customHeight="1" ht="15.75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</row>
    <row x14ac:dyDescent="0.25" r="621" customHeight="1" ht="15.75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</row>
    <row x14ac:dyDescent="0.25" r="622" customHeight="1" ht="15.75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</row>
    <row x14ac:dyDescent="0.25" r="623" customHeight="1" ht="15.75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</row>
    <row x14ac:dyDescent="0.25" r="624" customHeight="1" ht="15.75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</row>
    <row x14ac:dyDescent="0.25" r="625" customHeight="1" ht="15.7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</row>
    <row x14ac:dyDescent="0.25" r="626" customHeight="1" ht="15.75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</row>
    <row x14ac:dyDescent="0.25" r="627" customHeight="1" ht="15.75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</row>
    <row x14ac:dyDescent="0.25" r="628" customHeight="1" ht="15.75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</row>
    <row x14ac:dyDescent="0.25" r="629" customHeight="1" ht="15.75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</row>
    <row x14ac:dyDescent="0.25" r="630" customHeight="1" ht="15.75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</row>
    <row x14ac:dyDescent="0.25" r="631" customHeight="1" ht="15.75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</row>
    <row x14ac:dyDescent="0.25" r="632" customHeight="1" ht="15.75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</row>
    <row x14ac:dyDescent="0.25" r="633" customHeight="1" ht="15.75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</row>
    <row x14ac:dyDescent="0.25" r="634" customHeight="1" ht="15.75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</row>
    <row x14ac:dyDescent="0.25" r="635" customHeight="1" ht="15.7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</row>
    <row x14ac:dyDescent="0.25" r="636" customHeight="1" ht="15.75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</row>
    <row x14ac:dyDescent="0.25" r="637" customHeight="1" ht="15.75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</row>
    <row x14ac:dyDescent="0.25" r="638" customHeight="1" ht="15.75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</row>
    <row x14ac:dyDescent="0.25" r="639" customHeight="1" ht="15.75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</row>
    <row x14ac:dyDescent="0.25" r="640" customHeight="1" ht="15.75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</row>
    <row x14ac:dyDescent="0.25" r="641" customHeight="1" ht="15.75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</row>
    <row x14ac:dyDescent="0.25" r="642" customHeight="1" ht="15.75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</row>
    <row x14ac:dyDescent="0.25" r="643" customHeight="1" ht="15.75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</row>
    <row x14ac:dyDescent="0.25" r="644" customHeight="1" ht="15.75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</row>
    <row x14ac:dyDescent="0.25" r="645" customHeight="1" ht="15.7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</row>
    <row x14ac:dyDescent="0.25" r="646" customHeight="1" ht="15.75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</row>
    <row x14ac:dyDescent="0.25" r="647" customHeight="1" ht="15.75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</row>
    <row x14ac:dyDescent="0.25" r="648" customHeight="1" ht="15.75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</row>
    <row x14ac:dyDescent="0.25" r="649" customHeight="1" ht="15.75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</row>
    <row x14ac:dyDescent="0.25" r="650" customHeight="1" ht="15.75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</row>
    <row x14ac:dyDescent="0.25" r="651" customHeight="1" ht="15.75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</row>
    <row x14ac:dyDescent="0.25" r="652" customHeight="1" ht="15.75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</row>
    <row x14ac:dyDescent="0.25" r="653" customHeight="1" ht="15.75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</row>
    <row x14ac:dyDescent="0.25" r="654" customHeight="1" ht="15.75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</row>
    <row x14ac:dyDescent="0.25" r="655" customHeight="1" ht="15.7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</row>
    <row x14ac:dyDescent="0.25" r="656" customHeight="1" ht="15.75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</row>
    <row x14ac:dyDescent="0.25" r="657" customHeight="1" ht="15.75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</row>
    <row x14ac:dyDescent="0.25" r="658" customHeight="1" ht="15.75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</row>
    <row x14ac:dyDescent="0.25" r="659" customHeight="1" ht="15.75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</row>
    <row x14ac:dyDescent="0.25" r="660" customHeight="1" ht="15.75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</row>
    <row x14ac:dyDescent="0.25" r="661" customHeight="1" ht="15.75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</row>
    <row x14ac:dyDescent="0.25" r="662" customHeight="1" ht="15.75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</row>
    <row x14ac:dyDescent="0.25" r="663" customHeight="1" ht="15.75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</row>
    <row x14ac:dyDescent="0.25" r="664" customHeight="1" ht="15.75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</row>
    <row x14ac:dyDescent="0.25" r="665" customHeight="1" ht="15.7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</row>
    <row x14ac:dyDescent="0.25" r="666" customHeight="1" ht="15.75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</row>
    <row x14ac:dyDescent="0.25" r="667" customHeight="1" ht="15.75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</row>
    <row x14ac:dyDescent="0.25" r="668" customHeight="1" ht="15.75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</row>
    <row x14ac:dyDescent="0.25" r="669" customHeight="1" ht="15.75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</row>
    <row x14ac:dyDescent="0.25" r="670" customHeight="1" ht="15.75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</row>
    <row x14ac:dyDescent="0.25" r="671" customHeight="1" ht="15.75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</row>
    <row x14ac:dyDescent="0.25" r="672" customHeight="1" ht="15.75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</row>
    <row x14ac:dyDescent="0.25" r="673" customHeight="1" ht="15.75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</row>
    <row x14ac:dyDescent="0.25" r="674" customHeight="1" ht="15.75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</row>
    <row x14ac:dyDescent="0.25" r="675" customHeight="1" ht="15.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</row>
    <row x14ac:dyDescent="0.25" r="676" customHeight="1" ht="15.75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</row>
    <row x14ac:dyDescent="0.25" r="677" customHeight="1" ht="15.75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</row>
    <row x14ac:dyDescent="0.25" r="678" customHeight="1" ht="15.75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</row>
    <row x14ac:dyDescent="0.25" r="679" customHeight="1" ht="15.75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</row>
    <row x14ac:dyDescent="0.25" r="680" customHeight="1" ht="15.75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</row>
    <row x14ac:dyDescent="0.25" r="681" customHeight="1" ht="15.75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</row>
    <row x14ac:dyDescent="0.25" r="682" customHeight="1" ht="15.75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</row>
    <row x14ac:dyDescent="0.25" r="683" customHeight="1" ht="15.75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</row>
    <row x14ac:dyDescent="0.25" r="684" customHeight="1" ht="15.75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</row>
    <row x14ac:dyDescent="0.25" r="685" customHeight="1" ht="15.7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</row>
    <row x14ac:dyDescent="0.25" r="686" customHeight="1" ht="15.75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</row>
    <row x14ac:dyDescent="0.25" r="687" customHeight="1" ht="15.75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</row>
    <row x14ac:dyDescent="0.25" r="688" customHeight="1" ht="15.75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</row>
    <row x14ac:dyDescent="0.25" r="689" customHeight="1" ht="15.75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</row>
    <row x14ac:dyDescent="0.25" r="690" customHeight="1" ht="15.75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</row>
    <row x14ac:dyDescent="0.25" r="691" customHeight="1" ht="15.75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</row>
    <row x14ac:dyDescent="0.25" r="692" customHeight="1" ht="15.75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</row>
    <row x14ac:dyDescent="0.25" r="693" customHeight="1" ht="15.75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</row>
    <row x14ac:dyDescent="0.25" r="694" customHeight="1" ht="15.75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</row>
    <row x14ac:dyDescent="0.25" r="695" customHeight="1" ht="15.7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</row>
    <row x14ac:dyDescent="0.25" r="696" customHeight="1" ht="15.75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</row>
    <row x14ac:dyDescent="0.25" r="697" customHeight="1" ht="15.75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</row>
    <row x14ac:dyDescent="0.25" r="698" customHeight="1" ht="15.75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</row>
    <row x14ac:dyDescent="0.25" r="699" customHeight="1" ht="15.75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</row>
    <row x14ac:dyDescent="0.25" r="700" customHeight="1" ht="15.75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</row>
    <row x14ac:dyDescent="0.25" r="701" customHeight="1" ht="15.75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</row>
    <row x14ac:dyDescent="0.25" r="702" customHeight="1" ht="15.75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</row>
    <row x14ac:dyDescent="0.25" r="703" customHeight="1" ht="15.75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</row>
    <row x14ac:dyDescent="0.25" r="704" customHeight="1" ht="15.75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</row>
    <row x14ac:dyDescent="0.25" r="705" customHeight="1" ht="15.7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</row>
    <row x14ac:dyDescent="0.25" r="706" customHeight="1" ht="15.75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</row>
    <row x14ac:dyDescent="0.25" r="707" customHeight="1" ht="15.75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</row>
    <row x14ac:dyDescent="0.25" r="708" customHeight="1" ht="15.75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</row>
    <row x14ac:dyDescent="0.25" r="709" customHeight="1" ht="15.75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</row>
    <row x14ac:dyDescent="0.25" r="710" customHeight="1" ht="15.75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</row>
    <row x14ac:dyDescent="0.25" r="711" customHeight="1" ht="15.75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</row>
    <row x14ac:dyDescent="0.25" r="712" customHeight="1" ht="15.75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</row>
    <row x14ac:dyDescent="0.25" r="713" customHeight="1" ht="15.75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</row>
    <row x14ac:dyDescent="0.25" r="714" customHeight="1" ht="15.75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</row>
    <row x14ac:dyDescent="0.25" r="715" customHeight="1" ht="15.7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</row>
    <row x14ac:dyDescent="0.25" r="716" customHeight="1" ht="15.75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</row>
    <row x14ac:dyDescent="0.25" r="717" customHeight="1" ht="15.75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</row>
    <row x14ac:dyDescent="0.25" r="718" customHeight="1" ht="15.75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</row>
    <row x14ac:dyDescent="0.25" r="719" customHeight="1" ht="15.75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</row>
    <row x14ac:dyDescent="0.25" r="720" customHeight="1" ht="15.75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</row>
    <row x14ac:dyDescent="0.25" r="721" customHeight="1" ht="15.75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</row>
    <row x14ac:dyDescent="0.25" r="722" customHeight="1" ht="15.75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</row>
    <row x14ac:dyDescent="0.25" r="723" customHeight="1" ht="15.75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</row>
    <row x14ac:dyDescent="0.25" r="724" customHeight="1" ht="15.75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</row>
    <row x14ac:dyDescent="0.25" r="725" customHeight="1" ht="15.7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</row>
    <row x14ac:dyDescent="0.25" r="726" customHeight="1" ht="15.75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</row>
    <row x14ac:dyDescent="0.25" r="727" customHeight="1" ht="15.75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</row>
    <row x14ac:dyDescent="0.25" r="728" customHeight="1" ht="15.75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</row>
    <row x14ac:dyDescent="0.25" r="729" customHeight="1" ht="15.75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</row>
    <row x14ac:dyDescent="0.25" r="730" customHeight="1" ht="15.75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</row>
    <row x14ac:dyDescent="0.25" r="731" customHeight="1" ht="15.75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</row>
    <row x14ac:dyDescent="0.25" r="732" customHeight="1" ht="15.75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</row>
    <row x14ac:dyDescent="0.25" r="733" customHeight="1" ht="15.75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</row>
    <row x14ac:dyDescent="0.25" r="734" customHeight="1" ht="15.75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</row>
    <row x14ac:dyDescent="0.25" r="735" customHeight="1" ht="15.7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</row>
    <row x14ac:dyDescent="0.25" r="736" customHeight="1" ht="15.75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</row>
    <row x14ac:dyDescent="0.25" r="737" customHeight="1" ht="15.75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</row>
    <row x14ac:dyDescent="0.25" r="738" customHeight="1" ht="15.75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</row>
    <row x14ac:dyDescent="0.25" r="739" customHeight="1" ht="15.75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</row>
    <row x14ac:dyDescent="0.25" r="740" customHeight="1" ht="15.75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</row>
    <row x14ac:dyDescent="0.25" r="741" customHeight="1" ht="15.75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</row>
    <row x14ac:dyDescent="0.25" r="742" customHeight="1" ht="15.75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</row>
    <row x14ac:dyDescent="0.25" r="743" customHeight="1" ht="15.75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</row>
    <row x14ac:dyDescent="0.25" r="744" customHeight="1" ht="15.75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</row>
    <row x14ac:dyDescent="0.25" r="745" customHeight="1" ht="15.7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</row>
    <row x14ac:dyDescent="0.25" r="746" customHeight="1" ht="15.75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</row>
    <row x14ac:dyDescent="0.25" r="747" customHeight="1" ht="15.75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</row>
    <row x14ac:dyDescent="0.25" r="748" customHeight="1" ht="15.75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</row>
    <row x14ac:dyDescent="0.25" r="749" customHeight="1" ht="15.75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</row>
    <row x14ac:dyDescent="0.25" r="750" customHeight="1" ht="15.75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</row>
    <row x14ac:dyDescent="0.25" r="751" customHeight="1" ht="15.75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</row>
    <row x14ac:dyDescent="0.25" r="752" customHeight="1" ht="15.75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</row>
    <row x14ac:dyDescent="0.25" r="753" customHeight="1" ht="15.75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</row>
    <row x14ac:dyDescent="0.25" r="754" customHeight="1" ht="15.75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</row>
    <row x14ac:dyDescent="0.25" r="755" customHeight="1" ht="15.7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</row>
    <row x14ac:dyDescent="0.25" r="756" customHeight="1" ht="15.75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</row>
    <row x14ac:dyDescent="0.25" r="757" customHeight="1" ht="15.75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</row>
    <row x14ac:dyDescent="0.25" r="758" customHeight="1" ht="15.75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</row>
    <row x14ac:dyDescent="0.25" r="759" customHeight="1" ht="15.75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</row>
    <row x14ac:dyDescent="0.25" r="760" customHeight="1" ht="15.75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</row>
    <row x14ac:dyDescent="0.25" r="761" customHeight="1" ht="15.75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</row>
    <row x14ac:dyDescent="0.25" r="762" customHeight="1" ht="15.75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</row>
    <row x14ac:dyDescent="0.25" r="763" customHeight="1" ht="15.75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</row>
    <row x14ac:dyDescent="0.25" r="764" customHeight="1" ht="15.75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</row>
    <row x14ac:dyDescent="0.25" r="765" customHeight="1" ht="15.7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</row>
    <row x14ac:dyDescent="0.25" r="766" customHeight="1" ht="15.75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</row>
    <row x14ac:dyDescent="0.25" r="767" customHeight="1" ht="15.75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</row>
    <row x14ac:dyDescent="0.25" r="768" customHeight="1" ht="15.75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</row>
    <row x14ac:dyDescent="0.25" r="769" customHeight="1" ht="15.75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</row>
    <row x14ac:dyDescent="0.25" r="770" customHeight="1" ht="15.75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</row>
    <row x14ac:dyDescent="0.25" r="771" customHeight="1" ht="15.75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</row>
    <row x14ac:dyDescent="0.25" r="772" customHeight="1" ht="15.75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</row>
    <row x14ac:dyDescent="0.25" r="773" customHeight="1" ht="15.75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</row>
    <row x14ac:dyDescent="0.25" r="774" customHeight="1" ht="15.75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</row>
    <row x14ac:dyDescent="0.25" r="775" customHeight="1" ht="15.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</row>
    <row x14ac:dyDescent="0.25" r="776" customHeight="1" ht="15.75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</row>
    <row x14ac:dyDescent="0.25" r="777" customHeight="1" ht="15.75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</row>
    <row x14ac:dyDescent="0.25" r="778" customHeight="1" ht="15.75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</row>
    <row x14ac:dyDescent="0.25" r="779" customHeight="1" ht="15.75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</row>
    <row x14ac:dyDescent="0.25" r="780" customHeight="1" ht="15.75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</row>
    <row x14ac:dyDescent="0.25" r="781" customHeight="1" ht="15.75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</row>
    <row x14ac:dyDescent="0.25" r="782" customHeight="1" ht="15.75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</row>
    <row x14ac:dyDescent="0.25" r="783" customHeight="1" ht="15.75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</row>
    <row x14ac:dyDescent="0.25" r="784" customHeight="1" ht="15.75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</row>
    <row x14ac:dyDescent="0.25" r="785" customHeight="1" ht="15.7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</row>
    <row x14ac:dyDescent="0.25" r="786" customHeight="1" ht="15.75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</row>
    <row x14ac:dyDescent="0.25" r="787" customHeight="1" ht="15.75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</row>
    <row x14ac:dyDescent="0.25" r="788" customHeight="1" ht="15.75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</row>
    <row x14ac:dyDescent="0.25" r="789" customHeight="1" ht="15.75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</row>
    <row x14ac:dyDescent="0.25" r="790" customHeight="1" ht="15.75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</row>
    <row x14ac:dyDescent="0.25" r="791" customHeight="1" ht="15.75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</row>
    <row x14ac:dyDescent="0.25" r="792" customHeight="1" ht="15.75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</row>
    <row x14ac:dyDescent="0.25" r="793" customHeight="1" ht="15.75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</row>
    <row x14ac:dyDescent="0.25" r="794" customHeight="1" ht="15.75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</row>
    <row x14ac:dyDescent="0.25" r="795" customHeight="1" ht="15.7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</row>
    <row x14ac:dyDescent="0.25" r="796" customHeight="1" ht="15.75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</row>
    <row x14ac:dyDescent="0.25" r="797" customHeight="1" ht="15.75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</row>
    <row x14ac:dyDescent="0.25" r="798" customHeight="1" ht="15.75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</row>
    <row x14ac:dyDescent="0.25" r="799" customHeight="1" ht="15.75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</row>
    <row x14ac:dyDescent="0.25" r="800" customHeight="1" ht="15.75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</row>
    <row x14ac:dyDescent="0.25" r="801" customHeight="1" ht="15.75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</row>
    <row x14ac:dyDescent="0.25" r="802" customHeight="1" ht="15.75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</row>
    <row x14ac:dyDescent="0.25" r="803" customHeight="1" ht="15.75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</row>
    <row x14ac:dyDescent="0.25" r="804" customHeight="1" ht="15.75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</row>
    <row x14ac:dyDescent="0.25" r="805" customHeight="1" ht="15.7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</row>
    <row x14ac:dyDescent="0.25" r="806" customHeight="1" ht="15.75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</row>
    <row x14ac:dyDescent="0.25" r="807" customHeight="1" ht="15.75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</row>
    <row x14ac:dyDescent="0.25" r="808" customHeight="1" ht="15.75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</row>
    <row x14ac:dyDescent="0.25" r="809" customHeight="1" ht="15.75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</row>
    <row x14ac:dyDescent="0.25" r="810" customHeight="1" ht="15.75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</row>
    <row x14ac:dyDescent="0.25" r="811" customHeight="1" ht="15.75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</row>
    <row x14ac:dyDescent="0.25" r="812" customHeight="1" ht="15.75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</row>
    <row x14ac:dyDescent="0.25" r="813" customHeight="1" ht="15.75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</row>
    <row x14ac:dyDescent="0.25" r="814" customHeight="1" ht="15.75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</row>
    <row x14ac:dyDescent="0.25" r="815" customHeight="1" ht="15.7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</row>
    <row x14ac:dyDescent="0.25" r="816" customHeight="1" ht="15.75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</row>
    <row x14ac:dyDescent="0.25" r="817" customHeight="1" ht="15.75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</row>
    <row x14ac:dyDescent="0.25" r="818" customHeight="1" ht="15.75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</row>
    <row x14ac:dyDescent="0.25" r="819" customHeight="1" ht="15.75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</row>
    <row x14ac:dyDescent="0.25" r="820" customHeight="1" ht="15.75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</row>
    <row x14ac:dyDescent="0.25" r="821" customHeight="1" ht="15.75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</row>
    <row x14ac:dyDescent="0.25" r="822" customHeight="1" ht="15.75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</row>
    <row x14ac:dyDescent="0.25" r="823" customHeight="1" ht="15.75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</row>
    <row x14ac:dyDescent="0.25" r="824" customHeight="1" ht="15.75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</row>
    <row x14ac:dyDescent="0.25" r="825" customHeight="1" ht="15.7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</row>
    <row x14ac:dyDescent="0.25" r="826" customHeight="1" ht="15.75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</row>
    <row x14ac:dyDescent="0.25" r="827" customHeight="1" ht="15.75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</row>
    <row x14ac:dyDescent="0.25" r="828" customHeight="1" ht="15.75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</row>
    <row x14ac:dyDescent="0.25" r="829" customHeight="1" ht="15.75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</row>
    <row x14ac:dyDescent="0.25" r="830" customHeight="1" ht="15.75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</row>
    <row x14ac:dyDescent="0.25" r="831" customHeight="1" ht="15.75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</row>
    <row x14ac:dyDescent="0.25" r="832" customHeight="1" ht="15.75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</row>
    <row x14ac:dyDescent="0.25" r="833" customHeight="1" ht="15.75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</row>
    <row x14ac:dyDescent="0.25" r="834" customHeight="1" ht="15.75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</row>
    <row x14ac:dyDescent="0.25" r="835" customHeight="1" ht="15.7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</row>
    <row x14ac:dyDescent="0.25" r="836" customHeight="1" ht="15.75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</row>
    <row x14ac:dyDescent="0.25" r="837" customHeight="1" ht="15.75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</row>
    <row x14ac:dyDescent="0.25" r="838" customHeight="1" ht="15.75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</row>
    <row x14ac:dyDescent="0.25" r="839" customHeight="1" ht="15.75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</row>
    <row x14ac:dyDescent="0.25" r="840" customHeight="1" ht="15.75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</row>
    <row x14ac:dyDescent="0.25" r="841" customHeight="1" ht="15.75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</row>
    <row x14ac:dyDescent="0.25" r="842" customHeight="1" ht="15.75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</row>
    <row x14ac:dyDescent="0.25" r="843" customHeight="1" ht="15.75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</row>
    <row x14ac:dyDescent="0.25" r="844" customHeight="1" ht="15.75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</row>
    <row x14ac:dyDescent="0.25" r="845" customHeight="1" ht="15.7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</row>
    <row x14ac:dyDescent="0.25" r="846" customHeight="1" ht="15.75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</row>
    <row x14ac:dyDescent="0.25" r="847" customHeight="1" ht="15.75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</row>
    <row x14ac:dyDescent="0.25" r="848" customHeight="1" ht="15.75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</row>
    <row x14ac:dyDescent="0.25" r="849" customHeight="1" ht="15.75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</row>
    <row x14ac:dyDescent="0.25" r="850" customHeight="1" ht="15.75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</row>
    <row x14ac:dyDescent="0.25" r="851" customHeight="1" ht="15.75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</row>
    <row x14ac:dyDescent="0.25" r="852" customHeight="1" ht="15.75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</row>
    <row x14ac:dyDescent="0.25" r="853" customHeight="1" ht="15.75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</row>
    <row x14ac:dyDescent="0.25" r="854" customHeight="1" ht="15.75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</row>
    <row x14ac:dyDescent="0.25" r="855" customHeight="1" ht="15.7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</row>
    <row x14ac:dyDescent="0.25" r="856" customHeight="1" ht="15.75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</row>
    <row x14ac:dyDescent="0.25" r="857" customHeight="1" ht="15.75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</row>
    <row x14ac:dyDescent="0.25" r="858" customHeight="1" ht="15.75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</row>
    <row x14ac:dyDescent="0.25" r="859" customHeight="1" ht="15.75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</row>
    <row x14ac:dyDescent="0.25" r="860" customHeight="1" ht="15.75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</row>
    <row x14ac:dyDescent="0.25" r="861" customHeight="1" ht="15.75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</row>
    <row x14ac:dyDescent="0.25" r="862" customHeight="1" ht="15.75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</row>
    <row x14ac:dyDescent="0.25" r="863" customHeight="1" ht="15.75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</row>
    <row x14ac:dyDescent="0.25" r="864" customHeight="1" ht="15.75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</row>
    <row x14ac:dyDescent="0.25" r="865" customHeight="1" ht="15.7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</row>
    <row x14ac:dyDescent="0.25" r="866" customHeight="1" ht="15.75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</row>
    <row x14ac:dyDescent="0.25" r="867" customHeight="1" ht="15.75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</row>
    <row x14ac:dyDescent="0.25" r="868" customHeight="1" ht="15.75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</row>
    <row x14ac:dyDescent="0.25" r="869" customHeight="1" ht="15.75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</row>
    <row x14ac:dyDescent="0.25" r="870" customHeight="1" ht="15.75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</row>
    <row x14ac:dyDescent="0.25" r="871" customHeight="1" ht="15.75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</row>
    <row x14ac:dyDescent="0.25" r="872" customHeight="1" ht="15.75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</row>
    <row x14ac:dyDescent="0.25" r="873" customHeight="1" ht="15.75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</row>
    <row x14ac:dyDescent="0.25" r="874" customHeight="1" ht="15.75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</row>
    <row x14ac:dyDescent="0.25" r="875" customHeight="1" ht="15.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</row>
    <row x14ac:dyDescent="0.25" r="876" customHeight="1" ht="15.75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</row>
    <row x14ac:dyDescent="0.25" r="877" customHeight="1" ht="15.75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</row>
    <row x14ac:dyDescent="0.25" r="878" customHeight="1" ht="15.75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</row>
    <row x14ac:dyDescent="0.25" r="879" customHeight="1" ht="15.75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</row>
    <row x14ac:dyDescent="0.25" r="880" customHeight="1" ht="15.75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</row>
    <row x14ac:dyDescent="0.25" r="881" customHeight="1" ht="15.75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</row>
    <row x14ac:dyDescent="0.25" r="882" customHeight="1" ht="15.75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</row>
    <row x14ac:dyDescent="0.25" r="883" customHeight="1" ht="15.75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</row>
    <row x14ac:dyDescent="0.25" r="884" customHeight="1" ht="15.75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</row>
    <row x14ac:dyDescent="0.25" r="885" customHeight="1" ht="15.7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</row>
    <row x14ac:dyDescent="0.25" r="886" customHeight="1" ht="15.75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</row>
    <row x14ac:dyDescent="0.25" r="887" customHeight="1" ht="15.75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</row>
    <row x14ac:dyDescent="0.25" r="888" customHeight="1" ht="15.75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</row>
    <row x14ac:dyDescent="0.25" r="889" customHeight="1" ht="15.75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</row>
    <row x14ac:dyDescent="0.25" r="890" customHeight="1" ht="15.75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</row>
    <row x14ac:dyDescent="0.25" r="891" customHeight="1" ht="15.75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</row>
    <row x14ac:dyDescent="0.25" r="892" customHeight="1" ht="15.75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</row>
    <row x14ac:dyDescent="0.25" r="893" customHeight="1" ht="15.75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</row>
    <row x14ac:dyDescent="0.25" r="894" customHeight="1" ht="15.75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</row>
    <row x14ac:dyDescent="0.25" r="895" customHeight="1" ht="15.7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</row>
    <row x14ac:dyDescent="0.25" r="896" customHeight="1" ht="15.75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</row>
    <row x14ac:dyDescent="0.25" r="897" customHeight="1" ht="15.75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</row>
    <row x14ac:dyDescent="0.25" r="898" customHeight="1" ht="15.75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</row>
    <row x14ac:dyDescent="0.25" r="899" customHeight="1" ht="15.75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</row>
    <row x14ac:dyDescent="0.25" r="900" customHeight="1" ht="15.75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</row>
    <row x14ac:dyDescent="0.25" r="901" customHeight="1" ht="15.75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</row>
    <row x14ac:dyDescent="0.25" r="902" customHeight="1" ht="15.75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</row>
    <row x14ac:dyDescent="0.25" r="903" customHeight="1" ht="15.75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</row>
    <row x14ac:dyDescent="0.25" r="904" customHeight="1" ht="15.75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</row>
    <row x14ac:dyDescent="0.25" r="905" customHeight="1" ht="15.7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</row>
    <row x14ac:dyDescent="0.25" r="906" customHeight="1" ht="15.75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</row>
    <row x14ac:dyDescent="0.25" r="907" customHeight="1" ht="15.75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</row>
    <row x14ac:dyDescent="0.25" r="908" customHeight="1" ht="15.75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</row>
    <row x14ac:dyDescent="0.25" r="909" customHeight="1" ht="15.75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</row>
    <row x14ac:dyDescent="0.25" r="910" customHeight="1" ht="15.75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</row>
    <row x14ac:dyDescent="0.25" r="911" customHeight="1" ht="15.75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</row>
    <row x14ac:dyDescent="0.25" r="912" customHeight="1" ht="15.75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</row>
    <row x14ac:dyDescent="0.25" r="913" customHeight="1" ht="15.75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</row>
    <row x14ac:dyDescent="0.25" r="914" customHeight="1" ht="15.75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</row>
    <row x14ac:dyDescent="0.25" r="915" customHeight="1" ht="15.7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</row>
    <row x14ac:dyDescent="0.25" r="916" customHeight="1" ht="15.75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</row>
    <row x14ac:dyDescent="0.25" r="917" customHeight="1" ht="15.75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</row>
    <row x14ac:dyDescent="0.25" r="918" customHeight="1" ht="15.75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</row>
    <row x14ac:dyDescent="0.25" r="919" customHeight="1" ht="15.75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</row>
    <row x14ac:dyDescent="0.25" r="920" customHeight="1" ht="15.75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</row>
    <row x14ac:dyDescent="0.25" r="921" customHeight="1" ht="15.75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</row>
    <row x14ac:dyDescent="0.25" r="922" customHeight="1" ht="15.75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</row>
    <row x14ac:dyDescent="0.25" r="923" customHeight="1" ht="15.75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</row>
    <row x14ac:dyDescent="0.25" r="924" customHeight="1" ht="15.75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</row>
    <row x14ac:dyDescent="0.25" r="925" customHeight="1" ht="15.7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</row>
    <row x14ac:dyDescent="0.25" r="926" customHeight="1" ht="15.75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</row>
    <row x14ac:dyDescent="0.25" r="927" customHeight="1" ht="15.75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</row>
    <row x14ac:dyDescent="0.25" r="928" customHeight="1" ht="15.75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</row>
    <row x14ac:dyDescent="0.25" r="929" customHeight="1" ht="15.75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</row>
    <row x14ac:dyDescent="0.25" r="930" customHeight="1" ht="15.75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</row>
    <row x14ac:dyDescent="0.25" r="931" customHeight="1" ht="15.75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</row>
    <row x14ac:dyDescent="0.25" r="932" customHeight="1" ht="15.75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</row>
    <row x14ac:dyDescent="0.25" r="933" customHeight="1" ht="15.75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</row>
    <row x14ac:dyDescent="0.25" r="934" customHeight="1" ht="15.75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</row>
    <row x14ac:dyDescent="0.25" r="935" customHeight="1" ht="15.7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</row>
    <row x14ac:dyDescent="0.25" r="936" customHeight="1" ht="15.75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</row>
    <row x14ac:dyDescent="0.25" r="937" customHeight="1" ht="15.75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</row>
    <row x14ac:dyDescent="0.25" r="938" customHeight="1" ht="15.75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</row>
    <row x14ac:dyDescent="0.25" r="939" customHeight="1" ht="15.75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</row>
    <row x14ac:dyDescent="0.25" r="940" customHeight="1" ht="15.75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</row>
    <row x14ac:dyDescent="0.25" r="941" customHeight="1" ht="15.75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</row>
    <row x14ac:dyDescent="0.25" r="942" customHeight="1" ht="15.75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</row>
    <row x14ac:dyDescent="0.25" r="943" customHeight="1" ht="15.75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</row>
    <row x14ac:dyDescent="0.25" r="944" customHeight="1" ht="15.75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</row>
    <row x14ac:dyDescent="0.25" r="945" customHeight="1" ht="15.7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</row>
    <row x14ac:dyDescent="0.25" r="946" customHeight="1" ht="15.75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</row>
    <row x14ac:dyDescent="0.25" r="947" customHeight="1" ht="15.75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</row>
    <row x14ac:dyDescent="0.25" r="948" customHeight="1" ht="15.75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</row>
    <row x14ac:dyDescent="0.25" r="949" customHeight="1" ht="15.75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</row>
    <row x14ac:dyDescent="0.25" r="950" customHeight="1" ht="15.75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</row>
    <row x14ac:dyDescent="0.25" r="951" customHeight="1" ht="15.75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</row>
    <row x14ac:dyDescent="0.25" r="952" customHeight="1" ht="15.75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</row>
    <row x14ac:dyDescent="0.25" r="953" customHeight="1" ht="15.75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</row>
    <row x14ac:dyDescent="0.25" r="954" customHeight="1" ht="15.75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</row>
    <row x14ac:dyDescent="0.25" r="955" customHeight="1" ht="15.7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</row>
    <row x14ac:dyDescent="0.25" r="956" customHeight="1" ht="15.75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</row>
    <row x14ac:dyDescent="0.25" r="957" customHeight="1" ht="15.75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</row>
    <row x14ac:dyDescent="0.25" r="958" customHeight="1" ht="15.75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</row>
    <row x14ac:dyDescent="0.25" r="959" customHeight="1" ht="15.75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</row>
    <row x14ac:dyDescent="0.25" r="960" customHeight="1" ht="15.75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</row>
    <row x14ac:dyDescent="0.25" r="961" customHeight="1" ht="15.75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</row>
    <row x14ac:dyDescent="0.25" r="962" customHeight="1" ht="15.75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</row>
    <row x14ac:dyDescent="0.25" r="963" customHeight="1" ht="15.75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</row>
    <row x14ac:dyDescent="0.25" r="964" customHeight="1" ht="15.75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</row>
    <row x14ac:dyDescent="0.25" r="965" customHeight="1" ht="15.7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</row>
    <row x14ac:dyDescent="0.25" r="966" customHeight="1" ht="15.75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</row>
    <row x14ac:dyDescent="0.25" r="967" customHeight="1" ht="15.75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</row>
    <row x14ac:dyDescent="0.25" r="968" customHeight="1" ht="15.75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</row>
    <row x14ac:dyDescent="0.25" r="969" customHeight="1" ht="15.75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</row>
    <row x14ac:dyDescent="0.25" r="970" customHeight="1" ht="15.75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</row>
    <row x14ac:dyDescent="0.25" r="971" customHeight="1" ht="15.75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</row>
    <row x14ac:dyDescent="0.25" r="972" customHeight="1" ht="15.75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</row>
    <row x14ac:dyDescent="0.25" r="973" customHeight="1" ht="15.75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</row>
    <row x14ac:dyDescent="0.25" r="974" customHeight="1" ht="15.75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</row>
    <row x14ac:dyDescent="0.25" r="975" customHeight="1" ht="15.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</row>
    <row x14ac:dyDescent="0.25" r="976" customHeight="1" ht="15.75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</row>
    <row x14ac:dyDescent="0.25" r="977" customHeight="1" ht="15.75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</row>
    <row x14ac:dyDescent="0.25" r="978" customHeight="1" ht="15.75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</row>
    <row x14ac:dyDescent="0.25" r="979" customHeight="1" ht="15.75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</row>
    <row x14ac:dyDescent="0.25" r="980" customHeight="1" ht="15.75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</row>
    <row x14ac:dyDescent="0.25" r="981" customHeight="1" ht="15.75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</row>
    <row x14ac:dyDescent="0.25" r="982" customHeight="1" ht="15.75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</row>
    <row x14ac:dyDescent="0.25" r="983" customHeight="1" ht="15.75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</row>
    <row x14ac:dyDescent="0.25" r="984" customHeight="1" ht="15.75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</row>
    <row x14ac:dyDescent="0.25" r="985" customHeight="1" ht="15.7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</row>
    <row x14ac:dyDescent="0.25" r="986" customHeight="1" ht="15.75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</row>
    <row x14ac:dyDescent="0.25" r="987" customHeight="1" ht="15.75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</row>
    <row x14ac:dyDescent="0.25" r="988" customHeight="1" ht="15.75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</row>
    <row x14ac:dyDescent="0.25" r="989" customHeight="1" ht="15.75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</row>
    <row x14ac:dyDescent="0.25" r="990" customHeight="1" ht="15.75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</row>
    <row x14ac:dyDescent="0.25" r="991" customHeight="1" ht="15.75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</row>
    <row x14ac:dyDescent="0.25" r="992" customHeight="1" ht="15.75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</row>
    <row x14ac:dyDescent="0.25" r="993" customHeight="1" ht="15.75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</row>
    <row x14ac:dyDescent="0.25" r="994" customHeight="1" ht="15.75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</row>
    <row x14ac:dyDescent="0.25" r="995" customHeight="1" ht="15.7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</row>
    <row x14ac:dyDescent="0.25" r="996" customHeight="1" ht="15.75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</row>
    <row x14ac:dyDescent="0.25" r="997" customHeight="1" ht="15.75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</row>
    <row x14ac:dyDescent="0.25" r="998" customHeight="1" ht="15.75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</row>
    <row x14ac:dyDescent="0.25" r="999" customHeight="1" ht="15.75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</row>
    <row x14ac:dyDescent="0.25" r="1000" customHeight="1" ht="15.75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1000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49" width="7.2907142857142855" customWidth="1" bestFit="1"/>
    <col min="2" max="2" style="12" width="17.290714285714284" customWidth="1" bestFit="1"/>
    <col min="3" max="3" style="13" width="19.433571428571426" customWidth="1" bestFit="1"/>
    <col min="4" max="4" style="13" width="20.719285714285714" customWidth="1" bestFit="1"/>
    <col min="5" max="5" style="13" width="81.7192857142857" customWidth="1" bestFit="1"/>
    <col min="6" max="6" style="13" width="22.433571428571426" customWidth="1" bestFit="1"/>
    <col min="7" max="7" style="13" width="28.719285714285714" customWidth="1" bestFit="1"/>
    <col min="8" max="8" style="13" width="28.719285714285714" customWidth="1" bestFit="1"/>
    <col min="9" max="9" style="13" width="31.005" customWidth="1" bestFit="1"/>
    <col min="10" max="10" style="13" width="37.005" customWidth="1" bestFit="1"/>
    <col min="11" max="11" style="13" width="29.719285714285714" customWidth="1" bestFit="1"/>
    <col min="12" max="12" style="13" width="37.005" customWidth="1" bestFit="1"/>
    <col min="13" max="13" style="13" width="26.433571428571426" customWidth="1" bestFit="1"/>
    <col min="14" max="14" style="13" width="34.43357142857143" customWidth="1" bestFit="1"/>
    <col min="15" max="15" style="13" width="34.43357142857143" customWidth="1" bestFit="1"/>
    <col min="16" max="16" style="13" width="40.71928571428572" customWidth="1" bestFit="1"/>
    <col min="17" max="17" style="13" width="28.719285714285714" customWidth="1" bestFit="1"/>
    <col min="18" max="18" style="13" width="36.29071428571429" customWidth="1" bestFit="1"/>
    <col min="19" max="19" style="13" width="36.29071428571429" customWidth="1" bestFit="1"/>
    <col min="20" max="20" style="12" width="31.719285714285714" customWidth="1" bestFit="1"/>
    <col min="21" max="21" style="13" width="32.29071428571429" customWidth="1" bestFit="1"/>
    <col min="22" max="22" style="13" width="32.29071428571429" customWidth="1" bestFit="1"/>
    <col min="23" max="23" style="13" width="37.71928571428572" customWidth="1" bestFit="1"/>
    <col min="24" max="24" style="13" width="35.005" customWidth="1" bestFit="1"/>
    <col min="25" max="25" style="13" width="35.005" customWidth="1" bestFit="1"/>
    <col min="26" max="26" style="13" width="24.719285714285714" customWidth="1" bestFit="1"/>
    <col min="27" max="27" style="13" width="35.71928571428572" customWidth="1" bestFit="1"/>
    <col min="28" max="28" style="13" width="33.71928571428572" customWidth="1" bestFit="1"/>
    <col min="29" max="29" style="13" width="30.290714285714284" customWidth="1" bestFit="1"/>
    <col min="30" max="30" style="13" width="35.43357142857143" customWidth="1" bestFit="1"/>
    <col min="31" max="31" style="13" width="40.57642857142857" customWidth="1" bestFit="1"/>
    <col min="32" max="32" style="13" width="25.290714285714284" customWidth="1" bestFit="1"/>
    <col min="33" max="33" style="13" width="31.005" customWidth="1" bestFit="1"/>
    <col min="34" max="34" style="13" width="30.576428571428572" customWidth="1" bestFit="1"/>
    <col min="35" max="35" style="13" width="31.290714285714284" customWidth="1" bestFit="1"/>
    <col min="36" max="36" style="13" width="27.433571428571426" customWidth="1" bestFit="1"/>
    <col min="37" max="37" style="13" width="32.71928571428572" customWidth="1" bestFit="1"/>
    <col min="38" max="38" style="13" width="28.719285714285714" customWidth="1" bestFit="1"/>
    <col min="39" max="39" style="13" width="40.57642857142857" customWidth="1" bestFit="1"/>
    <col min="40" max="40" style="13" width="40.57642857142857" customWidth="1" bestFit="1"/>
    <col min="41" max="41" style="13" width="40.57642857142857" customWidth="1" bestFit="1"/>
    <col min="42" max="42" style="12" width="40.57642857142857" customWidth="1" bestFit="1"/>
    <col min="43" max="43" style="121" width="40.57642857142857" customWidth="1" bestFit="1"/>
    <col min="44" max="44" style="13" width="21.433571428571426" customWidth="1" bestFit="1"/>
    <col min="45" max="45" style="122" width="21.433571428571426" customWidth="1" bestFit="1"/>
  </cols>
  <sheetData>
    <row x14ac:dyDescent="0.25" r="1" customHeight="1" ht="60" customFormat="1" s="1">
      <c r="A1" s="98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99"/>
      <c r="AP1" s="99"/>
      <c r="AQ1" s="99"/>
      <c r="AR1" s="99"/>
      <c r="AS1" s="100"/>
    </row>
    <row x14ac:dyDescent="0.25" r="2" customHeight="1" ht="14.25">
      <c r="A2" s="101"/>
      <c r="B2" s="102" t="s">
        <v>447</v>
      </c>
      <c r="C2" s="17"/>
      <c r="D2" s="17"/>
      <c r="E2" s="18"/>
      <c r="F2" s="103" t="s">
        <v>448</v>
      </c>
      <c r="G2" s="17"/>
      <c r="H2" s="17"/>
      <c r="I2" s="17"/>
      <c r="J2" s="17"/>
      <c r="K2" s="17"/>
      <c r="L2" s="17"/>
      <c r="M2" s="17"/>
      <c r="N2" s="17"/>
      <c r="O2" s="18"/>
      <c r="P2" s="65" t="s">
        <v>449</v>
      </c>
      <c r="Q2" s="17"/>
      <c r="R2" s="17"/>
      <c r="S2" s="18"/>
      <c r="T2" s="104" t="s">
        <v>450</v>
      </c>
      <c r="U2" s="17"/>
      <c r="V2" s="17"/>
      <c r="W2" s="18"/>
      <c r="X2" s="65" t="s">
        <v>451</v>
      </c>
      <c r="Y2" s="17"/>
      <c r="Z2" s="18"/>
      <c r="AA2" s="105" t="s">
        <v>452</v>
      </c>
      <c r="AB2" s="17"/>
      <c r="AC2" s="17"/>
      <c r="AD2" s="17"/>
      <c r="AE2" s="18"/>
      <c r="AF2" s="65" t="s">
        <v>453</v>
      </c>
      <c r="AG2" s="17"/>
      <c r="AH2" s="17"/>
      <c r="AI2" s="17"/>
      <c r="AJ2" s="106" t="s">
        <v>454</v>
      </c>
      <c r="AK2" s="106" t="s">
        <v>455</v>
      </c>
      <c r="AL2" s="107" t="s">
        <v>456</v>
      </c>
      <c r="AM2" s="17"/>
      <c r="AN2" s="17"/>
      <c r="AO2" s="17"/>
      <c r="AP2" s="108" t="s">
        <v>457</v>
      </c>
      <c r="AQ2" s="17"/>
      <c r="AR2" s="17"/>
      <c r="AS2" s="109"/>
    </row>
    <row x14ac:dyDescent="0.25" r="3" customHeight="1" ht="19.5" customFormat="1" s="1">
      <c r="A3" s="101" t="s">
        <v>8</v>
      </c>
      <c r="B3" s="50" t="s">
        <v>107</v>
      </c>
      <c r="C3" s="50" t="s">
        <v>458</v>
      </c>
      <c r="D3" s="50" t="s">
        <v>109</v>
      </c>
      <c r="E3" s="50" t="s">
        <v>459</v>
      </c>
      <c r="F3" s="51" t="s">
        <v>111</v>
      </c>
      <c r="G3" s="51" t="s">
        <v>112</v>
      </c>
      <c r="H3" s="51" t="s">
        <v>460</v>
      </c>
      <c r="I3" s="51" t="s">
        <v>461</v>
      </c>
      <c r="J3" s="51" t="s">
        <v>114</v>
      </c>
      <c r="K3" s="51" t="s">
        <v>115</v>
      </c>
      <c r="L3" s="51" t="s">
        <v>462</v>
      </c>
      <c r="M3" s="51" t="s">
        <v>463</v>
      </c>
      <c r="N3" s="51" t="s">
        <v>464</v>
      </c>
      <c r="O3" s="51" t="s">
        <v>465</v>
      </c>
      <c r="P3" s="50" t="s">
        <v>466</v>
      </c>
      <c r="Q3" s="50" t="s">
        <v>467</v>
      </c>
      <c r="R3" s="50" t="s">
        <v>468</v>
      </c>
      <c r="S3" s="50" t="s">
        <v>469</v>
      </c>
      <c r="T3" s="110" t="s">
        <v>470</v>
      </c>
      <c r="U3" s="110" t="s">
        <v>471</v>
      </c>
      <c r="V3" s="110" t="s">
        <v>472</v>
      </c>
      <c r="W3" s="110" t="s">
        <v>473</v>
      </c>
      <c r="X3" s="50" t="s">
        <v>474</v>
      </c>
      <c r="Y3" s="50" t="s">
        <v>475</v>
      </c>
      <c r="Z3" s="50" t="s">
        <v>476</v>
      </c>
      <c r="AA3" s="51" t="s">
        <v>477</v>
      </c>
      <c r="AB3" s="51" t="s">
        <v>478</v>
      </c>
      <c r="AC3" s="51" t="s">
        <v>479</v>
      </c>
      <c r="AD3" s="51" t="s">
        <v>480</v>
      </c>
      <c r="AE3" s="51" t="s">
        <v>481</v>
      </c>
      <c r="AF3" s="50" t="s">
        <v>482</v>
      </c>
      <c r="AG3" s="50" t="s">
        <v>483</v>
      </c>
      <c r="AH3" s="50" t="s">
        <v>484</v>
      </c>
      <c r="AI3" s="50" t="s">
        <v>485</v>
      </c>
      <c r="AJ3" s="51" t="s">
        <v>486</v>
      </c>
      <c r="AK3" s="51" t="s">
        <v>487</v>
      </c>
      <c r="AL3" s="110" t="s">
        <v>488</v>
      </c>
      <c r="AM3" s="110" t="s">
        <v>489</v>
      </c>
      <c r="AN3" s="110" t="s">
        <v>490</v>
      </c>
      <c r="AO3" s="110" t="s">
        <v>491</v>
      </c>
      <c r="AP3" s="111" t="s">
        <v>492</v>
      </c>
      <c r="AQ3" s="111" t="s">
        <v>493</v>
      </c>
      <c r="AR3" s="111" t="s">
        <v>494</v>
      </c>
      <c r="AS3" s="111" t="s">
        <v>495</v>
      </c>
    </row>
    <row x14ac:dyDescent="0.25" r="4" customHeight="1" ht="19.5" customFormat="1" s="1">
      <c r="A4" s="112">
        <v>1</v>
      </c>
      <c r="B4" s="52"/>
      <c r="C4" s="53"/>
      <c r="D4" s="53"/>
      <c r="E4" s="32"/>
      <c r="F4" s="53"/>
      <c r="G4" s="32"/>
      <c r="H4" s="3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113">
        <f>IF(AND(I4="",K4="",AF4="",AL4="",AN4="",O4=""),"",IF(OR(I4="SIM",K4="SIM",AF4="SIM",AL4="SIM",AN4="Dados pessoais",AN4="Dados sensíveis",AN4="Dados pessoais e sensíveis",O4="Acima de 10.000 titulares por mês"),"SIM - Alta criticidade",IF((IF(I4="SIM",2,0)+IF(K4="SIM",2,0)+IF(AF4="SIM",2,0)+IF(OR(AN4="Dados pessoais",AN4="Dados sensíveis",AN4="Dados pessoais e sensíveis"),2,0)+IF(O4="De 1.001 a 10.000 titulares por mês",1,0)+IF(AA4="SIM",1,0)+IF(R4="SIM",1,0)+IF(AL4="SIM",1,0)+IF(AJ4="NÃO",1,0))&gt;=5,"SIM - Alta criticidade",IF((IF(I4="SIM",2,0)+IF(K4="SIM",2,0)+IF(AF4="SIM",2,0)+IF(OR(AN4="Dados pessoais",AN4="Dados sensíveis",AN4="Dados pessoais e sensíveis"),2,0)+IF(O4="De 1.001 a 10.000 titulares por mês",1,0)+IF(AA4="SIM",1,0)+IF(R4="SIM",1,0)+IF(AL4="SIM",1,0)+IF(AJ4="NÃO",1,0))&gt;=3,"Avaliação necessária","NÃO"))))</f>
      </c>
      <c r="AR4" s="53"/>
      <c r="AS4" s="113">
        <f>IF(AND(I4="",K4="",AF4="",AL4="",AN4="",O4=""),"",IF(OR(I4="SIM",K4="SIM",AF4="SIM",AL4="SIM",OR(AN4="Dados pessoais",AN4="Dados sensíveis",AN4="Dados pessoais e sensíveis"),O4="Acima de 10.000 titulares por mês",(IF(I4="SIM",2,0)+IF(K4="SIM",2,0)+IF(AF4="SIM",2,0)+IF(OR(AN4="Dados pessoais",AN4="Dados sensíveis",AN4="Dados pessoais e sensíveis"),2,0)+IF(O4="De 1.001 a 10.000 titulares por mês",1,0)+IF(AA4="SIM",1,0)+IF(R4="SIM",1,0)+IF(AL4="SIM",1,0)+IF(AJ4="NÃO",1,0))&gt;=3),"DPIA indicado ou em avaliação em razão de: " &amp; TRIM(IF(I4="SIM","tratamento de dados sensíveis; ","") &amp; IF(K4="SIM","utilização de dados de menores; ","") &amp; IF(AF4="SIM","transferência internacional de dados; ","") &amp; IF(AL4="SIM","utilização de inteligência artificial; ","") &amp; IF(OR(AN4="Dados pessoais",AN4="Dados sensíveis",AN4="Dados pessoais e sensíveis"),"dados inseridos em IA; ","") &amp; IF(O4="Acima de 10.000 titulares por mês","volume crítico de titulares; ","") &amp; IF(O4="De 1.001 a 10.000 titulares por mês","volume moderado de titulares; ","") &amp; IF(AA4="SIM","compartilhamento com terceiros; ","") &amp; IF(R4="SIM","compartilhamento com órgãos governamentais; ","") &amp; IF(AJ4="NÃO","ausência de controle de acesso por perfil; ","")),"DPIA não indicado: Processo de baixa criticidade."))</f>
      </c>
    </row>
    <row x14ac:dyDescent="0.25" r="5" customHeight="1" ht="19.5" customFormat="1" s="1">
      <c r="A5" s="112">
        <v>2</v>
      </c>
      <c r="B5" s="52"/>
      <c r="C5" s="53"/>
      <c r="D5" s="53"/>
      <c r="E5" s="32"/>
      <c r="F5" s="53"/>
      <c r="G5" s="32"/>
      <c r="H5" s="3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113">
        <f>IF(AND(I5="",K5="",AF5="",AL5="",AN5="",O5=""),"",IF(OR(I5="SIM",K5="SIM",AF5="SIM",AL5="SIM",AN5="Dados pessoais",AN5="Dados sensíveis",AN5="Dados pessoais e sensíveis",O5="Acima de 10.000 titulares por mês"),"SIM - Alta criticidade",IF((IF(I5="SIM",2,0)+IF(K5="SIM",2,0)+IF(AF5="SIM",2,0)+IF(OR(AN5="Dados pessoais",AN5="Dados sensíveis",AN5="Dados pessoais e sensíveis"),2,0)+IF(O5="De 1.001 a 10.000 titulares por mês",1,0)+IF(AA5="SIM",1,0)+IF(R5="SIM",1,0)+IF(AL5="SIM",1,0)+IF(AJ5="NÃO",1,0))&gt;=5,"SIM - Alta criticidade",IF((IF(I5="SIM",2,0)+IF(K5="SIM",2,0)+IF(AF5="SIM",2,0)+IF(OR(AN5="Dados pessoais",AN5="Dados sensíveis",AN5="Dados pessoais e sensíveis"),2,0)+IF(O5="De 1.001 a 10.000 titulares por mês",1,0)+IF(AA5="SIM",1,0)+IF(R5="SIM",1,0)+IF(AL5="SIM",1,0)+IF(AJ5="NÃO",1,0))&gt;=3,"Avaliação necessária","NÃO"))))</f>
      </c>
      <c r="AR5" s="53"/>
      <c r="AS5" s="113">
        <f>IF(AND(I5="",K5="",AF5="",AL5="",AN5="",O5=""),"",IF(OR(I5="SIM",K5="SIM",AF5="SIM",AL5="SIM",OR(AN5="Dados pessoais",AN5="Dados sensíveis",AN5="Dados pessoais e sensíveis"),O5="Acima de 10.000 titulares por mês",(IF(I5="SIM",2,0)+IF(K5="SIM",2,0)+IF(AF5="SIM",2,0)+IF(OR(AN5="Dados pessoais",AN5="Dados sensíveis",AN5="Dados pessoais e sensíveis"),2,0)+IF(O5="De 1.001 a 10.000 titulares por mês",1,0)+IF(AA5="SIM",1,0)+IF(R5="SIM",1,0)+IF(AL5="SIM",1,0)+IF(AJ5="NÃO",1,0))&gt;=3),"DPIA indicado ou em avaliação em razão de: " &amp; TRIM(IF(I5="SIM","tratamento de dados sensíveis; ","") &amp; IF(K5="SIM","utilização de dados de menores; ","") &amp; IF(AF5="SIM","transferência internacional de dados; ","") &amp; IF(AL5="SIM","utilização de inteligência artificial; ","") &amp; IF(OR(AN5="Dados pessoais",AN5="Dados sensíveis",AN5="Dados pessoais e sensíveis"),"dados inseridos em IA; ","") &amp; IF(O5="Acima de 10.000 titulares por mês","volume crítico de titulares; ","") &amp; IF(O5="De 1.001 a 10.000 titulares por mês","volume moderado de titulares; ","") &amp; IF(AA5="SIM","compartilhamento com terceiros; ","") &amp; IF(R5="SIM","compartilhamento com órgãos governamentais; ","") &amp; IF(AJ5="NÃO","ausência de controle de acesso por perfil; ","")),"DPIA não indicado: Processo de baixa criticidade."))</f>
      </c>
    </row>
    <row x14ac:dyDescent="0.25" r="6" customHeight="1" ht="19.5" customFormat="1" s="1">
      <c r="A6" s="112">
        <v>3</v>
      </c>
      <c r="B6" s="52"/>
      <c r="C6" s="53"/>
      <c r="D6" s="53"/>
      <c r="E6" s="32"/>
      <c r="F6" s="53"/>
      <c r="G6" s="32"/>
      <c r="H6" s="3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113">
        <f>IF(AND(I6="",K6="",AF6="",AL6="",AN6="",O6=""),"",IF(OR(I6="SIM",K6="SIM",AF6="SIM",AL6="SIM",AN6="Dados pessoais",AN6="Dados sensíveis",AN6="Dados pessoais e sensíveis",O6="Acima de 10.000 titulares por mês"),"SIM - Alta criticidade",IF((IF(I6="SIM",2,0)+IF(K6="SIM",2,0)+IF(AF6="SIM",2,0)+IF(OR(AN6="Dados pessoais",AN6="Dados sensíveis",AN6="Dados pessoais e sensíveis"),2,0)+IF(O6="De 1.001 a 10.000 titulares por mês",1,0)+IF(AA6="SIM",1,0)+IF(R6="SIM",1,0)+IF(AL6="SIM",1,0)+IF(AJ6="NÃO",1,0))&gt;=5,"SIM - Alta criticidade",IF((IF(I6="SIM",2,0)+IF(K6="SIM",2,0)+IF(AF6="SIM",2,0)+IF(OR(AN6="Dados pessoais",AN6="Dados sensíveis",AN6="Dados pessoais e sensíveis"),2,0)+IF(O6="De 1.001 a 10.000 titulares por mês",1,0)+IF(AA6="SIM",1,0)+IF(R6="SIM",1,0)+IF(AL6="SIM",1,0)+IF(AJ6="NÃO",1,0))&gt;=3,"Avaliação necessária","NÃO"))))</f>
      </c>
      <c r="AR6" s="53"/>
      <c r="AS6" s="113">
        <f>IF(AND(I6="",K6="",AF6="",AL6="",AN6="",O6=""),"",IF(OR(I6="SIM",K6="SIM",AF6="SIM",AL6="SIM",OR(AN6="Dados pessoais",AN6="Dados sensíveis",AN6="Dados pessoais e sensíveis"),O6="Acima de 10.000 titulares por mês",(IF(I6="SIM",2,0)+IF(K6="SIM",2,0)+IF(AF6="SIM",2,0)+IF(OR(AN6="Dados pessoais",AN6="Dados sensíveis",AN6="Dados pessoais e sensíveis"),2,0)+IF(O6="De 1.001 a 10.000 titulares por mês",1,0)+IF(AA6="SIM",1,0)+IF(R6="SIM",1,0)+IF(AL6="SIM",1,0)+IF(AJ6="NÃO",1,0))&gt;=3),"DPIA indicado ou em avaliação em razão de: " &amp; TRIM(IF(I6="SIM","tratamento de dados sensíveis; ","") &amp; IF(K6="SIM","utilização de dados de menores; ","") &amp; IF(AF6="SIM","transferência internacional de dados; ","") &amp; IF(AL6="SIM","utilização de inteligência artificial; ","") &amp; IF(OR(AN6="Dados pessoais",AN6="Dados sensíveis",AN6="Dados pessoais e sensíveis"),"dados inseridos em IA; ","") &amp; IF(O6="Acima de 10.000 titulares por mês","volume crítico de titulares; ","") &amp; IF(O6="De 1.001 a 10.000 titulares por mês","volume moderado de titulares; ","") &amp; IF(AA6="SIM","compartilhamento com terceiros; ","") &amp; IF(R6="SIM","compartilhamento com órgãos governamentais; ","") &amp; IF(AJ6="NÃO","ausência de controle de acesso por perfil; ","")),"DPIA não indicado: Processo de baixa criticidade."))</f>
      </c>
    </row>
    <row x14ac:dyDescent="0.25" r="7" customHeight="1" ht="19.5" customFormat="1" s="1">
      <c r="A7" s="112">
        <v>4</v>
      </c>
      <c r="B7" s="52"/>
      <c r="C7" s="53"/>
      <c r="D7" s="53"/>
      <c r="E7" s="32"/>
      <c r="F7" s="53"/>
      <c r="G7" s="32"/>
      <c r="H7" s="3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113">
        <f>IF(AND(I7="",K7="",AF7="",AL7="",AN7="",O7=""),"",IF(OR(I7="SIM",K7="SIM",AF7="SIM",AL7="SIM",AN7="Dados pessoais",AN7="Dados sensíveis",AN7="Dados pessoais e sensíveis",O7="Acima de 10.000 titulares por mês"),"SIM - Alta criticidade",IF((IF(I7="SIM",2,0)+IF(K7="SIM",2,0)+IF(AF7="SIM",2,0)+IF(OR(AN7="Dados pessoais",AN7="Dados sensíveis",AN7="Dados pessoais e sensíveis"),2,0)+IF(O7="De 1.001 a 10.000 titulares por mês",1,0)+IF(AA7="SIM",1,0)+IF(R7="SIM",1,0)+IF(AL7="SIM",1,0)+IF(AJ7="NÃO",1,0))&gt;=5,"SIM - Alta criticidade",IF((IF(I7="SIM",2,0)+IF(K7="SIM",2,0)+IF(AF7="SIM",2,0)+IF(OR(AN7="Dados pessoais",AN7="Dados sensíveis",AN7="Dados pessoais e sensíveis"),2,0)+IF(O7="De 1.001 a 10.000 titulares por mês",1,0)+IF(AA7="SIM",1,0)+IF(R7="SIM",1,0)+IF(AL7="SIM",1,0)+IF(AJ7="NÃO",1,0))&gt;=3,"Avaliação necessária","NÃO"))))</f>
      </c>
      <c r="AR7" s="53"/>
      <c r="AS7" s="113">
        <f>IF(AND(I7="",K7="",AF7="",AL7="",AN7="",O7=""),"",IF(OR(I7="SIM",K7="SIM",AF7="SIM",AL7="SIM",OR(AN7="Dados pessoais",AN7="Dados sensíveis",AN7="Dados pessoais e sensíveis"),O7="Acima de 10.000 titulares por mês",(IF(I7="SIM",2,0)+IF(K7="SIM",2,0)+IF(AF7="SIM",2,0)+IF(OR(AN7="Dados pessoais",AN7="Dados sensíveis",AN7="Dados pessoais e sensíveis"),2,0)+IF(O7="De 1.001 a 10.000 titulares por mês",1,0)+IF(AA7="SIM",1,0)+IF(R7="SIM",1,0)+IF(AL7="SIM",1,0)+IF(AJ7="NÃO",1,0))&gt;=3),"DPIA indicado ou em avaliação em razão de: " &amp; TRIM(IF(I7="SIM","tratamento de dados sensíveis; ","") &amp; IF(K7="SIM","utilização de dados de menores; ","") &amp; IF(AF7="SIM","transferência internacional de dados; ","") &amp; IF(AL7="SIM","utilização de inteligência artificial; ","") &amp; IF(OR(AN7="Dados pessoais",AN7="Dados sensíveis",AN7="Dados pessoais e sensíveis"),"dados inseridos em IA; ","") &amp; IF(O7="Acima de 10.000 titulares por mês","volume crítico de titulares; ","") &amp; IF(O7="De 1.001 a 10.000 titulares por mês","volume moderado de titulares; ","") &amp; IF(AA7="SIM","compartilhamento com terceiros; ","") &amp; IF(R7="SIM","compartilhamento com órgãos governamentais; ","") &amp; IF(AJ7="NÃO","ausência de controle de acesso por perfil; ","")),"DPIA não indicado: Processo de baixa criticidade."))</f>
      </c>
    </row>
    <row x14ac:dyDescent="0.25" r="8" customHeight="1" ht="19.5" customFormat="1" s="1">
      <c r="A8" s="112">
        <v>5</v>
      </c>
      <c r="B8" s="52"/>
      <c r="C8" s="53"/>
      <c r="D8" s="53"/>
      <c r="E8" s="32"/>
      <c r="F8" s="53"/>
      <c r="G8" s="32"/>
      <c r="H8" s="3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3"/>
      <c r="U8" s="53"/>
      <c r="V8" s="53"/>
      <c r="W8" s="53"/>
      <c r="X8" s="53"/>
      <c r="Y8" s="53"/>
      <c r="Z8" s="53"/>
      <c r="AA8" s="53"/>
      <c r="AB8" s="52"/>
      <c r="AC8" s="52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113">
        <f>IF(AND(I8="",K8="",AF8="",AL8="",AN8="",O8=""),"",IF(OR(I8="SIM",K8="SIM",AF8="SIM",AL8="SIM",AN8="Dados pessoais",AN8="Dados sensíveis",AN8="Dados pessoais e sensíveis",O8="Acima de 10.000 titulares por mês"),"SIM - Alta criticidade",IF((IF(I8="SIM",2,0)+IF(K8="SIM",2,0)+IF(AF8="SIM",2,0)+IF(OR(AN8="Dados pessoais",AN8="Dados sensíveis",AN8="Dados pessoais e sensíveis"),2,0)+IF(O8="De 1.001 a 10.000 titulares por mês",1,0)+IF(AA8="SIM",1,0)+IF(R8="SIM",1,0)+IF(AL8="SIM",1,0)+IF(AJ8="NÃO",1,0))&gt;=5,"SIM - Alta criticidade",IF((IF(I8="SIM",2,0)+IF(K8="SIM",2,0)+IF(AF8="SIM",2,0)+IF(OR(AN8="Dados pessoais",AN8="Dados sensíveis",AN8="Dados pessoais e sensíveis"),2,0)+IF(O8="De 1.001 a 10.000 titulares por mês",1,0)+IF(AA8="SIM",1,0)+IF(R8="SIM",1,0)+IF(AL8="SIM",1,0)+IF(AJ8="NÃO",1,0))&gt;=3,"Avaliação necessária","NÃO"))))</f>
      </c>
      <c r="AR8" s="53"/>
      <c r="AS8" s="113">
        <f>IF(AND(I8="",K8="",AF8="",AL8="",AN8="",O8=""),"",IF(OR(I8="SIM",K8="SIM",AF8="SIM",AL8="SIM",OR(AN8="Dados pessoais",AN8="Dados sensíveis",AN8="Dados pessoais e sensíveis"),O8="Acima de 10.000 titulares por mês",(IF(I8="SIM",2,0)+IF(K8="SIM",2,0)+IF(AF8="SIM",2,0)+IF(OR(AN8="Dados pessoais",AN8="Dados sensíveis",AN8="Dados pessoais e sensíveis"),2,0)+IF(O8="De 1.001 a 10.000 titulares por mês",1,0)+IF(AA8="SIM",1,0)+IF(R8="SIM",1,0)+IF(AL8="SIM",1,0)+IF(AJ8="NÃO",1,0))&gt;=3),"DPIA indicado ou em avaliação em razão de: " &amp; TRIM(IF(I8="SIM","tratamento de dados sensíveis; ","") &amp; IF(K8="SIM","utilização de dados de menores; ","") &amp; IF(AF8="SIM","transferência internacional de dados; ","") &amp; IF(AL8="SIM","utilização de inteligência artificial; ","") &amp; IF(OR(AN8="Dados pessoais",AN8="Dados sensíveis",AN8="Dados pessoais e sensíveis"),"dados inseridos em IA; ","") &amp; IF(O8="Acima de 10.000 titulares por mês","volume crítico de titulares; ","") &amp; IF(O8="De 1.001 a 10.000 titulares por mês","volume moderado de titulares; ","") &amp; IF(AA8="SIM","compartilhamento com terceiros; ","") &amp; IF(R8="SIM","compartilhamento com órgãos governamentais; ","") &amp; IF(AJ8="NÃO","ausência de controle de acesso por perfil; ","")),"DPIA não indicado: Processo de baixa criticidade."))</f>
      </c>
    </row>
    <row x14ac:dyDescent="0.25" r="9" customHeight="1" ht="19.5" customFormat="1" s="1">
      <c r="A9" s="112">
        <v>6</v>
      </c>
      <c r="B9" s="52"/>
      <c r="C9" s="53"/>
      <c r="D9" s="53"/>
      <c r="E9" s="32"/>
      <c r="F9" s="53"/>
      <c r="G9" s="32"/>
      <c r="H9" s="3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3"/>
      <c r="U9" s="53"/>
      <c r="V9" s="53"/>
      <c r="W9" s="53"/>
      <c r="X9" s="53"/>
      <c r="Y9" s="53"/>
      <c r="Z9" s="53"/>
      <c r="AA9" s="53"/>
      <c r="AB9" s="53"/>
      <c r="AC9" s="52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113">
        <f>IF(AND(I9="",K9="",AF9="",AL9="",AN9="",O9=""),"",IF(OR(I9="SIM",K9="SIM",AF9="SIM",AL9="SIM",AN9="Dados pessoais",AN9="Dados sensíveis",AN9="Dados pessoais e sensíveis",O9="Acima de 10.000 titulares por mês"),"SIM - Alta criticidade",IF((IF(I9="SIM",2,0)+IF(K9="SIM",2,0)+IF(AF9="SIM",2,0)+IF(OR(AN9="Dados pessoais",AN9="Dados sensíveis",AN9="Dados pessoais e sensíveis"),2,0)+IF(O9="De 1.001 a 10.000 titulares por mês",1,0)+IF(AA9="SIM",1,0)+IF(R9="SIM",1,0)+IF(AL9="SIM",1,0)+IF(AJ9="NÃO",1,0))&gt;=5,"SIM - Alta criticidade",IF((IF(I9="SIM",2,0)+IF(K9="SIM",2,0)+IF(AF9="SIM",2,0)+IF(OR(AN9="Dados pessoais",AN9="Dados sensíveis",AN9="Dados pessoais e sensíveis"),2,0)+IF(O9="De 1.001 a 10.000 titulares por mês",1,0)+IF(AA9="SIM",1,0)+IF(R9="SIM",1,0)+IF(AL9="SIM",1,0)+IF(AJ9="NÃO",1,0))&gt;=3,"Avaliação necessária","NÃO"))))</f>
      </c>
      <c r="AR9" s="53"/>
      <c r="AS9" s="113">
        <f>IF(AND(I9="",K9="",AF9="",AL9="",AN9="",O9=""),"",IF(OR(I9="SIM",K9="SIM",AF9="SIM",AL9="SIM",OR(AN9="Dados pessoais",AN9="Dados sensíveis",AN9="Dados pessoais e sensíveis"),O9="Acima de 10.000 titulares por mês",(IF(I9="SIM",2,0)+IF(K9="SIM",2,0)+IF(AF9="SIM",2,0)+IF(OR(AN9="Dados pessoais",AN9="Dados sensíveis",AN9="Dados pessoais e sensíveis"),2,0)+IF(O9="De 1.001 a 10.000 titulares por mês",1,0)+IF(AA9="SIM",1,0)+IF(R9="SIM",1,0)+IF(AL9="SIM",1,0)+IF(AJ9="NÃO",1,0))&gt;=3),"DPIA indicado ou em avaliação em razão de: " &amp; TRIM(IF(I9="SIM","tratamento de dados sensíveis; ","") &amp; IF(K9="SIM","utilização de dados de menores; ","") &amp; IF(AF9="SIM","transferência internacional de dados; ","") &amp; IF(AL9="SIM","utilização de inteligência artificial; ","") &amp; IF(OR(AN9="Dados pessoais",AN9="Dados sensíveis",AN9="Dados pessoais e sensíveis"),"dados inseridos em IA; ","") &amp; IF(O9="Acima de 10.000 titulares por mês","volume crítico de titulares; ","") &amp; IF(O9="De 1.001 a 10.000 titulares por mês","volume moderado de titulares; ","") &amp; IF(AA9="SIM","compartilhamento com terceiros; ","") &amp; IF(R9="SIM","compartilhamento com órgãos governamentais; ","") &amp; IF(AJ9="NÃO","ausência de controle de acesso por perfil; ","")),"DPIA não indicado: Processo de baixa criticidade."))</f>
      </c>
    </row>
    <row x14ac:dyDescent="0.25" r="10" customHeight="1" ht="19.5" customFormat="1" s="1">
      <c r="A10" s="112">
        <v>7</v>
      </c>
      <c r="B10" s="52"/>
      <c r="C10" s="53"/>
      <c r="D10" s="53"/>
      <c r="E10" s="32"/>
      <c r="F10" s="53"/>
      <c r="G10" s="32"/>
      <c r="H10" s="32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2"/>
      <c r="AQ10" s="113">
        <f>IF(AND(I10="",K10="",AF10="",AL10="",AN10="",O10=""),"",IF(OR(I10="SIM",K10="SIM",AF10="SIM",AL10="SIM",AN10="Dados pessoais",AN10="Dados sensíveis",AN10="Dados pessoais e sensíveis",O10="Acima de 10.000 titulares por mês"),"SIM - Alta criticidade",IF((IF(I10="SIM",2,0)+IF(K10="SIM",2,0)+IF(AF10="SIM",2,0)+IF(OR(AN10="Dados pessoais",AN10="Dados sensíveis",AN10="Dados pessoais e sensíveis"),2,0)+IF(O10="De 1.001 a 10.000 titulares por mês",1,0)+IF(AA10="SIM",1,0)+IF(R10="SIM",1,0)+IF(AL10="SIM",1,0)+IF(AJ10="NÃO",1,0))&gt;=5,"SIM - Alta criticidade",IF((IF(I10="SIM",2,0)+IF(K10="SIM",2,0)+IF(AF10="SIM",2,0)+IF(OR(AN10="Dados pessoais",AN10="Dados sensíveis",AN10="Dados pessoais e sensíveis"),2,0)+IF(O10="De 1.001 a 10.000 titulares por mês",1,0)+IF(AA10="SIM",1,0)+IF(R10="SIM",1,0)+IF(AL10="SIM",1,0)+IF(AJ10="NÃO",1,0))&gt;=3,"Avaliação necessária","NÃO"))))</f>
      </c>
      <c r="AR10" s="53"/>
      <c r="AS10" s="113">
        <f>IF(AND(I10="",K10="",AF10="",AL10="",AN10="",O10=""),"",IF(OR(I10="SIM",K10="SIM",AF10="SIM",AL10="SIM",OR(AN10="Dados pessoais",AN10="Dados sensíveis",AN10="Dados pessoais e sensíveis"),O10="Acima de 10.000 titulares por mês",(IF(I10="SIM",2,0)+IF(K10="SIM",2,0)+IF(AF10="SIM",2,0)+IF(OR(AN10="Dados pessoais",AN10="Dados sensíveis",AN10="Dados pessoais e sensíveis"),2,0)+IF(O10="De 1.001 a 10.000 titulares por mês",1,0)+IF(AA10="SIM",1,0)+IF(R10="SIM",1,0)+IF(AL10="SIM",1,0)+IF(AJ10="NÃO",1,0))&gt;=3),"DPIA indicado ou em avaliação em razão de: " &amp; TRIM(IF(I10="SIM","tratamento de dados sensíveis; ","") &amp; IF(K10="SIM","utilização de dados de menores; ","") &amp; IF(AF10="SIM","transferência internacional de dados; ","") &amp; IF(AL10="SIM","utilização de inteligência artificial; ","") &amp; IF(OR(AN10="Dados pessoais",AN10="Dados sensíveis",AN10="Dados pessoais e sensíveis"),"dados inseridos em IA; ","") &amp; IF(O10="Acima de 10.000 titulares por mês","volume crítico de titulares; ","") &amp; IF(O10="De 1.001 a 10.000 titulares por mês","volume moderado de titulares; ","") &amp; IF(AA10="SIM","compartilhamento com terceiros; ","") &amp; IF(R10="SIM","compartilhamento com órgãos governamentais; ","") &amp; IF(AJ10="NÃO","ausência de controle de acesso por perfil; ","")),"DPIA não indicado: Processo de baixa criticidade."))</f>
      </c>
    </row>
    <row x14ac:dyDescent="0.25" r="11" customHeight="1" ht="19.5" customFormat="1" s="1">
      <c r="A11" s="112">
        <v>8</v>
      </c>
      <c r="B11" s="52"/>
      <c r="C11" s="53"/>
      <c r="D11" s="53"/>
      <c r="E11" s="32"/>
      <c r="F11" s="53"/>
      <c r="G11" s="32"/>
      <c r="H11" s="32"/>
      <c r="I11" s="52"/>
      <c r="J11" s="52"/>
      <c r="K11" s="52"/>
      <c r="L11" s="32"/>
      <c r="M11" s="52"/>
      <c r="N11" s="52"/>
      <c r="O11" s="52"/>
      <c r="P11" s="52"/>
      <c r="Q11" s="52"/>
      <c r="R11" s="52"/>
      <c r="S11" s="52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2"/>
      <c r="AQ11" s="113">
        <f>IF(AND(I11="",K11="",AF11="",AL11="",AN11="",O11=""),"",IF(OR(I11="SIM",K11="SIM",AF11="SIM",AL11="SIM",AN11="Dados pessoais",AN11="Dados sensíveis",AN11="Dados pessoais e sensíveis",O11="Acima de 10.000 titulares por mês"),"SIM - Alta criticidade",IF((IF(I11="SIM",2,0)+IF(K11="SIM",2,0)+IF(AF11="SIM",2,0)+IF(OR(AN11="Dados pessoais",AN11="Dados sensíveis",AN11="Dados pessoais e sensíveis"),2,0)+IF(O11="De 1.001 a 10.000 titulares por mês",1,0)+IF(AA11="SIM",1,0)+IF(R11="SIM",1,0)+IF(AL11="SIM",1,0)+IF(AJ11="NÃO",1,0))&gt;=5,"SIM - Alta criticidade",IF((IF(I11="SIM",2,0)+IF(K11="SIM",2,0)+IF(AF11="SIM",2,0)+IF(OR(AN11="Dados pessoais",AN11="Dados sensíveis",AN11="Dados pessoais e sensíveis"),2,0)+IF(O11="De 1.001 a 10.000 titulares por mês",1,0)+IF(AA11="SIM",1,0)+IF(R11="SIM",1,0)+IF(AL11="SIM",1,0)+IF(AJ11="NÃO",1,0))&gt;=3,"Avaliação necessária","NÃO"))))</f>
      </c>
      <c r="AR11" s="53"/>
      <c r="AS11" s="113">
        <f>IF(AND(I11="",K11="",AF11="",AL11="",AN11="",O11=""),"",IF(OR(I11="SIM",K11="SIM",AF11="SIM",AL11="SIM",OR(AN11="Dados pessoais",AN11="Dados sensíveis",AN11="Dados pessoais e sensíveis"),O11="Acima de 10.000 titulares por mês",(IF(I11="SIM",2,0)+IF(K11="SIM",2,0)+IF(AF11="SIM",2,0)+IF(OR(AN11="Dados pessoais",AN11="Dados sensíveis",AN11="Dados pessoais e sensíveis"),2,0)+IF(O11="De 1.001 a 10.000 titulares por mês",1,0)+IF(AA11="SIM",1,0)+IF(R11="SIM",1,0)+IF(AL11="SIM",1,0)+IF(AJ11="NÃO",1,0))&gt;=3),"DPIA indicado ou em avaliação em razão de: " &amp; TRIM(IF(I11="SIM","tratamento de dados sensíveis; ","") &amp; IF(K11="SIM","utilização de dados de menores; ","") &amp; IF(AF11="SIM","transferência internacional de dados; ","") &amp; IF(AL11="SIM","utilização de inteligência artificial; ","") &amp; IF(OR(AN11="Dados pessoais",AN11="Dados sensíveis",AN11="Dados pessoais e sensíveis"),"dados inseridos em IA; ","") &amp; IF(O11="Acima de 10.000 titulares por mês","volume crítico de titulares; ","") &amp; IF(O11="De 1.001 a 10.000 titulares por mês","volume moderado de titulares; ","") &amp; IF(AA11="SIM","compartilhamento com terceiros; ","") &amp; IF(R11="SIM","compartilhamento com órgãos governamentais; ","") &amp; IF(AJ11="NÃO","ausência de controle de acesso por perfil; ","")),"DPIA não indicado: Processo de baixa criticidade."))</f>
      </c>
    </row>
    <row x14ac:dyDescent="0.25" r="12" customHeight="1" ht="19.5" customFormat="1" s="1">
      <c r="A12" s="112">
        <v>9</v>
      </c>
      <c r="B12" s="52"/>
      <c r="C12" s="53"/>
      <c r="D12" s="53"/>
      <c r="E12" s="32"/>
      <c r="F12" s="53"/>
      <c r="G12" s="32"/>
      <c r="H12" s="3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113">
        <f>IF(AND(I12="",K12="",AF12="",AL12="",AN12="",O12=""),"",IF(OR(I12="SIM",K12="SIM",AF12="SIM",AL12="SIM",AN12="Dados pessoais",AN12="Dados sensíveis",AN12="Dados pessoais e sensíveis",O12="Acima de 10.000 titulares por mês"),"SIM - Alta criticidade",IF((IF(I12="SIM",2,0)+IF(K12="SIM",2,0)+IF(AF12="SIM",2,0)+IF(OR(AN12="Dados pessoais",AN12="Dados sensíveis",AN12="Dados pessoais e sensíveis"),2,0)+IF(O12="De 1.001 a 10.000 titulares por mês",1,0)+IF(AA12="SIM",1,0)+IF(R12="SIM",1,0)+IF(AL12="SIM",1,0)+IF(AJ12="NÃO",1,0))&gt;=5,"SIM - Alta criticidade",IF((IF(I12="SIM",2,0)+IF(K12="SIM",2,0)+IF(AF12="SIM",2,0)+IF(OR(AN12="Dados pessoais",AN12="Dados sensíveis",AN12="Dados pessoais e sensíveis"),2,0)+IF(O12="De 1.001 a 10.000 titulares por mês",1,0)+IF(AA12="SIM",1,0)+IF(R12="SIM",1,0)+IF(AL12="SIM",1,0)+IF(AJ12="NÃO",1,0))&gt;=3,"Avaliação necessária","NÃO"))))</f>
      </c>
      <c r="AR12" s="114"/>
      <c r="AS12" s="113">
        <f>IF(AND(I12="",K12="",AF12="",AL12="",AN12="",O12=""),"",IF(OR(I12="SIM",K12="SIM",AF12="SIM",AL12="SIM",OR(AN12="Dados pessoais",AN12="Dados sensíveis",AN12="Dados pessoais e sensíveis"),O12="Acima de 10.000 titulares por mês",(IF(I12="SIM",2,0)+IF(K12="SIM",2,0)+IF(AF12="SIM",2,0)+IF(OR(AN12="Dados pessoais",AN12="Dados sensíveis",AN12="Dados pessoais e sensíveis"),2,0)+IF(O12="De 1.001 a 10.000 titulares por mês",1,0)+IF(AA12="SIM",1,0)+IF(R12="SIM",1,0)+IF(AL12="SIM",1,0)+IF(AJ12="NÃO",1,0))&gt;=3),"DPIA indicado ou em avaliação em razão de: " &amp; TRIM(IF(I12="SIM","tratamento de dados sensíveis; ","") &amp; IF(K12="SIM","utilização de dados de menores; ","") &amp; IF(AF12="SIM","transferência internacional de dados; ","") &amp; IF(AL12="SIM","utilização de inteligência artificial; ","") &amp; IF(OR(AN12="Dados pessoais",AN12="Dados sensíveis",AN12="Dados pessoais e sensíveis"),"dados inseridos em IA; ","") &amp; IF(O12="Acima de 10.000 titulares por mês","volume crítico de titulares; ","") &amp; IF(O12="De 1.001 a 10.000 titulares por mês","volume moderado de titulares; ","") &amp; IF(AA12="SIM","compartilhamento com terceiros; ","") &amp; IF(R12="SIM","compartilhamento com órgãos governamentais; ","") &amp; IF(AJ12="NÃO","ausência de controle de acesso por perfil; ","")),"DPIA não indicado: Processo de baixa criticidade."))</f>
      </c>
    </row>
    <row x14ac:dyDescent="0.25" r="13" customHeight="1" ht="19.5" customFormat="1" s="1">
      <c r="A13" s="112">
        <v>10</v>
      </c>
      <c r="B13" s="52"/>
      <c r="C13" s="53"/>
      <c r="D13" s="53"/>
      <c r="E13" s="32"/>
      <c r="F13" s="53"/>
      <c r="G13" s="32"/>
      <c r="H13" s="3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115"/>
      <c r="U13" s="115"/>
      <c r="V13" s="115"/>
      <c r="W13" s="116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113">
        <f>IF(AND(I13="",K13="",AF13="",AL13="",AN13="",O13=""),"",IF(OR(I13="SIM",K13="SIM",AF13="SIM",AL13="SIM",AN13="Dados pessoais",AN13="Dados sensíveis",AN13="Dados pessoais e sensíveis",O13="Acima de 10.000 titulares por mês"),"SIM - Alta criticidade",IF((IF(I13="SIM",2,0)+IF(K13="SIM",2,0)+IF(AF13="SIM",2,0)+IF(OR(AN13="Dados pessoais",AN13="Dados sensíveis",AN13="Dados pessoais e sensíveis"),2,0)+IF(O13="De 1.001 a 10.000 titulares por mês",1,0)+IF(AA13="SIM",1,0)+IF(R13="SIM",1,0)+IF(AL13="SIM",1,0)+IF(AJ13="NÃO",1,0))&gt;=5,"SIM - Alta criticidade",IF((IF(I13="SIM",2,0)+IF(K13="SIM",2,0)+IF(AF13="SIM",2,0)+IF(OR(AN13="Dados pessoais",AN13="Dados sensíveis",AN13="Dados pessoais e sensíveis"),2,0)+IF(O13="De 1.001 a 10.000 titulares por mês",1,0)+IF(AA13="SIM",1,0)+IF(R13="SIM",1,0)+IF(AL13="SIM",1,0)+IF(AJ13="NÃO",1,0))&gt;=3,"Avaliação necessária","NÃO"))))</f>
      </c>
      <c r="AR13" s="114"/>
      <c r="AS13" s="113">
        <f>IF(AND(I13="",K13="",AF13="",AL13="",AN13="",O13=""),"",IF(OR(I13="SIM",K13="SIM",AF13="SIM",AL13="SIM",OR(AN13="Dados pessoais",AN13="Dados sensíveis",AN13="Dados pessoais e sensíveis"),O13="Acima de 10.000 titulares por mês",(IF(I13="SIM",2,0)+IF(K13="SIM",2,0)+IF(AF13="SIM",2,0)+IF(OR(AN13="Dados pessoais",AN13="Dados sensíveis",AN13="Dados pessoais e sensíveis"),2,0)+IF(O13="De 1.001 a 10.000 titulares por mês",1,0)+IF(AA13="SIM",1,0)+IF(R13="SIM",1,0)+IF(AL13="SIM",1,0)+IF(AJ13="NÃO",1,0))&gt;=3),"DPIA indicado ou em avaliação em razão de: " &amp; TRIM(IF(I13="SIM","tratamento de dados sensíveis; ","") &amp; IF(K13="SIM","utilização de dados de menores; ","") &amp; IF(AF13="SIM","transferência internacional de dados; ","") &amp; IF(AL13="SIM","utilização de inteligência artificial; ","") &amp; IF(OR(AN13="Dados pessoais",AN13="Dados sensíveis",AN13="Dados pessoais e sensíveis"),"dados inseridos em IA; ","") &amp; IF(O13="Acima de 10.000 titulares por mês","volume crítico de titulares; ","") &amp; IF(O13="De 1.001 a 10.000 titulares por mês","volume moderado de titulares; ","") &amp; IF(AA13="SIM","compartilhamento com terceiros; ","") &amp; IF(R13="SIM","compartilhamento com órgãos governamentais; ","") &amp; IF(AJ13="NÃO","ausência de controle de acesso por perfil; ","")),"DPIA não indicado: Processo de baixa criticidade."))</f>
      </c>
    </row>
    <row x14ac:dyDescent="0.25" r="14" customHeight="1" ht="19.5" customFormat="1" s="1">
      <c r="A14" s="112">
        <v>11</v>
      </c>
      <c r="B14" s="52"/>
      <c r="C14" s="53"/>
      <c r="D14" s="53"/>
      <c r="E14" s="32"/>
      <c r="F14" s="53"/>
      <c r="G14" s="32"/>
      <c r="H14" s="32"/>
      <c r="I14" s="52"/>
      <c r="J14" s="52"/>
      <c r="K14" s="52"/>
      <c r="L14" s="32"/>
      <c r="M14" s="52"/>
      <c r="N14" s="52"/>
      <c r="O14" s="52"/>
      <c r="P14" s="52"/>
      <c r="Q14" s="52"/>
      <c r="R14" s="52"/>
      <c r="S14" s="52"/>
      <c r="T14" s="53"/>
      <c r="U14" s="53"/>
      <c r="V14" s="53"/>
      <c r="W14" s="53"/>
      <c r="X14" s="116"/>
      <c r="Y14" s="116"/>
      <c r="Z14" s="116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113">
        <f>IF(AND(I14="",K14="",AF14="",AL14="",AN14="",O14=""),"",IF(OR(I14="SIM",K14="SIM",AF14="SIM",AL14="SIM",AN14="Dados pessoais",AN14="Dados sensíveis",AN14="Dados pessoais e sensíveis",O14="Acima de 10.000 titulares por mês"),"SIM - Alta criticidade",IF((IF(I14="SIM",2,0)+IF(K14="SIM",2,0)+IF(AF14="SIM",2,0)+IF(OR(AN14="Dados pessoais",AN14="Dados sensíveis",AN14="Dados pessoais e sensíveis"),2,0)+IF(O14="De 1.001 a 10.000 titulares por mês",1,0)+IF(AA14="SIM",1,0)+IF(R14="SIM",1,0)+IF(AL14="SIM",1,0)+IF(AJ14="NÃO",1,0))&gt;=5,"SIM - Alta criticidade",IF((IF(I14="SIM",2,0)+IF(K14="SIM",2,0)+IF(AF14="SIM",2,0)+IF(OR(AN14="Dados pessoais",AN14="Dados sensíveis",AN14="Dados pessoais e sensíveis"),2,0)+IF(O14="De 1.001 a 10.000 titulares por mês",1,0)+IF(AA14="SIM",1,0)+IF(R14="SIM",1,0)+IF(AL14="SIM",1,0)+IF(AJ14="NÃO",1,0))&gt;=3,"Avaliação necessária","NÃO"))))</f>
      </c>
      <c r="AR14" s="114"/>
      <c r="AS14" s="113">
        <f>IF(AND(I14="",K14="",AF14="",AL14="",AN14="",O14=""),"",IF(OR(I14="SIM",K14="SIM",AF14="SIM",AL14="SIM",OR(AN14="Dados pessoais",AN14="Dados sensíveis",AN14="Dados pessoais e sensíveis"),O14="Acima de 10.000 titulares por mês",(IF(I14="SIM",2,0)+IF(K14="SIM",2,0)+IF(AF14="SIM",2,0)+IF(OR(AN14="Dados pessoais",AN14="Dados sensíveis",AN14="Dados pessoais e sensíveis"),2,0)+IF(O14="De 1.001 a 10.000 titulares por mês",1,0)+IF(AA14="SIM",1,0)+IF(R14="SIM",1,0)+IF(AL14="SIM",1,0)+IF(AJ14="NÃO",1,0))&gt;=3),"DPIA indicado ou em avaliação em razão de: " &amp; TRIM(IF(I14="SIM","tratamento de dados sensíveis; ","") &amp; IF(K14="SIM","utilização de dados de menores; ","") &amp; IF(AF14="SIM","transferência internacional de dados; ","") &amp; IF(AL14="SIM","utilização de inteligência artificial; ","") &amp; IF(OR(AN14="Dados pessoais",AN14="Dados sensíveis",AN14="Dados pessoais e sensíveis"),"dados inseridos em IA; ","") &amp; IF(O14="Acima de 10.000 titulares por mês","volume crítico de titulares; ","") &amp; IF(O14="De 1.001 a 10.000 titulares por mês","volume moderado de titulares; ","") &amp; IF(AA14="SIM","compartilhamento com terceiros; ","") &amp; IF(R14="SIM","compartilhamento com órgãos governamentais; ","") &amp; IF(AJ14="NÃO","ausência de controle de acesso por perfil; ","")),"DPIA não indicado: Processo de baixa criticidade."))</f>
      </c>
    </row>
    <row x14ac:dyDescent="0.25" r="15" customHeight="1" ht="19.5" customFormat="1" s="1">
      <c r="A15" s="112">
        <v>12</v>
      </c>
      <c r="B15" s="52"/>
      <c r="C15" s="53"/>
      <c r="D15" s="52"/>
      <c r="E15" s="32"/>
      <c r="F15" s="53"/>
      <c r="G15" s="32"/>
      <c r="H15" s="32"/>
      <c r="I15" s="52"/>
      <c r="J15" s="52"/>
      <c r="K15" s="52"/>
      <c r="L15" s="3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3"/>
      <c r="X15" s="52"/>
      <c r="Y15" s="52"/>
      <c r="Z15" s="53"/>
      <c r="AA15" s="52"/>
      <c r="AB15" s="52"/>
      <c r="AC15" s="52"/>
      <c r="AD15" s="53"/>
      <c r="AE15" s="52"/>
      <c r="AF15" s="52"/>
      <c r="AG15" s="53"/>
      <c r="AH15" s="53"/>
      <c r="AI15" s="53"/>
      <c r="AJ15" s="52"/>
      <c r="AK15" s="53"/>
      <c r="AL15" s="53"/>
      <c r="AM15" s="53"/>
      <c r="AN15" s="53"/>
      <c r="AO15" s="53"/>
      <c r="AP15" s="52"/>
      <c r="AQ15" s="113">
        <f>IF(AND(I15="",K15="",AF15="",AL15="",AN15="",O15=""),"",IF(OR(I15="SIM",K15="SIM",AF15="SIM",AL15="SIM",AN15="Dados pessoais",AN15="Dados sensíveis",AN15="Dados pessoais e sensíveis",O15="Acima de 10.000 titulares por mês"),"SIM - Alta criticidade",IF((IF(I15="SIM",2,0)+IF(K15="SIM",2,0)+IF(AF15="SIM",2,0)+IF(OR(AN15="Dados pessoais",AN15="Dados sensíveis",AN15="Dados pessoais e sensíveis"),2,0)+IF(O15="De 1.001 a 10.000 titulares por mês",1,0)+IF(AA15="SIM",1,0)+IF(R15="SIM",1,0)+IF(AL15="SIM",1,0)+IF(AJ15="NÃO",1,0))&gt;=5,"SIM - Alta criticidade",IF((IF(I15="SIM",2,0)+IF(K15="SIM",2,0)+IF(AF15="SIM",2,0)+IF(OR(AN15="Dados pessoais",AN15="Dados sensíveis",AN15="Dados pessoais e sensíveis"),2,0)+IF(O15="De 1.001 a 10.000 titulares por mês",1,0)+IF(AA15="SIM",1,0)+IF(R15="SIM",1,0)+IF(AL15="SIM",1,0)+IF(AJ15="NÃO",1,0))&gt;=3,"Avaliação necessária","NÃO"))))</f>
      </c>
      <c r="AR15" s="114"/>
      <c r="AS15" s="113">
        <f>IF(AND(I15="",K15="",AF15="",AL15="",AN15="",O15=""),"",IF(OR(I15="SIM",K15="SIM",AF15="SIM",AL15="SIM",OR(AN15="Dados pessoais",AN15="Dados sensíveis",AN15="Dados pessoais e sensíveis"),O15="Acima de 10.000 titulares por mês",(IF(I15="SIM",2,0)+IF(K15="SIM",2,0)+IF(AF15="SIM",2,0)+IF(OR(AN15="Dados pessoais",AN15="Dados sensíveis",AN15="Dados pessoais e sensíveis"),2,0)+IF(O15="De 1.001 a 10.000 titulares por mês",1,0)+IF(AA15="SIM",1,0)+IF(R15="SIM",1,0)+IF(AL15="SIM",1,0)+IF(AJ15="NÃO",1,0))&gt;=3),"DPIA indicado ou em avaliação em razão de: " &amp; TRIM(IF(I15="SIM","tratamento de dados sensíveis; ","") &amp; IF(K15="SIM","utilização de dados de menores; ","") &amp; IF(AF15="SIM","transferência internacional de dados; ","") &amp; IF(AL15="SIM","utilização de inteligência artificial; ","") &amp; IF(OR(AN15="Dados pessoais",AN15="Dados sensíveis",AN15="Dados pessoais e sensíveis"),"dados inseridos em IA; ","") &amp; IF(O15="Acima de 10.000 titulares por mês","volume crítico de titulares; ","") &amp; IF(O15="De 1.001 a 10.000 titulares por mês","volume moderado de titulares; ","") &amp; IF(AA15="SIM","compartilhamento com terceiros; ","") &amp; IF(R15="SIM","compartilhamento com órgãos governamentais; ","") &amp; IF(AJ15="NÃO","ausência de controle de acesso por perfil; ","")),"DPIA não indicado: Processo de baixa criticidade."))</f>
      </c>
    </row>
    <row x14ac:dyDescent="0.25" r="16" customHeight="1" ht="19.5" customFormat="1" s="1">
      <c r="A16" s="112">
        <v>13</v>
      </c>
      <c r="B16" s="52"/>
      <c r="C16" s="53"/>
      <c r="D16" s="52"/>
      <c r="E16" s="32"/>
      <c r="F16" s="53"/>
      <c r="G16" s="32"/>
      <c r="H16" s="3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3"/>
      <c r="U16" s="53"/>
      <c r="V16" s="53"/>
      <c r="W16" s="53"/>
      <c r="X16" s="53"/>
      <c r="Y16" s="53"/>
      <c r="Z16" s="53"/>
      <c r="AA16" s="53"/>
      <c r="AB16" s="32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113">
        <f>IF(AND(I16="",K16="",AF16="",AL16="",AN16="",O16=""),"",IF(OR(I16="SIM",K16="SIM",AF16="SIM",AL16="SIM",AN16="Dados pessoais",AN16="Dados sensíveis",AN16="Dados pessoais e sensíveis",O16="Acima de 10.000 titulares por mês"),"SIM - Alta criticidade",IF((IF(I16="SIM",2,0)+IF(K16="SIM",2,0)+IF(AF16="SIM",2,0)+IF(OR(AN16="Dados pessoais",AN16="Dados sensíveis",AN16="Dados pessoais e sensíveis"),2,0)+IF(O16="De 1.001 a 10.000 titulares por mês",1,0)+IF(AA16="SIM",1,0)+IF(R16="SIM",1,0)+IF(AL16="SIM",1,0)+IF(AJ16="NÃO",1,0))&gt;=5,"SIM - Alta criticidade",IF((IF(I16="SIM",2,0)+IF(K16="SIM",2,0)+IF(AF16="SIM",2,0)+IF(OR(AN16="Dados pessoais",AN16="Dados sensíveis",AN16="Dados pessoais e sensíveis"),2,0)+IF(O16="De 1.001 a 10.000 titulares por mês",1,0)+IF(AA16="SIM",1,0)+IF(R16="SIM",1,0)+IF(AL16="SIM",1,0)+IF(AJ16="NÃO",1,0))&gt;=3,"Avaliação necessária","NÃO"))))</f>
      </c>
      <c r="AR16" s="53"/>
      <c r="AS16" s="113">
        <f>IF(AND(I16="",K16="",AF16="",AL16="",AN16="",O16=""),"",IF(OR(I16="SIM",K16="SIM",AF16="SIM",AL16="SIM",OR(AN16="Dados pessoais",AN16="Dados sensíveis",AN16="Dados pessoais e sensíveis"),O16="Acima de 10.000 titulares por mês",(IF(I16="SIM",2,0)+IF(K16="SIM",2,0)+IF(AF16="SIM",2,0)+IF(OR(AN16="Dados pessoais",AN16="Dados sensíveis",AN16="Dados pessoais e sensíveis"),2,0)+IF(O16="De 1.001 a 10.000 titulares por mês",1,0)+IF(AA16="SIM",1,0)+IF(R16="SIM",1,0)+IF(AL16="SIM",1,0)+IF(AJ16="NÃO",1,0))&gt;=3),"DPIA indicado ou em avaliação em razão de: " &amp; TRIM(IF(I16="SIM","tratamento de dados sensíveis; ","") &amp; IF(K16="SIM","utilização de dados de menores; ","") &amp; IF(AF16="SIM","transferência internacional de dados; ","") &amp; IF(AL16="SIM","utilização de inteligência artificial; ","") &amp; IF(OR(AN16="Dados pessoais",AN16="Dados sensíveis",AN16="Dados pessoais e sensíveis"),"dados inseridos em IA; ","") &amp; IF(O16="Acima de 10.000 titulares por mês","volume crítico de titulares; ","") &amp; IF(O16="De 1.001 a 10.000 titulares por mês","volume moderado de titulares; ","") &amp; IF(AA16="SIM","compartilhamento com terceiros; ","") &amp; IF(R16="SIM","compartilhamento com órgãos governamentais; ","") &amp; IF(AJ16="NÃO","ausência de controle de acesso por perfil; ","")),"DPIA não indicado: Processo de baixa criticidade."))</f>
      </c>
    </row>
    <row x14ac:dyDescent="0.25" r="17" customHeight="1" ht="19.5" customFormat="1" s="1">
      <c r="A17" s="112">
        <v>14</v>
      </c>
      <c r="B17" s="52"/>
      <c r="C17" s="53"/>
      <c r="D17" s="52"/>
      <c r="E17" s="32"/>
      <c r="F17" s="53"/>
      <c r="G17" s="32"/>
      <c r="H17" s="3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3"/>
      <c r="U17" s="53"/>
      <c r="V17" s="53"/>
      <c r="W17" s="53"/>
      <c r="X17" s="53"/>
      <c r="Y17" s="53"/>
      <c r="Z17" s="53"/>
      <c r="AA17" s="53"/>
      <c r="AB17" s="32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113">
        <f>IF(AND(I17="",K17="",AF17="",AL17="",AN17="",O17=""),"",IF(OR(I17="SIM",K17="SIM",AF17="SIM",AL17="SIM",AN17="Dados pessoais",AN17="Dados sensíveis",AN17="Dados pessoais e sensíveis",O17="Acima de 10.000 titulares por mês"),"SIM - Alta criticidade",IF((IF(I17="SIM",2,0)+IF(K17="SIM",2,0)+IF(AF17="SIM",2,0)+IF(OR(AN17="Dados pessoais",AN17="Dados sensíveis",AN17="Dados pessoais e sensíveis"),2,0)+IF(O17="De 1.001 a 10.000 titulares por mês",1,0)+IF(AA17="SIM",1,0)+IF(R17="SIM",1,0)+IF(AL17="SIM",1,0)+IF(AJ17="NÃO",1,0))&gt;=5,"SIM - Alta criticidade",IF((IF(I17="SIM",2,0)+IF(K17="SIM",2,0)+IF(AF17="SIM",2,0)+IF(OR(AN17="Dados pessoais",AN17="Dados sensíveis",AN17="Dados pessoais e sensíveis"),2,0)+IF(O17="De 1.001 a 10.000 titulares por mês",1,0)+IF(AA17="SIM",1,0)+IF(R17="SIM",1,0)+IF(AL17="SIM",1,0)+IF(AJ17="NÃO",1,0))&gt;=3,"Avaliação necessária","NÃO"))))</f>
      </c>
      <c r="AR17" s="53"/>
      <c r="AS17" s="113">
        <f>IF(AND(I17="",K17="",AF17="",AL17="",AN17="",O17=""),"",IF(OR(I17="SIM",K17="SIM",AF17="SIM",AL17="SIM",OR(AN17="Dados pessoais",AN17="Dados sensíveis",AN17="Dados pessoais e sensíveis"),O17="Acima de 10.000 titulares por mês",(IF(I17="SIM",2,0)+IF(K17="SIM",2,0)+IF(AF17="SIM",2,0)+IF(OR(AN17="Dados pessoais",AN17="Dados sensíveis",AN17="Dados pessoais e sensíveis"),2,0)+IF(O17="De 1.001 a 10.000 titulares por mês",1,0)+IF(AA17="SIM",1,0)+IF(R17="SIM",1,0)+IF(AL17="SIM",1,0)+IF(AJ17="NÃO",1,0))&gt;=3),"DPIA indicado ou em avaliação em razão de: " &amp; TRIM(IF(I17="SIM","tratamento de dados sensíveis; ","") &amp; IF(K17="SIM","utilização de dados de menores; ","") &amp; IF(AF17="SIM","transferência internacional de dados; ","") &amp; IF(AL17="SIM","utilização de inteligência artificial; ","") &amp; IF(OR(AN17="Dados pessoais",AN17="Dados sensíveis",AN17="Dados pessoais e sensíveis"),"dados inseridos em IA; ","") &amp; IF(O17="Acima de 10.000 titulares por mês","volume crítico de titulares; ","") &amp; IF(O17="De 1.001 a 10.000 titulares por mês","volume moderado de titulares; ","") &amp; IF(AA17="SIM","compartilhamento com terceiros; ","") &amp; IF(R17="SIM","compartilhamento com órgãos governamentais; ","") &amp; IF(AJ17="NÃO","ausência de controle de acesso por perfil; ","")),"DPIA não indicado: Processo de baixa criticidade."))</f>
      </c>
    </row>
    <row x14ac:dyDescent="0.25" r="18" customHeight="1" ht="19.5" customFormat="1" s="1">
      <c r="A18" s="112">
        <v>15</v>
      </c>
      <c r="B18" s="52"/>
      <c r="C18" s="53"/>
      <c r="D18" s="52"/>
      <c r="E18" s="32"/>
      <c r="F18" s="53"/>
      <c r="G18" s="32"/>
      <c r="H18" s="3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3"/>
      <c r="U18" s="53"/>
      <c r="V18" s="53"/>
      <c r="W18" s="53"/>
      <c r="X18" s="53"/>
      <c r="Y18" s="53"/>
      <c r="Z18" s="53"/>
      <c r="AA18" s="53"/>
      <c r="AB18" s="32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113">
        <f>IF(AND(I18="",K18="",AF18="",AL18="",AN18="",O18=""),"",IF(OR(I18="SIM",K18="SIM",AF18="SIM",AL18="SIM",AN18="Dados pessoais",AN18="Dados sensíveis",AN18="Dados pessoais e sensíveis",O18="Acima de 10.000 titulares por mês"),"SIM - Alta criticidade",IF((IF(I18="SIM",2,0)+IF(K18="SIM",2,0)+IF(AF18="SIM",2,0)+IF(OR(AN18="Dados pessoais",AN18="Dados sensíveis",AN18="Dados pessoais e sensíveis"),2,0)+IF(O18="De 1.001 a 10.000 titulares por mês",1,0)+IF(AA18="SIM",1,0)+IF(R18="SIM",1,0)+IF(AL18="SIM",1,0)+IF(AJ18="NÃO",1,0))&gt;=5,"SIM - Alta criticidade",IF((IF(I18="SIM",2,0)+IF(K18="SIM",2,0)+IF(AF18="SIM",2,0)+IF(OR(AN18="Dados pessoais",AN18="Dados sensíveis",AN18="Dados pessoais e sensíveis"),2,0)+IF(O18="De 1.001 a 10.000 titulares por mês",1,0)+IF(AA18="SIM",1,0)+IF(R18="SIM",1,0)+IF(AL18="SIM",1,0)+IF(AJ18="NÃO",1,0))&gt;=3,"Avaliação necessária","NÃO"))))</f>
      </c>
      <c r="AR18" s="53"/>
      <c r="AS18" s="113">
        <f>IF(AND(I18="",K18="",AF18="",AL18="",AN18="",O18=""),"",IF(OR(I18="SIM",K18="SIM",AF18="SIM",AL18="SIM",OR(AN18="Dados pessoais",AN18="Dados sensíveis",AN18="Dados pessoais e sensíveis"),O18="Acima de 10.000 titulares por mês",(IF(I18="SIM",2,0)+IF(K18="SIM",2,0)+IF(AF18="SIM",2,0)+IF(OR(AN18="Dados pessoais",AN18="Dados sensíveis",AN18="Dados pessoais e sensíveis"),2,0)+IF(O18="De 1.001 a 10.000 titulares por mês",1,0)+IF(AA18="SIM",1,0)+IF(R18="SIM",1,0)+IF(AL18="SIM",1,0)+IF(AJ18="NÃO",1,0))&gt;=3),"DPIA indicado ou em avaliação em razão de: " &amp; TRIM(IF(I18="SIM","tratamento de dados sensíveis; ","") &amp; IF(K18="SIM","utilização de dados de menores; ","") &amp; IF(AF18="SIM","transferência internacional de dados; ","") &amp; IF(AL18="SIM","utilização de inteligência artificial; ","") &amp; IF(OR(AN18="Dados pessoais",AN18="Dados sensíveis",AN18="Dados pessoais e sensíveis"),"dados inseridos em IA; ","") &amp; IF(O18="Acima de 10.000 titulares por mês","volume crítico de titulares; ","") &amp; IF(O18="De 1.001 a 10.000 titulares por mês","volume moderado de titulares; ","") &amp; IF(AA18="SIM","compartilhamento com terceiros; ","") &amp; IF(R18="SIM","compartilhamento com órgãos governamentais; ","") &amp; IF(AJ18="NÃO","ausência de controle de acesso por perfil; ","")),"DPIA não indicado: Processo de baixa criticidade."))</f>
      </c>
    </row>
    <row x14ac:dyDescent="0.25" r="19" customHeight="1" ht="19.5" customFormat="1" s="1">
      <c r="A19" s="112">
        <v>16</v>
      </c>
      <c r="B19" s="52"/>
      <c r="C19" s="53"/>
      <c r="D19" s="52"/>
      <c r="E19" s="32"/>
      <c r="F19" s="53"/>
      <c r="G19" s="32"/>
      <c r="H19" s="3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113">
        <f>IF(AND(I19="",K19="",AF19="",AL19="",AN19="",O19=""),"",IF(OR(I19="SIM",K19="SIM",AF19="SIM",AL19="SIM",AN19="Dados pessoais",AN19="Dados sensíveis",AN19="Dados pessoais e sensíveis",O19="Acima de 10.000 titulares por mês"),"SIM - Alta criticidade",IF((IF(I19="SIM",2,0)+IF(K19="SIM",2,0)+IF(AF19="SIM",2,0)+IF(OR(AN19="Dados pessoais",AN19="Dados sensíveis",AN19="Dados pessoais e sensíveis"),2,0)+IF(O19="De 1.001 a 10.000 titulares por mês",1,0)+IF(AA19="SIM",1,0)+IF(R19="SIM",1,0)+IF(AL19="SIM",1,0)+IF(AJ19="NÃO",1,0))&gt;=5,"SIM - Alta criticidade",IF((IF(I19="SIM",2,0)+IF(K19="SIM",2,0)+IF(AF19="SIM",2,0)+IF(OR(AN19="Dados pessoais",AN19="Dados sensíveis",AN19="Dados pessoais e sensíveis"),2,0)+IF(O19="De 1.001 a 10.000 titulares por mês",1,0)+IF(AA19="SIM",1,0)+IF(R19="SIM",1,0)+IF(AL19="SIM",1,0)+IF(AJ19="NÃO",1,0))&gt;=3,"Avaliação necessária","NÃO"))))</f>
      </c>
      <c r="AR19" s="53"/>
      <c r="AS19" s="113">
        <f>IF(AND(I19="",K19="",AF19="",AL19="",AN19="",O19=""),"",IF(OR(I19="SIM",K19="SIM",AF19="SIM",AL19="SIM",OR(AN19="Dados pessoais",AN19="Dados sensíveis",AN19="Dados pessoais e sensíveis"),O19="Acima de 10.000 titulares por mês",(IF(I19="SIM",2,0)+IF(K19="SIM",2,0)+IF(AF19="SIM",2,0)+IF(OR(AN19="Dados pessoais",AN19="Dados sensíveis",AN19="Dados pessoais e sensíveis"),2,0)+IF(O19="De 1.001 a 10.000 titulares por mês",1,0)+IF(AA19="SIM",1,0)+IF(R19="SIM",1,0)+IF(AL19="SIM",1,0)+IF(AJ19="NÃO",1,0))&gt;=3),"DPIA indicado ou em avaliação em razão de: " &amp; TRIM(IF(I19="SIM","tratamento de dados sensíveis; ","") &amp; IF(K19="SIM","utilização de dados de menores; ","") &amp; IF(AF19="SIM","transferência internacional de dados; ","") &amp; IF(AL19="SIM","utilização de inteligência artificial; ","") &amp; IF(OR(AN19="Dados pessoais",AN19="Dados sensíveis",AN19="Dados pessoais e sensíveis"),"dados inseridos em IA; ","") &amp; IF(O19="Acima de 10.000 titulares por mês","volume crítico de titulares; ","") &amp; IF(O19="De 1.001 a 10.000 titulares por mês","volume moderado de titulares; ","") &amp; IF(AA19="SIM","compartilhamento com terceiros; ","") &amp; IF(R19="SIM","compartilhamento com órgãos governamentais; ","") &amp; IF(AJ19="NÃO","ausência de controle de acesso por perfil; ","")),"DPIA não indicado: Processo de baixa criticidade."))</f>
      </c>
    </row>
    <row x14ac:dyDescent="0.25" r="20" customHeight="1" ht="19.5" customFormat="1" s="1">
      <c r="A20" s="112">
        <v>17</v>
      </c>
      <c r="B20" s="52"/>
      <c r="C20" s="53"/>
      <c r="D20" s="52"/>
      <c r="E20" s="32"/>
      <c r="F20" s="53"/>
      <c r="G20" s="32"/>
      <c r="H20" s="3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113">
        <f>IF(AND(I20="",K20="",AF20="",AL20="",AN20="",O20=""),"",IF(OR(I20="SIM",K20="SIM",AF20="SIM",AL20="SIM",AN20="Dados pessoais",AN20="Dados sensíveis",AN20="Dados pessoais e sensíveis",O20="Acima de 10.000 titulares por mês"),"SIM - Alta criticidade",IF((IF(I20="SIM",2,0)+IF(K20="SIM",2,0)+IF(AF20="SIM",2,0)+IF(OR(AN20="Dados pessoais",AN20="Dados sensíveis",AN20="Dados pessoais e sensíveis"),2,0)+IF(O20="De 1.001 a 10.000 titulares por mês",1,0)+IF(AA20="SIM",1,0)+IF(R20="SIM",1,0)+IF(AL20="SIM",1,0)+IF(AJ20="NÃO",1,0))&gt;=5,"SIM - Alta criticidade",IF((IF(I20="SIM",2,0)+IF(K20="SIM",2,0)+IF(AF20="SIM",2,0)+IF(OR(AN20="Dados pessoais",AN20="Dados sensíveis",AN20="Dados pessoais e sensíveis"),2,0)+IF(O20="De 1.001 a 10.000 titulares por mês",1,0)+IF(AA20="SIM",1,0)+IF(R20="SIM",1,0)+IF(AL20="SIM",1,0)+IF(AJ20="NÃO",1,0))&gt;=3,"Avaliação necessária","NÃO"))))</f>
      </c>
      <c r="AR20" s="53"/>
      <c r="AS20" s="113">
        <f>IF(AND(I20="",K20="",AF20="",AL20="",AN20="",O20=""),"",IF(OR(I20="SIM",K20="SIM",AF20="SIM",AL20="SIM",OR(AN20="Dados pessoais",AN20="Dados sensíveis",AN20="Dados pessoais e sensíveis"),O20="Acima de 10.000 titulares por mês",(IF(I20="SIM",2,0)+IF(K20="SIM",2,0)+IF(AF20="SIM",2,0)+IF(OR(AN20="Dados pessoais",AN20="Dados sensíveis",AN20="Dados pessoais e sensíveis"),2,0)+IF(O20="De 1.001 a 10.000 titulares por mês",1,0)+IF(AA20="SIM",1,0)+IF(R20="SIM",1,0)+IF(AL20="SIM",1,0)+IF(AJ20="NÃO",1,0))&gt;=3),"DPIA indicado ou em avaliação em razão de: " &amp; TRIM(IF(I20="SIM","tratamento de dados sensíveis; ","") &amp; IF(K20="SIM","utilização de dados de menores; ","") &amp; IF(AF20="SIM","transferência internacional de dados; ","") &amp; IF(AL20="SIM","utilização de inteligência artificial; ","") &amp; IF(OR(AN20="Dados pessoais",AN20="Dados sensíveis",AN20="Dados pessoais e sensíveis"),"dados inseridos em IA; ","") &amp; IF(O20="Acima de 10.000 titulares por mês","volume crítico de titulares; ","") &amp; IF(O20="De 1.001 a 10.000 titulares por mês","volume moderado de titulares; ","") &amp; IF(AA20="SIM","compartilhamento com terceiros; ","") &amp; IF(R20="SIM","compartilhamento com órgãos governamentais; ","") &amp; IF(AJ20="NÃO","ausência de controle de acesso por perfil; ","")),"DPIA não indicado: Processo de baixa criticidade."))</f>
      </c>
    </row>
    <row x14ac:dyDescent="0.25" r="21" customHeight="1" ht="15.75" customFormat="1" s="1">
      <c r="A21" s="112">
        <v>18</v>
      </c>
      <c r="B21" s="52"/>
      <c r="C21" s="53"/>
      <c r="D21" s="52"/>
      <c r="E21" s="32"/>
      <c r="F21" s="53"/>
      <c r="G21" s="32"/>
      <c r="H21" s="3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113">
        <f>IF(AND(I21="",K21="",AF21="",AL21="",AN21="",O21=""),"",IF(OR(I21="SIM",K21="SIM",AF21="SIM",AL21="SIM",AN21="Dados pessoais",AN21="Dados sensíveis",AN21="Dados pessoais e sensíveis",O21="Acima de 10.000 titulares por mês"),"SIM - Alta criticidade",IF((IF(I21="SIM",2,0)+IF(K21="SIM",2,0)+IF(AF21="SIM",2,0)+IF(OR(AN21="Dados pessoais",AN21="Dados sensíveis",AN21="Dados pessoais e sensíveis"),2,0)+IF(O21="De 1.001 a 10.000 titulares por mês",1,0)+IF(AA21="SIM",1,0)+IF(R21="SIM",1,0)+IF(AL21="SIM",1,0)+IF(AJ21="NÃO",1,0))&gt;=5,"SIM - Alta criticidade",IF((IF(I21="SIM",2,0)+IF(K21="SIM",2,0)+IF(AF21="SIM",2,0)+IF(OR(AN21="Dados pessoais",AN21="Dados sensíveis",AN21="Dados pessoais e sensíveis"),2,0)+IF(O21="De 1.001 a 10.000 titulares por mês",1,0)+IF(AA21="SIM",1,0)+IF(R21="SIM",1,0)+IF(AL21="SIM",1,0)+IF(AJ21="NÃO",1,0))&gt;=3,"Avaliação necessária","NÃO"))))</f>
      </c>
      <c r="AR21" s="53"/>
      <c r="AS21" s="113">
        <f>IF(AND(I21="",K21="",AF21="",AL21="",AN21="",O21=""),"",IF(OR(I21="SIM",K21="SIM",AF21="SIM",AL21="SIM",OR(AN21="Dados pessoais",AN21="Dados sensíveis",AN21="Dados pessoais e sensíveis"),O21="Acima de 10.000 titulares por mês",(IF(I21="SIM",2,0)+IF(K21="SIM",2,0)+IF(AF21="SIM",2,0)+IF(OR(AN21="Dados pessoais",AN21="Dados sensíveis",AN21="Dados pessoais e sensíveis"),2,0)+IF(O21="De 1.001 a 10.000 titulares por mês",1,0)+IF(AA21="SIM",1,0)+IF(R21="SIM",1,0)+IF(AL21="SIM",1,0)+IF(AJ21="NÃO",1,0))&gt;=3),"DPIA indicado ou em avaliação em razão de: " &amp; TRIM(IF(I21="SIM","tratamento de dados sensíveis; ","") &amp; IF(K21="SIM","utilização de dados de menores; ","") &amp; IF(AF21="SIM","transferência internacional de dados; ","") &amp; IF(AL21="SIM","utilização de inteligência artificial; ","") &amp; IF(OR(AN21="Dados pessoais",AN21="Dados sensíveis",AN21="Dados pessoais e sensíveis"),"dados inseridos em IA; ","") &amp; IF(O21="Acima de 10.000 titulares por mês","volume crítico de titulares; ","") &amp; IF(O21="De 1.001 a 10.000 titulares por mês","volume moderado de titulares; ","") &amp; IF(AA21="SIM","compartilhamento com terceiros; ","") &amp; IF(R21="SIM","compartilhamento com órgãos governamentais; ","") &amp; IF(AJ21="NÃO","ausência de controle de acesso por perfil; ","")),"DPIA não indicado: Processo de baixa criticidade."))</f>
      </c>
    </row>
    <row x14ac:dyDescent="0.25" r="22" customHeight="1" ht="15.75" customFormat="1" s="1">
      <c r="A22" s="112">
        <v>19</v>
      </c>
      <c r="B22" s="53"/>
      <c r="C22" s="53"/>
      <c r="D22" s="53"/>
      <c r="E22" s="32"/>
      <c r="F22" s="53"/>
      <c r="G22" s="32"/>
      <c r="H22" s="32"/>
      <c r="I22" s="52"/>
      <c r="J22" s="52"/>
      <c r="K22" s="52"/>
      <c r="L22" s="52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113">
        <f>IF(AND(I22="",K22="",AF22="",AL22="",AN22="",O22=""),"",IF(OR(I22="SIM",K22="SIM",AF22="SIM",AL22="SIM",AN22="Dados pessoais",AN22="Dados sensíveis",AN22="Dados pessoais e sensíveis",O22="Acima de 10.000 titulares por mês"),"SIM - Alta criticidade",IF((IF(I22="SIM",2,0)+IF(K22="SIM",2,0)+IF(AF22="SIM",2,0)+IF(OR(AN22="Dados pessoais",AN22="Dados sensíveis",AN22="Dados pessoais e sensíveis"),2,0)+IF(O22="De 1.001 a 10.000 titulares por mês",1,0)+IF(AA22="SIM",1,0)+IF(R22="SIM",1,0)+IF(AL22="SIM",1,0)+IF(AJ22="NÃO",1,0))&gt;=5,"SIM - Alta criticidade",IF((IF(I22="SIM",2,0)+IF(K22="SIM",2,0)+IF(AF22="SIM",2,0)+IF(OR(AN22="Dados pessoais",AN22="Dados sensíveis",AN22="Dados pessoais e sensíveis"),2,0)+IF(O22="De 1.001 a 10.000 titulares por mês",1,0)+IF(AA22="SIM",1,0)+IF(R22="SIM",1,0)+IF(AL22="SIM",1,0)+IF(AJ22="NÃO",1,0))&gt;=3,"Avaliação necessária","NÃO"))))</f>
      </c>
      <c r="AR22" s="53"/>
      <c r="AS22" s="113">
        <f>IF(AND(I22="",K22="",AF22="",AL22="",AN22="",O22=""),"",IF(OR(I22="SIM",K22="SIM",AF22="SIM",AL22="SIM",OR(AN22="Dados pessoais",AN22="Dados sensíveis",AN22="Dados pessoais e sensíveis"),O22="Acima de 10.000 titulares por mês",(IF(I22="SIM",2,0)+IF(K22="SIM",2,0)+IF(AF22="SIM",2,0)+IF(OR(AN22="Dados pessoais",AN22="Dados sensíveis",AN22="Dados pessoais e sensíveis"),2,0)+IF(O22="De 1.001 a 10.000 titulares por mês",1,0)+IF(AA22="SIM",1,0)+IF(R22="SIM",1,0)+IF(AL22="SIM",1,0)+IF(AJ22="NÃO",1,0))&gt;=3),"DPIA indicado ou em avaliação em razão de: " &amp; TRIM(IF(I22="SIM","tratamento de dados sensíveis; ","") &amp; IF(K22="SIM","utilização de dados de menores; ","") &amp; IF(AF22="SIM","transferência internacional de dados; ","") &amp; IF(AL22="SIM","utilização de inteligência artificial; ","") &amp; IF(OR(AN22="Dados pessoais",AN22="Dados sensíveis",AN22="Dados pessoais e sensíveis"),"dados inseridos em IA; ","") &amp; IF(O22="Acima de 10.000 titulares por mês","volume crítico de titulares; ","") &amp; IF(O22="De 1.001 a 10.000 titulares por mês","volume moderado de titulares; ","") &amp; IF(AA22="SIM","compartilhamento com terceiros; ","") &amp; IF(R22="SIM","compartilhamento com órgãos governamentais; ","") &amp; IF(AJ22="NÃO","ausência de controle de acesso por perfil; ","")),"DPIA não indicado: Processo de baixa criticidade."))</f>
      </c>
    </row>
    <row x14ac:dyDescent="0.25" r="23" customHeight="1" ht="15.75" customFormat="1" s="1">
      <c r="A23" s="112">
        <v>20</v>
      </c>
      <c r="B23" s="52"/>
      <c r="C23" s="53"/>
      <c r="D23" s="52"/>
      <c r="E23" s="32"/>
      <c r="F23" s="53"/>
      <c r="G23" s="32"/>
      <c r="H23" s="3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113">
        <f>IF(AND(I23="",K23="",AF23="",AL23="",AN23="",O23=""),"",IF(OR(I23="SIM",K23="SIM",AF23="SIM",AL23="SIM",AN23="Dados pessoais",AN23="Dados sensíveis",AN23="Dados pessoais e sensíveis",O23="Acima de 10.000 titulares por mês"),"SIM - Alta criticidade",IF((IF(I23="SIM",2,0)+IF(K23="SIM",2,0)+IF(AF23="SIM",2,0)+IF(OR(AN23="Dados pessoais",AN23="Dados sensíveis",AN23="Dados pessoais e sensíveis"),2,0)+IF(O23="De 1.001 a 10.000 titulares por mês",1,0)+IF(AA23="SIM",1,0)+IF(R23="SIM",1,0)+IF(AL23="SIM",1,0)+IF(AJ23="NÃO",1,0))&gt;=5,"SIM - Alta criticidade",IF((IF(I23="SIM",2,0)+IF(K23="SIM",2,0)+IF(AF23="SIM",2,0)+IF(OR(AN23="Dados pessoais",AN23="Dados sensíveis",AN23="Dados pessoais e sensíveis"),2,0)+IF(O23="De 1.001 a 10.000 titulares por mês",1,0)+IF(AA23="SIM",1,0)+IF(R23="SIM",1,0)+IF(AL23="SIM",1,0)+IF(AJ23="NÃO",1,0))&gt;=3,"Avaliação necessária","NÃO"))))</f>
      </c>
      <c r="AR23" s="53"/>
      <c r="AS23" s="113">
        <f>IF(AND(I23="",K23="",AF23="",AL23="",AN23="",O23=""),"",IF(OR(I23="SIM",K23="SIM",AF23="SIM",AL23="SIM",OR(AN23="Dados pessoais",AN23="Dados sensíveis",AN23="Dados pessoais e sensíveis"),O23="Acima de 10.000 titulares por mês",(IF(I23="SIM",2,0)+IF(K23="SIM",2,0)+IF(AF23="SIM",2,0)+IF(OR(AN23="Dados pessoais",AN23="Dados sensíveis",AN23="Dados pessoais e sensíveis"),2,0)+IF(O23="De 1.001 a 10.000 titulares por mês",1,0)+IF(AA23="SIM",1,0)+IF(R23="SIM",1,0)+IF(AL23="SIM",1,0)+IF(AJ23="NÃO",1,0))&gt;=3),"DPIA indicado ou em avaliação em razão de: " &amp; TRIM(IF(I23="SIM","tratamento de dados sensíveis; ","") &amp; IF(K23="SIM","utilização de dados de menores; ","") &amp; IF(AF23="SIM","transferência internacional de dados; ","") &amp; IF(AL23="SIM","utilização de inteligência artificial; ","") &amp; IF(OR(AN23="Dados pessoais",AN23="Dados sensíveis",AN23="Dados pessoais e sensíveis"),"dados inseridos em IA; ","") &amp; IF(O23="Acima de 10.000 titulares por mês","volume crítico de titulares; ","") &amp; IF(O23="De 1.001 a 10.000 titulares por mês","volume moderado de titulares; ","") &amp; IF(AA23="SIM","compartilhamento com terceiros; ","") &amp; IF(R23="SIM","compartilhamento com órgãos governamentais; ","") &amp; IF(AJ23="NÃO","ausência de controle de acesso por perfil; ","")),"DPIA não indicado: Processo de baixa criticidade."))</f>
      </c>
    </row>
    <row x14ac:dyDescent="0.25" r="24" customHeight="1" ht="15.75" customFormat="1" s="1">
      <c r="A24" s="112">
        <v>21</v>
      </c>
      <c r="B24" s="52"/>
      <c r="C24" s="53"/>
      <c r="D24" s="52"/>
      <c r="E24" s="32"/>
      <c r="F24" s="53"/>
      <c r="G24" s="32"/>
      <c r="H24" s="3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3"/>
      <c r="U24" s="53"/>
      <c r="V24" s="53"/>
      <c r="W24" s="53"/>
      <c r="X24" s="53"/>
      <c r="Y24" s="53"/>
      <c r="Z24" s="53"/>
      <c r="AA24" s="53"/>
      <c r="AB24" s="32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2"/>
      <c r="AQ24" s="113">
        <f>IF(AND(I24="",K24="",AF24="",AL24="",AN24="",O24=""),"",IF(OR(I24="SIM",K24="SIM",AF24="SIM",AL24="SIM",AN24="Dados pessoais",AN24="Dados sensíveis",AN24="Dados pessoais e sensíveis",O24="Acima de 10.000 titulares por mês"),"SIM - Alta criticidade",IF((IF(I24="SIM",2,0)+IF(K24="SIM",2,0)+IF(AF24="SIM",2,0)+IF(OR(AN24="Dados pessoais",AN24="Dados sensíveis",AN24="Dados pessoais e sensíveis"),2,0)+IF(O24="De 1.001 a 10.000 titulares por mês",1,0)+IF(AA24="SIM",1,0)+IF(R24="SIM",1,0)+IF(AL24="SIM",1,0)+IF(AJ24="NÃO",1,0))&gt;=5,"SIM - Alta criticidade",IF((IF(I24="SIM",2,0)+IF(K24="SIM",2,0)+IF(AF24="SIM",2,0)+IF(OR(AN24="Dados pessoais",AN24="Dados sensíveis",AN24="Dados pessoais e sensíveis"),2,0)+IF(O24="De 1.001 a 10.000 titulares por mês",1,0)+IF(AA24="SIM",1,0)+IF(R24="SIM",1,0)+IF(AL24="SIM",1,0)+IF(AJ24="NÃO",1,0))&gt;=3,"Avaliação necessária","NÃO"))))</f>
      </c>
      <c r="AR24" s="53"/>
      <c r="AS24" s="113">
        <f>IF(AND(I24="",K24="",AF24="",AL24="",AN24="",O24=""),"",IF(OR(I24="SIM",K24="SIM",AF24="SIM",AL24="SIM",OR(AN24="Dados pessoais",AN24="Dados sensíveis",AN24="Dados pessoais e sensíveis"),O24="Acima de 10.000 titulares por mês",(IF(I24="SIM",2,0)+IF(K24="SIM",2,0)+IF(AF24="SIM",2,0)+IF(OR(AN24="Dados pessoais",AN24="Dados sensíveis",AN24="Dados pessoais e sensíveis"),2,0)+IF(O24="De 1.001 a 10.000 titulares por mês",1,0)+IF(AA24="SIM",1,0)+IF(R24="SIM",1,0)+IF(AL24="SIM",1,0)+IF(AJ24="NÃO",1,0))&gt;=3),"DPIA indicado ou em avaliação em razão de: " &amp; TRIM(IF(I24="SIM","tratamento de dados sensíveis; ","") &amp; IF(K24="SIM","utilização de dados de menores; ","") &amp; IF(AF24="SIM","transferência internacional de dados; ","") &amp; IF(AL24="SIM","utilização de inteligência artificial; ","") &amp; IF(OR(AN24="Dados pessoais",AN24="Dados sensíveis",AN24="Dados pessoais e sensíveis"),"dados inseridos em IA; ","") &amp; IF(O24="Acima de 10.000 titulares por mês","volume crítico de titulares; ","") &amp; IF(O24="De 1.001 a 10.000 titulares por mês","volume moderado de titulares; ","") &amp; IF(AA24="SIM","compartilhamento com terceiros; ","") &amp; IF(R24="SIM","compartilhamento com órgãos governamentais; ","") &amp; IF(AJ24="NÃO","ausência de controle de acesso por perfil; ","")),"DPIA não indicado: Processo de baixa criticidade."))</f>
      </c>
    </row>
    <row x14ac:dyDescent="0.25" r="25" customHeight="1" ht="15.75" customFormat="1" s="1">
      <c r="A25" s="112">
        <v>22</v>
      </c>
      <c r="B25" s="52"/>
      <c r="C25" s="53"/>
      <c r="D25" s="52"/>
      <c r="E25" s="32"/>
      <c r="F25" s="53"/>
      <c r="G25" s="32"/>
      <c r="H25" s="3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3"/>
      <c r="U25" s="53"/>
      <c r="V25" s="53"/>
      <c r="W25" s="53"/>
      <c r="X25" s="53"/>
      <c r="Y25" s="53"/>
      <c r="Z25" s="53"/>
      <c r="AA25" s="53"/>
      <c r="AB25" s="32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113">
        <f>IF(AND(I25="",K25="",AF25="",AL25="",AN25="",O25=""),"",IF(OR(I25="SIM",K25="SIM",AF25="SIM",AL25="SIM",AN25="Dados pessoais",AN25="Dados sensíveis",AN25="Dados pessoais e sensíveis",O25="Acima de 10.000 titulares por mês"),"SIM - Alta criticidade",IF((IF(I25="SIM",2,0)+IF(K25="SIM",2,0)+IF(AF25="SIM",2,0)+IF(OR(AN25="Dados pessoais",AN25="Dados sensíveis",AN25="Dados pessoais e sensíveis"),2,0)+IF(O25="De 1.001 a 10.000 titulares por mês",1,0)+IF(AA25="SIM",1,0)+IF(R25="SIM",1,0)+IF(AL25="SIM",1,0)+IF(AJ25="NÃO",1,0))&gt;=5,"SIM - Alta criticidade",IF((IF(I25="SIM",2,0)+IF(K25="SIM",2,0)+IF(AF25="SIM",2,0)+IF(OR(AN25="Dados pessoais",AN25="Dados sensíveis",AN25="Dados pessoais e sensíveis"),2,0)+IF(O25="De 1.001 a 10.000 titulares por mês",1,0)+IF(AA25="SIM",1,0)+IF(R25="SIM",1,0)+IF(AL25="SIM",1,0)+IF(AJ25="NÃO",1,0))&gt;=3,"Avaliação necessária","NÃO"))))</f>
      </c>
      <c r="AR25" s="53"/>
      <c r="AS25" s="113">
        <f>IF(AND(I25="",K25="",AF25="",AL25="",AN25="",O25=""),"",IF(OR(I25="SIM",K25="SIM",AF25="SIM",AL25="SIM",OR(AN25="Dados pessoais",AN25="Dados sensíveis",AN25="Dados pessoais e sensíveis"),O25="Acima de 10.000 titulares por mês",(IF(I25="SIM",2,0)+IF(K25="SIM",2,0)+IF(AF25="SIM",2,0)+IF(OR(AN25="Dados pessoais",AN25="Dados sensíveis",AN25="Dados pessoais e sensíveis"),2,0)+IF(O25="De 1.001 a 10.000 titulares por mês",1,0)+IF(AA25="SIM",1,0)+IF(R25="SIM",1,0)+IF(AL25="SIM",1,0)+IF(AJ25="NÃO",1,0))&gt;=3),"DPIA indicado ou em avaliação em razão de: " &amp; TRIM(IF(I25="SIM","tratamento de dados sensíveis; ","") &amp; IF(K25="SIM","utilização de dados de menores; ","") &amp; IF(AF25="SIM","transferência internacional de dados; ","") &amp; IF(AL25="SIM","utilização de inteligência artificial; ","") &amp; IF(OR(AN25="Dados pessoais",AN25="Dados sensíveis",AN25="Dados pessoais e sensíveis"),"dados inseridos em IA; ","") &amp; IF(O25="Acima de 10.000 titulares por mês","volume crítico de titulares; ","") &amp; IF(O25="De 1.001 a 10.000 titulares por mês","volume moderado de titulares; ","") &amp; IF(AA25="SIM","compartilhamento com terceiros; ","") &amp; IF(R25="SIM","compartilhamento com órgãos governamentais; ","") &amp; IF(AJ25="NÃO","ausência de controle de acesso por perfil; ","")),"DPIA não indicado: Processo de baixa criticidade."))</f>
      </c>
    </row>
    <row x14ac:dyDescent="0.25" r="26" customHeight="1" ht="15.75" customFormat="1" s="1">
      <c r="A26" s="112">
        <v>23</v>
      </c>
      <c r="B26" s="52"/>
      <c r="C26" s="53"/>
      <c r="D26" s="52"/>
      <c r="E26" s="32"/>
      <c r="F26" s="53"/>
      <c r="G26" s="32"/>
      <c r="H26" s="3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2"/>
      <c r="AQ26" s="113">
        <f>IF(AND(I26="",K26="",AF26="",AL26="",AN26="",O26=""),"",IF(OR(I26="SIM",K26="SIM",AF26="SIM",AL26="SIM",AN26="Dados pessoais",AN26="Dados sensíveis",AN26="Dados pessoais e sensíveis",O26="Acima de 10.000 titulares por mês"),"SIM - Alta criticidade",IF((IF(I26="SIM",2,0)+IF(K26="SIM",2,0)+IF(AF26="SIM",2,0)+IF(OR(AN26="Dados pessoais",AN26="Dados sensíveis",AN26="Dados pessoais e sensíveis"),2,0)+IF(O26="De 1.001 a 10.000 titulares por mês",1,0)+IF(AA26="SIM",1,0)+IF(R26="SIM",1,0)+IF(AL26="SIM",1,0)+IF(AJ26="NÃO",1,0))&gt;=5,"SIM - Alta criticidade",IF((IF(I26="SIM",2,0)+IF(K26="SIM",2,0)+IF(AF26="SIM",2,0)+IF(OR(AN26="Dados pessoais",AN26="Dados sensíveis",AN26="Dados pessoais e sensíveis"),2,0)+IF(O26="De 1.001 a 10.000 titulares por mês",1,0)+IF(AA26="SIM",1,0)+IF(R26="SIM",1,0)+IF(AL26="SIM",1,0)+IF(AJ26="NÃO",1,0))&gt;=3,"Avaliação necessária","NÃO"))))</f>
      </c>
      <c r="AR26" s="53"/>
      <c r="AS26" s="113">
        <f>IF(AND(I26="",K26="",AF26="",AL26="",AN26="",O26=""),"",IF(OR(I26="SIM",K26="SIM",AF26="SIM",AL26="SIM",OR(AN26="Dados pessoais",AN26="Dados sensíveis",AN26="Dados pessoais e sensíveis"),O26="Acima de 10.000 titulares por mês",(IF(I26="SIM",2,0)+IF(K26="SIM",2,0)+IF(AF26="SIM",2,0)+IF(OR(AN26="Dados pessoais",AN26="Dados sensíveis",AN26="Dados pessoais e sensíveis"),2,0)+IF(O26="De 1.001 a 10.000 titulares por mês",1,0)+IF(AA26="SIM",1,0)+IF(R26="SIM",1,0)+IF(AL26="SIM",1,0)+IF(AJ26="NÃO",1,0))&gt;=3),"DPIA indicado ou em avaliação em razão de: " &amp; TRIM(IF(I26="SIM","tratamento de dados sensíveis; ","") &amp; IF(K26="SIM","utilização de dados de menores; ","") &amp; IF(AF26="SIM","transferência internacional de dados; ","") &amp; IF(AL26="SIM","utilização de inteligência artificial; ","") &amp; IF(OR(AN26="Dados pessoais",AN26="Dados sensíveis",AN26="Dados pessoais e sensíveis"),"dados inseridos em IA; ","") &amp; IF(O26="Acima de 10.000 titulares por mês","volume crítico de titulares; ","") &amp; IF(O26="De 1.001 a 10.000 titulares por mês","volume moderado de titulares; ","") &amp; IF(AA26="SIM","compartilhamento com terceiros; ","") &amp; IF(R26="SIM","compartilhamento com órgãos governamentais; ","") &amp; IF(AJ26="NÃO","ausência de controle de acesso por perfil; ","")),"DPIA não indicado: Processo de baixa criticidade."))</f>
      </c>
    </row>
    <row x14ac:dyDescent="0.25" r="27" customHeight="1" ht="15.75" customFormat="1" s="1">
      <c r="A27" s="112">
        <v>24</v>
      </c>
      <c r="B27" s="52"/>
      <c r="C27" s="53"/>
      <c r="D27" s="53"/>
      <c r="E27" s="32"/>
      <c r="F27" s="53"/>
      <c r="G27" s="32"/>
      <c r="H27" s="3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3"/>
      <c r="U27" s="53"/>
      <c r="V27" s="53"/>
      <c r="W27" s="53"/>
      <c r="X27" s="53"/>
      <c r="Y27" s="53"/>
      <c r="Z27" s="53"/>
      <c r="AA27" s="53"/>
      <c r="AB27" s="32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113">
        <f>IF(AND(I27="",K27="",AF27="",AL27="",AN27="",O27=""),"",IF(OR(I27="SIM",K27="SIM",AF27="SIM",AL27="SIM",AN27="Dados pessoais",AN27="Dados sensíveis",AN27="Dados pessoais e sensíveis",O27="Acima de 10.000 titulares por mês"),"SIM - Alta criticidade",IF((IF(I27="SIM",2,0)+IF(K27="SIM",2,0)+IF(AF27="SIM",2,0)+IF(OR(AN27="Dados pessoais",AN27="Dados sensíveis",AN27="Dados pessoais e sensíveis"),2,0)+IF(O27="De 1.001 a 10.000 titulares por mês",1,0)+IF(AA27="SIM",1,0)+IF(R27="SIM",1,0)+IF(AL27="SIM",1,0)+IF(AJ27="NÃO",1,0))&gt;=5,"SIM - Alta criticidade",IF((IF(I27="SIM",2,0)+IF(K27="SIM",2,0)+IF(AF27="SIM",2,0)+IF(OR(AN27="Dados pessoais",AN27="Dados sensíveis",AN27="Dados pessoais e sensíveis"),2,0)+IF(O27="De 1.001 a 10.000 titulares por mês",1,0)+IF(AA27="SIM",1,0)+IF(R27="SIM",1,0)+IF(AL27="SIM",1,0)+IF(AJ27="NÃO",1,0))&gt;=3,"Avaliação necessária","NÃO"))))</f>
      </c>
      <c r="AR27" s="53"/>
      <c r="AS27" s="113">
        <f>IF(AND(I27="",K27="",AF27="",AL27="",AN27="",O27=""),"",IF(OR(I27="SIM",K27="SIM",AF27="SIM",AL27="SIM",OR(AN27="Dados pessoais",AN27="Dados sensíveis",AN27="Dados pessoais e sensíveis"),O27="Acima de 10.000 titulares por mês",(IF(I27="SIM",2,0)+IF(K27="SIM",2,0)+IF(AF27="SIM",2,0)+IF(OR(AN27="Dados pessoais",AN27="Dados sensíveis",AN27="Dados pessoais e sensíveis"),2,0)+IF(O27="De 1.001 a 10.000 titulares por mês",1,0)+IF(AA27="SIM",1,0)+IF(R27="SIM",1,0)+IF(AL27="SIM",1,0)+IF(AJ27="NÃO",1,0))&gt;=3),"DPIA indicado ou em avaliação em razão de: " &amp; TRIM(IF(I27="SIM","tratamento de dados sensíveis; ","") &amp; IF(K27="SIM","utilização de dados de menores; ","") &amp; IF(AF27="SIM","transferência internacional de dados; ","") &amp; IF(AL27="SIM","utilização de inteligência artificial; ","") &amp; IF(OR(AN27="Dados pessoais",AN27="Dados sensíveis",AN27="Dados pessoais e sensíveis"),"dados inseridos em IA; ","") &amp; IF(O27="Acima de 10.000 titulares por mês","volume crítico de titulares; ","") &amp; IF(O27="De 1.001 a 10.000 titulares por mês","volume moderado de titulares; ","") &amp; IF(AA27="SIM","compartilhamento com terceiros; ","") &amp; IF(R27="SIM","compartilhamento com órgãos governamentais; ","") &amp; IF(AJ27="NÃO","ausência de controle de acesso por perfil; ","")),"DPIA não indicado: Processo de baixa criticidade."))</f>
      </c>
    </row>
    <row x14ac:dyDescent="0.25" r="28" customHeight="1" ht="15.75" customFormat="1" s="1">
      <c r="A28" s="112">
        <v>25</v>
      </c>
      <c r="B28" s="52"/>
      <c r="C28" s="53"/>
      <c r="D28" s="53"/>
      <c r="E28" s="32"/>
      <c r="F28" s="53"/>
      <c r="G28" s="32"/>
      <c r="H28" s="32"/>
      <c r="I28" s="52"/>
      <c r="J28" s="52"/>
      <c r="K28" s="52"/>
      <c r="L28" s="32"/>
      <c r="M28" s="52"/>
      <c r="N28" s="52"/>
      <c r="O28" s="52"/>
      <c r="P28" s="52"/>
      <c r="Q28" s="52"/>
      <c r="R28" s="52"/>
      <c r="S28" s="52"/>
      <c r="T28" s="53"/>
      <c r="U28" s="53"/>
      <c r="V28" s="53"/>
      <c r="W28" s="53"/>
      <c r="X28" s="53"/>
      <c r="Y28" s="53"/>
      <c r="Z28" s="53"/>
      <c r="AA28" s="53"/>
      <c r="AB28" s="32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113">
        <f>IF(AND(I28="",K28="",AF28="",AL28="",AN28="",O28=""),"",IF(OR(I28="SIM",K28="SIM",AF28="SIM",AL28="SIM",AN28="Dados pessoais",AN28="Dados sensíveis",AN28="Dados pessoais e sensíveis",O28="Acima de 10.000 titulares por mês"),"SIM - Alta criticidade",IF((IF(I28="SIM",2,0)+IF(K28="SIM",2,0)+IF(AF28="SIM",2,0)+IF(OR(AN28="Dados pessoais",AN28="Dados sensíveis",AN28="Dados pessoais e sensíveis"),2,0)+IF(O28="De 1.001 a 10.000 titulares por mês",1,0)+IF(AA28="SIM",1,0)+IF(R28="SIM",1,0)+IF(AL28="SIM",1,0)+IF(AJ28="NÃO",1,0))&gt;=5,"SIM - Alta criticidade",IF((IF(I28="SIM",2,0)+IF(K28="SIM",2,0)+IF(AF28="SIM",2,0)+IF(OR(AN28="Dados pessoais",AN28="Dados sensíveis",AN28="Dados pessoais e sensíveis"),2,0)+IF(O28="De 1.001 a 10.000 titulares por mês",1,0)+IF(AA28="SIM",1,0)+IF(R28="SIM",1,0)+IF(AL28="SIM",1,0)+IF(AJ28="NÃO",1,0))&gt;=3,"Avaliação necessária","NÃO"))))</f>
      </c>
      <c r="AR28" s="53"/>
      <c r="AS28" s="113">
        <f>IF(AND(I28="",K28="",AF28="",AL28="",AN28="",O28=""),"",IF(OR(I28="SIM",K28="SIM",AF28="SIM",AL28="SIM",OR(AN28="Dados pessoais",AN28="Dados sensíveis",AN28="Dados pessoais e sensíveis"),O28="Acima de 10.000 titulares por mês",(IF(I28="SIM",2,0)+IF(K28="SIM",2,0)+IF(AF28="SIM",2,0)+IF(OR(AN28="Dados pessoais",AN28="Dados sensíveis",AN28="Dados pessoais e sensíveis"),2,0)+IF(O28="De 1.001 a 10.000 titulares por mês",1,0)+IF(AA28="SIM",1,0)+IF(R28="SIM",1,0)+IF(AL28="SIM",1,0)+IF(AJ28="NÃO",1,0))&gt;=3),"DPIA indicado ou em avaliação em razão de: " &amp; TRIM(IF(I28="SIM","tratamento de dados sensíveis; ","") &amp; IF(K28="SIM","utilização de dados de menores; ","") &amp; IF(AF28="SIM","transferência internacional de dados; ","") &amp; IF(AL28="SIM","utilização de inteligência artificial; ","") &amp; IF(OR(AN28="Dados pessoais",AN28="Dados sensíveis",AN28="Dados pessoais e sensíveis"),"dados inseridos em IA; ","") &amp; IF(O28="Acima de 10.000 titulares por mês","volume crítico de titulares; ","") &amp; IF(O28="De 1.001 a 10.000 titulares por mês","volume moderado de titulares; ","") &amp; IF(AA28="SIM","compartilhamento com terceiros; ","") &amp; IF(R28="SIM","compartilhamento com órgãos governamentais; ","") &amp; IF(AJ28="NÃO","ausência de controle de acesso por perfil; ","")),"DPIA não indicado: Processo de baixa criticidade."))</f>
      </c>
    </row>
    <row x14ac:dyDescent="0.25" r="29" customHeight="1" ht="15.75" customFormat="1" s="1">
      <c r="A29" s="112">
        <v>26</v>
      </c>
      <c r="B29" s="52"/>
      <c r="C29" s="53"/>
      <c r="D29" s="53"/>
      <c r="E29" s="32"/>
      <c r="F29" s="53"/>
      <c r="G29" s="32"/>
      <c r="H29" s="3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113">
        <f>IF(AND(I29="",K29="",AF29="",AL29="",AN29="",O29=""),"",IF(OR(I29="SIM",K29="SIM",AF29="SIM",AL29="SIM",AN29="Dados pessoais",AN29="Dados sensíveis",AN29="Dados pessoais e sensíveis",O29="Acima de 10.000 titulares por mês"),"SIM - Alta criticidade",IF((IF(I29="SIM",2,0)+IF(K29="SIM",2,0)+IF(AF29="SIM",2,0)+IF(OR(AN29="Dados pessoais",AN29="Dados sensíveis",AN29="Dados pessoais e sensíveis"),2,0)+IF(O29="De 1.001 a 10.000 titulares por mês",1,0)+IF(AA29="SIM",1,0)+IF(R29="SIM",1,0)+IF(AL29="SIM",1,0)+IF(AJ29="NÃO",1,0))&gt;=5,"SIM - Alta criticidade",IF((IF(I29="SIM",2,0)+IF(K29="SIM",2,0)+IF(AF29="SIM",2,0)+IF(OR(AN29="Dados pessoais",AN29="Dados sensíveis",AN29="Dados pessoais e sensíveis"),2,0)+IF(O29="De 1.001 a 10.000 titulares por mês",1,0)+IF(AA29="SIM",1,0)+IF(R29="SIM",1,0)+IF(AL29="SIM",1,0)+IF(AJ29="NÃO",1,0))&gt;=3,"Avaliação necessária","NÃO"))))</f>
      </c>
      <c r="AR29" s="53"/>
      <c r="AS29" s="113">
        <f>IF(AND(I29="",K29="",AF29="",AL29="",AN29="",O29=""),"",IF(OR(I29="SIM",K29="SIM",AF29="SIM",AL29="SIM",OR(AN29="Dados pessoais",AN29="Dados sensíveis",AN29="Dados pessoais e sensíveis"),O29="Acima de 10.000 titulares por mês",(IF(I29="SIM",2,0)+IF(K29="SIM",2,0)+IF(AF29="SIM",2,0)+IF(OR(AN29="Dados pessoais",AN29="Dados sensíveis",AN29="Dados pessoais e sensíveis"),2,0)+IF(O29="De 1.001 a 10.000 titulares por mês",1,0)+IF(AA29="SIM",1,0)+IF(R29="SIM",1,0)+IF(AL29="SIM",1,0)+IF(AJ29="NÃO",1,0))&gt;=3),"DPIA indicado ou em avaliação em razão de: " &amp; TRIM(IF(I29="SIM","tratamento de dados sensíveis; ","") &amp; IF(K29="SIM","utilização de dados de menores; ","") &amp; IF(AF29="SIM","transferência internacional de dados; ","") &amp; IF(AL29="SIM","utilização de inteligência artificial; ","") &amp; IF(OR(AN29="Dados pessoais",AN29="Dados sensíveis",AN29="Dados pessoais e sensíveis"),"dados inseridos em IA; ","") &amp; IF(O29="Acima de 10.000 titulares por mês","volume crítico de titulares; ","") &amp; IF(O29="De 1.001 a 10.000 titulares por mês","volume moderado de titulares; ","") &amp; IF(AA29="SIM","compartilhamento com terceiros; ","") &amp; IF(R29="SIM","compartilhamento com órgãos governamentais; ","") &amp; IF(AJ29="NÃO","ausência de controle de acesso por perfil; ","")),"DPIA não indicado: Processo de baixa criticidade."))</f>
      </c>
    </row>
    <row x14ac:dyDescent="0.25" r="30" customHeight="1" ht="15.75" customFormat="1" s="1">
      <c r="A30" s="112">
        <v>27</v>
      </c>
      <c r="B30" s="52"/>
      <c r="C30" s="53"/>
      <c r="D30" s="53"/>
      <c r="E30" s="32"/>
      <c r="F30" s="53"/>
      <c r="G30" s="32"/>
      <c r="H30" s="32"/>
      <c r="I30" s="52"/>
      <c r="J30" s="52"/>
      <c r="K30" s="52"/>
      <c r="L30" s="32"/>
      <c r="M30" s="52"/>
      <c r="N30" s="52"/>
      <c r="O30" s="52"/>
      <c r="P30" s="52"/>
      <c r="Q30" s="52"/>
      <c r="R30" s="52"/>
      <c r="S30" s="52"/>
      <c r="T30" s="53"/>
      <c r="U30" s="53"/>
      <c r="V30" s="53"/>
      <c r="W30" s="53"/>
      <c r="X30" s="53"/>
      <c r="Y30" s="53"/>
      <c r="Z30" s="53"/>
      <c r="AA30" s="53"/>
      <c r="AB30" s="32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113">
        <f>IF(AND(I30="",K30="",AF30="",AL30="",AN30="",O30=""),"",IF(OR(I30="SIM",K30="SIM",AF30="SIM",AL30="SIM",AN30="Dados pessoais",AN30="Dados sensíveis",AN30="Dados pessoais e sensíveis",O30="Acima de 10.000 titulares por mês"),"SIM - Alta criticidade",IF((IF(I30="SIM",2,0)+IF(K30="SIM",2,0)+IF(AF30="SIM",2,0)+IF(OR(AN30="Dados pessoais",AN30="Dados sensíveis",AN30="Dados pessoais e sensíveis"),2,0)+IF(O30="De 1.001 a 10.000 titulares por mês",1,0)+IF(AA30="SIM",1,0)+IF(R30="SIM",1,0)+IF(AL30="SIM",1,0)+IF(AJ30="NÃO",1,0))&gt;=5,"SIM - Alta criticidade",IF((IF(I30="SIM",2,0)+IF(K30="SIM",2,0)+IF(AF30="SIM",2,0)+IF(OR(AN30="Dados pessoais",AN30="Dados sensíveis",AN30="Dados pessoais e sensíveis"),2,0)+IF(O30="De 1.001 a 10.000 titulares por mês",1,0)+IF(AA30="SIM",1,0)+IF(R30="SIM",1,0)+IF(AL30="SIM",1,0)+IF(AJ30="NÃO",1,0))&gt;=3,"Avaliação necessária","NÃO"))))</f>
      </c>
      <c r="AR30" s="53"/>
      <c r="AS30" s="113">
        <f>IF(AND(I30="",K30="",AF30="",AL30="",AN30="",O30=""),"",IF(OR(I30="SIM",K30="SIM",AF30="SIM",AL30="SIM",OR(AN30="Dados pessoais",AN30="Dados sensíveis",AN30="Dados pessoais e sensíveis"),O30="Acima de 10.000 titulares por mês",(IF(I30="SIM",2,0)+IF(K30="SIM",2,0)+IF(AF30="SIM",2,0)+IF(OR(AN30="Dados pessoais",AN30="Dados sensíveis",AN30="Dados pessoais e sensíveis"),2,0)+IF(O30="De 1.001 a 10.000 titulares por mês",1,0)+IF(AA30="SIM",1,0)+IF(R30="SIM",1,0)+IF(AL30="SIM",1,0)+IF(AJ30="NÃO",1,0))&gt;=3),"DPIA indicado ou em avaliação em razão de: " &amp; TRIM(IF(I30="SIM","tratamento de dados sensíveis; ","") &amp; IF(K30="SIM","utilização de dados de menores; ","") &amp; IF(AF30="SIM","transferência internacional de dados; ","") &amp; IF(AL30="SIM","utilização de inteligência artificial; ","") &amp; IF(OR(AN30="Dados pessoais",AN30="Dados sensíveis",AN30="Dados pessoais e sensíveis"),"dados inseridos em IA; ","") &amp; IF(O30="Acima de 10.000 titulares por mês","volume crítico de titulares; ","") &amp; IF(O30="De 1.001 a 10.000 titulares por mês","volume moderado de titulares; ","") &amp; IF(AA30="SIM","compartilhamento com terceiros; ","") &amp; IF(R30="SIM","compartilhamento com órgãos governamentais; ","") &amp; IF(AJ30="NÃO","ausência de controle de acesso por perfil; ","")),"DPIA não indicado: Processo de baixa criticidade."))</f>
      </c>
    </row>
    <row x14ac:dyDescent="0.25" r="31" customHeight="1" ht="15.75" customFormat="1" s="1">
      <c r="A31" s="112">
        <v>28</v>
      </c>
      <c r="B31" s="52"/>
      <c r="C31" s="53"/>
      <c r="D31" s="53"/>
      <c r="E31" s="32"/>
      <c r="F31" s="53"/>
      <c r="G31" s="32"/>
      <c r="H31" s="3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113">
        <f>IF(AND(I31="",K31="",AF31="",AL31="",AN31="",O31=""),"",IF(OR(I31="SIM",K31="SIM",AF31="SIM",AL31="SIM",AN31="Dados pessoais",AN31="Dados sensíveis",AN31="Dados pessoais e sensíveis",O31="Acima de 10.000 titulares por mês"),"SIM - Alta criticidade",IF((IF(I31="SIM",2,0)+IF(K31="SIM",2,0)+IF(AF31="SIM",2,0)+IF(OR(AN31="Dados pessoais",AN31="Dados sensíveis",AN31="Dados pessoais e sensíveis"),2,0)+IF(O31="De 1.001 a 10.000 titulares por mês",1,0)+IF(AA31="SIM",1,0)+IF(R31="SIM",1,0)+IF(AL31="SIM",1,0)+IF(AJ31="NÃO",1,0))&gt;=5,"SIM - Alta criticidade",IF((IF(I31="SIM",2,0)+IF(K31="SIM",2,0)+IF(AF31="SIM",2,0)+IF(OR(AN31="Dados pessoais",AN31="Dados sensíveis",AN31="Dados pessoais e sensíveis"),2,0)+IF(O31="De 1.001 a 10.000 titulares por mês",1,0)+IF(AA31="SIM",1,0)+IF(R31="SIM",1,0)+IF(AL31="SIM",1,0)+IF(AJ31="NÃO",1,0))&gt;=3,"Avaliação necessária","NÃO"))))</f>
      </c>
      <c r="AR31" s="53"/>
      <c r="AS31" s="113">
        <f>IF(AND(I31="",K31="",AF31="",AL31="",AN31="",O31=""),"",IF(OR(I31="SIM",K31="SIM",AF31="SIM",AL31="SIM",OR(AN31="Dados pessoais",AN31="Dados sensíveis",AN31="Dados pessoais e sensíveis"),O31="Acima de 10.000 titulares por mês",(IF(I31="SIM",2,0)+IF(K31="SIM",2,0)+IF(AF31="SIM",2,0)+IF(OR(AN31="Dados pessoais",AN31="Dados sensíveis",AN31="Dados pessoais e sensíveis"),2,0)+IF(O31="De 1.001 a 10.000 titulares por mês",1,0)+IF(AA31="SIM",1,0)+IF(R31="SIM",1,0)+IF(AL31="SIM",1,0)+IF(AJ31="NÃO",1,0))&gt;=3),"DPIA indicado ou em avaliação em razão de: " &amp; TRIM(IF(I31="SIM","tratamento de dados sensíveis; ","") &amp; IF(K31="SIM","utilização de dados de menores; ","") &amp; IF(AF31="SIM","transferência internacional de dados; ","") &amp; IF(AL31="SIM","utilização de inteligência artificial; ","") &amp; IF(OR(AN31="Dados pessoais",AN31="Dados sensíveis",AN31="Dados pessoais e sensíveis"),"dados inseridos em IA; ","") &amp; IF(O31="Acima de 10.000 titulares por mês","volume crítico de titulares; ","") &amp; IF(O31="De 1.001 a 10.000 titulares por mês","volume moderado de titulares; ","") &amp; IF(AA31="SIM","compartilhamento com terceiros; ","") &amp; IF(R31="SIM","compartilhamento com órgãos governamentais; ","") &amp; IF(AJ31="NÃO","ausência de controle de acesso por perfil; ","")),"DPIA não indicado: Processo de baixa criticidade."))</f>
      </c>
    </row>
    <row x14ac:dyDescent="0.25" r="32" customHeight="1" ht="15.75" customFormat="1" s="1">
      <c r="A32" s="112">
        <v>29</v>
      </c>
      <c r="B32" s="52"/>
      <c r="C32" s="53"/>
      <c r="D32" s="53"/>
      <c r="E32" s="32"/>
      <c r="F32" s="53"/>
      <c r="G32" s="32"/>
      <c r="H32" s="3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3"/>
      <c r="U32" s="53"/>
      <c r="V32" s="53"/>
      <c r="W32" s="53"/>
      <c r="X32" s="53"/>
      <c r="Y32" s="53"/>
      <c r="Z32" s="53"/>
      <c r="AA32" s="52"/>
      <c r="AB32" s="52"/>
      <c r="AC32" s="52"/>
      <c r="AD32" s="52"/>
      <c r="AE32" s="52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2"/>
      <c r="AQ32" s="113">
        <f>IF(AND(I32="",K32="",AF32="",AL32="",AN32="",O32=""),"",IF(OR(I32="SIM",K32="SIM",AF32="SIM",AL32="SIM",AN32="Dados pessoais",AN32="Dados sensíveis",AN32="Dados pessoais e sensíveis",O32="Acima de 10.000 titulares por mês"),"SIM - Alta criticidade",IF((IF(I32="SIM",2,0)+IF(K32="SIM",2,0)+IF(AF32="SIM",2,0)+IF(OR(AN32="Dados pessoais",AN32="Dados sensíveis",AN32="Dados pessoais e sensíveis"),2,0)+IF(O32="De 1.001 a 10.000 titulares por mês",1,0)+IF(AA32="SIM",1,0)+IF(R32="SIM",1,0)+IF(AL32="SIM",1,0)+IF(AJ32="NÃO",1,0))&gt;=5,"SIM - Alta criticidade",IF((IF(I32="SIM",2,0)+IF(K32="SIM",2,0)+IF(AF32="SIM",2,0)+IF(OR(AN32="Dados pessoais",AN32="Dados sensíveis",AN32="Dados pessoais e sensíveis"),2,0)+IF(O32="De 1.001 a 10.000 titulares por mês",1,0)+IF(AA32="SIM",1,0)+IF(R32="SIM",1,0)+IF(AL32="SIM",1,0)+IF(AJ32="NÃO",1,0))&gt;=3,"Avaliação necessária","NÃO"))))</f>
      </c>
      <c r="AR32" s="53"/>
      <c r="AS32" s="113">
        <f>IF(AND(I32="",K32="",AF32="",AL32="",AN32="",O32=""),"",IF(OR(I32="SIM",K32="SIM",AF32="SIM",AL32="SIM",OR(AN32="Dados pessoais",AN32="Dados sensíveis",AN32="Dados pessoais e sensíveis"),O32="Acima de 10.000 titulares por mês",(IF(I32="SIM",2,0)+IF(K32="SIM",2,0)+IF(AF32="SIM",2,0)+IF(OR(AN32="Dados pessoais",AN32="Dados sensíveis",AN32="Dados pessoais e sensíveis"),2,0)+IF(O32="De 1.001 a 10.000 titulares por mês",1,0)+IF(AA32="SIM",1,0)+IF(R32="SIM",1,0)+IF(AL32="SIM",1,0)+IF(AJ32="NÃO",1,0))&gt;=3),"DPIA indicado ou em avaliação em razão de: " &amp; TRIM(IF(I32="SIM","tratamento de dados sensíveis; ","") &amp; IF(K32="SIM","utilização de dados de menores; ","") &amp; IF(AF32="SIM","transferência internacional de dados; ","") &amp; IF(AL32="SIM","utilização de inteligência artificial; ","") &amp; IF(OR(AN32="Dados pessoais",AN32="Dados sensíveis",AN32="Dados pessoais e sensíveis"),"dados inseridos em IA; ","") &amp; IF(O32="Acima de 10.000 titulares por mês","volume crítico de titulares; ","") &amp; IF(O32="De 1.001 a 10.000 titulares por mês","volume moderado de titulares; ","") &amp; IF(AA32="SIM","compartilhamento com terceiros; ","") &amp; IF(R32="SIM","compartilhamento com órgãos governamentais; ","") &amp; IF(AJ32="NÃO","ausência de controle de acesso por perfil; ","")),"DPIA não indicado: Processo de baixa criticidade."))</f>
      </c>
    </row>
    <row x14ac:dyDescent="0.25" r="33" customHeight="1" ht="15.75" customFormat="1" s="1">
      <c r="A33" s="112">
        <v>30</v>
      </c>
      <c r="B33" s="52"/>
      <c r="C33" s="53"/>
      <c r="D33" s="53"/>
      <c r="E33" s="32"/>
      <c r="F33" s="53"/>
      <c r="G33" s="32"/>
      <c r="H33" s="3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3"/>
      <c r="U33" s="53"/>
      <c r="V33" s="53"/>
      <c r="W33" s="53"/>
      <c r="X33" s="53"/>
      <c r="Y33" s="53"/>
      <c r="Z33" s="53"/>
      <c r="AA33" s="53"/>
      <c r="AB33" s="52"/>
      <c r="AC33" s="53"/>
      <c r="AD33" s="52"/>
      <c r="AE33" s="52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2"/>
      <c r="AQ33" s="113">
        <f>IF(AND(I33="",K33="",AF33="",AL33="",AN33="",O33=""),"",IF(OR(I33="SIM",K33="SIM",AF33="SIM",AL33="SIM",AN33="Dados pessoais",AN33="Dados sensíveis",AN33="Dados pessoais e sensíveis",O33="Acima de 10.000 titulares por mês"),"SIM - Alta criticidade",IF((IF(I33="SIM",2,0)+IF(K33="SIM",2,0)+IF(AF33="SIM",2,0)+IF(OR(AN33="Dados pessoais",AN33="Dados sensíveis",AN33="Dados pessoais e sensíveis"),2,0)+IF(O33="De 1.001 a 10.000 titulares por mês",1,0)+IF(AA33="SIM",1,0)+IF(R33="SIM",1,0)+IF(AL33="SIM",1,0)+IF(AJ33="NÃO",1,0))&gt;=5,"SIM - Alta criticidade",IF((IF(I33="SIM",2,0)+IF(K33="SIM",2,0)+IF(AF33="SIM",2,0)+IF(OR(AN33="Dados pessoais",AN33="Dados sensíveis",AN33="Dados pessoais e sensíveis"),2,0)+IF(O33="De 1.001 a 10.000 titulares por mês",1,0)+IF(AA33="SIM",1,0)+IF(R33="SIM",1,0)+IF(AL33="SIM",1,0)+IF(AJ33="NÃO",1,0))&gt;=3,"Avaliação necessária","NÃO"))))</f>
      </c>
      <c r="AR33" s="53"/>
      <c r="AS33" s="113">
        <f>IF(AND(I33="",K33="",AF33="",AL33="",AN33="",O33=""),"",IF(OR(I33="SIM",K33="SIM",AF33="SIM",AL33="SIM",OR(AN33="Dados pessoais",AN33="Dados sensíveis",AN33="Dados pessoais e sensíveis"),O33="Acima de 10.000 titulares por mês",(IF(I33="SIM",2,0)+IF(K33="SIM",2,0)+IF(AF33="SIM",2,0)+IF(OR(AN33="Dados pessoais",AN33="Dados sensíveis",AN33="Dados pessoais e sensíveis"),2,0)+IF(O33="De 1.001 a 10.000 titulares por mês",1,0)+IF(AA33="SIM",1,0)+IF(R33="SIM",1,0)+IF(AL33="SIM",1,0)+IF(AJ33="NÃO",1,0))&gt;=3),"DPIA indicado ou em avaliação em razão de: " &amp; TRIM(IF(I33="SIM","tratamento de dados sensíveis; ","") &amp; IF(K33="SIM","utilização de dados de menores; ","") &amp; IF(AF33="SIM","transferência internacional de dados; ","") &amp; IF(AL33="SIM","utilização de inteligência artificial; ","") &amp; IF(OR(AN33="Dados pessoais",AN33="Dados sensíveis",AN33="Dados pessoais e sensíveis"),"dados inseridos em IA; ","") &amp; IF(O33="Acima de 10.000 titulares por mês","volume crítico de titulares; ","") &amp; IF(O33="De 1.001 a 10.000 titulares por mês","volume moderado de titulares; ","") &amp; IF(AA33="SIM","compartilhamento com terceiros; ","") &amp; IF(R33="SIM","compartilhamento com órgãos governamentais; ","") &amp; IF(AJ33="NÃO","ausência de controle de acesso por perfil; ","")),"DPIA não indicado: Processo de baixa criticidade."))</f>
      </c>
    </row>
    <row x14ac:dyDescent="0.25" r="34" customHeight="1" ht="15.75" customFormat="1" s="1">
      <c r="A34" s="112">
        <v>31</v>
      </c>
      <c r="B34" s="52"/>
      <c r="C34" s="53"/>
      <c r="D34" s="53"/>
      <c r="E34" s="32"/>
      <c r="F34" s="53"/>
      <c r="G34" s="32"/>
      <c r="H34" s="3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3"/>
      <c r="U34" s="53"/>
      <c r="V34" s="53"/>
      <c r="W34" s="53"/>
      <c r="X34" s="53"/>
      <c r="Y34" s="53"/>
      <c r="Z34" s="53"/>
      <c r="AA34" s="53"/>
      <c r="AB34" s="52"/>
      <c r="AC34" s="53"/>
      <c r="AD34" s="52"/>
      <c r="AE34" s="52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2"/>
      <c r="AQ34" s="113">
        <f>IF(AND(I34="",K34="",AF34="",AL34="",AN34="",O34=""),"",IF(OR(I34="SIM",K34="SIM",AF34="SIM",AL34="SIM",AN34="Dados pessoais",AN34="Dados sensíveis",AN34="Dados pessoais e sensíveis",O34="Acima de 10.000 titulares por mês"),"SIM - Alta criticidade",IF((IF(I34="SIM",2,0)+IF(K34="SIM",2,0)+IF(AF34="SIM",2,0)+IF(OR(AN34="Dados pessoais",AN34="Dados sensíveis",AN34="Dados pessoais e sensíveis"),2,0)+IF(O34="De 1.001 a 10.000 titulares por mês",1,0)+IF(AA34="SIM",1,0)+IF(R34="SIM",1,0)+IF(AL34="SIM",1,0)+IF(AJ34="NÃO",1,0))&gt;=5,"SIM - Alta criticidade",IF((IF(I34="SIM",2,0)+IF(K34="SIM",2,0)+IF(AF34="SIM",2,0)+IF(OR(AN34="Dados pessoais",AN34="Dados sensíveis",AN34="Dados pessoais e sensíveis"),2,0)+IF(O34="De 1.001 a 10.000 titulares por mês",1,0)+IF(AA34="SIM",1,0)+IF(R34="SIM",1,0)+IF(AL34="SIM",1,0)+IF(AJ34="NÃO",1,0))&gt;=3,"Avaliação necessária","NÃO"))))</f>
      </c>
      <c r="AR34" s="53"/>
      <c r="AS34" s="113">
        <f>IF(AND(I34="",K34="",AF34="",AL34="",AN34="",O34=""),"",IF(OR(I34="SIM",K34="SIM",AF34="SIM",AL34="SIM",OR(AN34="Dados pessoais",AN34="Dados sensíveis",AN34="Dados pessoais e sensíveis"),O34="Acima de 10.000 titulares por mês",(IF(I34="SIM",2,0)+IF(K34="SIM",2,0)+IF(AF34="SIM",2,0)+IF(OR(AN34="Dados pessoais",AN34="Dados sensíveis",AN34="Dados pessoais e sensíveis"),2,0)+IF(O34="De 1.001 a 10.000 titulares por mês",1,0)+IF(AA34="SIM",1,0)+IF(R34="SIM",1,0)+IF(AL34="SIM",1,0)+IF(AJ34="NÃO",1,0))&gt;=3),"DPIA indicado ou em avaliação em razão de: " &amp; TRIM(IF(I34="SIM","tratamento de dados sensíveis; ","") &amp; IF(K34="SIM","utilização de dados de menores; ","") &amp; IF(AF34="SIM","transferência internacional de dados; ","") &amp; IF(AL34="SIM","utilização de inteligência artificial; ","") &amp; IF(OR(AN34="Dados pessoais",AN34="Dados sensíveis",AN34="Dados pessoais e sensíveis"),"dados inseridos em IA; ","") &amp; IF(O34="Acima de 10.000 titulares por mês","volume crítico de titulares; ","") &amp; IF(O34="De 1.001 a 10.000 titulares por mês","volume moderado de titulares; ","") &amp; IF(AA34="SIM","compartilhamento com terceiros; ","") &amp; IF(R34="SIM","compartilhamento com órgãos governamentais; ","") &amp; IF(AJ34="NÃO","ausência de controle de acesso por perfil; ","")),"DPIA não indicado: Processo de baixa criticidade."))</f>
      </c>
    </row>
    <row x14ac:dyDescent="0.25" r="35" customHeight="1" ht="15.75" customFormat="1" s="1">
      <c r="A35" s="112">
        <v>32</v>
      </c>
      <c r="B35" s="52"/>
      <c r="C35" s="53"/>
      <c r="D35" s="53"/>
      <c r="E35" s="32"/>
      <c r="F35" s="53"/>
      <c r="G35" s="32"/>
      <c r="H35" s="3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3"/>
      <c r="U35" s="53"/>
      <c r="V35" s="53"/>
      <c r="W35" s="53"/>
      <c r="X35" s="53"/>
      <c r="Y35" s="53"/>
      <c r="Z35" s="53"/>
      <c r="AA35" s="53"/>
      <c r="AB35" s="52"/>
      <c r="AC35" s="53"/>
      <c r="AD35" s="52"/>
      <c r="AE35" s="52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2"/>
      <c r="AQ35" s="113">
        <f>IF(AND(I35="",K35="",AF35="",AL35="",AN35="",O35=""),"",IF(OR(I35="SIM",K35="SIM",AF35="SIM",AL35="SIM",AN35="Dados pessoais",AN35="Dados sensíveis",AN35="Dados pessoais e sensíveis",O35="Acima de 10.000 titulares por mês"),"SIM - Alta criticidade",IF((IF(I35="SIM",2,0)+IF(K35="SIM",2,0)+IF(AF35="SIM",2,0)+IF(OR(AN35="Dados pessoais",AN35="Dados sensíveis",AN35="Dados pessoais e sensíveis"),2,0)+IF(O35="De 1.001 a 10.000 titulares por mês",1,0)+IF(AA35="SIM",1,0)+IF(R35="SIM",1,0)+IF(AL35="SIM",1,0)+IF(AJ35="NÃO",1,0))&gt;=5,"SIM - Alta criticidade",IF((IF(I35="SIM",2,0)+IF(K35="SIM",2,0)+IF(AF35="SIM",2,0)+IF(OR(AN35="Dados pessoais",AN35="Dados sensíveis",AN35="Dados pessoais e sensíveis"),2,0)+IF(O35="De 1.001 a 10.000 titulares por mês",1,0)+IF(AA35="SIM",1,0)+IF(R35="SIM",1,0)+IF(AL35="SIM",1,0)+IF(AJ35="NÃO",1,0))&gt;=3,"Avaliação necessária","NÃO"))))</f>
      </c>
      <c r="AR35" s="53"/>
      <c r="AS35" s="113">
        <f>IF(AND(I35="",K35="",AF35="",AL35="",AN35="",O35=""),"",IF(OR(I35="SIM",K35="SIM",AF35="SIM",AL35="SIM",OR(AN35="Dados pessoais",AN35="Dados sensíveis",AN35="Dados pessoais e sensíveis"),O35="Acima de 10.000 titulares por mês",(IF(I35="SIM",2,0)+IF(K35="SIM",2,0)+IF(AF35="SIM",2,0)+IF(OR(AN35="Dados pessoais",AN35="Dados sensíveis",AN35="Dados pessoais e sensíveis"),2,0)+IF(O35="De 1.001 a 10.000 titulares por mês",1,0)+IF(AA35="SIM",1,0)+IF(R35="SIM",1,0)+IF(AL35="SIM",1,0)+IF(AJ35="NÃO",1,0))&gt;=3),"DPIA indicado ou em avaliação em razão de: " &amp; TRIM(IF(I35="SIM","tratamento de dados sensíveis; ","") &amp; IF(K35="SIM","utilização de dados de menores; ","") &amp; IF(AF35="SIM","transferência internacional de dados; ","") &amp; IF(AL35="SIM","utilização de inteligência artificial; ","") &amp; IF(OR(AN35="Dados pessoais",AN35="Dados sensíveis",AN35="Dados pessoais e sensíveis"),"dados inseridos em IA; ","") &amp; IF(O35="Acima de 10.000 titulares por mês","volume crítico de titulares; ","") &amp; IF(O35="De 1.001 a 10.000 titulares por mês","volume moderado de titulares; ","") &amp; IF(AA35="SIM","compartilhamento com terceiros; ","") &amp; IF(R35="SIM","compartilhamento com órgãos governamentais; ","") &amp; IF(AJ35="NÃO","ausência de controle de acesso por perfil; ","")),"DPIA não indicado: Processo de baixa criticidade."))</f>
      </c>
    </row>
    <row x14ac:dyDescent="0.25" r="36" customHeight="1" ht="15.75">
      <c r="A36" s="117">
        <v>33</v>
      </c>
      <c r="B36" s="53"/>
      <c r="C36" s="53"/>
      <c r="D36" s="53"/>
      <c r="E36" s="32"/>
      <c r="F36" s="53"/>
      <c r="G36" s="32"/>
      <c r="H36" s="32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116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113">
        <f>IF(AND(I36="",K36="",AF36="",AL36="",AN36="",O36=""),"",IF(OR(I36="SIM",K36="SIM",AF36="SIM",AL36="SIM",AN36="Dados pessoais",AN36="Dados sensíveis",AN36="Dados pessoais e sensíveis",O36="Acima de 10.000 titulares por mês"),"SIM - Alta criticidade",IF((IF(I36="SIM",2,0)+IF(K36="SIM",2,0)+IF(AF36="SIM",2,0)+IF(OR(AN36="Dados pessoais",AN36="Dados sensíveis",AN36="Dados pessoais e sensíveis"),2,0)+IF(O36="De 1.001 a 10.000 titulares por mês",1,0)+IF(AA36="SIM",1,0)+IF(R36="SIM",1,0)+IF(AL36="SIM",1,0)+IF(AJ36="NÃO",1,0))&gt;=5,"SIM - Alta criticidade",IF((IF(I36="SIM",2,0)+IF(K36="SIM",2,0)+IF(AF36="SIM",2,0)+IF(OR(AN36="Dados pessoais",AN36="Dados sensíveis",AN36="Dados pessoais e sensíveis"),2,0)+IF(O36="De 1.001 a 10.000 titulares por mês",1,0)+IF(AA36="SIM",1,0)+IF(R36="SIM",1,0)+IF(AL36="SIM",1,0)+IF(AJ36="NÃO",1,0))&gt;=3,"Avaliação necessária","NÃO"))))</f>
      </c>
      <c r="AR36" s="68"/>
      <c r="AS36" s="113">
        <f>IF(AND(I36="",K36="",AF36="",AL36="",AN36="",O36=""),"",IF(OR(I36="SIM",K36="SIM",AF36="SIM",AL36="SIM",OR(AN36="Dados pessoais",AN36="Dados sensíveis",AN36="Dados pessoais e sensíveis"),O36="Acima de 10.000 titulares por mês",(IF(I36="SIM",2,0)+IF(K36="SIM",2,0)+IF(AF36="SIM",2,0)+IF(OR(AN36="Dados pessoais",AN36="Dados sensíveis",AN36="Dados pessoais e sensíveis"),2,0)+IF(O36="De 1.001 a 10.000 titulares por mês",1,0)+IF(AA36="SIM",1,0)+IF(R36="SIM",1,0)+IF(AL36="SIM",1,0)+IF(AJ36="NÃO",1,0))&gt;=3),"DPIA indicado ou em avaliação em razão de: " &amp; TRIM(IF(I36="SIM","tratamento de dados sensíveis; ","") &amp; IF(K36="SIM","utilização de dados de menores; ","") &amp; IF(AF36="SIM","transferência internacional de dados; ","") &amp; IF(AL36="SIM","utilização de inteligência artificial; ","") &amp; IF(OR(AN36="Dados pessoais",AN36="Dados sensíveis",AN36="Dados pessoais e sensíveis"),"dados inseridos em IA; ","") &amp; IF(O36="Acima de 10.000 titulares por mês","volume crítico de titulares; ","") &amp; IF(O36="De 1.001 a 10.000 titulares por mês","volume moderado de titulares; ","") &amp; IF(AA36="SIM","compartilhamento com terceiros; ","") &amp; IF(R36="SIM","compartilhamento com órgãos governamentais; ","") &amp; IF(AJ36="NÃO","ausência de controle de acesso por perfil; ","")),"DPIA não indicado: Processo de baixa criticidade."))</f>
      </c>
    </row>
    <row x14ac:dyDescent="0.25" r="37" customHeight="1" ht="15.75" customFormat="1" s="1">
      <c r="A37" s="112">
        <v>34</v>
      </c>
      <c r="B37" s="52"/>
      <c r="C37" s="53"/>
      <c r="D37" s="52"/>
      <c r="E37" s="24"/>
      <c r="F37" s="52"/>
      <c r="G37" s="24"/>
      <c r="H37" s="24"/>
      <c r="I37" s="52"/>
      <c r="J37" s="52"/>
      <c r="K37" s="52"/>
      <c r="L37" s="24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3"/>
      <c r="AA37" s="52"/>
      <c r="AB37" s="24"/>
      <c r="AC37" s="52"/>
      <c r="AD37" s="53"/>
      <c r="AE37" s="52"/>
      <c r="AF37" s="52"/>
      <c r="AG37" s="53"/>
      <c r="AH37" s="53"/>
      <c r="AI37" s="53"/>
      <c r="AJ37" s="52"/>
      <c r="AK37" s="53"/>
      <c r="AL37" s="53"/>
      <c r="AM37" s="53"/>
      <c r="AN37" s="53"/>
      <c r="AO37" s="53"/>
      <c r="AP37" s="52"/>
      <c r="AQ37" s="113">
        <f>IF(AND(I37="",K37="",AF37="",AL37="",AN37="",O37=""),"",IF(OR(I37="SIM",K37="SIM",AF37="SIM",AL37="SIM",AN37="Dados pessoais",AN37="Dados sensíveis",AN37="Dados pessoais e sensíveis",O37="Acima de 10.000 titulares por mês"),"SIM - Alta criticidade",IF((IF(I37="SIM",2,0)+IF(K37="SIM",2,0)+IF(AF37="SIM",2,0)+IF(OR(AN37="Dados pessoais",AN37="Dados sensíveis",AN37="Dados pessoais e sensíveis"),2,0)+IF(O37="De 1.001 a 10.000 titulares por mês",1,0)+IF(AA37="SIM",1,0)+IF(R37="SIM",1,0)+IF(AL37="SIM",1,0)+IF(AJ37="NÃO",1,0))&gt;=5,"SIM - Alta criticidade",IF((IF(I37="SIM",2,0)+IF(K37="SIM",2,0)+IF(AF37="SIM",2,0)+IF(OR(AN37="Dados pessoais",AN37="Dados sensíveis",AN37="Dados pessoais e sensíveis"),2,0)+IF(O37="De 1.001 a 10.000 titulares por mês",1,0)+IF(AA37="SIM",1,0)+IF(R37="SIM",1,0)+IF(AL37="SIM",1,0)+IF(AJ37="NÃO",1,0))&gt;=3,"Avaliação necessária","NÃO"))))</f>
      </c>
      <c r="AR37" s="52"/>
      <c r="AS37" s="113">
        <f>IF(AND(I37="",K37="",AF37="",AL37="",AN37="",O37=""),"",IF(OR(I37="SIM",K37="SIM",AF37="SIM",AL37="SIM",OR(AN37="Dados pessoais",AN37="Dados sensíveis",AN37="Dados pessoais e sensíveis"),O37="Acima de 10.000 titulares por mês",(IF(I37="SIM",2,0)+IF(K37="SIM",2,0)+IF(AF37="SIM",2,0)+IF(OR(AN37="Dados pessoais",AN37="Dados sensíveis",AN37="Dados pessoais e sensíveis"),2,0)+IF(O37="De 1.001 a 10.000 titulares por mês",1,0)+IF(AA37="SIM",1,0)+IF(R37="SIM",1,0)+IF(AL37="SIM",1,0)+IF(AJ37="NÃO",1,0))&gt;=3),"DPIA indicado ou em avaliação em razão de: " &amp; TRIM(IF(I37="SIM","tratamento de dados sensíveis; ","") &amp; IF(K37="SIM","utilização de dados de menores; ","") &amp; IF(AF37="SIM","transferência internacional de dados; ","") &amp; IF(AL37="SIM","utilização de inteligência artificial; ","") &amp; IF(OR(AN37="Dados pessoais",AN37="Dados sensíveis",AN37="Dados pessoais e sensíveis"),"dados inseridos em IA; ","") &amp; IF(O37="Acima de 10.000 titulares por mês","volume crítico de titulares; ","") &amp; IF(O37="De 1.001 a 10.000 titulares por mês","volume moderado de titulares; ","") &amp; IF(AA37="SIM","compartilhamento com terceiros; ","") &amp; IF(R37="SIM","compartilhamento com órgãos governamentais; ","") &amp; IF(AJ37="NÃO","ausência de controle de acesso por perfil; ","")),"DPIA não indicado: Processo de baixa criticidade."))</f>
      </c>
    </row>
    <row x14ac:dyDescent="0.25" r="38" customHeight="1" ht="15.75" customFormat="1" s="1">
      <c r="A38" s="112">
        <v>35</v>
      </c>
      <c r="B38" s="52"/>
      <c r="C38" s="53"/>
      <c r="D38" s="52"/>
      <c r="E38" s="24"/>
      <c r="F38" s="52"/>
      <c r="G38" s="24"/>
      <c r="H38" s="24"/>
      <c r="I38" s="52"/>
      <c r="J38" s="52"/>
      <c r="K38" s="52"/>
      <c r="L38" s="24"/>
      <c r="M38" s="52"/>
      <c r="N38" s="52"/>
      <c r="O38" s="52"/>
      <c r="P38" s="52"/>
      <c r="Q38" s="52"/>
      <c r="R38" s="52"/>
      <c r="S38" s="52"/>
      <c r="T38" s="53"/>
      <c r="U38" s="53"/>
      <c r="V38" s="53"/>
      <c r="W38" s="53"/>
      <c r="X38" s="52"/>
      <c r="Y38" s="52"/>
      <c r="Z38" s="53"/>
      <c r="AA38" s="52"/>
      <c r="AB38" s="52"/>
      <c r="AC38" s="52"/>
      <c r="AD38" s="52"/>
      <c r="AE38" s="52"/>
      <c r="AF38" s="52"/>
      <c r="AG38" s="53"/>
      <c r="AH38" s="53"/>
      <c r="AI38" s="53"/>
      <c r="AJ38" s="52"/>
      <c r="AK38" s="53"/>
      <c r="AL38" s="53"/>
      <c r="AM38" s="53"/>
      <c r="AN38" s="53"/>
      <c r="AO38" s="53"/>
      <c r="AP38" s="53"/>
      <c r="AQ38" s="113">
        <f>IF(AND(I38="",K38="",AF38="",AL38="",AN38="",O38=""),"",IF(OR(I38="SIM",K38="SIM",AF38="SIM",AL38="SIM",AN38="Dados pessoais",AN38="Dados sensíveis",AN38="Dados pessoais e sensíveis",O38="Acima de 10.000 titulares por mês"),"SIM - Alta criticidade",IF((IF(I38="SIM",2,0)+IF(K38="SIM",2,0)+IF(AF38="SIM",2,0)+IF(OR(AN38="Dados pessoais",AN38="Dados sensíveis",AN38="Dados pessoais e sensíveis"),2,0)+IF(O38="De 1.001 a 10.000 titulares por mês",1,0)+IF(AA38="SIM",1,0)+IF(R38="SIM",1,0)+IF(AL38="SIM",1,0)+IF(AJ38="NÃO",1,0))&gt;=5,"SIM - Alta criticidade",IF((IF(I38="SIM",2,0)+IF(K38="SIM",2,0)+IF(AF38="SIM",2,0)+IF(OR(AN38="Dados pessoais",AN38="Dados sensíveis",AN38="Dados pessoais e sensíveis"),2,0)+IF(O38="De 1.001 a 10.000 titulares por mês",1,0)+IF(AA38="SIM",1,0)+IF(R38="SIM",1,0)+IF(AL38="SIM",1,0)+IF(AJ38="NÃO",1,0))&gt;=3,"Avaliação necessária","NÃO"))))</f>
      </c>
      <c r="AR38" s="52"/>
      <c r="AS38" s="113">
        <f>IF(AND(I38="",K38="",AF38="",AL38="",AN38="",O38=""),"",IF(OR(I38="SIM",K38="SIM",AF38="SIM",AL38="SIM",OR(AN38="Dados pessoais",AN38="Dados sensíveis",AN38="Dados pessoais e sensíveis"),O38="Acima de 10.000 titulares por mês",(IF(I38="SIM",2,0)+IF(K38="SIM",2,0)+IF(AF38="SIM",2,0)+IF(OR(AN38="Dados pessoais",AN38="Dados sensíveis",AN38="Dados pessoais e sensíveis"),2,0)+IF(O38="De 1.001 a 10.000 titulares por mês",1,0)+IF(AA38="SIM",1,0)+IF(R38="SIM",1,0)+IF(AL38="SIM",1,0)+IF(AJ38="NÃO",1,0))&gt;=3),"DPIA indicado ou em avaliação em razão de: " &amp; TRIM(IF(I38="SIM","tratamento de dados sensíveis; ","") &amp; IF(K38="SIM","utilização de dados de menores; ","") &amp; IF(AF38="SIM","transferência internacional de dados; ","") &amp; IF(AL38="SIM","utilização de inteligência artificial; ","") &amp; IF(OR(AN38="Dados pessoais",AN38="Dados sensíveis",AN38="Dados pessoais e sensíveis"),"dados inseridos em IA; ","") &amp; IF(O38="Acima de 10.000 titulares por mês","volume crítico de titulares; ","") &amp; IF(O38="De 1.001 a 10.000 titulares por mês","volume moderado de titulares; ","") &amp; IF(AA38="SIM","compartilhamento com terceiros; ","") &amp; IF(R38="SIM","compartilhamento com órgãos governamentais; ","") &amp; IF(AJ38="NÃO","ausência de controle de acesso por perfil; ","")),"DPIA não indicado: Processo de baixa criticidade."))</f>
      </c>
    </row>
    <row x14ac:dyDescent="0.25" r="39" customHeight="1" ht="15.75" customFormat="1" s="1">
      <c r="A39" s="112">
        <v>36</v>
      </c>
      <c r="B39" s="52"/>
      <c r="C39" s="53"/>
      <c r="D39" s="52"/>
      <c r="E39" s="24"/>
      <c r="F39" s="52"/>
      <c r="G39" s="24"/>
      <c r="H39" s="24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3"/>
      <c r="U39" s="52"/>
      <c r="V39" s="52"/>
      <c r="W39" s="52"/>
      <c r="X39" s="52"/>
      <c r="Y39" s="52"/>
      <c r="Z39" s="53"/>
      <c r="AA39" s="52"/>
      <c r="AB39" s="24"/>
      <c r="AC39" s="52"/>
      <c r="AD39" s="53"/>
      <c r="AE39" s="52"/>
      <c r="AF39" s="52"/>
      <c r="AG39" s="53"/>
      <c r="AH39" s="53"/>
      <c r="AI39" s="53"/>
      <c r="AJ39" s="52"/>
      <c r="AK39" s="53"/>
      <c r="AL39" s="53"/>
      <c r="AM39" s="53"/>
      <c r="AN39" s="53"/>
      <c r="AO39" s="53"/>
      <c r="AP39" s="53"/>
      <c r="AQ39" s="113">
        <f>IF(AND(I39="",K39="",AF39="",AL39="",AN39="",O39=""),"",IF(OR(I39="SIM",K39="SIM",AF39="SIM",AL39="SIM",AN39="Dados pessoais",AN39="Dados sensíveis",AN39="Dados pessoais e sensíveis",O39="Acima de 10.000 titulares por mês"),"SIM - Alta criticidade",IF((IF(I39="SIM",2,0)+IF(K39="SIM",2,0)+IF(AF39="SIM",2,0)+IF(OR(AN39="Dados pessoais",AN39="Dados sensíveis",AN39="Dados pessoais e sensíveis"),2,0)+IF(O39="De 1.001 a 10.000 titulares por mês",1,0)+IF(AA39="SIM",1,0)+IF(R39="SIM",1,0)+IF(AL39="SIM",1,0)+IF(AJ39="NÃO",1,0))&gt;=5,"SIM - Alta criticidade",IF((IF(I39="SIM",2,0)+IF(K39="SIM",2,0)+IF(AF39="SIM",2,0)+IF(OR(AN39="Dados pessoais",AN39="Dados sensíveis",AN39="Dados pessoais e sensíveis"),2,0)+IF(O39="De 1.001 a 10.000 titulares por mês",1,0)+IF(AA39="SIM",1,0)+IF(R39="SIM",1,0)+IF(AL39="SIM",1,0)+IF(AJ39="NÃO",1,0))&gt;=3,"Avaliação necessária","NÃO"))))</f>
      </c>
      <c r="AR39" s="52"/>
      <c r="AS39" s="113">
        <f>IF(AND(I39="",K39="",AF39="",AL39="",AN39="",O39=""),"",IF(OR(I39="SIM",K39="SIM",AF39="SIM",AL39="SIM",OR(AN39="Dados pessoais",AN39="Dados sensíveis",AN39="Dados pessoais e sensíveis"),O39="Acima de 10.000 titulares por mês",(IF(I39="SIM",2,0)+IF(K39="SIM",2,0)+IF(AF39="SIM",2,0)+IF(OR(AN39="Dados pessoais",AN39="Dados sensíveis",AN39="Dados pessoais e sensíveis"),2,0)+IF(O39="De 1.001 a 10.000 titulares por mês",1,0)+IF(AA39="SIM",1,0)+IF(R39="SIM",1,0)+IF(AL39="SIM",1,0)+IF(AJ39="NÃO",1,0))&gt;=3),"DPIA indicado ou em avaliação em razão de: " &amp; TRIM(IF(I39="SIM","tratamento de dados sensíveis; ","") &amp; IF(K39="SIM","utilização de dados de menores; ","") &amp; IF(AF39="SIM","transferência internacional de dados; ","") &amp; IF(AL39="SIM","utilização de inteligência artificial; ","") &amp; IF(OR(AN39="Dados pessoais",AN39="Dados sensíveis",AN39="Dados pessoais e sensíveis"),"dados inseridos em IA; ","") &amp; IF(O39="Acima de 10.000 titulares por mês","volume crítico de titulares; ","") &amp; IF(O39="De 1.001 a 10.000 titulares por mês","volume moderado de titulares; ","") &amp; IF(AA39="SIM","compartilhamento com terceiros; ","") &amp; IF(R39="SIM","compartilhamento com órgãos governamentais; ","") &amp; IF(AJ39="NÃO","ausência de controle de acesso por perfil; ","")),"DPIA não indicado: Processo de baixa criticidade."))</f>
      </c>
    </row>
    <row x14ac:dyDescent="0.25" r="40" customHeight="1" ht="15.75">
      <c r="A40" s="112">
        <v>37</v>
      </c>
      <c r="B40" s="52"/>
      <c r="C40" s="53"/>
      <c r="D40" s="52"/>
      <c r="E40" s="24"/>
      <c r="F40" s="52"/>
      <c r="G40" s="24"/>
      <c r="H40" s="24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3"/>
      <c r="X40" s="52"/>
      <c r="Y40" s="52"/>
      <c r="Z40" s="53"/>
      <c r="AA40" s="52"/>
      <c r="AB40" s="52"/>
      <c r="AC40" s="52"/>
      <c r="AD40" s="116"/>
      <c r="AE40" s="52"/>
      <c r="AF40" s="52"/>
      <c r="AG40" s="53"/>
      <c r="AH40" s="53"/>
      <c r="AI40" s="53"/>
      <c r="AJ40" s="52"/>
      <c r="AK40" s="53"/>
      <c r="AL40" s="53"/>
      <c r="AM40" s="53"/>
      <c r="AN40" s="53"/>
      <c r="AO40" s="53"/>
      <c r="AP40" s="53"/>
      <c r="AQ40" s="113">
        <f>IF(AND(I40="",K40="",AF40="",AL40="",AN40="",O40=""),"",IF(OR(I40="SIM",K40="SIM",AF40="SIM",AL40="SIM",AN40="Dados pessoais",AN40="Dados sensíveis",AN40="Dados pessoais e sensíveis",O40="Acima de 10.000 titulares por mês"),"SIM - Alta criticidade",IF((IF(I40="SIM",2,0)+IF(K40="SIM",2,0)+IF(AF40="SIM",2,0)+IF(OR(AN40="Dados pessoais",AN40="Dados sensíveis",AN40="Dados pessoais e sensíveis"),2,0)+IF(O40="De 1.001 a 10.000 titulares por mês",1,0)+IF(AA40="SIM",1,0)+IF(R40="SIM",1,0)+IF(AL40="SIM",1,0)+IF(AJ40="NÃO",1,0))&gt;=5,"SIM - Alta criticidade",IF((IF(I40="SIM",2,0)+IF(K40="SIM",2,0)+IF(AF40="SIM",2,0)+IF(OR(AN40="Dados pessoais",AN40="Dados sensíveis",AN40="Dados pessoais e sensíveis"),2,0)+IF(O40="De 1.001 a 10.000 titulares por mês",1,0)+IF(AA40="SIM",1,0)+IF(R40="SIM",1,0)+IF(AL40="SIM",1,0)+IF(AJ40="NÃO",1,0))&gt;=3,"Avaliação necessária","NÃO"))))</f>
      </c>
      <c r="AR40" s="68"/>
      <c r="AS40" s="113">
        <f>IF(AND(I40="",K40="",AF40="",AL40="",AN40="",O40=""),"",IF(OR(I40="SIM",K40="SIM",AF40="SIM",AL40="SIM",OR(AN40="Dados pessoais",AN40="Dados sensíveis",AN40="Dados pessoais e sensíveis"),O40="Acima de 10.000 titulares por mês",(IF(I40="SIM",2,0)+IF(K40="SIM",2,0)+IF(AF40="SIM",2,0)+IF(OR(AN40="Dados pessoais",AN40="Dados sensíveis",AN40="Dados pessoais e sensíveis"),2,0)+IF(O40="De 1.001 a 10.000 titulares por mês",1,0)+IF(AA40="SIM",1,0)+IF(R40="SIM",1,0)+IF(AL40="SIM",1,0)+IF(AJ40="NÃO",1,0))&gt;=3),"DPIA indicado ou em avaliação em razão de: " &amp; TRIM(IF(I40="SIM","tratamento de dados sensíveis; ","") &amp; IF(K40="SIM","utilização de dados de menores; ","") &amp; IF(AF40="SIM","transferência internacional de dados; ","") &amp; IF(AL40="SIM","utilização de inteligência artificial; ","") &amp; IF(OR(AN40="Dados pessoais",AN40="Dados sensíveis",AN40="Dados pessoais e sensíveis"),"dados inseridos em IA; ","") &amp; IF(O40="Acima de 10.000 titulares por mês","volume crítico de titulares; ","") &amp; IF(O40="De 1.001 a 10.000 titulares por mês","volume moderado de titulares; ","") &amp; IF(AA40="SIM","compartilhamento com terceiros; ","") &amp; IF(R40="SIM","compartilhamento com órgãos governamentais; ","") &amp; IF(AJ40="NÃO","ausência de controle de acesso por perfil; ","")),"DPIA não indicado: Processo de baixa criticidade."))</f>
      </c>
    </row>
    <row x14ac:dyDescent="0.25" r="41" customHeight="1" ht="15.75">
      <c r="A41" s="112">
        <v>38</v>
      </c>
      <c r="B41" s="52"/>
      <c r="C41" s="53"/>
      <c r="D41" s="52"/>
      <c r="E41" s="24"/>
      <c r="F41" s="52"/>
      <c r="G41" s="24"/>
      <c r="H41" s="24"/>
      <c r="I41" s="52"/>
      <c r="J41" s="52"/>
      <c r="K41" s="52"/>
      <c r="L41" s="24"/>
      <c r="M41" s="52"/>
      <c r="N41" s="52"/>
      <c r="O41" s="52"/>
      <c r="P41" s="52"/>
      <c r="Q41" s="52"/>
      <c r="R41" s="52"/>
      <c r="S41" s="52"/>
      <c r="T41" s="53"/>
      <c r="U41" s="52"/>
      <c r="V41" s="52"/>
      <c r="W41" s="53"/>
      <c r="X41" s="52"/>
      <c r="Y41" s="52"/>
      <c r="Z41" s="53"/>
      <c r="AA41" s="52"/>
      <c r="AB41" s="24"/>
      <c r="AC41" s="52"/>
      <c r="AD41" s="116"/>
      <c r="AE41" s="52"/>
      <c r="AF41" s="52"/>
      <c r="AG41" s="53"/>
      <c r="AH41" s="53"/>
      <c r="AI41" s="53"/>
      <c r="AJ41" s="52"/>
      <c r="AK41" s="53"/>
      <c r="AL41" s="53"/>
      <c r="AM41" s="53"/>
      <c r="AN41" s="53"/>
      <c r="AO41" s="53"/>
      <c r="AP41" s="53"/>
      <c r="AQ41" s="113">
        <f>IF(AND(I41="",K41="",AF41="",AL41="",AN41="",O41=""),"",IF(OR(I41="SIM",K41="SIM",AF41="SIM",AL41="SIM",AN41="Dados pessoais",AN41="Dados sensíveis",AN41="Dados pessoais e sensíveis",O41="Acima de 10.000 titulares por mês"),"SIM - Alta criticidade",IF((IF(I41="SIM",2,0)+IF(K41="SIM",2,0)+IF(AF41="SIM",2,0)+IF(OR(AN41="Dados pessoais",AN41="Dados sensíveis",AN41="Dados pessoais e sensíveis"),2,0)+IF(O41="De 1.001 a 10.000 titulares por mês",1,0)+IF(AA41="SIM",1,0)+IF(R41="SIM",1,0)+IF(AL41="SIM",1,0)+IF(AJ41="NÃO",1,0))&gt;=5,"SIM - Alta criticidade",IF((IF(I41="SIM",2,0)+IF(K41="SIM",2,0)+IF(AF41="SIM",2,0)+IF(OR(AN41="Dados pessoais",AN41="Dados sensíveis",AN41="Dados pessoais e sensíveis"),2,0)+IF(O41="De 1.001 a 10.000 titulares por mês",1,0)+IF(AA41="SIM",1,0)+IF(R41="SIM",1,0)+IF(AL41="SIM",1,0)+IF(AJ41="NÃO",1,0))&gt;=3,"Avaliação necessária","NÃO"))))</f>
      </c>
      <c r="AR41" s="68"/>
      <c r="AS41" s="113">
        <f>IF(AND(I41="",K41="",AF41="",AL41="",AN41="",O41=""),"",IF(OR(I41="SIM",K41="SIM",AF41="SIM",AL41="SIM",OR(AN41="Dados pessoais",AN41="Dados sensíveis",AN41="Dados pessoais e sensíveis"),O41="Acima de 10.000 titulares por mês",(IF(I41="SIM",2,0)+IF(K41="SIM",2,0)+IF(AF41="SIM",2,0)+IF(OR(AN41="Dados pessoais",AN41="Dados sensíveis",AN41="Dados pessoais e sensíveis"),2,0)+IF(O41="De 1.001 a 10.000 titulares por mês",1,0)+IF(AA41="SIM",1,0)+IF(R41="SIM",1,0)+IF(AL41="SIM",1,0)+IF(AJ41="NÃO",1,0))&gt;=3),"DPIA indicado ou em avaliação em razão de: " &amp; TRIM(IF(I41="SIM","tratamento de dados sensíveis; ","") &amp; IF(K41="SIM","utilização de dados de menores; ","") &amp; IF(AF41="SIM","transferência internacional de dados; ","") &amp; IF(AL41="SIM","utilização de inteligência artificial; ","") &amp; IF(OR(AN41="Dados pessoais",AN41="Dados sensíveis",AN41="Dados pessoais e sensíveis"),"dados inseridos em IA; ","") &amp; IF(O41="Acima de 10.000 titulares por mês","volume crítico de titulares; ","") &amp; IF(O41="De 1.001 a 10.000 titulares por mês","volume moderado de titulares; ","") &amp; IF(AA41="SIM","compartilhamento com terceiros; ","") &amp; IF(R41="SIM","compartilhamento com órgãos governamentais; ","") &amp; IF(AJ41="NÃO","ausência de controle de acesso por perfil; ","")),"DPIA não indicado: Processo de baixa criticidade."))</f>
      </c>
    </row>
    <row x14ac:dyDescent="0.25" r="42" customHeight="1" ht="15.75">
      <c r="A42" s="112">
        <v>39</v>
      </c>
      <c r="B42" s="52"/>
      <c r="C42" s="53"/>
      <c r="D42" s="53"/>
      <c r="E42" s="24"/>
      <c r="F42" s="52"/>
      <c r="G42" s="24"/>
      <c r="H42" s="24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3"/>
      <c r="X42" s="52"/>
      <c r="Y42" s="52"/>
      <c r="Z42" s="53"/>
      <c r="AA42" s="52"/>
      <c r="AB42" s="52"/>
      <c r="AC42" s="52"/>
      <c r="AD42" s="52"/>
      <c r="AE42" s="52"/>
      <c r="AF42" s="52"/>
      <c r="AG42" s="53"/>
      <c r="AH42" s="53"/>
      <c r="AI42" s="53"/>
      <c r="AJ42" s="52"/>
      <c r="AK42" s="53"/>
      <c r="AL42" s="53"/>
      <c r="AM42" s="53"/>
      <c r="AN42" s="53"/>
      <c r="AO42" s="53"/>
      <c r="AP42" s="53"/>
      <c r="AQ42" s="113">
        <f>IF(AND(I42="",K42="",AF42="",AL42="",AN42="",O42=""),"",IF(OR(I42="SIM",K42="SIM",AF42="SIM",AL42="SIM",AN42="Dados pessoais",AN42="Dados sensíveis",AN42="Dados pessoais e sensíveis",O42="Acima de 10.000 titulares por mês"),"SIM - Alta criticidade",IF((IF(I42="SIM",2,0)+IF(K42="SIM",2,0)+IF(AF42="SIM",2,0)+IF(OR(AN42="Dados pessoais",AN42="Dados sensíveis",AN42="Dados pessoais e sensíveis"),2,0)+IF(O42="De 1.001 a 10.000 titulares por mês",1,0)+IF(AA42="SIM",1,0)+IF(R42="SIM",1,0)+IF(AL42="SIM",1,0)+IF(AJ42="NÃO",1,0))&gt;=5,"SIM - Alta criticidade",IF((IF(I42="SIM",2,0)+IF(K42="SIM",2,0)+IF(AF42="SIM",2,0)+IF(OR(AN42="Dados pessoais",AN42="Dados sensíveis",AN42="Dados pessoais e sensíveis"),2,0)+IF(O42="De 1.001 a 10.000 titulares por mês",1,0)+IF(AA42="SIM",1,0)+IF(R42="SIM",1,0)+IF(AL42="SIM",1,0)+IF(AJ42="NÃO",1,0))&gt;=3,"Avaliação necessária","NÃO"))))</f>
      </c>
      <c r="AR42" s="68"/>
      <c r="AS42" s="113">
        <f>IF(AND(I42="",K42="",AF42="",AL42="",AN42="",O42=""),"",IF(OR(I42="SIM",K42="SIM",AF42="SIM",AL42="SIM",OR(AN42="Dados pessoais",AN42="Dados sensíveis",AN42="Dados pessoais e sensíveis"),O42="Acima de 10.000 titulares por mês",(IF(I42="SIM",2,0)+IF(K42="SIM",2,0)+IF(AF42="SIM",2,0)+IF(OR(AN42="Dados pessoais",AN42="Dados sensíveis",AN42="Dados pessoais e sensíveis"),2,0)+IF(O42="De 1.001 a 10.000 titulares por mês",1,0)+IF(AA42="SIM",1,0)+IF(R42="SIM",1,0)+IF(AL42="SIM",1,0)+IF(AJ42="NÃO",1,0))&gt;=3),"DPIA indicado ou em avaliação em razão de: " &amp; TRIM(IF(I42="SIM","tratamento de dados sensíveis; ","") &amp; IF(K42="SIM","utilização de dados de menores; ","") &amp; IF(AF42="SIM","transferência internacional de dados; ","") &amp; IF(AL42="SIM","utilização de inteligência artificial; ","") &amp; IF(OR(AN42="Dados pessoais",AN42="Dados sensíveis",AN42="Dados pessoais e sensíveis"),"dados inseridos em IA; ","") &amp; IF(O42="Acima de 10.000 titulares por mês","volume crítico de titulares; ","") &amp; IF(O42="De 1.001 a 10.000 titulares por mês","volume moderado de titulares; ","") &amp; IF(AA42="SIM","compartilhamento com terceiros; ","") &amp; IF(R42="SIM","compartilhamento com órgãos governamentais; ","") &amp; IF(AJ42="NÃO","ausência de controle de acesso por perfil; ","")),"DPIA não indicado: Processo de baixa criticidade."))</f>
      </c>
    </row>
    <row x14ac:dyDescent="0.25" r="43" customHeight="1" ht="15.75">
      <c r="A43" s="112">
        <v>40</v>
      </c>
      <c r="B43" s="52"/>
      <c r="C43" s="53"/>
      <c r="D43" s="52"/>
      <c r="E43" s="24"/>
      <c r="F43" s="52"/>
      <c r="G43" s="24"/>
      <c r="H43" s="24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3"/>
      <c r="X43" s="52"/>
      <c r="Y43" s="52"/>
      <c r="Z43" s="53"/>
      <c r="AA43" s="52"/>
      <c r="AB43" s="52"/>
      <c r="AC43" s="52"/>
      <c r="AD43" s="52"/>
      <c r="AE43" s="52"/>
      <c r="AF43" s="52"/>
      <c r="AG43" s="53"/>
      <c r="AH43" s="53"/>
      <c r="AI43" s="53"/>
      <c r="AJ43" s="52"/>
      <c r="AK43" s="53"/>
      <c r="AL43" s="53"/>
      <c r="AM43" s="53"/>
      <c r="AN43" s="53"/>
      <c r="AO43" s="53"/>
      <c r="AP43" s="53"/>
      <c r="AQ43" s="113">
        <f>IF(AND(I43="",K43="",AF43="",AL43="",AN43="",O43=""),"",IF(OR(I43="SIM",K43="SIM",AF43="SIM",AL43="SIM",AN43="Dados pessoais",AN43="Dados sensíveis",AN43="Dados pessoais e sensíveis",O43="Acima de 10.000 titulares por mês"),"SIM - Alta criticidade",IF((IF(I43="SIM",2,0)+IF(K43="SIM",2,0)+IF(AF43="SIM",2,0)+IF(OR(AN43="Dados pessoais",AN43="Dados sensíveis",AN43="Dados pessoais e sensíveis"),2,0)+IF(O43="De 1.001 a 10.000 titulares por mês",1,0)+IF(AA43="SIM",1,0)+IF(R43="SIM",1,0)+IF(AL43="SIM",1,0)+IF(AJ43="NÃO",1,0))&gt;=5,"SIM - Alta criticidade",IF((IF(I43="SIM",2,0)+IF(K43="SIM",2,0)+IF(AF43="SIM",2,0)+IF(OR(AN43="Dados pessoais",AN43="Dados sensíveis",AN43="Dados pessoais e sensíveis"),2,0)+IF(O43="De 1.001 a 10.000 titulares por mês",1,0)+IF(AA43="SIM",1,0)+IF(R43="SIM",1,0)+IF(AL43="SIM",1,0)+IF(AJ43="NÃO",1,0))&gt;=3,"Avaliação necessária","NÃO"))))</f>
      </c>
      <c r="AR43" s="68"/>
      <c r="AS43" s="113">
        <f>IF(AND(I43="",K43="",AF43="",AL43="",AN43="",O43=""),"",IF(OR(I43="SIM",K43="SIM",AF43="SIM",AL43="SIM",OR(AN43="Dados pessoais",AN43="Dados sensíveis",AN43="Dados pessoais e sensíveis"),O43="Acima de 10.000 titulares por mês",(IF(I43="SIM",2,0)+IF(K43="SIM",2,0)+IF(AF43="SIM",2,0)+IF(OR(AN43="Dados pessoais",AN43="Dados sensíveis",AN43="Dados pessoais e sensíveis"),2,0)+IF(O43="De 1.001 a 10.000 titulares por mês",1,0)+IF(AA43="SIM",1,0)+IF(R43="SIM",1,0)+IF(AL43="SIM",1,0)+IF(AJ43="NÃO",1,0))&gt;=3),"DPIA indicado ou em avaliação em razão de: " &amp; TRIM(IF(I43="SIM","tratamento de dados sensíveis; ","") &amp; IF(K43="SIM","utilização de dados de menores; ","") &amp; IF(AF43="SIM","transferência internacional de dados; ","") &amp; IF(AL43="SIM","utilização de inteligência artificial; ","") &amp; IF(OR(AN43="Dados pessoais",AN43="Dados sensíveis",AN43="Dados pessoais e sensíveis"),"dados inseridos em IA; ","") &amp; IF(O43="Acima de 10.000 titulares por mês","volume crítico de titulares; ","") &amp; IF(O43="De 1.001 a 10.000 titulares por mês","volume moderado de titulares; ","") &amp; IF(AA43="SIM","compartilhamento com terceiros; ","") &amp; IF(R43="SIM","compartilhamento com órgãos governamentais; ","") &amp; IF(AJ43="NÃO","ausência de controle de acesso por perfil; ","")),"DPIA não indicado: Processo de baixa criticidade."))</f>
      </c>
    </row>
    <row x14ac:dyDescent="0.25" r="44" customHeight="1" ht="15.75">
      <c r="A44" s="112">
        <v>41</v>
      </c>
      <c r="B44" s="52"/>
      <c r="C44" s="53"/>
      <c r="D44" s="52"/>
      <c r="E44" s="24"/>
      <c r="F44" s="52"/>
      <c r="G44" s="24"/>
      <c r="H44" s="24"/>
      <c r="I44" s="52"/>
      <c r="J44" s="52"/>
      <c r="K44" s="52"/>
      <c r="L44" s="24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3"/>
      <c r="X44" s="52"/>
      <c r="Y44" s="52"/>
      <c r="Z44" s="53"/>
      <c r="AA44" s="52"/>
      <c r="AB44" s="52"/>
      <c r="AC44" s="52"/>
      <c r="AD44" s="52"/>
      <c r="AE44" s="52"/>
      <c r="AF44" s="52"/>
      <c r="AG44" s="53"/>
      <c r="AH44" s="53"/>
      <c r="AI44" s="53"/>
      <c r="AJ44" s="52"/>
      <c r="AK44" s="53"/>
      <c r="AL44" s="53"/>
      <c r="AM44" s="53"/>
      <c r="AN44" s="53"/>
      <c r="AO44" s="53"/>
      <c r="AP44" s="53"/>
      <c r="AQ44" s="113">
        <f>IF(AND(I44="",K44="",AF44="",AL44="",AN44="",O44=""),"",IF(OR(I44="SIM",K44="SIM",AF44="SIM",AL44="SIM",AN44="Dados pessoais",AN44="Dados sensíveis",AN44="Dados pessoais e sensíveis",O44="Acima de 10.000 titulares por mês"),"SIM - Alta criticidade",IF((IF(I44="SIM",2,0)+IF(K44="SIM",2,0)+IF(AF44="SIM",2,0)+IF(OR(AN44="Dados pessoais",AN44="Dados sensíveis",AN44="Dados pessoais e sensíveis"),2,0)+IF(O44="De 1.001 a 10.000 titulares por mês",1,0)+IF(AA44="SIM",1,0)+IF(R44="SIM",1,0)+IF(AL44="SIM",1,0)+IF(AJ44="NÃO",1,0))&gt;=5,"SIM - Alta criticidade",IF((IF(I44="SIM",2,0)+IF(K44="SIM",2,0)+IF(AF44="SIM",2,0)+IF(OR(AN44="Dados pessoais",AN44="Dados sensíveis",AN44="Dados pessoais e sensíveis"),2,0)+IF(O44="De 1.001 a 10.000 titulares por mês",1,0)+IF(AA44="SIM",1,0)+IF(R44="SIM",1,0)+IF(AL44="SIM",1,0)+IF(AJ44="NÃO",1,0))&gt;=3,"Avaliação necessária","NÃO"))))</f>
      </c>
      <c r="AR44" s="68"/>
      <c r="AS44" s="113">
        <f>IF(AND(I44="",K44="",AF44="",AL44="",AN44="",O44=""),"",IF(OR(I44="SIM",K44="SIM",AF44="SIM",AL44="SIM",OR(AN44="Dados pessoais",AN44="Dados sensíveis",AN44="Dados pessoais e sensíveis"),O44="Acima de 10.000 titulares por mês",(IF(I44="SIM",2,0)+IF(K44="SIM",2,0)+IF(AF44="SIM",2,0)+IF(OR(AN44="Dados pessoais",AN44="Dados sensíveis",AN44="Dados pessoais e sensíveis"),2,0)+IF(O44="De 1.001 a 10.000 titulares por mês",1,0)+IF(AA44="SIM",1,0)+IF(R44="SIM",1,0)+IF(AL44="SIM",1,0)+IF(AJ44="NÃO",1,0))&gt;=3),"DPIA indicado ou em avaliação em razão de: " &amp; TRIM(IF(I44="SIM","tratamento de dados sensíveis; ","") &amp; IF(K44="SIM","utilização de dados de menores; ","") &amp; IF(AF44="SIM","transferência internacional de dados; ","") &amp; IF(AL44="SIM","utilização de inteligência artificial; ","") &amp; IF(OR(AN44="Dados pessoais",AN44="Dados sensíveis",AN44="Dados pessoais e sensíveis"),"dados inseridos em IA; ","") &amp; IF(O44="Acima de 10.000 titulares por mês","volume crítico de titulares; ","") &amp; IF(O44="De 1.001 a 10.000 titulares por mês","volume moderado de titulares; ","") &amp; IF(AA44="SIM","compartilhamento com terceiros; ","") &amp; IF(R44="SIM","compartilhamento com órgãos governamentais; ","") &amp; IF(AJ44="NÃO","ausência de controle de acesso por perfil; ","")),"DPIA não indicado: Processo de baixa criticidade."))</f>
      </c>
    </row>
    <row x14ac:dyDescent="0.25" r="45" customHeight="1" ht="15.75">
      <c r="A45" s="112">
        <v>42</v>
      </c>
      <c r="B45" s="52"/>
      <c r="C45" s="53"/>
      <c r="D45" s="52"/>
      <c r="E45" s="24"/>
      <c r="F45" s="52"/>
      <c r="G45" s="24"/>
      <c r="H45" s="24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3"/>
      <c r="AA45" s="52"/>
      <c r="AB45" s="24"/>
      <c r="AC45" s="52"/>
      <c r="AD45" s="52"/>
      <c r="AE45" s="52"/>
      <c r="AF45" s="52"/>
      <c r="AG45" s="53"/>
      <c r="AH45" s="53"/>
      <c r="AI45" s="53"/>
      <c r="AJ45" s="52"/>
      <c r="AK45" s="53"/>
      <c r="AL45" s="53"/>
      <c r="AM45" s="53"/>
      <c r="AN45" s="53"/>
      <c r="AO45" s="53"/>
      <c r="AP45" s="53"/>
      <c r="AQ45" s="113">
        <f>IF(AND(I45="",K45="",AF45="",AL45="",AN45="",O45=""),"",IF(OR(I45="SIM",K45="SIM",AF45="SIM",AL45="SIM",AN45="Dados pessoais",AN45="Dados sensíveis",AN45="Dados pessoais e sensíveis",O45="Acima de 10.000 titulares por mês"),"SIM - Alta criticidade",IF((IF(I45="SIM",2,0)+IF(K45="SIM",2,0)+IF(AF45="SIM",2,0)+IF(OR(AN45="Dados pessoais",AN45="Dados sensíveis",AN45="Dados pessoais e sensíveis"),2,0)+IF(O45="De 1.001 a 10.000 titulares por mês",1,0)+IF(AA45="SIM",1,0)+IF(R45="SIM",1,0)+IF(AL45="SIM",1,0)+IF(AJ45="NÃO",1,0))&gt;=5,"SIM - Alta criticidade",IF((IF(I45="SIM",2,0)+IF(K45="SIM",2,0)+IF(AF45="SIM",2,0)+IF(OR(AN45="Dados pessoais",AN45="Dados sensíveis",AN45="Dados pessoais e sensíveis"),2,0)+IF(O45="De 1.001 a 10.000 titulares por mês",1,0)+IF(AA45="SIM",1,0)+IF(R45="SIM",1,0)+IF(AL45="SIM",1,0)+IF(AJ45="NÃO",1,0))&gt;=3,"Avaliação necessária","NÃO"))))</f>
      </c>
      <c r="AR45" s="68"/>
      <c r="AS45" s="113">
        <f>IF(AND(I45="",K45="",AF45="",AL45="",AN45="",O45=""),"",IF(OR(I45="SIM",K45="SIM",AF45="SIM",AL45="SIM",OR(AN45="Dados pessoais",AN45="Dados sensíveis",AN45="Dados pessoais e sensíveis"),O45="Acima de 10.000 titulares por mês",(IF(I45="SIM",2,0)+IF(K45="SIM",2,0)+IF(AF45="SIM",2,0)+IF(OR(AN45="Dados pessoais",AN45="Dados sensíveis",AN45="Dados pessoais e sensíveis"),2,0)+IF(O45="De 1.001 a 10.000 titulares por mês",1,0)+IF(AA45="SIM",1,0)+IF(R45="SIM",1,0)+IF(AL45="SIM",1,0)+IF(AJ45="NÃO",1,0))&gt;=3),"DPIA indicado ou em avaliação em razão de: " &amp; TRIM(IF(I45="SIM","tratamento de dados sensíveis; ","") &amp; IF(K45="SIM","utilização de dados de menores; ","") &amp; IF(AF45="SIM","transferência internacional de dados; ","") &amp; IF(AL45="SIM","utilização de inteligência artificial; ","") &amp; IF(OR(AN45="Dados pessoais",AN45="Dados sensíveis",AN45="Dados pessoais e sensíveis"),"dados inseridos em IA; ","") &amp; IF(O45="Acima de 10.000 titulares por mês","volume crítico de titulares; ","") &amp; IF(O45="De 1.001 a 10.000 titulares por mês","volume moderado de titulares; ","") &amp; IF(AA45="SIM","compartilhamento com terceiros; ","") &amp; IF(R45="SIM","compartilhamento com órgãos governamentais; ","") &amp; IF(AJ45="NÃO","ausência de controle de acesso por perfil; ","")),"DPIA não indicado: Processo de baixa criticidade."))</f>
      </c>
    </row>
    <row x14ac:dyDescent="0.25" r="46" customHeight="1" ht="223.5">
      <c r="A46" s="112">
        <v>43</v>
      </c>
      <c r="B46" s="52"/>
      <c r="C46" s="53"/>
      <c r="D46" s="52"/>
      <c r="E46" s="24"/>
      <c r="F46" s="52"/>
      <c r="G46" s="32"/>
      <c r="H46" s="3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3"/>
      <c r="X46" s="52"/>
      <c r="Y46" s="52"/>
      <c r="Z46" s="53"/>
      <c r="AA46" s="52"/>
      <c r="AB46" s="52"/>
      <c r="AC46" s="52"/>
      <c r="AD46" s="52"/>
      <c r="AE46" s="52"/>
      <c r="AF46" s="52"/>
      <c r="AG46" s="53"/>
      <c r="AH46" s="53"/>
      <c r="AI46" s="53"/>
      <c r="AJ46" s="52"/>
      <c r="AK46" s="53"/>
      <c r="AL46" s="53"/>
      <c r="AM46" s="53"/>
      <c r="AN46" s="53"/>
      <c r="AO46" s="53"/>
      <c r="AP46" s="53"/>
      <c r="AQ46" s="113">
        <f>IF(AND(I46="",K46="",AF46="",AL46="",AN46="",O46=""),"",IF(OR(I46="SIM",K46="SIM",AF46="SIM",AL46="SIM",AN46="Dados pessoais",AN46="Dados sensíveis",AN46="Dados pessoais e sensíveis",O46="Acima de 10.000 titulares por mês"),"SIM - Alta criticidade",IF((IF(I46="SIM",2,0)+IF(K46="SIM",2,0)+IF(AF46="SIM",2,0)+IF(OR(AN46="Dados pessoais",AN46="Dados sensíveis",AN46="Dados pessoais e sensíveis"),2,0)+IF(O46="De 1.001 a 10.000 titulares por mês",1,0)+IF(AA46="SIM",1,0)+IF(R46="SIM",1,0)+IF(AL46="SIM",1,0)+IF(AJ46="NÃO",1,0))&gt;=5,"SIM - Alta criticidade",IF((IF(I46="SIM",2,0)+IF(K46="SIM",2,0)+IF(AF46="SIM",2,0)+IF(OR(AN46="Dados pessoais",AN46="Dados sensíveis",AN46="Dados pessoais e sensíveis"),2,0)+IF(O46="De 1.001 a 10.000 titulares por mês",1,0)+IF(AA46="SIM",1,0)+IF(R46="SIM",1,0)+IF(AL46="SIM",1,0)+IF(AJ46="NÃO",1,0))&gt;=3,"Avaliação necessária","NÃO"))))</f>
      </c>
      <c r="AR46" s="68"/>
      <c r="AS46" s="113">
        <f>IF(AND(I46="",K46="",AF46="",AL46="",AN46="",O46=""),"",IF(OR(I46="SIM",K46="SIM",AF46="SIM",AL46="SIM",OR(AN46="Dados pessoais",AN46="Dados sensíveis",AN46="Dados pessoais e sensíveis"),O46="Acima de 10.000 titulares por mês",(IF(I46="SIM",2,0)+IF(K46="SIM",2,0)+IF(AF46="SIM",2,0)+IF(OR(AN46="Dados pessoais",AN46="Dados sensíveis",AN46="Dados pessoais e sensíveis"),2,0)+IF(O46="De 1.001 a 10.000 titulares por mês",1,0)+IF(AA46="SIM",1,0)+IF(R46="SIM",1,0)+IF(AL46="SIM",1,0)+IF(AJ46="NÃO",1,0))&gt;=3),"DPIA indicado ou em avaliação em razão de: " &amp; TRIM(IF(I46="SIM","tratamento de dados sensíveis; ","") &amp; IF(K46="SIM","utilização de dados de menores; ","") &amp; IF(AF46="SIM","transferência internacional de dados; ","") &amp; IF(AL46="SIM","utilização de inteligência artificial; ","") &amp; IF(OR(AN46="Dados pessoais",AN46="Dados sensíveis",AN46="Dados pessoais e sensíveis"),"dados inseridos em IA; ","") &amp; IF(O46="Acima de 10.000 titulares por mês","volume crítico de titulares; ","") &amp; IF(O46="De 1.001 a 10.000 titulares por mês","volume moderado de titulares; ","") &amp; IF(AA46="SIM","compartilhamento com terceiros; ","") &amp; IF(R46="SIM","compartilhamento com órgãos governamentais; ","") &amp; IF(AJ46="NÃO","ausência de controle de acesso por perfil; ","")),"DPIA não indicado: Processo de baixa criticidade."))</f>
      </c>
    </row>
    <row x14ac:dyDescent="0.25" r="47" customHeight="1" ht="15.75">
      <c r="A47" s="112">
        <v>44</v>
      </c>
      <c r="B47" s="52"/>
      <c r="C47" s="53"/>
      <c r="D47" s="52"/>
      <c r="E47" s="24"/>
      <c r="F47" s="52"/>
      <c r="G47" s="24"/>
      <c r="H47" s="24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3"/>
      <c r="X47" s="52"/>
      <c r="Y47" s="52"/>
      <c r="Z47" s="53"/>
      <c r="AA47" s="52"/>
      <c r="AB47" s="52"/>
      <c r="AC47" s="52"/>
      <c r="AD47" s="53"/>
      <c r="AE47" s="52"/>
      <c r="AF47" s="52"/>
      <c r="AG47" s="53"/>
      <c r="AH47" s="53"/>
      <c r="AI47" s="53"/>
      <c r="AJ47" s="52"/>
      <c r="AK47" s="53"/>
      <c r="AL47" s="53"/>
      <c r="AM47" s="53"/>
      <c r="AN47" s="53"/>
      <c r="AO47" s="53"/>
      <c r="AP47" s="52"/>
      <c r="AQ47" s="113">
        <f>IF(AND(I47="",K47="",AF47="",AL47="",AN47="",O47=""),"",IF(OR(I47="SIM",K47="SIM",AF47="SIM",AL47="SIM",AN47="Dados pessoais",AN47="Dados sensíveis",AN47="Dados pessoais e sensíveis",O47="Acima de 10.000 titulares por mês"),"SIM - Alta criticidade",IF((IF(I47="SIM",2,0)+IF(K47="SIM",2,0)+IF(AF47="SIM",2,0)+IF(OR(AN47="Dados pessoais",AN47="Dados sensíveis",AN47="Dados pessoais e sensíveis"),2,0)+IF(O47="De 1.001 a 10.000 titulares por mês",1,0)+IF(AA47="SIM",1,0)+IF(R47="SIM",1,0)+IF(AL47="SIM",1,0)+IF(AJ47="NÃO",1,0))&gt;=5,"SIM - Alta criticidade",IF((IF(I47="SIM",2,0)+IF(K47="SIM",2,0)+IF(AF47="SIM",2,0)+IF(OR(AN47="Dados pessoais",AN47="Dados sensíveis",AN47="Dados pessoais e sensíveis"),2,0)+IF(O47="De 1.001 a 10.000 titulares por mês",1,0)+IF(AA47="SIM",1,0)+IF(R47="SIM",1,0)+IF(AL47="SIM",1,0)+IF(AJ47="NÃO",1,0))&gt;=3,"Avaliação necessária","NÃO"))))</f>
      </c>
      <c r="AR47" s="68"/>
      <c r="AS47" s="113">
        <f>IF(AND(I47="",K47="",AF47="",AL47="",AN47="",O47=""),"",IF(OR(I47="SIM",K47="SIM",AF47="SIM",AL47="SIM",OR(AN47="Dados pessoais",AN47="Dados sensíveis",AN47="Dados pessoais e sensíveis"),O47="Acima de 10.000 titulares por mês",(IF(I47="SIM",2,0)+IF(K47="SIM",2,0)+IF(AF47="SIM",2,0)+IF(OR(AN47="Dados pessoais",AN47="Dados sensíveis",AN47="Dados pessoais e sensíveis"),2,0)+IF(O47="De 1.001 a 10.000 titulares por mês",1,0)+IF(AA47="SIM",1,0)+IF(R47="SIM",1,0)+IF(AL47="SIM",1,0)+IF(AJ47="NÃO",1,0))&gt;=3),"DPIA indicado ou em avaliação em razão de: " &amp; TRIM(IF(I47="SIM","tratamento de dados sensíveis; ","") &amp; IF(K47="SIM","utilização de dados de menores; ","") &amp; IF(AF47="SIM","transferência internacional de dados; ","") &amp; IF(AL47="SIM","utilização de inteligência artificial; ","") &amp; IF(OR(AN47="Dados pessoais",AN47="Dados sensíveis",AN47="Dados pessoais e sensíveis"),"dados inseridos em IA; ","") &amp; IF(O47="Acima de 10.000 titulares por mês","volume crítico de titulares; ","") &amp; IF(O47="De 1.001 a 10.000 titulares por mês","volume moderado de titulares; ","") &amp; IF(AA47="SIM","compartilhamento com terceiros; ","") &amp; IF(R47="SIM","compartilhamento com órgãos governamentais; ","") &amp; IF(AJ47="NÃO","ausência de controle de acesso por perfil; ","")),"DPIA não indicado: Processo de baixa criticidade."))</f>
      </c>
    </row>
    <row x14ac:dyDescent="0.25" r="48" customHeight="1" ht="15.75">
      <c r="A48" s="112">
        <v>45</v>
      </c>
      <c r="B48" s="52"/>
      <c r="C48" s="53"/>
      <c r="D48" s="52"/>
      <c r="E48" s="24"/>
      <c r="F48" s="52"/>
      <c r="G48" s="24"/>
      <c r="H48" s="24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3"/>
      <c r="X48" s="52"/>
      <c r="Y48" s="52"/>
      <c r="Z48" s="53"/>
      <c r="AA48" s="52"/>
      <c r="AB48" s="52"/>
      <c r="AC48" s="52"/>
      <c r="AD48" s="52"/>
      <c r="AE48" s="52"/>
      <c r="AF48" s="52"/>
      <c r="AG48" s="53"/>
      <c r="AH48" s="53"/>
      <c r="AI48" s="53"/>
      <c r="AJ48" s="52"/>
      <c r="AK48" s="53"/>
      <c r="AL48" s="53"/>
      <c r="AM48" s="53"/>
      <c r="AN48" s="53"/>
      <c r="AO48" s="53"/>
      <c r="AP48" s="53"/>
      <c r="AQ48" s="113">
        <f>IF(AND(I48="",K48="",AF48="",AL48="",AN48="",O48=""),"",IF(OR(I48="SIM",K48="SIM",AF48="SIM",AL48="SIM",AN48="Dados pessoais",AN48="Dados sensíveis",AN48="Dados pessoais e sensíveis",O48="Acima de 10.000 titulares por mês"),"SIM - Alta criticidade",IF((IF(I48="SIM",2,0)+IF(K48="SIM",2,0)+IF(AF48="SIM",2,0)+IF(OR(AN48="Dados pessoais",AN48="Dados sensíveis",AN48="Dados pessoais e sensíveis"),2,0)+IF(O48="De 1.001 a 10.000 titulares por mês",1,0)+IF(AA48="SIM",1,0)+IF(R48="SIM",1,0)+IF(AL48="SIM",1,0)+IF(AJ48="NÃO",1,0))&gt;=5,"SIM - Alta criticidade",IF((IF(I48="SIM",2,0)+IF(K48="SIM",2,0)+IF(AF48="SIM",2,0)+IF(OR(AN48="Dados pessoais",AN48="Dados sensíveis",AN48="Dados pessoais e sensíveis"),2,0)+IF(O48="De 1.001 a 10.000 titulares por mês",1,0)+IF(AA48="SIM",1,0)+IF(R48="SIM",1,0)+IF(AL48="SIM",1,0)+IF(AJ48="NÃO",1,0))&gt;=3,"Avaliação necessária","NÃO"))))</f>
      </c>
      <c r="AR48" s="68"/>
      <c r="AS48" s="113">
        <f>IF(AND(I48="",K48="",AF48="",AL48="",AN48="",O48=""),"",IF(OR(I48="SIM",K48="SIM",AF48="SIM",AL48="SIM",OR(AN48="Dados pessoais",AN48="Dados sensíveis",AN48="Dados pessoais e sensíveis"),O48="Acima de 10.000 titulares por mês",(IF(I48="SIM",2,0)+IF(K48="SIM",2,0)+IF(AF48="SIM",2,0)+IF(OR(AN48="Dados pessoais",AN48="Dados sensíveis",AN48="Dados pessoais e sensíveis"),2,0)+IF(O48="De 1.001 a 10.000 titulares por mês",1,0)+IF(AA48="SIM",1,0)+IF(R48="SIM",1,0)+IF(AL48="SIM",1,0)+IF(AJ48="NÃO",1,0))&gt;=3),"DPIA indicado ou em avaliação em razão de: " &amp; TRIM(IF(I48="SIM","tratamento de dados sensíveis; ","") &amp; IF(K48="SIM","utilização de dados de menores; ","") &amp; IF(AF48="SIM","transferência internacional de dados; ","") &amp; IF(AL48="SIM","utilização de inteligência artificial; ","") &amp; IF(OR(AN48="Dados pessoais",AN48="Dados sensíveis",AN48="Dados pessoais e sensíveis"),"dados inseridos em IA; ","") &amp; IF(O48="Acima de 10.000 titulares por mês","volume crítico de titulares; ","") &amp; IF(O48="De 1.001 a 10.000 titulares por mês","volume moderado de titulares; ","") &amp; IF(AA48="SIM","compartilhamento com terceiros; ","") &amp; IF(R48="SIM","compartilhamento com órgãos governamentais; ","") &amp; IF(AJ48="NÃO","ausência de controle de acesso por perfil; ","")),"DPIA não indicado: Processo de baixa criticidade."))</f>
      </c>
    </row>
    <row x14ac:dyDescent="0.25" r="49" customHeight="1" ht="15.75">
      <c r="A49" s="112">
        <v>46</v>
      </c>
      <c r="B49" s="52"/>
      <c r="C49" s="53"/>
      <c r="D49" s="52"/>
      <c r="E49" s="24"/>
      <c r="F49" s="52"/>
      <c r="G49" s="24"/>
      <c r="H49" s="24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3"/>
      <c r="AA49" s="52"/>
      <c r="AB49" s="52"/>
      <c r="AC49" s="52"/>
      <c r="AD49" s="53"/>
      <c r="AE49" s="52"/>
      <c r="AF49" s="52"/>
      <c r="AG49" s="53"/>
      <c r="AH49" s="53"/>
      <c r="AI49" s="53"/>
      <c r="AJ49" s="52"/>
      <c r="AK49" s="53"/>
      <c r="AL49" s="53"/>
      <c r="AM49" s="53"/>
      <c r="AN49" s="53"/>
      <c r="AO49" s="53"/>
      <c r="AP49" s="52"/>
      <c r="AQ49" s="113">
        <f>IF(AND(I49="",K49="",AF49="",AL49="",AN49="",O49=""),"",IF(OR(I49="SIM",K49="SIM",AF49="SIM",AL49="SIM",AN49="Dados pessoais",AN49="Dados sensíveis",AN49="Dados pessoais e sensíveis",O49="Acima de 10.000 titulares por mês"),"SIM - Alta criticidade",IF((IF(I49="SIM",2,0)+IF(K49="SIM",2,0)+IF(AF49="SIM",2,0)+IF(OR(AN49="Dados pessoais",AN49="Dados sensíveis",AN49="Dados pessoais e sensíveis"),2,0)+IF(O49="De 1.001 a 10.000 titulares por mês",1,0)+IF(AA49="SIM",1,0)+IF(R49="SIM",1,0)+IF(AL49="SIM",1,0)+IF(AJ49="NÃO",1,0))&gt;=5,"SIM - Alta criticidade",IF((IF(I49="SIM",2,0)+IF(K49="SIM",2,0)+IF(AF49="SIM",2,0)+IF(OR(AN49="Dados pessoais",AN49="Dados sensíveis",AN49="Dados pessoais e sensíveis"),2,0)+IF(O49="De 1.001 a 10.000 titulares por mês",1,0)+IF(AA49="SIM",1,0)+IF(R49="SIM",1,0)+IF(AL49="SIM",1,0)+IF(AJ49="NÃO",1,0))&gt;=3,"Avaliação necessária","NÃO"))))</f>
      </c>
      <c r="AR49" s="68"/>
      <c r="AS49" s="113">
        <f>IF(AND(I49="",K49="",AF49="",AL49="",AN49="",O49=""),"",IF(OR(I49="SIM",K49="SIM",AF49="SIM",AL49="SIM",OR(AN49="Dados pessoais",AN49="Dados sensíveis",AN49="Dados pessoais e sensíveis"),O49="Acima de 10.000 titulares por mês",(IF(I49="SIM",2,0)+IF(K49="SIM",2,0)+IF(AF49="SIM",2,0)+IF(OR(AN49="Dados pessoais",AN49="Dados sensíveis",AN49="Dados pessoais e sensíveis"),2,0)+IF(O49="De 1.001 a 10.000 titulares por mês",1,0)+IF(AA49="SIM",1,0)+IF(R49="SIM",1,0)+IF(AL49="SIM",1,0)+IF(AJ49="NÃO",1,0))&gt;=3),"DPIA indicado ou em avaliação em razão de: " &amp; TRIM(IF(I49="SIM","tratamento de dados sensíveis; ","") &amp; IF(K49="SIM","utilização de dados de menores; ","") &amp; IF(AF49="SIM","transferência internacional de dados; ","") &amp; IF(AL49="SIM","utilização de inteligência artificial; ","") &amp; IF(OR(AN49="Dados pessoais",AN49="Dados sensíveis",AN49="Dados pessoais e sensíveis"),"dados inseridos em IA; ","") &amp; IF(O49="Acima de 10.000 titulares por mês","volume crítico de titulares; ","") &amp; IF(O49="De 1.001 a 10.000 titulares por mês","volume moderado de titulares; ","") &amp; IF(AA49="SIM","compartilhamento com terceiros; ","") &amp; IF(R49="SIM","compartilhamento com órgãos governamentais; ","") &amp; IF(AJ49="NÃO","ausência de controle de acesso por perfil; ","")),"DPIA não indicado: Processo de baixa criticidade."))</f>
      </c>
    </row>
    <row x14ac:dyDescent="0.25" r="50" customHeight="1" ht="15.75">
      <c r="A50" s="112">
        <v>47</v>
      </c>
      <c r="B50" s="52"/>
      <c r="C50" s="53"/>
      <c r="D50" s="52"/>
      <c r="E50" s="24"/>
      <c r="F50" s="52"/>
      <c r="G50" s="24"/>
      <c r="H50" s="24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3"/>
      <c r="AA50" s="52"/>
      <c r="AB50" s="52"/>
      <c r="AC50" s="52"/>
      <c r="AD50" s="53"/>
      <c r="AE50" s="52"/>
      <c r="AF50" s="52"/>
      <c r="AG50" s="52"/>
      <c r="AH50" s="52"/>
      <c r="AI50" s="52"/>
      <c r="AJ50" s="52"/>
      <c r="AK50" s="53"/>
      <c r="AL50" s="53"/>
      <c r="AM50" s="53"/>
      <c r="AN50" s="53"/>
      <c r="AO50" s="53"/>
      <c r="AP50" s="52"/>
      <c r="AQ50" s="113">
        <f>IF(AND(I50="",K50="",AF50="",AL50="",AN50="",O50=""),"",IF(OR(I50="SIM",K50="SIM",AF50="SIM",AL50="SIM",AN50="Dados pessoais",AN50="Dados sensíveis",AN50="Dados pessoais e sensíveis",O50="Acima de 10.000 titulares por mês"),"SIM - Alta criticidade",IF((IF(I50="SIM",2,0)+IF(K50="SIM",2,0)+IF(AF50="SIM",2,0)+IF(OR(AN50="Dados pessoais",AN50="Dados sensíveis",AN50="Dados pessoais e sensíveis"),2,0)+IF(O50="De 1.001 a 10.000 titulares por mês",1,0)+IF(AA50="SIM",1,0)+IF(R50="SIM",1,0)+IF(AL50="SIM",1,0)+IF(AJ50="NÃO",1,0))&gt;=5,"SIM - Alta criticidade",IF((IF(I50="SIM",2,0)+IF(K50="SIM",2,0)+IF(AF50="SIM",2,0)+IF(OR(AN50="Dados pessoais",AN50="Dados sensíveis",AN50="Dados pessoais e sensíveis"),2,0)+IF(O50="De 1.001 a 10.000 titulares por mês",1,0)+IF(AA50="SIM",1,0)+IF(R50="SIM",1,0)+IF(AL50="SIM",1,0)+IF(AJ50="NÃO",1,0))&gt;=3,"Avaliação necessária","NÃO"))))</f>
      </c>
      <c r="AR50" s="68"/>
      <c r="AS50" s="113">
        <f>IF(AND(I50="",K50="",AF50="",AL50="",AN50="",O50=""),"",IF(OR(I50="SIM",K50="SIM",AF50="SIM",AL50="SIM",OR(AN50="Dados pessoais",AN50="Dados sensíveis",AN50="Dados pessoais e sensíveis"),O50="Acima de 10.000 titulares por mês",(IF(I50="SIM",2,0)+IF(K50="SIM",2,0)+IF(AF50="SIM",2,0)+IF(OR(AN50="Dados pessoais",AN50="Dados sensíveis",AN50="Dados pessoais e sensíveis"),2,0)+IF(O50="De 1.001 a 10.000 titulares por mês",1,0)+IF(AA50="SIM",1,0)+IF(R50="SIM",1,0)+IF(AL50="SIM",1,0)+IF(AJ50="NÃO",1,0))&gt;=3),"DPIA indicado ou em avaliação em razão de: " &amp; TRIM(IF(I50="SIM","tratamento de dados sensíveis; ","") &amp; IF(K50="SIM","utilização de dados de menores; ","") &amp; IF(AF50="SIM","transferência internacional de dados; ","") &amp; IF(AL50="SIM","utilização de inteligência artificial; ","") &amp; IF(OR(AN50="Dados pessoais",AN50="Dados sensíveis",AN50="Dados pessoais e sensíveis"),"dados inseridos em IA; ","") &amp; IF(O50="Acima de 10.000 titulares por mês","volume crítico de titulares; ","") &amp; IF(O50="De 1.001 a 10.000 titulares por mês","volume moderado de titulares; ","") &amp; IF(AA50="SIM","compartilhamento com terceiros; ","") &amp; IF(R50="SIM","compartilhamento com órgãos governamentais; ","") &amp; IF(AJ50="NÃO","ausência de controle de acesso por perfil; ","")),"DPIA não indicado: Processo de baixa criticidade."))</f>
      </c>
    </row>
    <row x14ac:dyDescent="0.25" r="51" customHeight="1" ht="15.75">
      <c r="A51" s="112">
        <v>48</v>
      </c>
      <c r="B51" s="52"/>
      <c r="C51" s="53"/>
      <c r="D51" s="52"/>
      <c r="E51" s="24"/>
      <c r="F51" s="52"/>
      <c r="G51" s="24"/>
      <c r="H51" s="24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3"/>
      <c r="X51" s="52"/>
      <c r="Y51" s="52"/>
      <c r="Z51" s="53"/>
      <c r="AA51" s="52"/>
      <c r="AB51" s="52"/>
      <c r="AC51" s="52"/>
      <c r="AD51" s="53"/>
      <c r="AE51" s="52"/>
      <c r="AF51" s="53"/>
      <c r="AG51" s="53"/>
      <c r="AH51" s="53"/>
      <c r="AI51" s="53"/>
      <c r="AJ51" s="52"/>
      <c r="AK51" s="53"/>
      <c r="AL51" s="53"/>
      <c r="AM51" s="53"/>
      <c r="AN51" s="53"/>
      <c r="AO51" s="53"/>
      <c r="AP51" s="53"/>
      <c r="AQ51" s="113">
        <f>IF(AND(I51="",K51="",AF51="",AL51="",AN51="",O51=""),"",IF(OR(I51="SIM",K51="SIM",AF51="SIM",AL51="SIM",AN51="Dados pessoais",AN51="Dados sensíveis",AN51="Dados pessoais e sensíveis",O51="Acima de 10.000 titulares por mês"),"SIM - Alta criticidade",IF((IF(I51="SIM",2,0)+IF(K51="SIM",2,0)+IF(AF51="SIM",2,0)+IF(OR(AN51="Dados pessoais",AN51="Dados sensíveis",AN51="Dados pessoais e sensíveis"),2,0)+IF(O51="De 1.001 a 10.000 titulares por mês",1,0)+IF(AA51="SIM",1,0)+IF(R51="SIM",1,0)+IF(AL51="SIM",1,0)+IF(AJ51="NÃO",1,0))&gt;=5,"SIM - Alta criticidade",IF((IF(I51="SIM",2,0)+IF(K51="SIM",2,0)+IF(AF51="SIM",2,0)+IF(OR(AN51="Dados pessoais",AN51="Dados sensíveis",AN51="Dados pessoais e sensíveis"),2,0)+IF(O51="De 1.001 a 10.000 titulares por mês",1,0)+IF(AA51="SIM",1,0)+IF(R51="SIM",1,0)+IF(AL51="SIM",1,0)+IF(AJ51="NÃO",1,0))&gt;=3,"Avaliação necessária","NÃO"))))</f>
      </c>
      <c r="AR51" s="68"/>
      <c r="AS51" s="113">
        <f>IF(AND(I51="",K51="",AF51="",AL51="",AN51="",O51=""),"",IF(OR(I51="SIM",K51="SIM",AF51="SIM",AL51="SIM",OR(AN51="Dados pessoais",AN51="Dados sensíveis",AN51="Dados pessoais e sensíveis"),O51="Acima de 10.000 titulares por mês",(IF(I51="SIM",2,0)+IF(K51="SIM",2,0)+IF(AF51="SIM",2,0)+IF(OR(AN51="Dados pessoais",AN51="Dados sensíveis",AN51="Dados pessoais e sensíveis"),2,0)+IF(O51="De 1.001 a 10.000 titulares por mês",1,0)+IF(AA51="SIM",1,0)+IF(R51="SIM",1,0)+IF(AL51="SIM",1,0)+IF(AJ51="NÃO",1,0))&gt;=3),"DPIA indicado ou em avaliação em razão de: " &amp; TRIM(IF(I51="SIM","tratamento de dados sensíveis; ","") &amp; IF(K51="SIM","utilização de dados de menores; ","") &amp; IF(AF51="SIM","transferência internacional de dados; ","") &amp; IF(AL51="SIM","utilização de inteligência artificial; ","") &amp; IF(OR(AN51="Dados pessoais",AN51="Dados sensíveis",AN51="Dados pessoais e sensíveis"),"dados inseridos em IA; ","") &amp; IF(O51="Acima de 10.000 titulares por mês","volume crítico de titulares; ","") &amp; IF(O51="De 1.001 a 10.000 titulares por mês","volume moderado de titulares; ","") &amp; IF(AA51="SIM","compartilhamento com terceiros; ","") &amp; IF(R51="SIM","compartilhamento com órgãos governamentais; ","") &amp; IF(AJ51="NÃO","ausência de controle de acesso por perfil; ","")),"DPIA não indicado: Processo de baixa criticidade."))</f>
      </c>
    </row>
    <row x14ac:dyDescent="0.25" r="52" customHeight="1" ht="15.75">
      <c r="A52" s="112">
        <v>49</v>
      </c>
      <c r="B52" s="52"/>
      <c r="C52" s="53"/>
      <c r="D52" s="52"/>
      <c r="E52" s="24"/>
      <c r="F52" s="52"/>
      <c r="G52" s="24"/>
      <c r="H52" s="24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3"/>
      <c r="X52" s="52"/>
      <c r="Y52" s="52"/>
      <c r="Z52" s="53"/>
      <c r="AA52" s="52"/>
      <c r="AB52" s="52"/>
      <c r="AC52" s="52"/>
      <c r="AD52" s="53"/>
      <c r="AE52" s="52"/>
      <c r="AF52" s="52"/>
      <c r="AG52" s="53"/>
      <c r="AH52" s="53"/>
      <c r="AI52" s="53"/>
      <c r="AJ52" s="52"/>
      <c r="AK52" s="53"/>
      <c r="AL52" s="53"/>
      <c r="AM52" s="53"/>
      <c r="AN52" s="53"/>
      <c r="AO52" s="53"/>
      <c r="AP52" s="53"/>
      <c r="AQ52" s="113">
        <f>IF(AND(I52="",K52="",AF52="",AL52="",AN52="",O52=""),"",IF(OR(I52="SIM",K52="SIM",AF52="SIM",AL52="SIM",AN52="Dados pessoais",AN52="Dados sensíveis",AN52="Dados pessoais e sensíveis",O52="Acima de 10.000 titulares por mês"),"SIM - Alta criticidade",IF((IF(I52="SIM",2,0)+IF(K52="SIM",2,0)+IF(AF52="SIM",2,0)+IF(OR(AN52="Dados pessoais",AN52="Dados sensíveis",AN52="Dados pessoais e sensíveis"),2,0)+IF(O52="De 1.001 a 10.000 titulares por mês",1,0)+IF(AA52="SIM",1,0)+IF(R52="SIM",1,0)+IF(AL52="SIM",1,0)+IF(AJ52="NÃO",1,0))&gt;=5,"SIM - Alta criticidade",IF((IF(I52="SIM",2,0)+IF(K52="SIM",2,0)+IF(AF52="SIM",2,0)+IF(OR(AN52="Dados pessoais",AN52="Dados sensíveis",AN52="Dados pessoais e sensíveis"),2,0)+IF(O52="De 1.001 a 10.000 titulares por mês",1,0)+IF(AA52="SIM",1,0)+IF(R52="SIM",1,0)+IF(AL52="SIM",1,0)+IF(AJ52="NÃO",1,0))&gt;=3,"Avaliação necessária","NÃO"))))</f>
      </c>
      <c r="AR52" s="68"/>
      <c r="AS52" s="113">
        <f>IF(AND(I52="",K52="",AF52="",AL52="",AN52="",O52=""),"",IF(OR(I52="SIM",K52="SIM",AF52="SIM",AL52="SIM",OR(AN52="Dados pessoais",AN52="Dados sensíveis",AN52="Dados pessoais e sensíveis"),O52="Acima de 10.000 titulares por mês",(IF(I52="SIM",2,0)+IF(K52="SIM",2,0)+IF(AF52="SIM",2,0)+IF(OR(AN52="Dados pessoais",AN52="Dados sensíveis",AN52="Dados pessoais e sensíveis"),2,0)+IF(O52="De 1.001 a 10.000 titulares por mês",1,0)+IF(AA52="SIM",1,0)+IF(R52="SIM",1,0)+IF(AL52="SIM",1,0)+IF(AJ52="NÃO",1,0))&gt;=3),"DPIA indicado ou em avaliação em razão de: " &amp; TRIM(IF(I52="SIM","tratamento de dados sensíveis; ","") &amp; IF(K52="SIM","utilização de dados de menores; ","") &amp; IF(AF52="SIM","transferência internacional de dados; ","") &amp; IF(AL52="SIM","utilização de inteligência artificial; ","") &amp; IF(OR(AN52="Dados pessoais",AN52="Dados sensíveis",AN52="Dados pessoais e sensíveis"),"dados inseridos em IA; ","") &amp; IF(O52="Acima de 10.000 titulares por mês","volume crítico de titulares; ","") &amp; IF(O52="De 1.001 a 10.000 titulares por mês","volume moderado de titulares; ","") &amp; IF(AA52="SIM","compartilhamento com terceiros; ","") &amp; IF(R52="SIM","compartilhamento com órgãos governamentais; ","") &amp; IF(AJ52="NÃO","ausência de controle de acesso por perfil; ","")),"DPIA não indicado: Processo de baixa criticidade."))</f>
      </c>
    </row>
    <row x14ac:dyDescent="0.25" r="53" customHeight="1" ht="15.75">
      <c r="A53" s="112">
        <v>50</v>
      </c>
      <c r="B53" s="52"/>
      <c r="C53" s="53"/>
      <c r="D53" s="52"/>
      <c r="E53" s="24"/>
      <c r="F53" s="52"/>
      <c r="G53" s="24"/>
      <c r="H53" s="24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3"/>
      <c r="X53" s="52"/>
      <c r="Y53" s="52"/>
      <c r="Z53" s="53"/>
      <c r="AA53" s="52"/>
      <c r="AB53" s="52"/>
      <c r="AC53" s="52"/>
      <c r="AD53" s="53"/>
      <c r="AE53" s="52"/>
      <c r="AF53" s="53"/>
      <c r="AG53" s="53"/>
      <c r="AH53" s="53"/>
      <c r="AI53" s="53"/>
      <c r="AJ53" s="52"/>
      <c r="AK53" s="53"/>
      <c r="AL53" s="53"/>
      <c r="AM53" s="53"/>
      <c r="AN53" s="53"/>
      <c r="AO53" s="53"/>
      <c r="AP53" s="53"/>
      <c r="AQ53" s="113">
        <f>IF(AND(I53="",K53="",AF53="",AL53="",AN53="",O53=""),"",IF(OR(I53="SIM",K53="SIM",AF53="SIM",AL53="SIM",AN53="Dados pessoais",AN53="Dados sensíveis",AN53="Dados pessoais e sensíveis",O53="Acima de 10.000 titulares por mês"),"SIM - Alta criticidade",IF((IF(I53="SIM",2,0)+IF(K53="SIM",2,0)+IF(AF53="SIM",2,0)+IF(OR(AN53="Dados pessoais",AN53="Dados sensíveis",AN53="Dados pessoais e sensíveis"),2,0)+IF(O53="De 1.001 a 10.000 titulares por mês",1,0)+IF(AA53="SIM",1,0)+IF(R53="SIM",1,0)+IF(AL53="SIM",1,0)+IF(AJ53="NÃO",1,0))&gt;=5,"SIM - Alta criticidade",IF((IF(I53="SIM",2,0)+IF(K53="SIM",2,0)+IF(AF53="SIM",2,0)+IF(OR(AN53="Dados pessoais",AN53="Dados sensíveis",AN53="Dados pessoais e sensíveis"),2,0)+IF(O53="De 1.001 a 10.000 titulares por mês",1,0)+IF(AA53="SIM",1,0)+IF(R53="SIM",1,0)+IF(AL53="SIM",1,0)+IF(AJ53="NÃO",1,0))&gt;=3,"Avaliação necessária","NÃO"))))</f>
      </c>
      <c r="AR53" s="68"/>
      <c r="AS53" s="113">
        <f>IF(AND(I53="",K53="",AF53="",AL53="",AN53="",O53=""),"",IF(OR(I53="SIM",K53="SIM",AF53="SIM",AL53="SIM",OR(AN53="Dados pessoais",AN53="Dados sensíveis",AN53="Dados pessoais e sensíveis"),O53="Acima de 10.000 titulares por mês",(IF(I53="SIM",2,0)+IF(K53="SIM",2,0)+IF(AF53="SIM",2,0)+IF(OR(AN53="Dados pessoais",AN53="Dados sensíveis",AN53="Dados pessoais e sensíveis"),2,0)+IF(O53="De 1.001 a 10.000 titulares por mês",1,0)+IF(AA53="SIM",1,0)+IF(R53="SIM",1,0)+IF(AL53="SIM",1,0)+IF(AJ53="NÃO",1,0))&gt;=3),"DPIA indicado ou em avaliação em razão de: " &amp; TRIM(IF(I53="SIM","tratamento de dados sensíveis; ","") &amp; IF(K53="SIM","utilização de dados de menores; ","") &amp; IF(AF53="SIM","transferência internacional de dados; ","") &amp; IF(AL53="SIM","utilização de inteligência artificial; ","") &amp; IF(OR(AN53="Dados pessoais",AN53="Dados sensíveis",AN53="Dados pessoais e sensíveis"),"dados inseridos em IA; ","") &amp; IF(O53="Acima de 10.000 titulares por mês","volume crítico de titulares; ","") &amp; IF(O53="De 1.001 a 10.000 titulares por mês","volume moderado de titulares; ","") &amp; IF(AA53="SIM","compartilhamento com terceiros; ","") &amp; IF(R53="SIM","compartilhamento com órgãos governamentais; ","") &amp; IF(AJ53="NÃO","ausência de controle de acesso por perfil; ","")),"DPIA não indicado: Processo de baixa criticidade."))</f>
      </c>
    </row>
    <row x14ac:dyDescent="0.25" r="54" customHeight="1" ht="15.75">
      <c r="A54" s="112">
        <v>51</v>
      </c>
      <c r="B54" s="52"/>
      <c r="C54" s="53"/>
      <c r="D54" s="52"/>
      <c r="E54" s="24"/>
      <c r="F54" s="52"/>
      <c r="G54" s="24"/>
      <c r="H54" s="24"/>
      <c r="I54" s="52"/>
      <c r="J54" s="52"/>
      <c r="K54" s="52"/>
      <c r="L54" s="24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3"/>
      <c r="X54" s="52"/>
      <c r="Y54" s="52"/>
      <c r="Z54" s="53"/>
      <c r="AA54" s="52"/>
      <c r="AB54" s="52"/>
      <c r="AC54" s="52"/>
      <c r="AD54" s="53"/>
      <c r="AE54" s="52"/>
      <c r="AF54" s="52"/>
      <c r="AG54" s="53"/>
      <c r="AH54" s="53"/>
      <c r="AI54" s="52"/>
      <c r="AJ54" s="52"/>
      <c r="AK54" s="53"/>
      <c r="AL54" s="53"/>
      <c r="AM54" s="53"/>
      <c r="AN54" s="53"/>
      <c r="AO54" s="53"/>
      <c r="AP54" s="53"/>
      <c r="AQ54" s="113">
        <f>IF(AND(I54="",K54="",AF54="",AL54="",AN54="",O54=""),"",IF(OR(I54="SIM",K54="SIM",AF54="SIM",AL54="SIM",AN54="Dados pessoais",AN54="Dados sensíveis",AN54="Dados pessoais e sensíveis",O54="Acima de 10.000 titulares por mês"),"SIM - Alta criticidade",IF((IF(I54="SIM",2,0)+IF(K54="SIM",2,0)+IF(AF54="SIM",2,0)+IF(OR(AN54="Dados pessoais",AN54="Dados sensíveis",AN54="Dados pessoais e sensíveis"),2,0)+IF(O54="De 1.001 a 10.000 titulares por mês",1,0)+IF(AA54="SIM",1,0)+IF(R54="SIM",1,0)+IF(AL54="SIM",1,0)+IF(AJ54="NÃO",1,0))&gt;=5,"SIM - Alta criticidade",IF((IF(I54="SIM",2,0)+IF(K54="SIM",2,0)+IF(AF54="SIM",2,0)+IF(OR(AN54="Dados pessoais",AN54="Dados sensíveis",AN54="Dados pessoais e sensíveis"),2,0)+IF(O54="De 1.001 a 10.000 titulares por mês",1,0)+IF(AA54="SIM",1,0)+IF(R54="SIM",1,0)+IF(AL54="SIM",1,0)+IF(AJ54="NÃO",1,0))&gt;=3,"Avaliação necessária","NÃO"))))</f>
      </c>
      <c r="AR54" s="68"/>
      <c r="AS54" s="113">
        <f>IF(AND(I54="",K54="",AF54="",AL54="",AN54="",O54=""),"",IF(OR(I54="SIM",K54="SIM",AF54="SIM",AL54="SIM",OR(AN54="Dados pessoais",AN54="Dados sensíveis",AN54="Dados pessoais e sensíveis"),O54="Acima de 10.000 titulares por mês",(IF(I54="SIM",2,0)+IF(K54="SIM",2,0)+IF(AF54="SIM",2,0)+IF(OR(AN54="Dados pessoais",AN54="Dados sensíveis",AN54="Dados pessoais e sensíveis"),2,0)+IF(O54="De 1.001 a 10.000 titulares por mês",1,0)+IF(AA54="SIM",1,0)+IF(R54="SIM",1,0)+IF(AL54="SIM",1,0)+IF(AJ54="NÃO",1,0))&gt;=3),"DPIA indicado ou em avaliação em razão de: " &amp; TRIM(IF(I54="SIM","tratamento de dados sensíveis; ","") &amp; IF(K54="SIM","utilização de dados de menores; ","") &amp; IF(AF54="SIM","transferência internacional de dados; ","") &amp; IF(AL54="SIM","utilização de inteligência artificial; ","") &amp; IF(OR(AN54="Dados pessoais",AN54="Dados sensíveis",AN54="Dados pessoais e sensíveis"),"dados inseridos em IA; ","") &amp; IF(O54="Acima de 10.000 titulares por mês","volume crítico de titulares; ","") &amp; IF(O54="De 1.001 a 10.000 titulares por mês","volume moderado de titulares; ","") &amp; IF(AA54="SIM","compartilhamento com terceiros; ","") &amp; IF(R54="SIM","compartilhamento com órgãos governamentais; ","") &amp; IF(AJ54="NÃO","ausência de controle de acesso por perfil; ","")),"DPIA não indicado: Processo de baixa criticidade."))</f>
      </c>
    </row>
    <row x14ac:dyDescent="0.25" r="55" customHeight="1" ht="15.75">
      <c r="A55" s="112">
        <v>52</v>
      </c>
      <c r="B55" s="52"/>
      <c r="C55" s="53"/>
      <c r="D55" s="52"/>
      <c r="E55" s="24"/>
      <c r="F55" s="52"/>
      <c r="G55" s="24"/>
      <c r="H55" s="24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3"/>
      <c r="X55" s="52"/>
      <c r="Y55" s="52"/>
      <c r="Z55" s="53"/>
      <c r="AA55" s="52"/>
      <c r="AB55" s="52"/>
      <c r="AC55" s="52"/>
      <c r="AD55" s="52"/>
      <c r="AE55" s="52"/>
      <c r="AF55" s="53"/>
      <c r="AG55" s="53"/>
      <c r="AH55" s="53"/>
      <c r="AI55" s="53"/>
      <c r="AJ55" s="52"/>
      <c r="AK55" s="53"/>
      <c r="AL55" s="53"/>
      <c r="AM55" s="53"/>
      <c r="AN55" s="53"/>
      <c r="AO55" s="53"/>
      <c r="AP55" s="53"/>
      <c r="AQ55" s="113">
        <f>IF(AND(I55="",K55="",AF55="",AL55="",AN55="",O55=""),"",IF(OR(I55="SIM",K55="SIM",AF55="SIM",AL55="SIM",AN55="Dados pessoais",AN55="Dados sensíveis",AN55="Dados pessoais e sensíveis",O55="Acima de 10.000 titulares por mês"),"SIM - Alta criticidade",IF((IF(I55="SIM",2,0)+IF(K55="SIM",2,0)+IF(AF55="SIM",2,0)+IF(OR(AN55="Dados pessoais",AN55="Dados sensíveis",AN55="Dados pessoais e sensíveis"),2,0)+IF(O55="De 1.001 a 10.000 titulares por mês",1,0)+IF(AA55="SIM",1,0)+IF(R55="SIM",1,0)+IF(AL55="SIM",1,0)+IF(AJ55="NÃO",1,0))&gt;=5,"SIM - Alta criticidade",IF((IF(I55="SIM",2,0)+IF(K55="SIM",2,0)+IF(AF55="SIM",2,0)+IF(OR(AN55="Dados pessoais",AN55="Dados sensíveis",AN55="Dados pessoais e sensíveis"),2,0)+IF(O55="De 1.001 a 10.000 titulares por mês",1,0)+IF(AA55="SIM",1,0)+IF(R55="SIM",1,0)+IF(AL55="SIM",1,0)+IF(AJ55="NÃO",1,0))&gt;=3,"Avaliação necessária","NÃO"))))</f>
      </c>
      <c r="AR55" s="68"/>
      <c r="AS55" s="113">
        <f>IF(AND(I55="",K55="",AF55="",AL55="",AN55="",O55=""),"",IF(OR(I55="SIM",K55="SIM",AF55="SIM",AL55="SIM",OR(AN55="Dados pessoais",AN55="Dados sensíveis",AN55="Dados pessoais e sensíveis"),O55="Acima de 10.000 titulares por mês",(IF(I55="SIM",2,0)+IF(K55="SIM",2,0)+IF(AF55="SIM",2,0)+IF(OR(AN55="Dados pessoais",AN55="Dados sensíveis",AN55="Dados pessoais e sensíveis"),2,0)+IF(O55="De 1.001 a 10.000 titulares por mês",1,0)+IF(AA55="SIM",1,0)+IF(R55="SIM",1,0)+IF(AL55="SIM",1,0)+IF(AJ55="NÃO",1,0))&gt;=3),"DPIA indicado ou em avaliação em razão de: " &amp; TRIM(IF(I55="SIM","tratamento de dados sensíveis; ","") &amp; IF(K55="SIM","utilização de dados de menores; ","") &amp; IF(AF55="SIM","transferência internacional de dados; ","") &amp; IF(AL55="SIM","utilização de inteligência artificial; ","") &amp; IF(OR(AN55="Dados pessoais",AN55="Dados sensíveis",AN55="Dados pessoais e sensíveis"),"dados inseridos em IA; ","") &amp; IF(O55="Acima de 10.000 titulares por mês","volume crítico de titulares; ","") &amp; IF(O55="De 1.001 a 10.000 titulares por mês","volume moderado de titulares; ","") &amp; IF(AA55="SIM","compartilhamento com terceiros; ","") &amp; IF(R55="SIM","compartilhamento com órgãos governamentais; ","") &amp; IF(AJ55="NÃO","ausência de controle de acesso por perfil; ","")),"DPIA não indicado: Processo de baixa criticidade."))</f>
      </c>
    </row>
    <row x14ac:dyDescent="0.25" r="56" customHeight="1" ht="123">
      <c r="A56" s="112">
        <v>53</v>
      </c>
      <c r="B56" s="52"/>
      <c r="C56" s="53"/>
      <c r="D56" s="52"/>
      <c r="E56" s="24"/>
      <c r="F56" s="52"/>
      <c r="G56" s="24"/>
      <c r="H56" s="24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3"/>
      <c r="X56" s="52"/>
      <c r="Y56" s="52"/>
      <c r="Z56" s="53"/>
      <c r="AA56" s="52"/>
      <c r="AB56" s="52"/>
      <c r="AC56" s="52"/>
      <c r="AD56" s="52"/>
      <c r="AE56" s="52"/>
      <c r="AF56" s="53"/>
      <c r="AG56" s="53"/>
      <c r="AH56" s="53"/>
      <c r="AI56" s="53"/>
      <c r="AJ56" s="52"/>
      <c r="AK56" s="53"/>
      <c r="AL56" s="53"/>
      <c r="AM56" s="53"/>
      <c r="AN56" s="53"/>
      <c r="AO56" s="53"/>
      <c r="AP56" s="53"/>
      <c r="AQ56" s="113">
        <f>IF(AND(I56="",K56="",AF56="",AL56="",AN56="",O56=""),"",IF(OR(I56="SIM",K56="SIM",AF56="SIM",AL56="SIM",AN56="Dados pessoais",AN56="Dados sensíveis",AN56="Dados pessoais e sensíveis",O56="Acima de 10.000 titulares por mês"),"SIM - Alta criticidade",IF((IF(I56="SIM",2,0)+IF(K56="SIM",2,0)+IF(AF56="SIM",2,0)+IF(OR(AN56="Dados pessoais",AN56="Dados sensíveis",AN56="Dados pessoais e sensíveis"),2,0)+IF(O56="De 1.001 a 10.000 titulares por mês",1,0)+IF(AA56="SIM",1,0)+IF(R56="SIM",1,0)+IF(AL56="SIM",1,0)+IF(AJ56="NÃO",1,0))&gt;=5,"SIM - Alta criticidade",IF((IF(I56="SIM",2,0)+IF(K56="SIM",2,0)+IF(AF56="SIM",2,0)+IF(OR(AN56="Dados pessoais",AN56="Dados sensíveis",AN56="Dados pessoais e sensíveis"),2,0)+IF(O56="De 1.001 a 10.000 titulares por mês",1,0)+IF(AA56="SIM",1,0)+IF(R56="SIM",1,0)+IF(AL56="SIM",1,0)+IF(AJ56="NÃO",1,0))&gt;=3,"Avaliação necessária","NÃO"))))</f>
      </c>
      <c r="AR56" s="68"/>
      <c r="AS56" s="113">
        <f>IF(AND(I56="",K56="",AF56="",AL56="",AN56="",O56=""),"",IF(OR(I56="SIM",K56="SIM",AF56="SIM",AL56="SIM",OR(AN56="Dados pessoais",AN56="Dados sensíveis",AN56="Dados pessoais e sensíveis"),O56="Acima de 10.000 titulares por mês",(IF(I56="SIM",2,0)+IF(K56="SIM",2,0)+IF(AF56="SIM",2,0)+IF(OR(AN56="Dados pessoais",AN56="Dados sensíveis",AN56="Dados pessoais e sensíveis"),2,0)+IF(O56="De 1.001 a 10.000 titulares por mês",1,0)+IF(AA56="SIM",1,0)+IF(R56="SIM",1,0)+IF(AL56="SIM",1,0)+IF(AJ56="NÃO",1,0))&gt;=3),"DPIA indicado ou em avaliação em razão de: " &amp; TRIM(IF(I56="SIM","tratamento de dados sensíveis; ","") &amp; IF(K56="SIM","utilização de dados de menores; ","") &amp; IF(AF56="SIM","transferência internacional de dados; ","") &amp; IF(AL56="SIM","utilização de inteligência artificial; ","") &amp; IF(OR(AN56="Dados pessoais",AN56="Dados sensíveis",AN56="Dados pessoais e sensíveis"),"dados inseridos em IA; ","") &amp; IF(O56="Acima de 10.000 titulares por mês","volume crítico de titulares; ","") &amp; IF(O56="De 1.001 a 10.000 titulares por mês","volume moderado de titulares; ","") &amp; IF(AA56="SIM","compartilhamento com terceiros; ","") &amp; IF(R56="SIM","compartilhamento com órgãos governamentais; ","") &amp; IF(AJ56="NÃO","ausência de controle de acesso por perfil; ","")),"DPIA não indicado: Processo de baixa criticidade."))</f>
      </c>
    </row>
    <row x14ac:dyDescent="0.25" r="57" customHeight="1" ht="15.75">
      <c r="A57" s="112">
        <v>54</v>
      </c>
      <c r="B57" s="52"/>
      <c r="C57" s="53"/>
      <c r="D57" s="53"/>
      <c r="E57" s="24"/>
      <c r="F57" s="52"/>
      <c r="G57" s="24"/>
      <c r="H57" s="24"/>
      <c r="I57" s="52"/>
      <c r="J57" s="52"/>
      <c r="K57" s="52"/>
      <c r="L57" s="56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3"/>
      <c r="X57" s="52"/>
      <c r="Y57" s="52"/>
      <c r="Z57" s="53"/>
      <c r="AA57" s="52"/>
      <c r="AB57" s="52"/>
      <c r="AC57" s="52"/>
      <c r="AD57" s="53"/>
      <c r="AE57" s="52"/>
      <c r="AF57" s="52"/>
      <c r="AG57" s="53"/>
      <c r="AH57" s="53"/>
      <c r="AI57" s="53"/>
      <c r="AJ57" s="52"/>
      <c r="AK57" s="53"/>
      <c r="AL57" s="53"/>
      <c r="AM57" s="53"/>
      <c r="AN57" s="53"/>
      <c r="AO57" s="53"/>
      <c r="AP57" s="53"/>
      <c r="AQ57" s="113">
        <f>IF(AND(I57="",K57="",AF57="",AL57="",AN57="",O57=""),"",IF(OR(I57="SIM",K57="SIM",AF57="SIM",AL57="SIM",AN57="Dados pessoais",AN57="Dados sensíveis",AN57="Dados pessoais e sensíveis",O57="Acima de 10.000 titulares por mês"),"SIM - Alta criticidade",IF((IF(I57="SIM",2,0)+IF(K57="SIM",2,0)+IF(AF57="SIM",2,0)+IF(OR(AN57="Dados pessoais",AN57="Dados sensíveis",AN57="Dados pessoais e sensíveis"),2,0)+IF(O57="De 1.001 a 10.000 titulares por mês",1,0)+IF(AA57="SIM",1,0)+IF(R57="SIM",1,0)+IF(AL57="SIM",1,0)+IF(AJ57="NÃO",1,0))&gt;=5,"SIM - Alta criticidade",IF((IF(I57="SIM",2,0)+IF(K57="SIM",2,0)+IF(AF57="SIM",2,0)+IF(OR(AN57="Dados pessoais",AN57="Dados sensíveis",AN57="Dados pessoais e sensíveis"),2,0)+IF(O57="De 1.001 a 10.000 titulares por mês",1,0)+IF(AA57="SIM",1,0)+IF(R57="SIM",1,0)+IF(AL57="SIM",1,0)+IF(AJ57="NÃO",1,0))&gt;=3,"Avaliação necessária","NÃO"))))</f>
      </c>
      <c r="AR57" s="68"/>
      <c r="AS57" s="113">
        <f>IF(AND(I57="",K57="",AF57="",AL57="",AN57="",O57=""),"",IF(OR(I57="SIM",K57="SIM",AF57="SIM",AL57="SIM",OR(AN57="Dados pessoais",AN57="Dados sensíveis",AN57="Dados pessoais e sensíveis"),O57="Acima de 10.000 titulares por mês",(IF(I57="SIM",2,0)+IF(K57="SIM",2,0)+IF(AF57="SIM",2,0)+IF(OR(AN57="Dados pessoais",AN57="Dados sensíveis",AN57="Dados pessoais e sensíveis"),2,0)+IF(O57="De 1.001 a 10.000 titulares por mês",1,0)+IF(AA57="SIM",1,0)+IF(R57="SIM",1,0)+IF(AL57="SIM",1,0)+IF(AJ57="NÃO",1,0))&gt;=3),"DPIA indicado ou em avaliação em razão de: " &amp; TRIM(IF(I57="SIM","tratamento de dados sensíveis; ","") &amp; IF(K57="SIM","utilização de dados de menores; ","") &amp; IF(AF57="SIM","transferência internacional de dados; ","") &amp; IF(AL57="SIM","utilização de inteligência artificial; ","") &amp; IF(OR(AN57="Dados pessoais",AN57="Dados sensíveis",AN57="Dados pessoais e sensíveis"),"dados inseridos em IA; ","") &amp; IF(O57="Acima de 10.000 titulares por mês","volume crítico de titulares; ","") &amp; IF(O57="De 1.001 a 10.000 titulares por mês","volume moderado de titulares; ","") &amp; IF(AA57="SIM","compartilhamento com terceiros; ","") &amp; IF(R57="SIM","compartilhamento com órgãos governamentais; ","") &amp; IF(AJ57="NÃO","ausência de controle de acesso por perfil; ","")),"DPIA não indicado: Processo de baixa criticidade."))</f>
      </c>
    </row>
    <row x14ac:dyDescent="0.25" r="58" customHeight="1" ht="15.75">
      <c r="A58" s="112">
        <v>55</v>
      </c>
      <c r="B58" s="52"/>
      <c r="C58" s="53"/>
      <c r="D58" s="53"/>
      <c r="E58" s="32"/>
      <c r="F58" s="52"/>
      <c r="G58" s="24"/>
      <c r="H58" s="24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3"/>
      <c r="AA58" s="52"/>
      <c r="AB58" s="52"/>
      <c r="AC58" s="52"/>
      <c r="AD58" s="53"/>
      <c r="AE58" s="52"/>
      <c r="AF58" s="52"/>
      <c r="AG58" s="53"/>
      <c r="AH58" s="53"/>
      <c r="AI58" s="53"/>
      <c r="AJ58" s="52"/>
      <c r="AK58" s="53"/>
      <c r="AL58" s="53"/>
      <c r="AM58" s="53"/>
      <c r="AN58" s="53"/>
      <c r="AO58" s="53"/>
      <c r="AP58" s="53"/>
      <c r="AQ58" s="113">
        <f>IF(AND(I58="",K58="",AF58="",AL58="",AN58="",O58=""),"",IF(OR(I58="SIM",K58="SIM",AF58="SIM",AL58="SIM",AN58="Dados pessoais",AN58="Dados sensíveis",AN58="Dados pessoais e sensíveis",O58="Acima de 10.000 titulares por mês"),"SIM - Alta criticidade",IF((IF(I58="SIM",2,0)+IF(K58="SIM",2,0)+IF(AF58="SIM",2,0)+IF(OR(AN58="Dados pessoais",AN58="Dados sensíveis",AN58="Dados pessoais e sensíveis"),2,0)+IF(O58="De 1.001 a 10.000 titulares por mês",1,0)+IF(AA58="SIM",1,0)+IF(R58="SIM",1,0)+IF(AL58="SIM",1,0)+IF(AJ58="NÃO",1,0))&gt;=5,"SIM - Alta criticidade",IF((IF(I58="SIM",2,0)+IF(K58="SIM",2,0)+IF(AF58="SIM",2,0)+IF(OR(AN58="Dados pessoais",AN58="Dados sensíveis",AN58="Dados pessoais e sensíveis"),2,0)+IF(O58="De 1.001 a 10.000 titulares por mês",1,0)+IF(AA58="SIM",1,0)+IF(R58="SIM",1,0)+IF(AL58="SIM",1,0)+IF(AJ58="NÃO",1,0))&gt;=3,"Avaliação necessária","NÃO"))))</f>
      </c>
      <c r="AR58" s="68"/>
      <c r="AS58" s="113">
        <f>IF(AND(I58="",K58="",AF58="",AL58="",AN58="",O58=""),"",IF(OR(I58="SIM",K58="SIM",AF58="SIM",AL58="SIM",OR(AN58="Dados pessoais",AN58="Dados sensíveis",AN58="Dados pessoais e sensíveis"),O58="Acima de 10.000 titulares por mês",(IF(I58="SIM",2,0)+IF(K58="SIM",2,0)+IF(AF58="SIM",2,0)+IF(OR(AN58="Dados pessoais",AN58="Dados sensíveis",AN58="Dados pessoais e sensíveis"),2,0)+IF(O58="De 1.001 a 10.000 titulares por mês",1,0)+IF(AA58="SIM",1,0)+IF(R58="SIM",1,0)+IF(AL58="SIM",1,0)+IF(AJ58="NÃO",1,0))&gt;=3),"DPIA indicado ou em avaliação em razão de: " &amp; TRIM(IF(I58="SIM","tratamento de dados sensíveis; ","") &amp; IF(K58="SIM","utilização de dados de menores; ","") &amp; IF(AF58="SIM","transferência internacional de dados; ","") &amp; IF(AL58="SIM","utilização de inteligência artificial; ","") &amp; IF(OR(AN58="Dados pessoais",AN58="Dados sensíveis",AN58="Dados pessoais e sensíveis"),"dados inseridos em IA; ","") &amp; IF(O58="Acima de 10.000 titulares por mês","volume crítico de titulares; ","") &amp; IF(O58="De 1.001 a 10.000 titulares por mês","volume moderado de titulares; ","") &amp; IF(AA58="SIM","compartilhamento com terceiros; ","") &amp; IF(R58="SIM","compartilhamento com órgãos governamentais; ","") &amp; IF(AJ58="NÃO","ausência de controle de acesso por perfil; ","")),"DPIA não indicado: Processo de baixa criticidade."))</f>
      </c>
    </row>
    <row x14ac:dyDescent="0.25" r="59" customHeight="1" ht="15.75">
      <c r="A59" s="112">
        <v>56</v>
      </c>
      <c r="B59" s="52"/>
      <c r="C59" s="53"/>
      <c r="D59" s="52"/>
      <c r="E59" s="32"/>
      <c r="F59" s="52"/>
      <c r="G59" s="24"/>
      <c r="H59" s="24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3"/>
      <c r="X59" s="52"/>
      <c r="Y59" s="52"/>
      <c r="Z59" s="53"/>
      <c r="AA59" s="52"/>
      <c r="AB59" s="52"/>
      <c r="AC59" s="52"/>
      <c r="AD59" s="116"/>
      <c r="AE59" s="52"/>
      <c r="AF59" s="52"/>
      <c r="AG59" s="53"/>
      <c r="AH59" s="53"/>
      <c r="AI59" s="53"/>
      <c r="AJ59" s="118"/>
      <c r="AK59" s="53"/>
      <c r="AL59" s="53"/>
      <c r="AM59" s="53"/>
      <c r="AN59" s="53"/>
      <c r="AO59" s="53"/>
      <c r="AP59" s="53"/>
      <c r="AQ59" s="113">
        <f>IF(AND(I59="",K59="",AF59="",AL59="",AN59="",O59=""),"",IF(OR(I59="SIM",K59="SIM",AF59="SIM",AL59="SIM",AN59="Dados pessoais",AN59="Dados sensíveis",AN59="Dados pessoais e sensíveis",O59="Acima de 10.000 titulares por mês"),"SIM - Alta criticidade",IF((IF(I59="SIM",2,0)+IF(K59="SIM",2,0)+IF(AF59="SIM",2,0)+IF(OR(AN59="Dados pessoais",AN59="Dados sensíveis",AN59="Dados pessoais e sensíveis"),2,0)+IF(O59="De 1.001 a 10.000 titulares por mês",1,0)+IF(AA59="SIM",1,0)+IF(R59="SIM",1,0)+IF(AL59="SIM",1,0)+IF(AJ59="NÃO",1,0))&gt;=5,"SIM - Alta criticidade",IF((IF(I59="SIM",2,0)+IF(K59="SIM",2,0)+IF(AF59="SIM",2,0)+IF(OR(AN59="Dados pessoais",AN59="Dados sensíveis",AN59="Dados pessoais e sensíveis"),2,0)+IF(O59="De 1.001 a 10.000 titulares por mês",1,0)+IF(AA59="SIM",1,0)+IF(R59="SIM",1,0)+IF(AL59="SIM",1,0)+IF(AJ59="NÃO",1,0))&gt;=3,"Avaliação necessária","NÃO"))))</f>
      </c>
      <c r="AR59" s="68"/>
      <c r="AS59" s="113">
        <f>IF(AND(I59="",K59="",AF59="",AL59="",AN59="",O59=""),"",IF(OR(I59="SIM",K59="SIM",AF59="SIM",AL59="SIM",OR(AN59="Dados pessoais",AN59="Dados sensíveis",AN59="Dados pessoais e sensíveis"),O59="Acima de 10.000 titulares por mês",(IF(I59="SIM",2,0)+IF(K59="SIM",2,0)+IF(AF59="SIM",2,0)+IF(OR(AN59="Dados pessoais",AN59="Dados sensíveis",AN59="Dados pessoais e sensíveis"),2,0)+IF(O59="De 1.001 a 10.000 titulares por mês",1,0)+IF(AA59="SIM",1,0)+IF(R59="SIM",1,0)+IF(AL59="SIM",1,0)+IF(AJ59="NÃO",1,0))&gt;=3),"DPIA indicado ou em avaliação em razão de: " &amp; TRIM(IF(I59="SIM","tratamento de dados sensíveis; ","") &amp; IF(K59="SIM","utilização de dados de menores; ","") &amp; IF(AF59="SIM","transferência internacional de dados; ","") &amp; IF(AL59="SIM","utilização de inteligência artificial; ","") &amp; IF(OR(AN59="Dados pessoais",AN59="Dados sensíveis",AN59="Dados pessoais e sensíveis"),"dados inseridos em IA; ","") &amp; IF(O59="Acima de 10.000 titulares por mês","volume crítico de titulares; ","") &amp; IF(O59="De 1.001 a 10.000 titulares por mês","volume moderado de titulares; ","") &amp; IF(AA59="SIM","compartilhamento com terceiros; ","") &amp; IF(R59="SIM","compartilhamento com órgãos governamentais; ","") &amp; IF(AJ59="NÃO","ausência de controle de acesso por perfil; ","")),"DPIA não indicado: Processo de baixa criticidade."))</f>
      </c>
    </row>
    <row x14ac:dyDescent="0.25" r="60" customHeight="1" ht="15.75">
      <c r="A60" s="112">
        <v>57</v>
      </c>
      <c r="B60" s="52"/>
      <c r="C60" s="53"/>
      <c r="D60" s="52"/>
      <c r="E60" s="32"/>
      <c r="F60" s="52"/>
      <c r="G60" s="24"/>
      <c r="H60" s="24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3"/>
      <c r="X60" s="52"/>
      <c r="Y60" s="52"/>
      <c r="Z60" s="53"/>
      <c r="AA60" s="52"/>
      <c r="AB60" s="52"/>
      <c r="AC60" s="52"/>
      <c r="AD60" s="53"/>
      <c r="AE60" s="52"/>
      <c r="AF60" s="52"/>
      <c r="AG60" s="53"/>
      <c r="AH60" s="53"/>
      <c r="AI60" s="53"/>
      <c r="AJ60" s="52"/>
      <c r="AK60" s="53"/>
      <c r="AL60" s="53"/>
      <c r="AM60" s="53"/>
      <c r="AN60" s="53"/>
      <c r="AO60" s="53"/>
      <c r="AP60" s="53"/>
      <c r="AQ60" s="113">
        <f>IF(AND(I60="",K60="",AF60="",AL60="",AN60="",O60=""),"",IF(OR(I60="SIM",K60="SIM",AF60="SIM",AL60="SIM",AN60="Dados pessoais",AN60="Dados sensíveis",AN60="Dados pessoais e sensíveis",O60="Acima de 10.000 titulares por mês"),"SIM - Alta criticidade",IF((IF(I60="SIM",2,0)+IF(K60="SIM",2,0)+IF(AF60="SIM",2,0)+IF(OR(AN60="Dados pessoais",AN60="Dados sensíveis",AN60="Dados pessoais e sensíveis"),2,0)+IF(O60="De 1.001 a 10.000 titulares por mês",1,0)+IF(AA60="SIM",1,0)+IF(R60="SIM",1,0)+IF(AL60="SIM",1,0)+IF(AJ60="NÃO",1,0))&gt;=5,"SIM - Alta criticidade",IF((IF(I60="SIM",2,0)+IF(K60="SIM",2,0)+IF(AF60="SIM",2,0)+IF(OR(AN60="Dados pessoais",AN60="Dados sensíveis",AN60="Dados pessoais e sensíveis"),2,0)+IF(O60="De 1.001 a 10.000 titulares por mês",1,0)+IF(AA60="SIM",1,0)+IF(R60="SIM",1,0)+IF(AL60="SIM",1,0)+IF(AJ60="NÃO",1,0))&gt;=3,"Avaliação necessária","NÃO"))))</f>
      </c>
      <c r="AR60" s="68"/>
      <c r="AS60" s="113">
        <f>IF(AND(I60="",K60="",AF60="",AL60="",AN60="",O60=""),"",IF(OR(I60="SIM",K60="SIM",AF60="SIM",AL60="SIM",OR(AN60="Dados pessoais",AN60="Dados sensíveis",AN60="Dados pessoais e sensíveis"),O60="Acima de 10.000 titulares por mês",(IF(I60="SIM",2,0)+IF(K60="SIM",2,0)+IF(AF60="SIM",2,0)+IF(OR(AN60="Dados pessoais",AN60="Dados sensíveis",AN60="Dados pessoais e sensíveis"),2,0)+IF(O60="De 1.001 a 10.000 titulares por mês",1,0)+IF(AA60="SIM",1,0)+IF(R60="SIM",1,0)+IF(AL60="SIM",1,0)+IF(AJ60="NÃO",1,0))&gt;=3),"DPIA indicado ou em avaliação em razão de: " &amp; TRIM(IF(I60="SIM","tratamento de dados sensíveis; ","") &amp; IF(K60="SIM","utilização de dados de menores; ","") &amp; IF(AF60="SIM","transferência internacional de dados; ","") &amp; IF(AL60="SIM","utilização de inteligência artificial; ","") &amp; IF(OR(AN60="Dados pessoais",AN60="Dados sensíveis",AN60="Dados pessoais e sensíveis"),"dados inseridos em IA; ","") &amp; IF(O60="Acima de 10.000 titulares por mês","volume crítico de titulares; ","") &amp; IF(O60="De 1.001 a 10.000 titulares por mês","volume moderado de titulares; ","") &amp; IF(AA60="SIM","compartilhamento com terceiros; ","") &amp; IF(R60="SIM","compartilhamento com órgãos governamentais; ","") &amp; IF(AJ60="NÃO","ausência de controle de acesso por perfil; ","")),"DPIA não indicado: Processo de baixa criticidade."))</f>
      </c>
    </row>
    <row x14ac:dyDescent="0.25" r="61" customHeight="1" ht="15.75">
      <c r="A61" s="112">
        <v>58</v>
      </c>
      <c r="B61" s="52"/>
      <c r="C61" s="53"/>
      <c r="D61" s="52"/>
      <c r="E61" s="32"/>
      <c r="F61" s="52"/>
      <c r="G61" s="24"/>
      <c r="H61" s="24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3"/>
      <c r="X61" s="118"/>
      <c r="Y61" s="118"/>
      <c r="Z61" s="116"/>
      <c r="AA61" s="52"/>
      <c r="AB61" s="52"/>
      <c r="AC61" s="52"/>
      <c r="AD61" s="52"/>
      <c r="AE61" s="52"/>
      <c r="AF61" s="52"/>
      <c r="AG61" s="53"/>
      <c r="AH61" s="53"/>
      <c r="AI61" s="53"/>
      <c r="AJ61" s="52"/>
      <c r="AK61" s="53"/>
      <c r="AL61" s="53"/>
      <c r="AM61" s="53"/>
      <c r="AN61" s="53"/>
      <c r="AO61" s="53"/>
      <c r="AP61" s="53"/>
      <c r="AQ61" s="113">
        <f>IF(AND(I61="",K61="",AF61="",AL61="",AN61="",O61=""),"",IF(OR(I61="SIM",K61="SIM",AF61="SIM",AL61="SIM",AN61="Dados pessoais",AN61="Dados sensíveis",AN61="Dados pessoais e sensíveis",O61="Acima de 10.000 titulares por mês"),"SIM - Alta criticidade",IF((IF(I61="SIM",2,0)+IF(K61="SIM",2,0)+IF(AF61="SIM",2,0)+IF(OR(AN61="Dados pessoais",AN61="Dados sensíveis",AN61="Dados pessoais e sensíveis"),2,0)+IF(O61="De 1.001 a 10.000 titulares por mês",1,0)+IF(AA61="SIM",1,0)+IF(R61="SIM",1,0)+IF(AL61="SIM",1,0)+IF(AJ61="NÃO",1,0))&gt;=5,"SIM - Alta criticidade",IF((IF(I61="SIM",2,0)+IF(K61="SIM",2,0)+IF(AF61="SIM",2,0)+IF(OR(AN61="Dados pessoais",AN61="Dados sensíveis",AN61="Dados pessoais e sensíveis"),2,0)+IF(O61="De 1.001 a 10.000 titulares por mês",1,0)+IF(AA61="SIM",1,0)+IF(R61="SIM",1,0)+IF(AL61="SIM",1,0)+IF(AJ61="NÃO",1,0))&gt;=3,"Avaliação necessária","NÃO"))))</f>
      </c>
      <c r="AR61" s="68"/>
      <c r="AS61" s="113">
        <f>IF(AND(I61="",K61="",AF61="",AL61="",AN61="",O61=""),"",IF(OR(I61="SIM",K61="SIM",AF61="SIM",AL61="SIM",OR(AN61="Dados pessoais",AN61="Dados sensíveis",AN61="Dados pessoais e sensíveis"),O61="Acima de 10.000 titulares por mês",(IF(I61="SIM",2,0)+IF(K61="SIM",2,0)+IF(AF61="SIM",2,0)+IF(OR(AN61="Dados pessoais",AN61="Dados sensíveis",AN61="Dados pessoais e sensíveis"),2,0)+IF(O61="De 1.001 a 10.000 titulares por mês",1,0)+IF(AA61="SIM",1,0)+IF(R61="SIM",1,0)+IF(AL61="SIM",1,0)+IF(AJ61="NÃO",1,0))&gt;=3),"DPIA indicado ou em avaliação em razão de: " &amp; TRIM(IF(I61="SIM","tratamento de dados sensíveis; ","") &amp; IF(K61="SIM","utilização de dados de menores; ","") &amp; IF(AF61="SIM","transferência internacional de dados; ","") &amp; IF(AL61="SIM","utilização de inteligência artificial; ","") &amp; IF(OR(AN61="Dados pessoais",AN61="Dados sensíveis",AN61="Dados pessoais e sensíveis"),"dados inseridos em IA; ","") &amp; IF(O61="Acima de 10.000 titulares por mês","volume crítico de titulares; ","") &amp; IF(O61="De 1.001 a 10.000 titulares por mês","volume moderado de titulares; ","") &amp; IF(AA61="SIM","compartilhamento com terceiros; ","") &amp; IF(R61="SIM","compartilhamento com órgãos governamentais; ","") &amp; IF(AJ61="NÃO","ausência de controle de acesso por perfil; ","")),"DPIA não indicado: Processo de baixa criticidade."))</f>
      </c>
    </row>
    <row x14ac:dyDescent="0.25" r="62" customHeight="1" ht="15.75">
      <c r="A62" s="112">
        <v>59</v>
      </c>
      <c r="B62" s="52"/>
      <c r="C62" s="53"/>
      <c r="D62" s="52"/>
      <c r="E62" s="24"/>
      <c r="F62" s="52"/>
      <c r="G62" s="24"/>
      <c r="H62" s="24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3"/>
      <c r="AA62" s="52"/>
      <c r="AB62" s="52"/>
      <c r="AC62" s="52"/>
      <c r="AD62" s="52"/>
      <c r="AE62" s="52"/>
      <c r="AF62" s="52"/>
      <c r="AG62" s="53"/>
      <c r="AH62" s="53"/>
      <c r="AI62" s="53"/>
      <c r="AJ62" s="52"/>
      <c r="AK62" s="53"/>
      <c r="AL62" s="53"/>
      <c r="AM62" s="53"/>
      <c r="AN62" s="53"/>
      <c r="AO62" s="53"/>
      <c r="AP62" s="52"/>
      <c r="AQ62" s="113">
        <f>IF(AND(I62="",K62="",AF62="",AL62="",AN62="",O62=""),"",IF(OR(I62="SIM",K62="SIM",AF62="SIM",AL62="SIM",AN62="Dados pessoais",AN62="Dados sensíveis",AN62="Dados pessoais e sensíveis",O62="Acima de 10.000 titulares por mês"),"SIM - Alta criticidade",IF((IF(I62="SIM",2,0)+IF(K62="SIM",2,0)+IF(AF62="SIM",2,0)+IF(OR(AN62="Dados pessoais",AN62="Dados sensíveis",AN62="Dados pessoais e sensíveis"),2,0)+IF(O62="De 1.001 a 10.000 titulares por mês",1,0)+IF(AA62="SIM",1,0)+IF(R62="SIM",1,0)+IF(AL62="SIM",1,0)+IF(AJ62="NÃO",1,0))&gt;=5,"SIM - Alta criticidade",IF((IF(I62="SIM",2,0)+IF(K62="SIM",2,0)+IF(AF62="SIM",2,0)+IF(OR(AN62="Dados pessoais",AN62="Dados sensíveis",AN62="Dados pessoais e sensíveis"),2,0)+IF(O62="De 1.001 a 10.000 titulares por mês",1,0)+IF(AA62="SIM",1,0)+IF(R62="SIM",1,0)+IF(AL62="SIM",1,0)+IF(AJ62="NÃO",1,0))&gt;=3,"Avaliação necessária","NÃO"))))</f>
      </c>
      <c r="AR62" s="68"/>
      <c r="AS62" s="113">
        <f>IF(AND(I62="",K62="",AF62="",AL62="",AN62="",O62=""),"",IF(OR(I62="SIM",K62="SIM",AF62="SIM",AL62="SIM",OR(AN62="Dados pessoais",AN62="Dados sensíveis",AN62="Dados pessoais e sensíveis"),O62="Acima de 10.000 titulares por mês",(IF(I62="SIM",2,0)+IF(K62="SIM",2,0)+IF(AF62="SIM",2,0)+IF(OR(AN62="Dados pessoais",AN62="Dados sensíveis",AN62="Dados pessoais e sensíveis"),2,0)+IF(O62="De 1.001 a 10.000 titulares por mês",1,0)+IF(AA62="SIM",1,0)+IF(R62="SIM",1,0)+IF(AL62="SIM",1,0)+IF(AJ62="NÃO",1,0))&gt;=3),"DPIA indicado ou em avaliação em razão de: " &amp; TRIM(IF(I62="SIM","tratamento de dados sensíveis; ","") &amp; IF(K62="SIM","utilização de dados de menores; ","") &amp; IF(AF62="SIM","transferência internacional de dados; ","") &amp; IF(AL62="SIM","utilização de inteligência artificial; ","") &amp; IF(OR(AN62="Dados pessoais",AN62="Dados sensíveis",AN62="Dados pessoais e sensíveis"),"dados inseridos em IA; ","") &amp; IF(O62="Acima de 10.000 titulares por mês","volume crítico de titulares; ","") &amp; IF(O62="De 1.001 a 10.000 titulares por mês","volume moderado de titulares; ","") &amp; IF(AA62="SIM","compartilhamento com terceiros; ","") &amp; IF(R62="SIM","compartilhamento com órgãos governamentais; ","") &amp; IF(AJ62="NÃO","ausência de controle de acesso por perfil; ","")),"DPIA não indicado: Processo de baixa criticidade."))</f>
      </c>
    </row>
    <row x14ac:dyDescent="0.25" r="63" customHeight="1" ht="15.75">
      <c r="A63" s="112">
        <v>60</v>
      </c>
      <c r="B63" s="52"/>
      <c r="C63" s="53"/>
      <c r="D63" s="52"/>
      <c r="E63" s="24"/>
      <c r="F63" s="52"/>
      <c r="G63" s="24"/>
      <c r="H63" s="24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3"/>
      <c r="X63" s="52"/>
      <c r="Y63" s="52"/>
      <c r="Z63" s="53"/>
      <c r="AA63" s="52"/>
      <c r="AB63" s="52"/>
      <c r="AC63" s="52"/>
      <c r="AD63" s="53"/>
      <c r="AE63" s="52"/>
      <c r="AF63" s="52"/>
      <c r="AG63" s="53"/>
      <c r="AH63" s="53"/>
      <c r="AI63" s="53"/>
      <c r="AJ63" s="52"/>
      <c r="AK63" s="53"/>
      <c r="AL63" s="53"/>
      <c r="AM63" s="53"/>
      <c r="AN63" s="53"/>
      <c r="AO63" s="53"/>
      <c r="AP63" s="53"/>
      <c r="AQ63" s="113">
        <f>IF(AND(I63="",K63="",AF63="",AL63="",AN63="",O63=""),"",IF(OR(I63="SIM",K63="SIM",AF63="SIM",AL63="SIM",AN63="Dados pessoais",AN63="Dados sensíveis",AN63="Dados pessoais e sensíveis",O63="Acima de 10.000 titulares por mês"),"SIM - Alta criticidade",IF((IF(I63="SIM",2,0)+IF(K63="SIM",2,0)+IF(AF63="SIM",2,0)+IF(OR(AN63="Dados pessoais",AN63="Dados sensíveis",AN63="Dados pessoais e sensíveis"),2,0)+IF(O63="De 1.001 a 10.000 titulares por mês",1,0)+IF(AA63="SIM",1,0)+IF(R63="SIM",1,0)+IF(AL63="SIM",1,0)+IF(AJ63="NÃO",1,0))&gt;=5,"SIM - Alta criticidade",IF((IF(I63="SIM",2,0)+IF(K63="SIM",2,0)+IF(AF63="SIM",2,0)+IF(OR(AN63="Dados pessoais",AN63="Dados sensíveis",AN63="Dados pessoais e sensíveis"),2,0)+IF(O63="De 1.001 a 10.000 titulares por mês",1,0)+IF(AA63="SIM",1,0)+IF(R63="SIM",1,0)+IF(AL63="SIM",1,0)+IF(AJ63="NÃO",1,0))&gt;=3,"Avaliação necessária","NÃO"))))</f>
      </c>
      <c r="AR63" s="119"/>
      <c r="AS63" s="113">
        <f>IF(AND(I63="",K63="",AF63="",AL63="",AN63="",O63=""),"",IF(OR(I63="SIM",K63="SIM",AF63="SIM",AL63="SIM",OR(AN63="Dados pessoais",AN63="Dados sensíveis",AN63="Dados pessoais e sensíveis"),O63="Acima de 10.000 titulares por mês",(IF(I63="SIM",2,0)+IF(K63="SIM",2,0)+IF(AF63="SIM",2,0)+IF(OR(AN63="Dados pessoais",AN63="Dados sensíveis",AN63="Dados pessoais e sensíveis"),2,0)+IF(O63="De 1.001 a 10.000 titulares por mês",1,0)+IF(AA63="SIM",1,0)+IF(R63="SIM",1,0)+IF(AL63="SIM",1,0)+IF(AJ63="NÃO",1,0))&gt;=3),"DPIA indicado ou em avaliação em razão de: " &amp; TRIM(IF(I63="SIM","tratamento de dados sensíveis; ","") &amp; IF(K63="SIM","utilização de dados de menores; ","") &amp; IF(AF63="SIM","transferência internacional de dados; ","") &amp; IF(AL63="SIM","utilização de inteligência artificial; ","") &amp; IF(OR(AN63="Dados pessoais",AN63="Dados sensíveis",AN63="Dados pessoais e sensíveis"),"dados inseridos em IA; ","") &amp; IF(O63="Acima de 10.000 titulares por mês","volume crítico de titulares; ","") &amp; IF(O63="De 1.001 a 10.000 titulares por mês","volume moderado de titulares; ","") &amp; IF(AA63="SIM","compartilhamento com terceiros; ","") &amp; IF(R63="SIM","compartilhamento com órgãos governamentais; ","") &amp; IF(AJ63="NÃO","ausência de controle de acesso por perfil; ","")),"DPIA não indicado: Processo de baixa criticidade."))</f>
      </c>
    </row>
    <row x14ac:dyDescent="0.25" r="64" customHeight="1" ht="15.75">
      <c r="A64" s="112">
        <v>61</v>
      </c>
      <c r="B64" s="52"/>
      <c r="C64" s="53"/>
      <c r="D64" s="52"/>
      <c r="E64" s="24"/>
      <c r="F64" s="52"/>
      <c r="G64" s="24"/>
      <c r="H64" s="24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3"/>
      <c r="X64" s="52"/>
      <c r="Y64" s="52"/>
      <c r="Z64" s="52"/>
      <c r="AA64" s="52"/>
      <c r="AB64" s="52"/>
      <c r="AC64" s="52"/>
      <c r="AD64" s="52"/>
      <c r="AE64" s="52"/>
      <c r="AF64" s="52"/>
      <c r="AG64" s="52"/>
      <c r="AH64" s="52"/>
      <c r="AI64" s="52"/>
      <c r="AJ64" s="52"/>
      <c r="AK64" s="53"/>
      <c r="AL64" s="53"/>
      <c r="AM64" s="53"/>
      <c r="AN64" s="53"/>
      <c r="AO64" s="53"/>
      <c r="AP64" s="53"/>
      <c r="AQ64" s="113">
        <f>IF(AND(I64="",K64="",AF64="",AL64="",AN64="",O64=""),"",IF(OR(I64="SIM",K64="SIM",AF64="SIM",AL64="SIM",AN64="Dados pessoais",AN64="Dados sensíveis",AN64="Dados pessoais e sensíveis",O64="Acima de 10.000 titulares por mês"),"SIM - Alta criticidade",IF((IF(I64="SIM",2,0)+IF(K64="SIM",2,0)+IF(AF64="SIM",2,0)+IF(OR(AN64="Dados pessoais",AN64="Dados sensíveis",AN64="Dados pessoais e sensíveis"),2,0)+IF(O64="De 1.001 a 10.000 titulares por mês",1,0)+IF(AA64="SIM",1,0)+IF(R64="SIM",1,0)+IF(AL64="SIM",1,0)+IF(AJ64="NÃO",1,0))&gt;=5,"SIM - Alta criticidade",IF((IF(I64="SIM",2,0)+IF(K64="SIM",2,0)+IF(AF64="SIM",2,0)+IF(OR(AN64="Dados pessoais",AN64="Dados sensíveis",AN64="Dados pessoais e sensíveis"),2,0)+IF(O64="De 1.001 a 10.000 titulares por mês",1,0)+IF(AA64="SIM",1,0)+IF(R64="SIM",1,0)+IF(AL64="SIM",1,0)+IF(AJ64="NÃO",1,0))&gt;=3,"Avaliação necessária","NÃO"))))</f>
      </c>
      <c r="AR64" s="68"/>
      <c r="AS64" s="113">
        <f>IF(AND(I64="",K64="",AF64="",AL64="",AN64="",O64=""),"",IF(OR(I64="SIM",K64="SIM",AF64="SIM",AL64="SIM",OR(AN64="Dados pessoais",AN64="Dados sensíveis",AN64="Dados pessoais e sensíveis"),O64="Acima de 10.000 titulares por mês",(IF(I64="SIM",2,0)+IF(K64="SIM",2,0)+IF(AF64="SIM",2,0)+IF(OR(AN64="Dados pessoais",AN64="Dados sensíveis",AN64="Dados pessoais e sensíveis"),2,0)+IF(O64="De 1.001 a 10.000 titulares por mês",1,0)+IF(AA64="SIM",1,0)+IF(R64="SIM",1,0)+IF(AL64="SIM",1,0)+IF(AJ64="NÃO",1,0))&gt;=3),"DPIA indicado ou em avaliação em razão de: " &amp; TRIM(IF(I64="SIM","tratamento de dados sensíveis; ","") &amp; IF(K64="SIM","utilização de dados de menores; ","") &amp; IF(AF64="SIM","transferência internacional de dados; ","") &amp; IF(AL64="SIM","utilização de inteligência artificial; ","") &amp; IF(OR(AN64="Dados pessoais",AN64="Dados sensíveis",AN64="Dados pessoais e sensíveis"),"dados inseridos em IA; ","") &amp; IF(O64="Acima de 10.000 titulares por mês","volume crítico de titulares; ","") &amp; IF(O64="De 1.001 a 10.000 titulares por mês","volume moderado de titulares; ","") &amp; IF(AA64="SIM","compartilhamento com terceiros; ","") &amp; IF(R64="SIM","compartilhamento com órgãos governamentais; ","") &amp; IF(AJ64="NÃO","ausência de controle de acesso por perfil; ","")),"DPIA não indicado: Processo de baixa criticidade."))</f>
      </c>
    </row>
    <row x14ac:dyDescent="0.25" r="65" customHeight="1" ht="15.75">
      <c r="A65" s="112">
        <v>62</v>
      </c>
      <c r="B65" s="52"/>
      <c r="C65" s="53"/>
      <c r="D65" s="52"/>
      <c r="E65" s="32"/>
      <c r="F65" s="52"/>
      <c r="G65" s="24"/>
      <c r="H65" s="24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3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3"/>
      <c r="AL65" s="53"/>
      <c r="AM65" s="53"/>
      <c r="AN65" s="53"/>
      <c r="AO65" s="53"/>
      <c r="AP65" s="52"/>
      <c r="AQ65" s="113">
        <f>IF(AND(I65="",K65="",AF65="",AL65="",AN65="",O65=""),"",IF(OR(I65="SIM",K65="SIM",AF65="SIM",AL65="SIM",AN65="Dados pessoais",AN65="Dados sensíveis",AN65="Dados pessoais e sensíveis",O65="Acima de 10.000 titulares por mês"),"SIM - Alta criticidade",IF((IF(I65="SIM",2,0)+IF(K65="SIM",2,0)+IF(AF65="SIM",2,0)+IF(OR(AN65="Dados pessoais",AN65="Dados sensíveis",AN65="Dados pessoais e sensíveis"),2,0)+IF(O65="De 1.001 a 10.000 titulares por mês",1,0)+IF(AA65="SIM",1,0)+IF(R65="SIM",1,0)+IF(AL65="SIM",1,0)+IF(AJ65="NÃO",1,0))&gt;=5,"SIM - Alta criticidade",IF((IF(I65="SIM",2,0)+IF(K65="SIM",2,0)+IF(AF65="SIM",2,0)+IF(OR(AN65="Dados pessoais",AN65="Dados sensíveis",AN65="Dados pessoais e sensíveis"),2,0)+IF(O65="De 1.001 a 10.000 titulares por mês",1,0)+IF(AA65="SIM",1,0)+IF(R65="SIM",1,0)+IF(AL65="SIM",1,0)+IF(AJ65="NÃO",1,0))&gt;=3,"Avaliação necessária","NÃO"))))</f>
      </c>
      <c r="AR65" s="119"/>
      <c r="AS65" s="113">
        <f>IF(AND(I65="",K65="",AF65="",AL65="",AN65="",O65=""),"",IF(OR(I65="SIM",K65="SIM",AF65="SIM",AL65="SIM",OR(AN65="Dados pessoais",AN65="Dados sensíveis",AN65="Dados pessoais e sensíveis"),O65="Acima de 10.000 titulares por mês",(IF(I65="SIM",2,0)+IF(K65="SIM",2,0)+IF(AF65="SIM",2,0)+IF(OR(AN65="Dados pessoais",AN65="Dados sensíveis",AN65="Dados pessoais e sensíveis"),2,0)+IF(O65="De 1.001 a 10.000 titulares por mês",1,0)+IF(AA65="SIM",1,0)+IF(R65="SIM",1,0)+IF(AL65="SIM",1,0)+IF(AJ65="NÃO",1,0))&gt;=3),"DPIA indicado ou em avaliação em razão de: " &amp; TRIM(IF(I65="SIM","tratamento de dados sensíveis; ","") &amp; IF(K65="SIM","utilização de dados de menores; ","") &amp; IF(AF65="SIM","transferência internacional de dados; ","") &amp; IF(AL65="SIM","utilização de inteligência artificial; ","") &amp; IF(OR(AN65="Dados pessoais",AN65="Dados sensíveis",AN65="Dados pessoais e sensíveis"),"dados inseridos em IA; ","") &amp; IF(O65="Acima de 10.000 titulares por mês","volume crítico de titulares; ","") &amp; IF(O65="De 1.001 a 10.000 titulares por mês","volume moderado de titulares; ","") &amp; IF(AA65="SIM","compartilhamento com terceiros; ","") &amp; IF(R65="SIM","compartilhamento com órgãos governamentais; ","") &amp; IF(AJ65="NÃO","ausência de controle de acesso por perfil; ","")),"DPIA não indicado: Processo de baixa criticidade."))</f>
      </c>
    </row>
    <row x14ac:dyDescent="0.25" r="66" customHeight="1" ht="15.75">
      <c r="A66" s="112">
        <v>63</v>
      </c>
      <c r="B66" s="52"/>
      <c r="C66" s="53"/>
      <c r="D66" s="52"/>
      <c r="E66" s="24"/>
      <c r="F66" s="52"/>
      <c r="G66" s="24"/>
      <c r="H66" s="24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3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3"/>
      <c r="AL66" s="53"/>
      <c r="AM66" s="53"/>
      <c r="AN66" s="53"/>
      <c r="AO66" s="53"/>
      <c r="AP66" s="52"/>
      <c r="AQ66" s="113">
        <f>IF(AND(I66="",K66="",AF66="",AL66="",AN66="",O66=""),"",IF(OR(I66="SIM",K66="SIM",AF66="SIM",AL66="SIM",AN66="Dados pessoais",AN66="Dados sensíveis",AN66="Dados pessoais e sensíveis",O66="Acima de 10.000 titulares por mês"),"SIM - Alta criticidade",IF((IF(I66="SIM",2,0)+IF(K66="SIM",2,0)+IF(AF66="SIM",2,0)+IF(OR(AN66="Dados pessoais",AN66="Dados sensíveis",AN66="Dados pessoais e sensíveis"),2,0)+IF(O66="De 1.001 a 10.000 titulares por mês",1,0)+IF(AA66="SIM",1,0)+IF(R66="SIM",1,0)+IF(AL66="SIM",1,0)+IF(AJ66="NÃO",1,0))&gt;=5,"SIM - Alta criticidade",IF((IF(I66="SIM",2,0)+IF(K66="SIM",2,0)+IF(AF66="SIM",2,0)+IF(OR(AN66="Dados pessoais",AN66="Dados sensíveis",AN66="Dados pessoais e sensíveis"),2,0)+IF(O66="De 1.001 a 10.000 titulares por mês",1,0)+IF(AA66="SIM",1,0)+IF(R66="SIM",1,0)+IF(AL66="SIM",1,0)+IF(AJ66="NÃO",1,0))&gt;=3,"Avaliação necessária","NÃO"))))</f>
      </c>
      <c r="AR66" s="119"/>
      <c r="AS66" s="113">
        <f>IF(AND(I66="",K66="",AF66="",AL66="",AN66="",O66=""),"",IF(OR(I66="SIM",K66="SIM",AF66="SIM",AL66="SIM",OR(AN66="Dados pessoais",AN66="Dados sensíveis",AN66="Dados pessoais e sensíveis"),O66="Acima de 10.000 titulares por mês",(IF(I66="SIM",2,0)+IF(K66="SIM",2,0)+IF(AF66="SIM",2,0)+IF(OR(AN66="Dados pessoais",AN66="Dados sensíveis",AN66="Dados pessoais e sensíveis"),2,0)+IF(O66="De 1.001 a 10.000 titulares por mês",1,0)+IF(AA66="SIM",1,0)+IF(R66="SIM",1,0)+IF(AL66="SIM",1,0)+IF(AJ66="NÃO",1,0))&gt;=3),"DPIA indicado ou em avaliação em razão de: " &amp; TRIM(IF(I66="SIM","tratamento de dados sensíveis; ","") &amp; IF(K66="SIM","utilização de dados de menores; ","") &amp; IF(AF66="SIM","transferência internacional de dados; ","") &amp; IF(AL66="SIM","utilização de inteligência artificial; ","") &amp; IF(OR(AN66="Dados pessoais",AN66="Dados sensíveis",AN66="Dados pessoais e sensíveis"),"dados inseridos em IA; ","") &amp; IF(O66="Acima de 10.000 titulares por mês","volume crítico de titulares; ","") &amp; IF(O66="De 1.001 a 10.000 titulares por mês","volume moderado de titulares; ","") &amp; IF(AA66="SIM","compartilhamento com terceiros; ","") &amp; IF(R66="SIM","compartilhamento com órgãos governamentais; ","") &amp; IF(AJ66="NÃO","ausência de controle de acesso por perfil; ","")),"DPIA não indicado: Processo de baixa criticidade."))</f>
      </c>
    </row>
    <row x14ac:dyDescent="0.25" r="67" customHeight="1" ht="15.75">
      <c r="A67" s="112">
        <v>64</v>
      </c>
      <c r="B67" s="52"/>
      <c r="C67" s="53"/>
      <c r="D67" s="52"/>
      <c r="E67" s="24"/>
      <c r="F67" s="52"/>
      <c r="G67" s="24"/>
      <c r="H67" s="24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3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3"/>
      <c r="AL67" s="53"/>
      <c r="AM67" s="53"/>
      <c r="AN67" s="53"/>
      <c r="AO67" s="53"/>
      <c r="AP67" s="52"/>
      <c r="AQ67" s="113">
        <f>IF(AND(I67="",K67="",AF67="",AL67="",AN67="",O67=""),"",IF(OR(I67="SIM",K67="SIM",AF67="SIM",AL67="SIM",AN67="Dados pessoais",AN67="Dados sensíveis",AN67="Dados pessoais e sensíveis",O67="Acima de 10.000 titulares por mês"),"SIM - Alta criticidade",IF((IF(I67="SIM",2,0)+IF(K67="SIM",2,0)+IF(AF67="SIM",2,0)+IF(OR(AN67="Dados pessoais",AN67="Dados sensíveis",AN67="Dados pessoais e sensíveis"),2,0)+IF(O67="De 1.001 a 10.000 titulares por mês",1,0)+IF(AA67="SIM",1,0)+IF(R67="SIM",1,0)+IF(AL67="SIM",1,0)+IF(AJ67="NÃO",1,0))&gt;=5,"SIM - Alta criticidade",IF((IF(I67="SIM",2,0)+IF(K67="SIM",2,0)+IF(AF67="SIM",2,0)+IF(OR(AN67="Dados pessoais",AN67="Dados sensíveis",AN67="Dados pessoais e sensíveis"),2,0)+IF(O67="De 1.001 a 10.000 titulares por mês",1,0)+IF(AA67="SIM",1,0)+IF(R67="SIM",1,0)+IF(AL67="SIM",1,0)+IF(AJ67="NÃO",1,0))&gt;=3,"Avaliação necessária","NÃO"))))</f>
      </c>
      <c r="AR67" s="119"/>
      <c r="AS67" s="113">
        <f>IF(AND(I67="",K67="",AF67="",AL67="",AN67="",O67=""),"",IF(OR(I67="SIM",K67="SIM",AF67="SIM",AL67="SIM",OR(AN67="Dados pessoais",AN67="Dados sensíveis",AN67="Dados pessoais e sensíveis"),O67="Acima de 10.000 titulares por mês",(IF(I67="SIM",2,0)+IF(K67="SIM",2,0)+IF(AF67="SIM",2,0)+IF(OR(AN67="Dados pessoais",AN67="Dados sensíveis",AN67="Dados pessoais e sensíveis"),2,0)+IF(O67="De 1.001 a 10.000 titulares por mês",1,0)+IF(AA67="SIM",1,0)+IF(R67="SIM",1,0)+IF(AL67="SIM",1,0)+IF(AJ67="NÃO",1,0))&gt;=3),"DPIA indicado ou em avaliação em razão de: " &amp; TRIM(IF(I67="SIM","tratamento de dados sensíveis; ","") &amp; IF(K67="SIM","utilização de dados de menores; ","") &amp; IF(AF67="SIM","transferência internacional de dados; ","") &amp; IF(AL67="SIM","utilização de inteligência artificial; ","") &amp; IF(OR(AN67="Dados pessoais",AN67="Dados sensíveis",AN67="Dados pessoais e sensíveis"),"dados inseridos em IA; ","") &amp; IF(O67="Acima de 10.000 titulares por mês","volume crítico de titulares; ","") &amp; IF(O67="De 1.001 a 10.000 titulares por mês","volume moderado de titulares; ","") &amp; IF(AA67="SIM","compartilhamento com terceiros; ","") &amp; IF(R67="SIM","compartilhamento com órgãos governamentais; ","") &amp; IF(AJ67="NÃO","ausência de controle de acesso por perfil; ","")),"DPIA não indicado: Processo de baixa criticidade."))</f>
      </c>
    </row>
    <row x14ac:dyDescent="0.25" r="68" customHeight="1" ht="15.75">
      <c r="A68" s="112">
        <v>65</v>
      </c>
      <c r="B68" s="52"/>
      <c r="C68" s="53"/>
      <c r="D68" s="53"/>
      <c r="E68" s="24"/>
      <c r="F68" s="52"/>
      <c r="G68" s="24"/>
      <c r="H68" s="24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3"/>
      <c r="AA68" s="52"/>
      <c r="AB68" s="52"/>
      <c r="AC68" s="52"/>
      <c r="AD68" s="53"/>
      <c r="AE68" s="52"/>
      <c r="AF68" s="52"/>
      <c r="AG68" s="52"/>
      <c r="AH68" s="52"/>
      <c r="AI68" s="52"/>
      <c r="AJ68" s="52"/>
      <c r="AK68" s="53"/>
      <c r="AL68" s="53"/>
      <c r="AM68" s="53"/>
      <c r="AN68" s="53"/>
      <c r="AO68" s="53"/>
      <c r="AP68" s="52"/>
      <c r="AQ68" s="113">
        <f>IF(AND(I68="",K68="",AF68="",AL68="",AN68="",O68=""),"",IF(OR(I68="SIM",K68="SIM",AF68="SIM",AL68="SIM",AN68="Dados pessoais",AN68="Dados sensíveis",AN68="Dados pessoais e sensíveis",O68="Acima de 10.000 titulares por mês"),"SIM - Alta criticidade",IF((IF(I68="SIM",2,0)+IF(K68="SIM",2,0)+IF(AF68="SIM",2,0)+IF(OR(AN68="Dados pessoais",AN68="Dados sensíveis",AN68="Dados pessoais e sensíveis"),2,0)+IF(O68="De 1.001 a 10.000 titulares por mês",1,0)+IF(AA68="SIM",1,0)+IF(R68="SIM",1,0)+IF(AL68="SIM",1,0)+IF(AJ68="NÃO",1,0))&gt;=5,"SIM - Alta criticidade",IF((IF(I68="SIM",2,0)+IF(K68="SIM",2,0)+IF(AF68="SIM",2,0)+IF(OR(AN68="Dados pessoais",AN68="Dados sensíveis",AN68="Dados pessoais e sensíveis"),2,0)+IF(O68="De 1.001 a 10.000 titulares por mês",1,0)+IF(AA68="SIM",1,0)+IF(R68="SIM",1,0)+IF(AL68="SIM",1,0)+IF(AJ68="NÃO",1,0))&gt;=3,"Avaliação necessária","NÃO"))))</f>
      </c>
      <c r="AR68" s="119"/>
      <c r="AS68" s="113">
        <f>IF(AND(I68="",K68="",AF68="",AL68="",AN68="",O68=""),"",IF(OR(I68="SIM",K68="SIM",AF68="SIM",AL68="SIM",OR(AN68="Dados pessoais",AN68="Dados sensíveis",AN68="Dados pessoais e sensíveis"),O68="Acima de 10.000 titulares por mês",(IF(I68="SIM",2,0)+IF(K68="SIM",2,0)+IF(AF68="SIM",2,0)+IF(OR(AN68="Dados pessoais",AN68="Dados sensíveis",AN68="Dados pessoais e sensíveis"),2,0)+IF(O68="De 1.001 a 10.000 titulares por mês",1,0)+IF(AA68="SIM",1,0)+IF(R68="SIM",1,0)+IF(AL68="SIM",1,0)+IF(AJ68="NÃO",1,0))&gt;=3),"DPIA indicado ou em avaliação em razão de: " &amp; TRIM(IF(I68="SIM","tratamento de dados sensíveis; ","") &amp; IF(K68="SIM","utilização de dados de menores; ","") &amp; IF(AF68="SIM","transferência internacional de dados; ","") &amp; IF(AL68="SIM","utilização de inteligência artificial; ","") &amp; IF(OR(AN68="Dados pessoais",AN68="Dados sensíveis",AN68="Dados pessoais e sensíveis"),"dados inseridos em IA; ","") &amp; IF(O68="Acima de 10.000 titulares por mês","volume crítico de titulares; ","") &amp; IF(O68="De 1.001 a 10.000 titulares por mês","volume moderado de titulares; ","") &amp; IF(AA68="SIM","compartilhamento com terceiros; ","") &amp; IF(R68="SIM","compartilhamento com órgãos governamentais; ","") &amp; IF(AJ68="NÃO","ausência de controle de acesso por perfil; ","")),"DPIA não indicado: Processo de baixa criticidade."))</f>
      </c>
    </row>
    <row x14ac:dyDescent="0.25" r="69" customHeight="1" ht="15.75">
      <c r="A69" s="112">
        <v>66</v>
      </c>
      <c r="B69" s="52"/>
      <c r="C69" s="53"/>
      <c r="D69" s="53"/>
      <c r="E69" s="24"/>
      <c r="F69" s="52"/>
      <c r="G69" s="24"/>
      <c r="H69" s="24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3"/>
      <c r="AA69" s="52"/>
      <c r="AB69" s="52"/>
      <c r="AC69" s="52"/>
      <c r="AD69" s="53"/>
      <c r="AE69" s="52"/>
      <c r="AF69" s="52"/>
      <c r="AG69" s="52"/>
      <c r="AH69" s="52"/>
      <c r="AI69" s="52"/>
      <c r="AJ69" s="52"/>
      <c r="AK69" s="53"/>
      <c r="AL69" s="53"/>
      <c r="AM69" s="53"/>
      <c r="AN69" s="53"/>
      <c r="AO69" s="53"/>
      <c r="AP69" s="52"/>
      <c r="AQ69" s="113">
        <f>IF(AND(I69="",K69="",AF69="",AL69="",AN69="",O69=""),"",IF(OR(I69="SIM",K69="SIM",AF69="SIM",AL69="SIM",AN69="Dados pessoais",AN69="Dados sensíveis",AN69="Dados pessoais e sensíveis",O69="Acima de 10.000 titulares por mês"),"SIM - Alta criticidade",IF((IF(I69="SIM",2,0)+IF(K69="SIM",2,0)+IF(AF69="SIM",2,0)+IF(OR(AN69="Dados pessoais",AN69="Dados sensíveis",AN69="Dados pessoais e sensíveis"),2,0)+IF(O69="De 1.001 a 10.000 titulares por mês",1,0)+IF(AA69="SIM",1,0)+IF(R69="SIM",1,0)+IF(AL69="SIM",1,0)+IF(AJ69="NÃO",1,0))&gt;=5,"SIM - Alta criticidade",IF((IF(I69="SIM",2,0)+IF(K69="SIM",2,0)+IF(AF69="SIM",2,0)+IF(OR(AN69="Dados pessoais",AN69="Dados sensíveis",AN69="Dados pessoais e sensíveis"),2,0)+IF(O69="De 1.001 a 10.000 titulares por mês",1,0)+IF(AA69="SIM",1,0)+IF(R69="SIM",1,0)+IF(AL69="SIM",1,0)+IF(AJ69="NÃO",1,0))&gt;=3,"Avaliação necessária","NÃO"))))</f>
      </c>
      <c r="AR69" s="119"/>
      <c r="AS69" s="113">
        <f>IF(AND(I69="",K69="",AF69="",AL69="",AN69="",O69=""),"",IF(OR(I69="SIM",K69="SIM",AF69="SIM",AL69="SIM",OR(AN69="Dados pessoais",AN69="Dados sensíveis",AN69="Dados pessoais e sensíveis"),O69="Acima de 10.000 titulares por mês",(IF(I69="SIM",2,0)+IF(K69="SIM",2,0)+IF(AF69="SIM",2,0)+IF(OR(AN69="Dados pessoais",AN69="Dados sensíveis",AN69="Dados pessoais e sensíveis"),2,0)+IF(O69="De 1.001 a 10.000 titulares por mês",1,0)+IF(AA69="SIM",1,0)+IF(R69="SIM",1,0)+IF(AL69="SIM",1,0)+IF(AJ69="NÃO",1,0))&gt;=3),"DPIA indicado ou em avaliação em razão de: " &amp; TRIM(IF(I69="SIM","tratamento de dados sensíveis; ","") &amp; IF(K69="SIM","utilização de dados de menores; ","") &amp; IF(AF69="SIM","transferência internacional de dados; ","") &amp; IF(AL69="SIM","utilização de inteligência artificial; ","") &amp; IF(OR(AN69="Dados pessoais",AN69="Dados sensíveis",AN69="Dados pessoais e sensíveis"),"dados inseridos em IA; ","") &amp; IF(O69="Acima de 10.000 titulares por mês","volume crítico de titulares; ","") &amp; IF(O69="De 1.001 a 10.000 titulares por mês","volume moderado de titulares; ","") &amp; IF(AA69="SIM","compartilhamento com terceiros; ","") &amp; IF(R69="SIM","compartilhamento com órgãos governamentais; ","") &amp; IF(AJ69="NÃO","ausência de controle de acesso por perfil; ","")),"DPIA não indicado: Processo de baixa criticidade."))</f>
      </c>
    </row>
    <row x14ac:dyDescent="0.25" r="70" customHeight="1" ht="15.75">
      <c r="A70" s="112">
        <v>67</v>
      </c>
      <c r="B70" s="52"/>
      <c r="C70" s="53"/>
      <c r="D70" s="53"/>
      <c r="E70" s="32"/>
      <c r="F70" s="52"/>
      <c r="G70" s="24"/>
      <c r="H70" s="24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3"/>
      <c r="AA70" s="52"/>
      <c r="AB70" s="52"/>
      <c r="AC70" s="52"/>
      <c r="AD70" s="53"/>
      <c r="AE70" s="52"/>
      <c r="AF70" s="52"/>
      <c r="AG70" s="52"/>
      <c r="AH70" s="52"/>
      <c r="AI70" s="52"/>
      <c r="AJ70" s="52"/>
      <c r="AK70" s="53"/>
      <c r="AL70" s="53"/>
      <c r="AM70" s="53"/>
      <c r="AN70" s="53"/>
      <c r="AO70" s="53"/>
      <c r="AP70" s="52"/>
      <c r="AQ70" s="113">
        <f>IF(AND(I70="",K70="",AF70="",AL70="",AN70="",O70=""),"",IF(OR(I70="SIM",K70="SIM",AF70="SIM",AL70="SIM",AN70="Dados pessoais",AN70="Dados sensíveis",AN70="Dados pessoais e sensíveis",O70="Acima de 10.000 titulares por mês"),"SIM - Alta criticidade",IF((IF(I70="SIM",2,0)+IF(K70="SIM",2,0)+IF(AF70="SIM",2,0)+IF(OR(AN70="Dados pessoais",AN70="Dados sensíveis",AN70="Dados pessoais e sensíveis"),2,0)+IF(O70="De 1.001 a 10.000 titulares por mês",1,0)+IF(AA70="SIM",1,0)+IF(R70="SIM",1,0)+IF(AL70="SIM",1,0)+IF(AJ70="NÃO",1,0))&gt;=5,"SIM - Alta criticidade",IF((IF(I70="SIM",2,0)+IF(K70="SIM",2,0)+IF(AF70="SIM",2,0)+IF(OR(AN70="Dados pessoais",AN70="Dados sensíveis",AN70="Dados pessoais e sensíveis"),2,0)+IF(O70="De 1.001 a 10.000 titulares por mês",1,0)+IF(AA70="SIM",1,0)+IF(R70="SIM",1,0)+IF(AL70="SIM",1,0)+IF(AJ70="NÃO",1,0))&gt;=3,"Avaliação necessária","NÃO"))))</f>
      </c>
      <c r="AR70" s="119"/>
      <c r="AS70" s="113">
        <f>IF(AND(I70="",K70="",AF70="",AL70="",AN70="",O70=""),"",IF(OR(I70="SIM",K70="SIM",AF70="SIM",AL70="SIM",OR(AN70="Dados pessoais",AN70="Dados sensíveis",AN70="Dados pessoais e sensíveis"),O70="Acima de 10.000 titulares por mês",(IF(I70="SIM",2,0)+IF(K70="SIM",2,0)+IF(AF70="SIM",2,0)+IF(OR(AN70="Dados pessoais",AN70="Dados sensíveis",AN70="Dados pessoais e sensíveis"),2,0)+IF(O70="De 1.001 a 10.000 titulares por mês",1,0)+IF(AA70="SIM",1,0)+IF(R70="SIM",1,0)+IF(AL70="SIM",1,0)+IF(AJ70="NÃO",1,0))&gt;=3),"DPIA indicado ou em avaliação em razão de: " &amp; TRIM(IF(I70="SIM","tratamento de dados sensíveis; ","") &amp; IF(K70="SIM","utilização de dados de menores; ","") &amp; IF(AF70="SIM","transferência internacional de dados; ","") &amp; IF(AL70="SIM","utilização de inteligência artificial; ","") &amp; IF(OR(AN70="Dados pessoais",AN70="Dados sensíveis",AN70="Dados pessoais e sensíveis"),"dados inseridos em IA; ","") &amp; IF(O70="Acima de 10.000 titulares por mês","volume crítico de titulares; ","") &amp; IF(O70="De 1.001 a 10.000 titulares por mês","volume moderado de titulares; ","") &amp; IF(AA70="SIM","compartilhamento com terceiros; ","") &amp; IF(R70="SIM","compartilhamento com órgãos governamentais; ","") &amp; IF(AJ70="NÃO","ausência de controle de acesso por perfil; ","")),"DPIA não indicado: Processo de baixa criticidade."))</f>
      </c>
    </row>
    <row x14ac:dyDescent="0.25" r="71" customHeight="1" ht="15.75">
      <c r="A71" s="112">
        <v>68</v>
      </c>
      <c r="B71" s="52"/>
      <c r="C71" s="53"/>
      <c r="D71" s="53"/>
      <c r="E71" s="32"/>
      <c r="F71" s="52"/>
      <c r="G71" s="24"/>
      <c r="H71" s="24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3"/>
      <c r="AA71" s="52"/>
      <c r="AB71" s="52"/>
      <c r="AC71" s="52"/>
      <c r="AD71" s="53"/>
      <c r="AE71" s="52"/>
      <c r="AF71" s="52"/>
      <c r="AG71" s="52"/>
      <c r="AH71" s="52"/>
      <c r="AI71" s="52"/>
      <c r="AJ71" s="52"/>
      <c r="AK71" s="53"/>
      <c r="AL71" s="53"/>
      <c r="AM71" s="53"/>
      <c r="AN71" s="53"/>
      <c r="AO71" s="53"/>
      <c r="AP71" s="52"/>
      <c r="AQ71" s="113">
        <f>IF(AND(I71="",K71="",AF71="",AL71="",AN71="",O71=""),"",IF(OR(I71="SIM",K71="SIM",AF71="SIM",AL71="SIM",AN71="Dados pessoais",AN71="Dados sensíveis",AN71="Dados pessoais e sensíveis",O71="Acima de 10.000 titulares por mês"),"SIM - Alta criticidade",IF((IF(I71="SIM",2,0)+IF(K71="SIM",2,0)+IF(AF71="SIM",2,0)+IF(OR(AN71="Dados pessoais",AN71="Dados sensíveis",AN71="Dados pessoais e sensíveis"),2,0)+IF(O71="De 1.001 a 10.000 titulares por mês",1,0)+IF(AA71="SIM",1,0)+IF(R71="SIM",1,0)+IF(AL71="SIM",1,0)+IF(AJ71="NÃO",1,0))&gt;=5,"SIM - Alta criticidade",IF((IF(I71="SIM",2,0)+IF(K71="SIM",2,0)+IF(AF71="SIM",2,0)+IF(OR(AN71="Dados pessoais",AN71="Dados sensíveis",AN71="Dados pessoais e sensíveis"),2,0)+IF(O71="De 1.001 a 10.000 titulares por mês",1,0)+IF(AA71="SIM",1,0)+IF(R71="SIM",1,0)+IF(AL71="SIM",1,0)+IF(AJ71="NÃO",1,0))&gt;=3,"Avaliação necessária","NÃO"))))</f>
      </c>
      <c r="AR71" s="119"/>
      <c r="AS71" s="113">
        <f>IF(AND(I71="",K71="",AF71="",AL71="",AN71="",O71=""),"",IF(OR(I71="SIM",K71="SIM",AF71="SIM",AL71="SIM",OR(AN71="Dados pessoais",AN71="Dados sensíveis",AN71="Dados pessoais e sensíveis"),O71="Acima de 10.000 titulares por mês",(IF(I71="SIM",2,0)+IF(K71="SIM",2,0)+IF(AF71="SIM",2,0)+IF(OR(AN71="Dados pessoais",AN71="Dados sensíveis",AN71="Dados pessoais e sensíveis"),2,0)+IF(O71="De 1.001 a 10.000 titulares por mês",1,0)+IF(AA71="SIM",1,0)+IF(R71="SIM",1,0)+IF(AL71="SIM",1,0)+IF(AJ71="NÃO",1,0))&gt;=3),"DPIA indicado ou em avaliação em razão de: " &amp; TRIM(IF(I71="SIM","tratamento de dados sensíveis; ","") &amp; IF(K71="SIM","utilização de dados de menores; ","") &amp; IF(AF71="SIM","transferência internacional de dados; ","") &amp; IF(AL71="SIM","utilização de inteligência artificial; ","") &amp; IF(OR(AN71="Dados pessoais",AN71="Dados sensíveis",AN71="Dados pessoais e sensíveis"),"dados inseridos em IA; ","") &amp; IF(O71="Acima de 10.000 titulares por mês","volume crítico de titulares; ","") &amp; IF(O71="De 1.001 a 10.000 titulares por mês","volume moderado de titulares; ","") &amp; IF(AA71="SIM","compartilhamento com terceiros; ","") &amp; IF(R71="SIM","compartilhamento com órgãos governamentais; ","") &amp; IF(AJ71="NÃO","ausência de controle de acesso por perfil; ","")),"DPIA não indicado: Processo de baixa criticidade."))</f>
      </c>
    </row>
    <row x14ac:dyDescent="0.25" r="72" customHeight="1" ht="15.75">
      <c r="A72" s="112">
        <v>69</v>
      </c>
      <c r="B72" s="52"/>
      <c r="C72" s="53"/>
      <c r="D72" s="53"/>
      <c r="E72" s="32"/>
      <c r="F72" s="52"/>
      <c r="G72" s="24"/>
      <c r="H72" s="24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3"/>
      <c r="AA72" s="52"/>
      <c r="AB72" s="52"/>
      <c r="AC72" s="52"/>
      <c r="AD72" s="53"/>
      <c r="AE72" s="52"/>
      <c r="AF72" s="52"/>
      <c r="AG72" s="52"/>
      <c r="AH72" s="52"/>
      <c r="AI72" s="52"/>
      <c r="AJ72" s="52"/>
      <c r="AK72" s="53"/>
      <c r="AL72" s="53"/>
      <c r="AM72" s="53"/>
      <c r="AN72" s="53"/>
      <c r="AO72" s="53"/>
      <c r="AP72" s="52"/>
      <c r="AQ72" s="113">
        <f>IF(AND(I72="",K72="",AF72="",AL72="",AN72="",O72=""),"",IF(OR(I72="SIM",K72="SIM",AF72="SIM",AL72="SIM",AN72="Dados pessoais",AN72="Dados sensíveis",AN72="Dados pessoais e sensíveis",O72="Acima de 10.000 titulares por mês"),"SIM - Alta criticidade",IF((IF(I72="SIM",2,0)+IF(K72="SIM",2,0)+IF(AF72="SIM",2,0)+IF(OR(AN72="Dados pessoais",AN72="Dados sensíveis",AN72="Dados pessoais e sensíveis"),2,0)+IF(O72="De 1.001 a 10.000 titulares por mês",1,0)+IF(AA72="SIM",1,0)+IF(R72="SIM",1,0)+IF(AL72="SIM",1,0)+IF(AJ72="NÃO",1,0))&gt;=5,"SIM - Alta criticidade",IF((IF(I72="SIM",2,0)+IF(K72="SIM",2,0)+IF(AF72="SIM",2,0)+IF(OR(AN72="Dados pessoais",AN72="Dados sensíveis",AN72="Dados pessoais e sensíveis"),2,0)+IF(O72="De 1.001 a 10.000 titulares por mês",1,0)+IF(AA72="SIM",1,0)+IF(R72="SIM",1,0)+IF(AL72="SIM",1,0)+IF(AJ72="NÃO",1,0))&gt;=3,"Avaliação necessária","NÃO"))))</f>
      </c>
      <c r="AR72" s="119"/>
      <c r="AS72" s="113">
        <f>IF(AND(I72="",K72="",AF72="",AL72="",AN72="",O72=""),"",IF(OR(I72="SIM",K72="SIM",AF72="SIM",AL72="SIM",OR(AN72="Dados pessoais",AN72="Dados sensíveis",AN72="Dados pessoais e sensíveis"),O72="Acima de 10.000 titulares por mês",(IF(I72="SIM",2,0)+IF(K72="SIM",2,0)+IF(AF72="SIM",2,0)+IF(OR(AN72="Dados pessoais",AN72="Dados sensíveis",AN72="Dados pessoais e sensíveis"),2,0)+IF(O72="De 1.001 a 10.000 titulares por mês",1,0)+IF(AA72="SIM",1,0)+IF(R72="SIM",1,0)+IF(AL72="SIM",1,0)+IF(AJ72="NÃO",1,0))&gt;=3),"DPIA indicado ou em avaliação em razão de: " &amp; TRIM(IF(I72="SIM","tratamento de dados sensíveis; ","") &amp; IF(K72="SIM","utilização de dados de menores; ","") &amp; IF(AF72="SIM","transferência internacional de dados; ","") &amp; IF(AL72="SIM","utilização de inteligência artificial; ","") &amp; IF(OR(AN72="Dados pessoais",AN72="Dados sensíveis",AN72="Dados pessoais e sensíveis"),"dados inseridos em IA; ","") &amp; IF(O72="Acima de 10.000 titulares por mês","volume crítico de titulares; ","") &amp; IF(O72="De 1.001 a 10.000 titulares por mês","volume moderado de titulares; ","") &amp; IF(AA72="SIM","compartilhamento com terceiros; ","") &amp; IF(R72="SIM","compartilhamento com órgãos governamentais; ","") &amp; IF(AJ72="NÃO","ausência de controle de acesso por perfil; ","")),"DPIA não indicado: Processo de baixa criticidade."))</f>
      </c>
    </row>
    <row x14ac:dyDescent="0.25" r="73" customHeight="1" ht="15.75">
      <c r="A73" s="112">
        <v>70</v>
      </c>
      <c r="B73" s="52"/>
      <c r="C73" s="53"/>
      <c r="D73" s="53"/>
      <c r="E73" s="32"/>
      <c r="F73" s="52"/>
      <c r="G73" s="24"/>
      <c r="H73" s="24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3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3"/>
      <c r="AL73" s="53"/>
      <c r="AM73" s="53"/>
      <c r="AN73" s="53"/>
      <c r="AO73" s="53"/>
      <c r="AP73" s="52"/>
      <c r="AQ73" s="113">
        <f>IF(AND(I73="",K73="",AF73="",AL73="",AN73="",O73=""),"",IF(OR(I73="SIM",K73="SIM",AF73="SIM",AL73="SIM",AN73="Dados pessoais",AN73="Dados sensíveis",AN73="Dados pessoais e sensíveis",O73="Acima de 10.000 titulares por mês"),"SIM - Alta criticidade",IF((IF(I73="SIM",2,0)+IF(K73="SIM",2,0)+IF(AF73="SIM",2,0)+IF(OR(AN73="Dados pessoais",AN73="Dados sensíveis",AN73="Dados pessoais e sensíveis"),2,0)+IF(O73="De 1.001 a 10.000 titulares por mês",1,0)+IF(AA73="SIM",1,0)+IF(R73="SIM",1,0)+IF(AL73="SIM",1,0)+IF(AJ73="NÃO",1,0))&gt;=5,"SIM - Alta criticidade",IF((IF(I73="SIM",2,0)+IF(K73="SIM",2,0)+IF(AF73="SIM",2,0)+IF(OR(AN73="Dados pessoais",AN73="Dados sensíveis",AN73="Dados pessoais e sensíveis"),2,0)+IF(O73="De 1.001 a 10.000 titulares por mês",1,0)+IF(AA73="SIM",1,0)+IF(R73="SIM",1,0)+IF(AL73="SIM",1,0)+IF(AJ73="NÃO",1,0))&gt;=3,"Avaliação necessária","NÃO"))))</f>
      </c>
      <c r="AR73" s="119"/>
      <c r="AS73" s="113">
        <f>IF(AND(I73="",K73="",AF73="",AL73="",AN73="",O73=""),"",IF(OR(I73="SIM",K73="SIM",AF73="SIM",AL73="SIM",OR(AN73="Dados pessoais",AN73="Dados sensíveis",AN73="Dados pessoais e sensíveis"),O73="Acima de 10.000 titulares por mês",(IF(I73="SIM",2,0)+IF(K73="SIM",2,0)+IF(AF73="SIM",2,0)+IF(OR(AN73="Dados pessoais",AN73="Dados sensíveis",AN73="Dados pessoais e sensíveis"),2,0)+IF(O73="De 1.001 a 10.000 titulares por mês",1,0)+IF(AA73="SIM",1,0)+IF(R73="SIM",1,0)+IF(AL73="SIM",1,0)+IF(AJ73="NÃO",1,0))&gt;=3),"DPIA indicado ou em avaliação em razão de: " &amp; TRIM(IF(I73="SIM","tratamento de dados sensíveis; ","") &amp; IF(K73="SIM","utilização de dados de menores; ","") &amp; IF(AF73="SIM","transferência internacional de dados; ","") &amp; IF(AL73="SIM","utilização de inteligência artificial; ","") &amp; IF(OR(AN73="Dados pessoais",AN73="Dados sensíveis",AN73="Dados pessoais e sensíveis"),"dados inseridos em IA; ","") &amp; IF(O73="Acima de 10.000 titulares por mês","volume crítico de titulares; ","") &amp; IF(O73="De 1.001 a 10.000 titulares por mês","volume moderado de titulares; ","") &amp; IF(AA73="SIM","compartilhamento com terceiros; ","") &amp; IF(R73="SIM","compartilhamento com órgãos governamentais; ","") &amp; IF(AJ73="NÃO","ausência de controle de acesso por perfil; ","")),"DPIA não indicado: Processo de baixa criticidade."))</f>
      </c>
    </row>
    <row x14ac:dyDescent="0.25" r="74" customHeight="1" ht="15.75">
      <c r="A74" s="112">
        <v>71</v>
      </c>
      <c r="B74" s="52"/>
      <c r="C74" s="53"/>
      <c r="D74" s="52"/>
      <c r="E74" s="32"/>
      <c r="F74" s="52"/>
      <c r="G74" s="24"/>
      <c r="H74" s="24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3"/>
      <c r="AA74" s="52"/>
      <c r="AB74" s="52"/>
      <c r="AC74" s="52"/>
      <c r="AD74" s="52"/>
      <c r="AE74" s="52"/>
      <c r="AF74" s="52"/>
      <c r="AG74" s="52"/>
      <c r="AH74" s="52"/>
      <c r="AI74" s="52"/>
      <c r="AJ74" s="52"/>
      <c r="AK74" s="53"/>
      <c r="AL74" s="53"/>
      <c r="AM74" s="53"/>
      <c r="AN74" s="53"/>
      <c r="AO74" s="53"/>
      <c r="AP74" s="52"/>
      <c r="AQ74" s="113">
        <f>IF(AND(I74="",K74="",AF74="",AL74="",AN74="",O74=""),"",IF(OR(I74="SIM",K74="SIM",AF74="SIM",AL74="SIM",AN74="Dados pessoais",AN74="Dados sensíveis",AN74="Dados pessoais e sensíveis",O74="Acima de 10.000 titulares por mês"),"SIM - Alta criticidade",IF((IF(I74="SIM",2,0)+IF(K74="SIM",2,0)+IF(AF74="SIM",2,0)+IF(OR(AN74="Dados pessoais",AN74="Dados sensíveis",AN74="Dados pessoais e sensíveis"),2,0)+IF(O74="De 1.001 a 10.000 titulares por mês",1,0)+IF(AA74="SIM",1,0)+IF(R74="SIM",1,0)+IF(AL74="SIM",1,0)+IF(AJ74="NÃO",1,0))&gt;=5,"SIM - Alta criticidade",IF((IF(I74="SIM",2,0)+IF(K74="SIM",2,0)+IF(AF74="SIM",2,0)+IF(OR(AN74="Dados pessoais",AN74="Dados sensíveis",AN74="Dados pessoais e sensíveis"),2,0)+IF(O74="De 1.001 a 10.000 titulares por mês",1,0)+IF(AA74="SIM",1,0)+IF(R74="SIM",1,0)+IF(AL74="SIM",1,0)+IF(AJ74="NÃO",1,0))&gt;=3,"Avaliação necessária","NÃO"))))</f>
      </c>
      <c r="AR74" s="119"/>
      <c r="AS74" s="113">
        <f>IF(AND(I74="",K74="",AF74="",AL74="",AN74="",O74=""),"",IF(OR(I74="SIM",K74="SIM",AF74="SIM",AL74="SIM",OR(AN74="Dados pessoais",AN74="Dados sensíveis",AN74="Dados pessoais e sensíveis"),O74="Acima de 10.000 titulares por mês",(IF(I74="SIM",2,0)+IF(K74="SIM",2,0)+IF(AF74="SIM",2,0)+IF(OR(AN74="Dados pessoais",AN74="Dados sensíveis",AN74="Dados pessoais e sensíveis"),2,0)+IF(O74="De 1.001 a 10.000 titulares por mês",1,0)+IF(AA74="SIM",1,0)+IF(R74="SIM",1,0)+IF(AL74="SIM",1,0)+IF(AJ74="NÃO",1,0))&gt;=3),"DPIA indicado ou em avaliação em razão de: " &amp; TRIM(IF(I74="SIM","tratamento de dados sensíveis; ","") &amp; IF(K74="SIM","utilização de dados de menores; ","") &amp; IF(AF74="SIM","transferência internacional de dados; ","") &amp; IF(AL74="SIM","utilização de inteligência artificial; ","") &amp; IF(OR(AN74="Dados pessoais",AN74="Dados sensíveis",AN74="Dados pessoais e sensíveis"),"dados inseridos em IA; ","") &amp; IF(O74="Acima de 10.000 titulares por mês","volume crítico de titulares; ","") &amp; IF(O74="De 1.001 a 10.000 titulares por mês","volume moderado de titulares; ","") &amp; IF(AA74="SIM","compartilhamento com terceiros; ","") &amp; IF(R74="SIM","compartilhamento com órgãos governamentais; ","") &amp; IF(AJ74="NÃO","ausência de controle de acesso por perfil; ","")),"DPIA não indicado: Processo de baixa criticidade."))</f>
      </c>
    </row>
    <row x14ac:dyDescent="0.25" r="75" customHeight="1" ht="15.75">
      <c r="A75" s="112">
        <v>72</v>
      </c>
      <c r="B75" s="52"/>
      <c r="C75" s="53"/>
      <c r="D75" s="52"/>
      <c r="E75" s="32"/>
      <c r="F75" s="52"/>
      <c r="G75" s="24"/>
      <c r="H75" s="24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3"/>
      <c r="AA75" s="52"/>
      <c r="AB75" s="52"/>
      <c r="AC75" s="52"/>
      <c r="AD75" s="53"/>
      <c r="AE75" s="52"/>
      <c r="AF75" s="52"/>
      <c r="AG75" s="52"/>
      <c r="AH75" s="52"/>
      <c r="AI75" s="52"/>
      <c r="AJ75" s="52"/>
      <c r="AK75" s="53"/>
      <c r="AL75" s="53"/>
      <c r="AM75" s="53"/>
      <c r="AN75" s="53"/>
      <c r="AO75" s="53"/>
      <c r="AP75" s="52"/>
      <c r="AQ75" s="113">
        <f>IF(AND(I75="",K75="",AF75="",AL75="",AN75="",O75=""),"",IF(OR(I75="SIM",K75="SIM",AF75="SIM",AL75="SIM",AN75="Dados pessoais",AN75="Dados sensíveis",AN75="Dados pessoais e sensíveis",O75="Acima de 10.000 titulares por mês"),"SIM - Alta criticidade",IF((IF(I75="SIM",2,0)+IF(K75="SIM",2,0)+IF(AF75="SIM",2,0)+IF(OR(AN75="Dados pessoais",AN75="Dados sensíveis",AN75="Dados pessoais e sensíveis"),2,0)+IF(O75="De 1.001 a 10.000 titulares por mês",1,0)+IF(AA75="SIM",1,0)+IF(R75="SIM",1,0)+IF(AL75="SIM",1,0)+IF(AJ75="NÃO",1,0))&gt;=5,"SIM - Alta criticidade",IF((IF(I75="SIM",2,0)+IF(K75="SIM",2,0)+IF(AF75="SIM",2,0)+IF(OR(AN75="Dados pessoais",AN75="Dados sensíveis",AN75="Dados pessoais e sensíveis"),2,0)+IF(O75="De 1.001 a 10.000 titulares por mês",1,0)+IF(AA75="SIM",1,0)+IF(R75="SIM",1,0)+IF(AL75="SIM",1,0)+IF(AJ75="NÃO",1,0))&gt;=3,"Avaliação necessária","NÃO"))))</f>
      </c>
      <c r="AR75" s="68"/>
      <c r="AS75" s="113">
        <f>IF(AND(I75="",K75="",AF75="",AL75="",AN75="",O75=""),"",IF(OR(I75="SIM",K75="SIM",AF75="SIM",AL75="SIM",OR(AN75="Dados pessoais",AN75="Dados sensíveis",AN75="Dados pessoais e sensíveis"),O75="Acima de 10.000 titulares por mês",(IF(I75="SIM",2,0)+IF(K75="SIM",2,0)+IF(AF75="SIM",2,0)+IF(OR(AN75="Dados pessoais",AN75="Dados sensíveis",AN75="Dados pessoais e sensíveis"),2,0)+IF(O75="De 1.001 a 10.000 titulares por mês",1,0)+IF(AA75="SIM",1,0)+IF(R75="SIM",1,0)+IF(AL75="SIM",1,0)+IF(AJ75="NÃO",1,0))&gt;=3),"DPIA indicado ou em avaliação em razão de: " &amp; TRIM(IF(I75="SIM","tratamento de dados sensíveis; ","") &amp; IF(K75="SIM","utilização de dados de menores; ","") &amp; IF(AF75="SIM","transferência internacional de dados; ","") &amp; IF(AL75="SIM","utilização de inteligência artificial; ","") &amp; IF(OR(AN75="Dados pessoais",AN75="Dados sensíveis",AN75="Dados pessoais e sensíveis"),"dados inseridos em IA; ","") &amp; IF(O75="Acima de 10.000 titulares por mês","volume crítico de titulares; ","") &amp; IF(O75="De 1.001 a 10.000 titulares por mês","volume moderado de titulares; ","") &amp; IF(AA75="SIM","compartilhamento com terceiros; ","") &amp; IF(R75="SIM","compartilhamento com órgãos governamentais; ","") &amp; IF(AJ75="NÃO","ausência de controle de acesso por perfil; ","")),"DPIA não indicado: Processo de baixa criticidade."))</f>
      </c>
    </row>
    <row x14ac:dyDescent="0.25" r="76" customHeight="1" ht="15.75">
      <c r="A76" s="112">
        <v>73</v>
      </c>
      <c r="B76" s="52"/>
      <c r="C76" s="53"/>
      <c r="D76" s="52"/>
      <c r="E76" s="32"/>
      <c r="F76" s="52"/>
      <c r="G76" s="24"/>
      <c r="H76" s="24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3"/>
      <c r="AA76" s="52"/>
      <c r="AB76" s="52"/>
      <c r="AC76" s="52"/>
      <c r="AD76" s="52"/>
      <c r="AE76" s="52"/>
      <c r="AF76" s="52"/>
      <c r="AG76" s="52"/>
      <c r="AH76" s="52"/>
      <c r="AI76" s="52"/>
      <c r="AJ76" s="52"/>
      <c r="AK76" s="53"/>
      <c r="AL76" s="53"/>
      <c r="AM76" s="53"/>
      <c r="AN76" s="53"/>
      <c r="AO76" s="53"/>
      <c r="AP76" s="52"/>
      <c r="AQ76" s="113">
        <f>IF(AND(I76="",K76="",AF76="",AL76="",AN76="",O76=""),"",IF(OR(I76="SIM",K76="SIM",AF76="SIM",AL76="SIM",AN76="Dados pessoais",AN76="Dados sensíveis",AN76="Dados pessoais e sensíveis",O76="Acima de 10.000 titulares por mês"),"SIM - Alta criticidade",IF((IF(I76="SIM",2,0)+IF(K76="SIM",2,0)+IF(AF76="SIM",2,0)+IF(OR(AN76="Dados pessoais",AN76="Dados sensíveis",AN76="Dados pessoais e sensíveis"),2,0)+IF(O76="De 1.001 a 10.000 titulares por mês",1,0)+IF(AA76="SIM",1,0)+IF(R76="SIM",1,0)+IF(AL76="SIM",1,0)+IF(AJ76="NÃO",1,0))&gt;=5,"SIM - Alta criticidade",IF((IF(I76="SIM",2,0)+IF(K76="SIM",2,0)+IF(AF76="SIM",2,0)+IF(OR(AN76="Dados pessoais",AN76="Dados sensíveis",AN76="Dados pessoais e sensíveis"),2,0)+IF(O76="De 1.001 a 10.000 titulares por mês",1,0)+IF(AA76="SIM",1,0)+IF(R76="SIM",1,0)+IF(AL76="SIM",1,0)+IF(AJ76="NÃO",1,0))&gt;=3,"Avaliação necessária","NÃO"))))</f>
      </c>
      <c r="AR76" s="68"/>
      <c r="AS76" s="113">
        <f>IF(AND(I76="",K76="",AF76="",AL76="",AN76="",O76=""),"",IF(OR(I76="SIM",K76="SIM",AF76="SIM",AL76="SIM",OR(AN76="Dados pessoais",AN76="Dados sensíveis",AN76="Dados pessoais e sensíveis"),O76="Acima de 10.000 titulares por mês",(IF(I76="SIM",2,0)+IF(K76="SIM",2,0)+IF(AF76="SIM",2,0)+IF(OR(AN76="Dados pessoais",AN76="Dados sensíveis",AN76="Dados pessoais e sensíveis"),2,0)+IF(O76="De 1.001 a 10.000 titulares por mês",1,0)+IF(AA76="SIM",1,0)+IF(R76="SIM",1,0)+IF(AL76="SIM",1,0)+IF(AJ76="NÃO",1,0))&gt;=3),"DPIA indicado ou em avaliação em razão de: " &amp; TRIM(IF(I76="SIM","tratamento de dados sensíveis; ","") &amp; IF(K76="SIM","utilização de dados de menores; ","") &amp; IF(AF76="SIM","transferência internacional de dados; ","") &amp; IF(AL76="SIM","utilização de inteligência artificial; ","") &amp; IF(OR(AN76="Dados pessoais",AN76="Dados sensíveis",AN76="Dados pessoais e sensíveis"),"dados inseridos em IA; ","") &amp; IF(O76="Acima de 10.000 titulares por mês","volume crítico de titulares; ","") &amp; IF(O76="De 1.001 a 10.000 titulares por mês","volume moderado de titulares; ","") &amp; IF(AA76="SIM","compartilhamento com terceiros; ","") &amp; IF(R76="SIM","compartilhamento com órgãos governamentais; ","") &amp; IF(AJ76="NÃO","ausência de controle de acesso por perfil; ","")),"DPIA não indicado: Processo de baixa criticidade."))</f>
      </c>
    </row>
    <row x14ac:dyDescent="0.25" r="77" customHeight="1" ht="15.75">
      <c r="A77" s="112">
        <v>74</v>
      </c>
      <c r="B77" s="52"/>
      <c r="C77" s="53"/>
      <c r="D77" s="52"/>
      <c r="E77" s="32"/>
      <c r="F77" s="52"/>
      <c r="G77" s="24"/>
      <c r="H77" s="24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3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3"/>
      <c r="AL77" s="53"/>
      <c r="AM77" s="53"/>
      <c r="AN77" s="53"/>
      <c r="AO77" s="53"/>
      <c r="AP77" s="52"/>
      <c r="AQ77" s="113">
        <f>IF(AND(I77="",K77="",AF77="",AL77="",AN77="",O77=""),"",IF(OR(I77="SIM",K77="SIM",AF77="SIM",AL77="SIM",AN77="Dados pessoais",AN77="Dados sensíveis",AN77="Dados pessoais e sensíveis",O77="Acima de 10.000 titulares por mês"),"SIM - Alta criticidade",IF((IF(I77="SIM",2,0)+IF(K77="SIM",2,0)+IF(AF77="SIM",2,0)+IF(OR(AN77="Dados pessoais",AN77="Dados sensíveis",AN77="Dados pessoais e sensíveis"),2,0)+IF(O77="De 1.001 a 10.000 titulares por mês",1,0)+IF(AA77="SIM",1,0)+IF(R77="SIM",1,0)+IF(AL77="SIM",1,0)+IF(AJ77="NÃO",1,0))&gt;=5,"SIM - Alta criticidade",IF((IF(I77="SIM",2,0)+IF(K77="SIM",2,0)+IF(AF77="SIM",2,0)+IF(OR(AN77="Dados pessoais",AN77="Dados sensíveis",AN77="Dados pessoais e sensíveis"),2,0)+IF(O77="De 1.001 a 10.000 titulares por mês",1,0)+IF(AA77="SIM",1,0)+IF(R77="SIM",1,0)+IF(AL77="SIM",1,0)+IF(AJ77="NÃO",1,0))&gt;=3,"Avaliação necessária","NÃO"))))</f>
      </c>
      <c r="AR77" s="68"/>
      <c r="AS77" s="113">
        <f>IF(AND(I77="",K77="",AF77="",AL77="",AN77="",O77=""),"",IF(OR(I77="SIM",K77="SIM",AF77="SIM",AL77="SIM",OR(AN77="Dados pessoais",AN77="Dados sensíveis",AN77="Dados pessoais e sensíveis"),O77="Acima de 10.000 titulares por mês",(IF(I77="SIM",2,0)+IF(K77="SIM",2,0)+IF(AF77="SIM",2,0)+IF(OR(AN77="Dados pessoais",AN77="Dados sensíveis",AN77="Dados pessoais e sensíveis"),2,0)+IF(O77="De 1.001 a 10.000 titulares por mês",1,0)+IF(AA77="SIM",1,0)+IF(R77="SIM",1,0)+IF(AL77="SIM",1,0)+IF(AJ77="NÃO",1,0))&gt;=3),"DPIA indicado ou em avaliação em razão de: " &amp; TRIM(IF(I77="SIM","tratamento de dados sensíveis; ","") &amp; IF(K77="SIM","utilização de dados de menores; ","") &amp; IF(AF77="SIM","transferência internacional de dados; ","") &amp; IF(AL77="SIM","utilização de inteligência artificial; ","") &amp; IF(OR(AN77="Dados pessoais",AN77="Dados sensíveis",AN77="Dados pessoais e sensíveis"),"dados inseridos em IA; ","") &amp; IF(O77="Acima de 10.000 titulares por mês","volume crítico de titulares; ","") &amp; IF(O77="De 1.001 a 10.000 titulares por mês","volume moderado de titulares; ","") &amp; IF(AA77="SIM","compartilhamento com terceiros; ","") &amp; IF(R77="SIM","compartilhamento com órgãos governamentais; ","") &amp; IF(AJ77="NÃO","ausência de controle de acesso por perfil; ","")),"DPIA não indicado: Processo de baixa criticidade."))</f>
      </c>
    </row>
    <row x14ac:dyDescent="0.25" r="78" customHeight="1" ht="15.75">
      <c r="A78" s="112">
        <v>75</v>
      </c>
      <c r="B78" s="52"/>
      <c r="C78" s="53"/>
      <c r="D78" s="53"/>
      <c r="E78" s="32"/>
      <c r="F78" s="52"/>
      <c r="G78" s="24"/>
      <c r="H78" s="24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3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3"/>
      <c r="AL78" s="53"/>
      <c r="AM78" s="53"/>
      <c r="AN78" s="53"/>
      <c r="AO78" s="53"/>
      <c r="AP78" s="52"/>
      <c r="AQ78" s="113">
        <f>IF(AND(I78="",K78="",AF78="",AL78="",AN78="",O78=""),"",IF(OR(I78="SIM",K78="SIM",AF78="SIM",AL78="SIM",AN78="Dados pessoais",AN78="Dados sensíveis",AN78="Dados pessoais e sensíveis",O78="Acima de 10.000 titulares por mês"),"SIM - Alta criticidade",IF((IF(I78="SIM",2,0)+IF(K78="SIM",2,0)+IF(AF78="SIM",2,0)+IF(OR(AN78="Dados pessoais",AN78="Dados sensíveis",AN78="Dados pessoais e sensíveis"),2,0)+IF(O78="De 1.001 a 10.000 titulares por mês",1,0)+IF(AA78="SIM",1,0)+IF(R78="SIM",1,0)+IF(AL78="SIM",1,0)+IF(AJ78="NÃO",1,0))&gt;=5,"SIM - Alta criticidade",IF((IF(I78="SIM",2,0)+IF(K78="SIM",2,0)+IF(AF78="SIM",2,0)+IF(OR(AN78="Dados pessoais",AN78="Dados sensíveis",AN78="Dados pessoais e sensíveis"),2,0)+IF(O78="De 1.001 a 10.000 titulares por mês",1,0)+IF(AA78="SIM",1,0)+IF(R78="SIM",1,0)+IF(AL78="SIM",1,0)+IF(AJ78="NÃO",1,0))&gt;=3,"Avaliação necessária","NÃO"))))</f>
      </c>
      <c r="AR78" s="119"/>
      <c r="AS78" s="113">
        <f>IF(AND(I78="",K78="",AF78="",AL78="",AN78="",O78=""),"",IF(OR(I78="SIM",K78="SIM",AF78="SIM",AL78="SIM",OR(AN78="Dados pessoais",AN78="Dados sensíveis",AN78="Dados pessoais e sensíveis"),O78="Acima de 10.000 titulares por mês",(IF(I78="SIM",2,0)+IF(K78="SIM",2,0)+IF(AF78="SIM",2,0)+IF(OR(AN78="Dados pessoais",AN78="Dados sensíveis",AN78="Dados pessoais e sensíveis"),2,0)+IF(O78="De 1.001 a 10.000 titulares por mês",1,0)+IF(AA78="SIM",1,0)+IF(R78="SIM",1,0)+IF(AL78="SIM",1,0)+IF(AJ78="NÃO",1,0))&gt;=3),"DPIA indicado ou em avaliação em razão de: " &amp; TRIM(IF(I78="SIM","tratamento de dados sensíveis; ","") &amp; IF(K78="SIM","utilização de dados de menores; ","") &amp; IF(AF78="SIM","transferência internacional de dados; ","") &amp; IF(AL78="SIM","utilização de inteligência artificial; ","") &amp; IF(OR(AN78="Dados pessoais",AN78="Dados sensíveis",AN78="Dados pessoais e sensíveis"),"dados inseridos em IA; ","") &amp; IF(O78="Acima de 10.000 titulares por mês","volume crítico de titulares; ","") &amp; IF(O78="De 1.001 a 10.000 titulares por mês","volume moderado de titulares; ","") &amp; IF(AA78="SIM","compartilhamento com terceiros; ","") &amp; IF(R78="SIM","compartilhamento com órgãos governamentais; ","") &amp; IF(AJ78="NÃO","ausência de controle de acesso por perfil; ","")),"DPIA não indicado: Processo de baixa criticidade."))</f>
      </c>
    </row>
    <row x14ac:dyDescent="0.25" r="79" customHeight="1" ht="15.75">
      <c r="A79" s="112">
        <v>76</v>
      </c>
      <c r="B79" s="52"/>
      <c r="C79" s="53"/>
      <c r="D79" s="53"/>
      <c r="E79" s="32"/>
      <c r="F79" s="52"/>
      <c r="G79" s="24"/>
      <c r="H79" s="24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3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3"/>
      <c r="AL79" s="53"/>
      <c r="AM79" s="53"/>
      <c r="AN79" s="53"/>
      <c r="AO79" s="53"/>
      <c r="AP79" s="52"/>
      <c r="AQ79" s="113">
        <f>IF(AND(I79="",K79="",AF79="",AL79="",AN79="",O79=""),"",IF(OR(I79="SIM",K79="SIM",AF79="SIM",AL79="SIM",AN79="Dados pessoais",AN79="Dados sensíveis",AN79="Dados pessoais e sensíveis",O79="Acima de 10.000 titulares por mês"),"SIM - Alta criticidade",IF((IF(I79="SIM",2,0)+IF(K79="SIM",2,0)+IF(AF79="SIM",2,0)+IF(OR(AN79="Dados pessoais",AN79="Dados sensíveis",AN79="Dados pessoais e sensíveis"),2,0)+IF(O79="De 1.001 a 10.000 titulares por mês",1,0)+IF(AA79="SIM",1,0)+IF(R79="SIM",1,0)+IF(AL79="SIM",1,0)+IF(AJ79="NÃO",1,0))&gt;=5,"SIM - Alta criticidade",IF((IF(I79="SIM",2,0)+IF(K79="SIM",2,0)+IF(AF79="SIM",2,0)+IF(OR(AN79="Dados pessoais",AN79="Dados sensíveis",AN79="Dados pessoais e sensíveis"),2,0)+IF(O79="De 1.001 a 10.000 titulares por mês",1,0)+IF(AA79="SIM",1,0)+IF(R79="SIM",1,0)+IF(AL79="SIM",1,0)+IF(AJ79="NÃO",1,0))&gt;=3,"Avaliação necessária","NÃO"))))</f>
      </c>
      <c r="AR79" s="119"/>
      <c r="AS79" s="113">
        <f>IF(AND(I79="",K79="",AF79="",AL79="",AN79="",O79=""),"",IF(OR(I79="SIM",K79="SIM",AF79="SIM",AL79="SIM",OR(AN79="Dados pessoais",AN79="Dados sensíveis",AN79="Dados pessoais e sensíveis"),O79="Acima de 10.000 titulares por mês",(IF(I79="SIM",2,0)+IF(K79="SIM",2,0)+IF(AF79="SIM",2,0)+IF(OR(AN79="Dados pessoais",AN79="Dados sensíveis",AN79="Dados pessoais e sensíveis"),2,0)+IF(O79="De 1.001 a 10.000 titulares por mês",1,0)+IF(AA79="SIM",1,0)+IF(R79="SIM",1,0)+IF(AL79="SIM",1,0)+IF(AJ79="NÃO",1,0))&gt;=3),"DPIA indicado ou em avaliação em razão de: " &amp; TRIM(IF(I79="SIM","tratamento de dados sensíveis; ","") &amp; IF(K79="SIM","utilização de dados de menores; ","") &amp; IF(AF79="SIM","transferência internacional de dados; ","") &amp; IF(AL79="SIM","utilização de inteligência artificial; ","") &amp; IF(OR(AN79="Dados pessoais",AN79="Dados sensíveis",AN79="Dados pessoais e sensíveis"),"dados inseridos em IA; ","") &amp; IF(O79="Acima de 10.000 titulares por mês","volume crítico de titulares; ","") &amp; IF(O79="De 1.001 a 10.000 titulares por mês","volume moderado de titulares; ","") &amp; IF(AA79="SIM","compartilhamento com terceiros; ","") &amp; IF(R79="SIM","compartilhamento com órgãos governamentais; ","") &amp; IF(AJ79="NÃO","ausência de controle de acesso por perfil; ","")),"DPIA não indicado: Processo de baixa criticidade."))</f>
      </c>
    </row>
    <row x14ac:dyDescent="0.25" r="80" customHeight="1" ht="15.75">
      <c r="A80" s="112">
        <v>77</v>
      </c>
      <c r="B80" s="52"/>
      <c r="C80" s="53"/>
      <c r="D80" s="53"/>
      <c r="E80" s="32"/>
      <c r="F80" s="52"/>
      <c r="G80" s="24"/>
      <c r="H80" s="24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3"/>
      <c r="AA80" s="52"/>
      <c r="AB80" s="52"/>
      <c r="AC80" s="52"/>
      <c r="AD80" s="53"/>
      <c r="AE80" s="52"/>
      <c r="AF80" s="52"/>
      <c r="AG80" s="52"/>
      <c r="AH80" s="52"/>
      <c r="AI80" s="52"/>
      <c r="AJ80" s="52"/>
      <c r="AK80" s="53"/>
      <c r="AL80" s="53"/>
      <c r="AM80" s="53"/>
      <c r="AN80" s="53"/>
      <c r="AO80" s="53"/>
      <c r="AP80" s="52"/>
      <c r="AQ80" s="113">
        <f>IF(AND(I80="",K80="",AF80="",AL80="",AN80="",O80=""),"",IF(OR(I80="SIM",K80="SIM",AF80="SIM",AL80="SIM",AN80="Dados pessoais",AN80="Dados sensíveis",AN80="Dados pessoais e sensíveis",O80="Acima de 10.000 titulares por mês"),"SIM - Alta criticidade",IF((IF(I80="SIM",2,0)+IF(K80="SIM",2,0)+IF(AF80="SIM",2,0)+IF(OR(AN80="Dados pessoais",AN80="Dados sensíveis",AN80="Dados pessoais e sensíveis"),2,0)+IF(O80="De 1.001 a 10.000 titulares por mês",1,0)+IF(AA80="SIM",1,0)+IF(R80="SIM",1,0)+IF(AL80="SIM",1,0)+IF(AJ80="NÃO",1,0))&gt;=5,"SIM - Alta criticidade",IF((IF(I80="SIM",2,0)+IF(K80="SIM",2,0)+IF(AF80="SIM",2,0)+IF(OR(AN80="Dados pessoais",AN80="Dados sensíveis",AN80="Dados pessoais e sensíveis"),2,0)+IF(O80="De 1.001 a 10.000 titulares por mês",1,0)+IF(AA80="SIM",1,0)+IF(R80="SIM",1,0)+IF(AL80="SIM",1,0)+IF(AJ80="NÃO",1,0))&gt;=3,"Avaliação necessária","NÃO"))))</f>
      </c>
      <c r="AR80" s="119"/>
      <c r="AS80" s="113">
        <f>IF(AND(I80="",K80="",AF80="",AL80="",AN80="",O80=""),"",IF(OR(I80="SIM",K80="SIM",AF80="SIM",AL80="SIM",OR(AN80="Dados pessoais",AN80="Dados sensíveis",AN80="Dados pessoais e sensíveis"),O80="Acima de 10.000 titulares por mês",(IF(I80="SIM",2,0)+IF(K80="SIM",2,0)+IF(AF80="SIM",2,0)+IF(OR(AN80="Dados pessoais",AN80="Dados sensíveis",AN80="Dados pessoais e sensíveis"),2,0)+IF(O80="De 1.001 a 10.000 titulares por mês",1,0)+IF(AA80="SIM",1,0)+IF(R80="SIM",1,0)+IF(AL80="SIM",1,0)+IF(AJ80="NÃO",1,0))&gt;=3),"DPIA indicado ou em avaliação em razão de: " &amp; TRIM(IF(I80="SIM","tratamento de dados sensíveis; ","") &amp; IF(K80="SIM","utilização de dados de menores; ","") &amp; IF(AF80="SIM","transferência internacional de dados; ","") &amp; IF(AL80="SIM","utilização de inteligência artificial; ","") &amp; IF(OR(AN80="Dados pessoais",AN80="Dados sensíveis",AN80="Dados pessoais e sensíveis"),"dados inseridos em IA; ","") &amp; IF(O80="Acima de 10.000 titulares por mês","volume crítico de titulares; ","") &amp; IF(O80="De 1.001 a 10.000 titulares por mês","volume moderado de titulares; ","") &amp; IF(AA80="SIM","compartilhamento com terceiros; ","") &amp; IF(R80="SIM","compartilhamento com órgãos governamentais; ","") &amp; IF(AJ80="NÃO","ausência de controle de acesso por perfil; ","")),"DPIA não indicado: Processo de baixa criticidade."))</f>
      </c>
    </row>
    <row x14ac:dyDescent="0.25" r="81" customHeight="1" ht="15.75">
      <c r="A81" s="112">
        <v>78</v>
      </c>
      <c r="B81" s="52"/>
      <c r="C81" s="53"/>
      <c r="D81" s="53"/>
      <c r="E81" s="32"/>
      <c r="F81" s="52"/>
      <c r="G81" s="24"/>
      <c r="H81" s="24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3"/>
      <c r="AA81" s="52"/>
      <c r="AB81" s="52"/>
      <c r="AC81" s="52"/>
      <c r="AD81" s="53"/>
      <c r="AE81" s="52"/>
      <c r="AF81" s="52"/>
      <c r="AG81" s="52"/>
      <c r="AH81" s="52"/>
      <c r="AI81" s="52"/>
      <c r="AJ81" s="52"/>
      <c r="AK81" s="53"/>
      <c r="AL81" s="53"/>
      <c r="AM81" s="53"/>
      <c r="AN81" s="53"/>
      <c r="AO81" s="53"/>
      <c r="AP81" s="52"/>
      <c r="AQ81" s="113">
        <f>IF(AND(I81="",K81="",AF81="",AL81="",AN81="",O81=""),"",IF(OR(I81="SIM",K81="SIM",AF81="SIM",AL81="SIM",AN81="Dados pessoais",AN81="Dados sensíveis",AN81="Dados pessoais e sensíveis",O81="Acima de 10.000 titulares por mês"),"SIM - Alta criticidade",IF((IF(I81="SIM",2,0)+IF(K81="SIM",2,0)+IF(AF81="SIM",2,0)+IF(OR(AN81="Dados pessoais",AN81="Dados sensíveis",AN81="Dados pessoais e sensíveis"),2,0)+IF(O81="De 1.001 a 10.000 titulares por mês",1,0)+IF(AA81="SIM",1,0)+IF(R81="SIM",1,0)+IF(AL81="SIM",1,0)+IF(AJ81="NÃO",1,0))&gt;=5,"SIM - Alta criticidade",IF((IF(I81="SIM",2,0)+IF(K81="SIM",2,0)+IF(AF81="SIM",2,0)+IF(OR(AN81="Dados pessoais",AN81="Dados sensíveis",AN81="Dados pessoais e sensíveis"),2,0)+IF(O81="De 1.001 a 10.000 titulares por mês",1,0)+IF(AA81="SIM",1,0)+IF(R81="SIM",1,0)+IF(AL81="SIM",1,0)+IF(AJ81="NÃO",1,0))&gt;=3,"Avaliação necessária","NÃO"))))</f>
      </c>
      <c r="AR81" s="68"/>
      <c r="AS81" s="113">
        <f>IF(AND(I81="",K81="",AF81="",AL81="",AN81="",O81=""),"",IF(OR(I81="SIM",K81="SIM",AF81="SIM",AL81="SIM",OR(AN81="Dados pessoais",AN81="Dados sensíveis",AN81="Dados pessoais e sensíveis"),O81="Acima de 10.000 titulares por mês",(IF(I81="SIM",2,0)+IF(K81="SIM",2,0)+IF(AF81="SIM",2,0)+IF(OR(AN81="Dados pessoais",AN81="Dados sensíveis",AN81="Dados pessoais e sensíveis"),2,0)+IF(O81="De 1.001 a 10.000 titulares por mês",1,0)+IF(AA81="SIM",1,0)+IF(R81="SIM",1,0)+IF(AL81="SIM",1,0)+IF(AJ81="NÃO",1,0))&gt;=3),"DPIA indicado ou em avaliação em razão de: " &amp; TRIM(IF(I81="SIM","tratamento de dados sensíveis; ","") &amp; IF(K81="SIM","utilização de dados de menores; ","") &amp; IF(AF81="SIM","transferência internacional de dados; ","") &amp; IF(AL81="SIM","utilização de inteligência artificial; ","") &amp; IF(OR(AN81="Dados pessoais",AN81="Dados sensíveis",AN81="Dados pessoais e sensíveis"),"dados inseridos em IA; ","") &amp; IF(O81="Acima de 10.000 titulares por mês","volume crítico de titulares; ","") &amp; IF(O81="De 1.001 a 10.000 titulares por mês","volume moderado de titulares; ","") &amp; IF(AA81="SIM","compartilhamento com terceiros; ","") &amp; IF(R81="SIM","compartilhamento com órgãos governamentais; ","") &amp; IF(AJ81="NÃO","ausência de controle de acesso por perfil; ","")),"DPIA não indicado: Processo de baixa criticidade."))</f>
      </c>
    </row>
    <row x14ac:dyDescent="0.25" r="82" customHeight="1" ht="15.75">
      <c r="A82" s="112">
        <v>79</v>
      </c>
      <c r="B82" s="52"/>
      <c r="C82" s="53"/>
      <c r="D82" s="53"/>
      <c r="E82" s="32"/>
      <c r="F82" s="52"/>
      <c r="G82" s="24"/>
      <c r="H82" s="24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3"/>
      <c r="AA82" s="52"/>
      <c r="AB82" s="52"/>
      <c r="AC82" s="52"/>
      <c r="AD82" s="52"/>
      <c r="AE82" s="52"/>
      <c r="AF82" s="52"/>
      <c r="AG82" s="52"/>
      <c r="AH82" s="52"/>
      <c r="AI82" s="52"/>
      <c r="AJ82" s="52"/>
      <c r="AK82" s="53"/>
      <c r="AL82" s="53"/>
      <c r="AM82" s="53"/>
      <c r="AN82" s="53"/>
      <c r="AO82" s="53"/>
      <c r="AP82" s="52"/>
      <c r="AQ82" s="113">
        <f>IF(AND(I82="",K82="",AF82="",AL82="",AN82="",O82=""),"",IF(OR(I82="SIM",K82="SIM",AF82="SIM",AL82="SIM",AN82="Dados pessoais",AN82="Dados sensíveis",AN82="Dados pessoais e sensíveis",O82="Acima de 10.000 titulares por mês"),"SIM - Alta criticidade",IF((IF(I82="SIM",2,0)+IF(K82="SIM",2,0)+IF(AF82="SIM",2,0)+IF(OR(AN82="Dados pessoais",AN82="Dados sensíveis",AN82="Dados pessoais e sensíveis"),2,0)+IF(O82="De 1.001 a 10.000 titulares por mês",1,0)+IF(AA82="SIM",1,0)+IF(R82="SIM",1,0)+IF(AL82="SIM",1,0)+IF(AJ82="NÃO",1,0))&gt;=5,"SIM - Alta criticidade",IF((IF(I82="SIM",2,0)+IF(K82="SIM",2,0)+IF(AF82="SIM",2,0)+IF(OR(AN82="Dados pessoais",AN82="Dados sensíveis",AN82="Dados pessoais e sensíveis"),2,0)+IF(O82="De 1.001 a 10.000 titulares por mês",1,0)+IF(AA82="SIM",1,0)+IF(R82="SIM",1,0)+IF(AL82="SIM",1,0)+IF(AJ82="NÃO",1,0))&gt;=3,"Avaliação necessária","NÃO"))))</f>
      </c>
      <c r="AR82" s="68"/>
      <c r="AS82" s="113">
        <f>IF(AND(I82="",K82="",AF82="",AL82="",AN82="",O82=""),"",IF(OR(I82="SIM",K82="SIM",AF82="SIM",AL82="SIM",OR(AN82="Dados pessoais",AN82="Dados sensíveis",AN82="Dados pessoais e sensíveis"),O82="Acima de 10.000 titulares por mês",(IF(I82="SIM",2,0)+IF(K82="SIM",2,0)+IF(AF82="SIM",2,0)+IF(OR(AN82="Dados pessoais",AN82="Dados sensíveis",AN82="Dados pessoais e sensíveis"),2,0)+IF(O82="De 1.001 a 10.000 titulares por mês",1,0)+IF(AA82="SIM",1,0)+IF(R82="SIM",1,0)+IF(AL82="SIM",1,0)+IF(AJ82="NÃO",1,0))&gt;=3),"DPIA indicado ou em avaliação em razão de: " &amp; TRIM(IF(I82="SIM","tratamento de dados sensíveis; ","") &amp; IF(K82="SIM","utilização de dados de menores; ","") &amp; IF(AF82="SIM","transferência internacional de dados; ","") &amp; IF(AL82="SIM","utilização de inteligência artificial; ","") &amp; IF(OR(AN82="Dados pessoais",AN82="Dados sensíveis",AN82="Dados pessoais e sensíveis"),"dados inseridos em IA; ","") &amp; IF(O82="Acima de 10.000 titulares por mês","volume crítico de titulares; ","") &amp; IF(O82="De 1.001 a 10.000 titulares por mês","volume moderado de titulares; ","") &amp; IF(AA82="SIM","compartilhamento com terceiros; ","") &amp; IF(R82="SIM","compartilhamento com órgãos governamentais; ","") &amp; IF(AJ82="NÃO","ausência de controle de acesso por perfil; ","")),"DPIA não indicado: Processo de baixa criticidade."))</f>
      </c>
    </row>
    <row x14ac:dyDescent="0.25" r="83" customHeight="1" ht="15.75">
      <c r="A83" s="112">
        <v>80</v>
      </c>
      <c r="B83" s="52"/>
      <c r="C83" s="53"/>
      <c r="D83" s="53"/>
      <c r="E83" s="32"/>
      <c r="F83" s="52"/>
      <c r="G83" s="24"/>
      <c r="H83" s="24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3"/>
      <c r="AA83" s="52"/>
      <c r="AB83" s="52"/>
      <c r="AC83" s="52"/>
      <c r="AD83" s="52"/>
      <c r="AE83" s="52"/>
      <c r="AF83" s="52"/>
      <c r="AG83" s="52"/>
      <c r="AH83" s="52"/>
      <c r="AI83" s="52"/>
      <c r="AJ83" s="52"/>
      <c r="AK83" s="53"/>
      <c r="AL83" s="53"/>
      <c r="AM83" s="53"/>
      <c r="AN83" s="53"/>
      <c r="AO83" s="53"/>
      <c r="AP83" s="52"/>
      <c r="AQ83" s="113">
        <f>IF(AND(I83="",K83="",AF83="",AL83="",AN83="",O83=""),"",IF(OR(I83="SIM",K83="SIM",AF83="SIM",AL83="SIM",AN83="Dados pessoais",AN83="Dados sensíveis",AN83="Dados pessoais e sensíveis",O83="Acima de 10.000 titulares por mês"),"SIM - Alta criticidade",IF((IF(I83="SIM",2,0)+IF(K83="SIM",2,0)+IF(AF83="SIM",2,0)+IF(OR(AN83="Dados pessoais",AN83="Dados sensíveis",AN83="Dados pessoais e sensíveis"),2,0)+IF(O83="De 1.001 a 10.000 titulares por mês",1,0)+IF(AA83="SIM",1,0)+IF(R83="SIM",1,0)+IF(AL83="SIM",1,0)+IF(AJ83="NÃO",1,0))&gt;=5,"SIM - Alta criticidade",IF((IF(I83="SIM",2,0)+IF(K83="SIM",2,0)+IF(AF83="SIM",2,0)+IF(OR(AN83="Dados pessoais",AN83="Dados sensíveis",AN83="Dados pessoais e sensíveis"),2,0)+IF(O83="De 1.001 a 10.000 titulares por mês",1,0)+IF(AA83="SIM",1,0)+IF(R83="SIM",1,0)+IF(AL83="SIM",1,0)+IF(AJ83="NÃO",1,0))&gt;=3,"Avaliação necessária","NÃO"))))</f>
      </c>
      <c r="AR83" s="68"/>
      <c r="AS83" s="113">
        <f>IF(AND(I83="",K83="",AF83="",AL83="",AN83="",O83=""),"",IF(OR(I83="SIM",K83="SIM",AF83="SIM",AL83="SIM",OR(AN83="Dados pessoais",AN83="Dados sensíveis",AN83="Dados pessoais e sensíveis"),O83="Acima de 10.000 titulares por mês",(IF(I83="SIM",2,0)+IF(K83="SIM",2,0)+IF(AF83="SIM",2,0)+IF(OR(AN83="Dados pessoais",AN83="Dados sensíveis",AN83="Dados pessoais e sensíveis"),2,0)+IF(O83="De 1.001 a 10.000 titulares por mês",1,0)+IF(AA83="SIM",1,0)+IF(R83="SIM",1,0)+IF(AL83="SIM",1,0)+IF(AJ83="NÃO",1,0))&gt;=3),"DPIA indicado ou em avaliação em razão de: " &amp; TRIM(IF(I83="SIM","tratamento de dados sensíveis; ","") &amp; IF(K83="SIM","utilização de dados de menores; ","") &amp; IF(AF83="SIM","transferência internacional de dados; ","") &amp; IF(AL83="SIM","utilização de inteligência artificial; ","") &amp; IF(OR(AN83="Dados pessoais",AN83="Dados sensíveis",AN83="Dados pessoais e sensíveis"),"dados inseridos em IA; ","") &amp; IF(O83="Acima de 10.000 titulares por mês","volume crítico de titulares; ","") &amp; IF(O83="De 1.001 a 10.000 titulares por mês","volume moderado de titulares; ","") &amp; IF(AA83="SIM","compartilhamento com terceiros; ","") &amp; IF(R83="SIM","compartilhamento com órgãos governamentais; ","") &amp; IF(AJ83="NÃO","ausência de controle de acesso por perfil; ","")),"DPIA não indicado: Processo de baixa criticidade."))</f>
      </c>
    </row>
    <row x14ac:dyDescent="0.25" r="84" customHeight="1" ht="15.75">
      <c r="A84" s="112">
        <v>81</v>
      </c>
      <c r="B84" s="52"/>
      <c r="C84" s="53"/>
      <c r="D84" s="53"/>
      <c r="E84" s="32"/>
      <c r="F84" s="52"/>
      <c r="G84" s="24"/>
      <c r="H84" s="24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3"/>
      <c r="AA84" s="52"/>
      <c r="AB84" s="52"/>
      <c r="AC84" s="52"/>
      <c r="AD84" s="52"/>
      <c r="AE84" s="52"/>
      <c r="AF84" s="52"/>
      <c r="AG84" s="53"/>
      <c r="AH84" s="53"/>
      <c r="AI84" s="53"/>
      <c r="AJ84" s="52"/>
      <c r="AK84" s="53"/>
      <c r="AL84" s="53"/>
      <c r="AM84" s="53"/>
      <c r="AN84" s="53"/>
      <c r="AO84" s="53"/>
      <c r="AP84" s="52"/>
      <c r="AQ84" s="113">
        <f>IF(AND(I84="",K84="",AF84="",AL84="",AN84="",O84=""),"",IF(OR(I84="SIM",K84="SIM",AF84="SIM",AL84="SIM",AN84="Dados pessoais",AN84="Dados sensíveis",AN84="Dados pessoais e sensíveis",O84="Acima de 10.000 titulares por mês"),"SIM - Alta criticidade",IF((IF(I84="SIM",2,0)+IF(K84="SIM",2,0)+IF(AF84="SIM",2,0)+IF(OR(AN84="Dados pessoais",AN84="Dados sensíveis",AN84="Dados pessoais e sensíveis"),2,0)+IF(O84="De 1.001 a 10.000 titulares por mês",1,0)+IF(AA84="SIM",1,0)+IF(R84="SIM",1,0)+IF(AL84="SIM",1,0)+IF(AJ84="NÃO",1,0))&gt;=5,"SIM - Alta criticidade",IF((IF(I84="SIM",2,0)+IF(K84="SIM",2,0)+IF(AF84="SIM",2,0)+IF(OR(AN84="Dados pessoais",AN84="Dados sensíveis",AN84="Dados pessoais e sensíveis"),2,0)+IF(O84="De 1.001 a 10.000 titulares por mês",1,0)+IF(AA84="SIM",1,0)+IF(R84="SIM",1,0)+IF(AL84="SIM",1,0)+IF(AJ84="NÃO",1,0))&gt;=3,"Avaliação necessária","NÃO"))))</f>
      </c>
      <c r="AR84" s="68"/>
      <c r="AS84" s="113">
        <f>IF(AND(I84="",K84="",AF84="",AL84="",AN84="",O84=""),"",IF(OR(I84="SIM",K84="SIM",AF84="SIM",AL84="SIM",OR(AN84="Dados pessoais",AN84="Dados sensíveis",AN84="Dados pessoais e sensíveis"),O84="Acima de 10.000 titulares por mês",(IF(I84="SIM",2,0)+IF(K84="SIM",2,0)+IF(AF84="SIM",2,0)+IF(OR(AN84="Dados pessoais",AN84="Dados sensíveis",AN84="Dados pessoais e sensíveis"),2,0)+IF(O84="De 1.001 a 10.000 titulares por mês",1,0)+IF(AA84="SIM",1,0)+IF(R84="SIM",1,0)+IF(AL84="SIM",1,0)+IF(AJ84="NÃO",1,0))&gt;=3),"DPIA indicado ou em avaliação em razão de: " &amp; TRIM(IF(I84="SIM","tratamento de dados sensíveis; ","") &amp; IF(K84="SIM","utilização de dados de menores; ","") &amp; IF(AF84="SIM","transferência internacional de dados; ","") &amp; IF(AL84="SIM","utilização de inteligência artificial; ","") &amp; IF(OR(AN84="Dados pessoais",AN84="Dados sensíveis",AN84="Dados pessoais e sensíveis"),"dados inseridos em IA; ","") &amp; IF(O84="Acima de 10.000 titulares por mês","volume crítico de titulares; ","") &amp; IF(O84="De 1.001 a 10.000 titulares por mês","volume moderado de titulares; ","") &amp; IF(AA84="SIM","compartilhamento com terceiros; ","") &amp; IF(R84="SIM","compartilhamento com órgãos governamentais; ","") &amp; IF(AJ84="NÃO","ausência de controle de acesso por perfil; ","")),"DPIA não indicado: Processo de baixa criticidade."))</f>
      </c>
    </row>
    <row x14ac:dyDescent="0.25" r="85" customHeight="1" ht="15.75" customFormat="1" s="1">
      <c r="A85" s="112">
        <v>82</v>
      </c>
      <c r="B85" s="52"/>
      <c r="C85" s="53"/>
      <c r="D85" s="53"/>
      <c r="E85" s="32"/>
      <c r="F85" s="52"/>
      <c r="G85" s="24"/>
      <c r="H85" s="24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3"/>
      <c r="AA85" s="52"/>
      <c r="AB85" s="52"/>
      <c r="AC85" s="52"/>
      <c r="AD85" s="52"/>
      <c r="AE85" s="52"/>
      <c r="AF85" s="52"/>
      <c r="AG85" s="52"/>
      <c r="AH85" s="52"/>
      <c r="AI85" s="52"/>
      <c r="AJ85" s="52"/>
      <c r="AK85" s="53"/>
      <c r="AL85" s="53"/>
      <c r="AM85" s="53"/>
      <c r="AN85" s="53"/>
      <c r="AO85" s="53"/>
      <c r="AP85" s="53"/>
      <c r="AQ85" s="113">
        <f>IF(AND(I85="",K85="",AF85="",AL85="",AN85="",O85=""),"",IF(OR(I85="SIM",K85="SIM",AF85="SIM",AL85="SIM",AN85="Dados pessoais",AN85="Dados sensíveis",AN85="Dados pessoais e sensíveis",O85="Acima de 10.000 titulares por mês"),"SIM - Alta criticidade",IF((IF(I85="SIM",2,0)+IF(K85="SIM",2,0)+IF(AF85="SIM",2,0)+IF(OR(AN85="Dados pessoais",AN85="Dados sensíveis",AN85="Dados pessoais e sensíveis"),2,0)+IF(O85="De 1.001 a 10.000 titulares por mês",1,0)+IF(AA85="SIM",1,0)+IF(R85="SIM",1,0)+IF(AL85="SIM",1,0)+IF(AJ85="NÃO",1,0))&gt;=5,"SIM - Alta criticidade",IF((IF(I85="SIM",2,0)+IF(K85="SIM",2,0)+IF(AF85="SIM",2,0)+IF(OR(AN85="Dados pessoais",AN85="Dados sensíveis",AN85="Dados pessoais e sensíveis"),2,0)+IF(O85="De 1.001 a 10.000 titulares por mês",1,0)+IF(AA85="SIM",1,0)+IF(R85="SIM",1,0)+IF(AL85="SIM",1,0)+IF(AJ85="NÃO",1,0))&gt;=3,"Avaliação necessária","NÃO"))))</f>
      </c>
      <c r="AR85" s="120"/>
      <c r="AS85" s="113">
        <f>IF(AND(I85="",K85="",AF85="",AL85="",AN85="",O85=""),"",IF(OR(I85="SIM",K85="SIM",AF85="SIM",AL85="SIM",OR(AN85="Dados pessoais",AN85="Dados sensíveis",AN85="Dados pessoais e sensíveis"),O85="Acima de 10.000 titulares por mês",(IF(I85="SIM",2,0)+IF(K85="SIM",2,0)+IF(AF85="SIM",2,0)+IF(OR(AN85="Dados pessoais",AN85="Dados sensíveis",AN85="Dados pessoais e sensíveis"),2,0)+IF(O85="De 1.001 a 10.000 titulares por mês",1,0)+IF(AA85="SIM",1,0)+IF(R85="SIM",1,0)+IF(AL85="SIM",1,0)+IF(AJ85="NÃO",1,0))&gt;=3),"DPIA indicado ou em avaliação em razão de: " &amp; TRIM(IF(I85="SIM","tratamento de dados sensíveis; ","") &amp; IF(K85="SIM","utilização de dados de menores; ","") &amp; IF(AF85="SIM","transferência internacional de dados; ","") &amp; IF(AL85="SIM","utilização de inteligência artificial; ","") &amp; IF(OR(AN85="Dados pessoais",AN85="Dados sensíveis",AN85="Dados pessoais e sensíveis"),"dados inseridos em IA; ","") &amp; IF(O85="Acima de 10.000 titulares por mês","volume crítico de titulares; ","") &amp; IF(O85="De 1.001 a 10.000 titulares por mês","volume moderado de titulares; ","") &amp; IF(AA85="SIM","compartilhamento com terceiros; ","") &amp; IF(R85="SIM","compartilhamento com órgãos governamentais; ","") &amp; IF(AJ85="NÃO","ausência de controle de acesso por perfil; ","")),"DPIA não indicado: Processo de baixa criticidade."))</f>
      </c>
    </row>
    <row x14ac:dyDescent="0.25" r="86" customHeight="1" ht="15.75">
      <c r="A86" s="112">
        <v>83</v>
      </c>
      <c r="B86" s="52"/>
      <c r="C86" s="53"/>
      <c r="D86" s="53"/>
      <c r="E86" s="32"/>
      <c r="F86" s="52"/>
      <c r="G86" s="24"/>
      <c r="H86" s="24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3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3"/>
      <c r="AL86" s="53"/>
      <c r="AM86" s="53"/>
      <c r="AN86" s="53"/>
      <c r="AO86" s="53"/>
      <c r="AP86" s="53"/>
      <c r="AQ86" s="113">
        <f>IF(AND(I86="",K86="",AF86="",AL86="",AN86="",O86=""),"",IF(OR(I86="SIM",K86="SIM",AF86="SIM",AL86="SIM",AN86="Dados pessoais",AN86="Dados sensíveis",AN86="Dados pessoais e sensíveis",O86="Acima de 10.000 titulares por mês"),"SIM - Alta criticidade",IF((IF(I86="SIM",2,0)+IF(K86="SIM",2,0)+IF(AF86="SIM",2,0)+IF(OR(AN86="Dados pessoais",AN86="Dados sensíveis",AN86="Dados pessoais e sensíveis"),2,0)+IF(O86="De 1.001 a 10.000 titulares por mês",1,0)+IF(AA86="SIM",1,0)+IF(R86="SIM",1,0)+IF(AL86="SIM",1,0)+IF(AJ86="NÃO",1,0))&gt;=5,"SIM - Alta criticidade",IF((IF(I86="SIM",2,0)+IF(K86="SIM",2,0)+IF(AF86="SIM",2,0)+IF(OR(AN86="Dados pessoais",AN86="Dados sensíveis",AN86="Dados pessoais e sensíveis"),2,0)+IF(O86="De 1.001 a 10.000 titulares por mês",1,0)+IF(AA86="SIM",1,0)+IF(R86="SIM",1,0)+IF(AL86="SIM",1,0)+IF(AJ86="NÃO",1,0))&gt;=3,"Avaliação necessária","NÃO"))))</f>
      </c>
      <c r="AR86" s="68"/>
      <c r="AS86" s="113">
        <f>IF(AND(I86="",K86="",AF86="",AL86="",AN86="",O86=""),"",IF(OR(I86="SIM",K86="SIM",AF86="SIM",AL86="SIM",OR(AN86="Dados pessoais",AN86="Dados sensíveis",AN86="Dados pessoais e sensíveis"),O86="Acima de 10.000 titulares por mês",(IF(I86="SIM",2,0)+IF(K86="SIM",2,0)+IF(AF86="SIM",2,0)+IF(OR(AN86="Dados pessoais",AN86="Dados sensíveis",AN86="Dados pessoais e sensíveis"),2,0)+IF(O86="De 1.001 a 10.000 titulares por mês",1,0)+IF(AA86="SIM",1,0)+IF(R86="SIM",1,0)+IF(AL86="SIM",1,0)+IF(AJ86="NÃO",1,0))&gt;=3),"DPIA indicado ou em avaliação em razão de: " &amp; TRIM(IF(I86="SIM","tratamento de dados sensíveis; ","") &amp; IF(K86="SIM","utilização de dados de menores; ","") &amp; IF(AF86="SIM","transferência internacional de dados; ","") &amp; IF(AL86="SIM","utilização de inteligência artificial; ","") &amp; IF(OR(AN86="Dados pessoais",AN86="Dados sensíveis",AN86="Dados pessoais e sensíveis"),"dados inseridos em IA; ","") &amp; IF(O86="Acima de 10.000 titulares por mês","volume crítico de titulares; ","") &amp; IF(O86="De 1.001 a 10.000 titulares por mês","volume moderado de titulares; ","") &amp; IF(AA86="SIM","compartilhamento com terceiros; ","") &amp; IF(R86="SIM","compartilhamento com órgãos governamentais; ","") &amp; IF(AJ86="NÃO","ausência de controle de acesso por perfil; ","")),"DPIA não indicado: Processo de baixa criticidade."))</f>
      </c>
    </row>
    <row x14ac:dyDescent="0.25" r="87" customHeight="1" ht="15.75">
      <c r="A87" s="112">
        <v>84</v>
      </c>
      <c r="B87" s="52"/>
      <c r="C87" s="53"/>
      <c r="D87" s="52"/>
      <c r="E87" s="32"/>
      <c r="F87" s="52"/>
      <c r="G87" s="32"/>
      <c r="H87" s="32"/>
      <c r="I87" s="52"/>
      <c r="J87" s="57"/>
      <c r="K87" s="52"/>
      <c r="L87" s="53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3"/>
      <c r="AA87" s="52"/>
      <c r="AB87" s="53"/>
      <c r="AC87" s="52"/>
      <c r="AD87" s="53"/>
      <c r="AE87" s="52"/>
      <c r="AF87" s="52"/>
      <c r="AG87" s="52"/>
      <c r="AH87" s="52"/>
      <c r="AI87" s="52"/>
      <c r="AJ87" s="52"/>
      <c r="AK87" s="53"/>
      <c r="AL87" s="53"/>
      <c r="AM87" s="53"/>
      <c r="AN87" s="53"/>
      <c r="AO87" s="53"/>
      <c r="AP87" s="52"/>
      <c r="AQ87" s="113">
        <f>IF(AND(I87="",K87="",AF87="",AL87="",AN87="",O87=""),"",IF(OR(I87="SIM",K87="SIM",AF87="SIM",AL87="SIM",AN87="Dados pessoais",AN87="Dados sensíveis",AN87="Dados pessoais e sensíveis",O87="Acima de 10.000 titulares por mês"),"SIM - Alta criticidade",IF((IF(I87="SIM",2,0)+IF(K87="SIM",2,0)+IF(AF87="SIM",2,0)+IF(OR(AN87="Dados pessoais",AN87="Dados sensíveis",AN87="Dados pessoais e sensíveis"),2,0)+IF(O87="De 1.001 a 10.000 titulares por mês",1,0)+IF(AA87="SIM",1,0)+IF(R87="SIM",1,0)+IF(AL87="SIM",1,0)+IF(AJ87="NÃO",1,0))&gt;=5,"SIM - Alta criticidade",IF((IF(I87="SIM",2,0)+IF(K87="SIM",2,0)+IF(AF87="SIM",2,0)+IF(OR(AN87="Dados pessoais",AN87="Dados sensíveis",AN87="Dados pessoais e sensíveis"),2,0)+IF(O87="De 1.001 a 10.000 titulares por mês",1,0)+IF(AA87="SIM",1,0)+IF(R87="SIM",1,0)+IF(AL87="SIM",1,0)+IF(AJ87="NÃO",1,0))&gt;=3,"Avaliação necessária","NÃO"))))</f>
      </c>
      <c r="AR87" s="68"/>
      <c r="AS87" s="113">
        <f>IF(AND(I87="",K87="",AF87="",AL87="",AN87="",O87=""),"",IF(OR(I87="SIM",K87="SIM",AF87="SIM",AL87="SIM",OR(AN87="Dados pessoais",AN87="Dados sensíveis",AN87="Dados pessoais e sensíveis"),O87="Acima de 10.000 titulares por mês",(IF(I87="SIM",2,0)+IF(K87="SIM",2,0)+IF(AF87="SIM",2,0)+IF(OR(AN87="Dados pessoais",AN87="Dados sensíveis",AN87="Dados pessoais e sensíveis"),2,0)+IF(O87="De 1.001 a 10.000 titulares por mês",1,0)+IF(AA87="SIM",1,0)+IF(R87="SIM",1,0)+IF(AL87="SIM",1,0)+IF(AJ87="NÃO",1,0))&gt;=3),"DPIA indicado ou em avaliação em razão de: " &amp; TRIM(IF(I87="SIM","tratamento de dados sensíveis; ","") &amp; IF(K87="SIM","utilização de dados de menores; ","") &amp; IF(AF87="SIM","transferência internacional de dados; ","") &amp; IF(AL87="SIM","utilização de inteligência artificial; ","") &amp; IF(OR(AN87="Dados pessoais",AN87="Dados sensíveis",AN87="Dados pessoais e sensíveis"),"dados inseridos em IA; ","") &amp; IF(O87="Acima de 10.000 titulares por mês","volume crítico de titulares; ","") &amp; IF(O87="De 1.001 a 10.000 titulares por mês","volume moderado de titulares; ","") &amp; IF(AA87="SIM","compartilhamento com terceiros; ","") &amp; IF(R87="SIM","compartilhamento com órgãos governamentais; ","") &amp; IF(AJ87="NÃO","ausência de controle de acesso por perfil; ","")),"DPIA não indicado: Processo de baixa criticidade."))</f>
      </c>
    </row>
    <row x14ac:dyDescent="0.25" r="88" customHeight="1" ht="15.75">
      <c r="A88" s="112">
        <v>85</v>
      </c>
      <c r="B88" s="52"/>
      <c r="C88" s="53"/>
      <c r="D88" s="52"/>
      <c r="E88" s="32"/>
      <c r="F88" s="52"/>
      <c r="G88" s="24"/>
      <c r="H88" s="24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3"/>
      <c r="AA88" s="52"/>
      <c r="AB88" s="52"/>
      <c r="AC88" s="52"/>
      <c r="AD88" s="52"/>
      <c r="AE88" s="52"/>
      <c r="AF88" s="52"/>
      <c r="AG88" s="52"/>
      <c r="AH88" s="52"/>
      <c r="AI88" s="52"/>
      <c r="AJ88" s="52"/>
      <c r="AK88" s="53"/>
      <c r="AL88" s="53"/>
      <c r="AM88" s="53"/>
      <c r="AN88" s="53"/>
      <c r="AO88" s="53"/>
      <c r="AP88" s="52"/>
      <c r="AQ88" s="113">
        <f>IF(AND(I88="",K88="",AF88="",AL88="",AN88="",O88=""),"",IF(OR(I88="SIM",K88="SIM",AF88="SIM",AL88="SIM",AN88="Dados pessoais",AN88="Dados sensíveis",AN88="Dados pessoais e sensíveis",O88="Acima de 10.000 titulares por mês"),"SIM - Alta criticidade",IF((IF(I88="SIM",2,0)+IF(K88="SIM",2,0)+IF(AF88="SIM",2,0)+IF(OR(AN88="Dados pessoais",AN88="Dados sensíveis",AN88="Dados pessoais e sensíveis"),2,0)+IF(O88="De 1.001 a 10.000 titulares por mês",1,0)+IF(AA88="SIM",1,0)+IF(R88="SIM",1,0)+IF(AL88="SIM",1,0)+IF(AJ88="NÃO",1,0))&gt;=5,"SIM - Alta criticidade",IF((IF(I88="SIM",2,0)+IF(K88="SIM",2,0)+IF(AF88="SIM",2,0)+IF(OR(AN88="Dados pessoais",AN88="Dados sensíveis",AN88="Dados pessoais e sensíveis"),2,0)+IF(O88="De 1.001 a 10.000 titulares por mês",1,0)+IF(AA88="SIM",1,0)+IF(R88="SIM",1,0)+IF(AL88="SIM",1,0)+IF(AJ88="NÃO",1,0))&gt;=3,"Avaliação necessária","NÃO"))))</f>
      </c>
      <c r="AR88" s="68"/>
      <c r="AS88" s="113">
        <f>IF(AND(I88="",K88="",AF88="",AL88="",AN88="",O88=""),"",IF(OR(I88="SIM",K88="SIM",AF88="SIM",AL88="SIM",OR(AN88="Dados pessoais",AN88="Dados sensíveis",AN88="Dados pessoais e sensíveis"),O88="Acima de 10.000 titulares por mês",(IF(I88="SIM",2,0)+IF(K88="SIM",2,0)+IF(AF88="SIM",2,0)+IF(OR(AN88="Dados pessoais",AN88="Dados sensíveis",AN88="Dados pessoais e sensíveis"),2,0)+IF(O88="De 1.001 a 10.000 titulares por mês",1,0)+IF(AA88="SIM",1,0)+IF(R88="SIM",1,0)+IF(AL88="SIM",1,0)+IF(AJ88="NÃO",1,0))&gt;=3),"DPIA indicado ou em avaliação em razão de: " &amp; TRIM(IF(I88="SIM","tratamento de dados sensíveis; ","") &amp; IF(K88="SIM","utilização de dados de menores; ","") &amp; IF(AF88="SIM","transferência internacional de dados; ","") &amp; IF(AL88="SIM","utilização de inteligência artificial; ","") &amp; IF(OR(AN88="Dados pessoais",AN88="Dados sensíveis",AN88="Dados pessoais e sensíveis"),"dados inseridos em IA; ","") &amp; IF(O88="Acima de 10.000 titulares por mês","volume crítico de titulares; ","") &amp; IF(O88="De 1.001 a 10.000 titulares por mês","volume moderado de titulares; ","") &amp; IF(AA88="SIM","compartilhamento com terceiros; ","") &amp; IF(R88="SIM","compartilhamento com órgãos governamentais; ","") &amp; IF(AJ88="NÃO","ausência de controle de acesso por perfil; ","")),"DPIA não indicado: Processo de baixa criticidade."))</f>
      </c>
    </row>
    <row x14ac:dyDescent="0.25" r="89" customHeight="1" ht="15.75">
      <c r="A89" s="112">
        <v>86</v>
      </c>
      <c r="B89" s="52"/>
      <c r="C89" s="53"/>
      <c r="D89" s="52"/>
      <c r="E89" s="32"/>
      <c r="F89" s="52"/>
      <c r="G89" s="24"/>
      <c r="H89" s="24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3"/>
      <c r="AA89" s="52"/>
      <c r="AB89" s="52"/>
      <c r="AC89" s="52"/>
      <c r="AD89" s="52"/>
      <c r="AE89" s="52"/>
      <c r="AF89" s="52"/>
      <c r="AG89" s="52"/>
      <c r="AH89" s="52"/>
      <c r="AI89" s="52"/>
      <c r="AJ89" s="52"/>
      <c r="AK89" s="53"/>
      <c r="AL89" s="53"/>
      <c r="AM89" s="53"/>
      <c r="AN89" s="53"/>
      <c r="AO89" s="53"/>
      <c r="AP89" s="52"/>
      <c r="AQ89" s="113">
        <f>IF(AND(I89="",K89="",AF89="",AL89="",AN89="",O89=""),"",IF(OR(I89="SIM",K89="SIM",AF89="SIM",AL89="SIM",AN89="Dados pessoais",AN89="Dados sensíveis",AN89="Dados pessoais e sensíveis",O89="Acima de 10.000 titulares por mês"),"SIM - Alta criticidade",IF((IF(I89="SIM",2,0)+IF(K89="SIM",2,0)+IF(AF89="SIM",2,0)+IF(OR(AN89="Dados pessoais",AN89="Dados sensíveis",AN89="Dados pessoais e sensíveis"),2,0)+IF(O89="De 1.001 a 10.000 titulares por mês",1,0)+IF(AA89="SIM",1,0)+IF(R89="SIM",1,0)+IF(AL89="SIM",1,0)+IF(AJ89="NÃO",1,0))&gt;=5,"SIM - Alta criticidade",IF((IF(I89="SIM",2,0)+IF(K89="SIM",2,0)+IF(AF89="SIM",2,0)+IF(OR(AN89="Dados pessoais",AN89="Dados sensíveis",AN89="Dados pessoais e sensíveis"),2,0)+IF(O89="De 1.001 a 10.000 titulares por mês",1,0)+IF(AA89="SIM",1,0)+IF(R89="SIM",1,0)+IF(AL89="SIM",1,0)+IF(AJ89="NÃO",1,0))&gt;=3,"Avaliação necessária","NÃO"))))</f>
      </c>
      <c r="AR89" s="68"/>
      <c r="AS89" s="113">
        <f>IF(AND(I89="",K89="",AF89="",AL89="",AN89="",O89=""),"",IF(OR(I89="SIM",K89="SIM",AF89="SIM",AL89="SIM",OR(AN89="Dados pessoais",AN89="Dados sensíveis",AN89="Dados pessoais e sensíveis"),O89="Acima de 10.000 titulares por mês",(IF(I89="SIM",2,0)+IF(K89="SIM",2,0)+IF(AF89="SIM",2,0)+IF(OR(AN89="Dados pessoais",AN89="Dados sensíveis",AN89="Dados pessoais e sensíveis"),2,0)+IF(O89="De 1.001 a 10.000 titulares por mês",1,0)+IF(AA89="SIM",1,0)+IF(R89="SIM",1,0)+IF(AL89="SIM",1,0)+IF(AJ89="NÃO",1,0))&gt;=3),"DPIA indicado ou em avaliação em razão de: " &amp; TRIM(IF(I89="SIM","tratamento de dados sensíveis; ","") &amp; IF(K89="SIM","utilização de dados de menores; ","") &amp; IF(AF89="SIM","transferência internacional de dados; ","") &amp; IF(AL89="SIM","utilização de inteligência artificial; ","") &amp; IF(OR(AN89="Dados pessoais",AN89="Dados sensíveis",AN89="Dados pessoais e sensíveis"),"dados inseridos em IA; ","") &amp; IF(O89="Acima de 10.000 titulares por mês","volume crítico de titulares; ","") &amp; IF(O89="De 1.001 a 10.000 titulares por mês","volume moderado de titulares; ","") &amp; IF(AA89="SIM","compartilhamento com terceiros; ","") &amp; IF(R89="SIM","compartilhamento com órgãos governamentais; ","") &amp; IF(AJ89="NÃO","ausência de controle de acesso por perfil; ","")),"DPIA não indicado: Processo de baixa criticidade."))</f>
      </c>
    </row>
    <row x14ac:dyDescent="0.25" r="90" customHeight="1" ht="15.75">
      <c r="A90" s="112">
        <v>87</v>
      </c>
      <c r="B90" s="52"/>
      <c r="C90" s="53"/>
      <c r="D90" s="52"/>
      <c r="E90" s="32"/>
      <c r="F90" s="52"/>
      <c r="G90" s="24"/>
      <c r="H90" s="24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3"/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3"/>
      <c r="AL90" s="53"/>
      <c r="AM90" s="53"/>
      <c r="AN90" s="53"/>
      <c r="AO90" s="53"/>
      <c r="AP90" s="52"/>
      <c r="AQ90" s="113">
        <f>IF(AND(I90="",K90="",AF90="",AL90="",AN90="",O90=""),"",IF(OR(I90="SIM",K90="SIM",AF90="SIM",AL90="SIM",AN90="Dados pessoais",AN90="Dados sensíveis",AN90="Dados pessoais e sensíveis",O90="Acima de 10.000 titulares por mês"),"SIM - Alta criticidade",IF((IF(I90="SIM",2,0)+IF(K90="SIM",2,0)+IF(AF90="SIM",2,0)+IF(OR(AN90="Dados pessoais",AN90="Dados sensíveis",AN90="Dados pessoais e sensíveis"),2,0)+IF(O90="De 1.001 a 10.000 titulares por mês",1,0)+IF(AA90="SIM",1,0)+IF(R90="SIM",1,0)+IF(AL90="SIM",1,0)+IF(AJ90="NÃO",1,0))&gt;=5,"SIM - Alta criticidade",IF((IF(I90="SIM",2,0)+IF(K90="SIM",2,0)+IF(AF90="SIM",2,0)+IF(OR(AN90="Dados pessoais",AN90="Dados sensíveis",AN90="Dados pessoais e sensíveis"),2,0)+IF(O90="De 1.001 a 10.000 titulares por mês",1,0)+IF(AA90="SIM",1,0)+IF(R90="SIM",1,0)+IF(AL90="SIM",1,0)+IF(AJ90="NÃO",1,0))&gt;=3,"Avaliação necessária","NÃO"))))</f>
      </c>
      <c r="AR90" s="68"/>
      <c r="AS90" s="113">
        <f>IF(AND(I90="",K90="",AF90="",AL90="",AN90="",O90=""),"",IF(OR(I90="SIM",K90="SIM",AF90="SIM",AL90="SIM",OR(AN90="Dados pessoais",AN90="Dados sensíveis",AN90="Dados pessoais e sensíveis"),O90="Acima de 10.000 titulares por mês",(IF(I90="SIM",2,0)+IF(K90="SIM",2,0)+IF(AF90="SIM",2,0)+IF(OR(AN90="Dados pessoais",AN90="Dados sensíveis",AN90="Dados pessoais e sensíveis"),2,0)+IF(O90="De 1.001 a 10.000 titulares por mês",1,0)+IF(AA90="SIM",1,0)+IF(R90="SIM",1,0)+IF(AL90="SIM",1,0)+IF(AJ90="NÃO",1,0))&gt;=3),"DPIA indicado ou em avaliação em razão de: " &amp; TRIM(IF(I90="SIM","tratamento de dados sensíveis; ","") &amp; IF(K90="SIM","utilização de dados de menores; ","") &amp; IF(AF90="SIM","transferência internacional de dados; ","") &amp; IF(AL90="SIM","utilização de inteligência artificial; ","") &amp; IF(OR(AN90="Dados pessoais",AN90="Dados sensíveis",AN90="Dados pessoais e sensíveis"),"dados inseridos em IA; ","") &amp; IF(O90="Acima de 10.000 titulares por mês","volume crítico de titulares; ","") &amp; IF(O90="De 1.001 a 10.000 titulares por mês","volume moderado de titulares; ","") &amp; IF(AA90="SIM","compartilhamento com terceiros; ","") &amp; IF(R90="SIM","compartilhamento com órgãos governamentais; ","") &amp; IF(AJ90="NÃO","ausência de controle de acesso por perfil; ","")),"DPIA não indicado: Processo de baixa criticidade."))</f>
      </c>
    </row>
    <row x14ac:dyDescent="0.25" r="91" customHeight="1" ht="15.75">
      <c r="A91" s="112">
        <v>88</v>
      </c>
      <c r="B91" s="52"/>
      <c r="C91" s="53"/>
      <c r="D91" s="52"/>
      <c r="E91" s="32"/>
      <c r="F91" s="52"/>
      <c r="G91" s="24"/>
      <c r="H91" s="24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3"/>
      <c r="AA91" s="52"/>
      <c r="AB91" s="52"/>
      <c r="AC91" s="52"/>
      <c r="AD91" s="52"/>
      <c r="AE91" s="52"/>
      <c r="AF91" s="52"/>
      <c r="AG91" s="52"/>
      <c r="AH91" s="52"/>
      <c r="AI91" s="52"/>
      <c r="AJ91" s="52"/>
      <c r="AK91" s="53"/>
      <c r="AL91" s="53"/>
      <c r="AM91" s="53"/>
      <c r="AN91" s="53"/>
      <c r="AO91" s="53"/>
      <c r="AP91" s="52"/>
      <c r="AQ91" s="113">
        <f>IF(AND(I91="",K91="",AF91="",AL91="",AN91="",O91=""),"",IF(OR(I91="SIM",K91="SIM",AF91="SIM",AL91="SIM",AN91="Dados pessoais",AN91="Dados sensíveis",AN91="Dados pessoais e sensíveis",O91="Acima de 10.000 titulares por mês"),"SIM - Alta criticidade",IF((IF(I91="SIM",2,0)+IF(K91="SIM",2,0)+IF(AF91="SIM",2,0)+IF(OR(AN91="Dados pessoais",AN91="Dados sensíveis",AN91="Dados pessoais e sensíveis"),2,0)+IF(O91="De 1.001 a 10.000 titulares por mês",1,0)+IF(AA91="SIM",1,0)+IF(R91="SIM",1,0)+IF(AL91="SIM",1,0)+IF(AJ91="NÃO",1,0))&gt;=5,"SIM - Alta criticidade",IF((IF(I91="SIM",2,0)+IF(K91="SIM",2,0)+IF(AF91="SIM",2,0)+IF(OR(AN91="Dados pessoais",AN91="Dados sensíveis",AN91="Dados pessoais e sensíveis"),2,0)+IF(O91="De 1.001 a 10.000 titulares por mês",1,0)+IF(AA91="SIM",1,0)+IF(R91="SIM",1,0)+IF(AL91="SIM",1,0)+IF(AJ91="NÃO",1,0))&gt;=3,"Avaliação necessária","NÃO"))))</f>
      </c>
      <c r="AR91" s="68"/>
      <c r="AS91" s="113">
        <f>IF(AND(I91="",K91="",AF91="",AL91="",AN91="",O91=""),"",IF(OR(I91="SIM",K91="SIM",AF91="SIM",AL91="SIM",OR(AN91="Dados pessoais",AN91="Dados sensíveis",AN91="Dados pessoais e sensíveis"),O91="Acima de 10.000 titulares por mês",(IF(I91="SIM",2,0)+IF(K91="SIM",2,0)+IF(AF91="SIM",2,0)+IF(OR(AN91="Dados pessoais",AN91="Dados sensíveis",AN91="Dados pessoais e sensíveis"),2,0)+IF(O91="De 1.001 a 10.000 titulares por mês",1,0)+IF(AA91="SIM",1,0)+IF(R91="SIM",1,0)+IF(AL91="SIM",1,0)+IF(AJ91="NÃO",1,0))&gt;=3),"DPIA indicado ou em avaliação em razão de: " &amp; TRIM(IF(I91="SIM","tratamento de dados sensíveis; ","") &amp; IF(K91="SIM","utilização de dados de menores; ","") &amp; IF(AF91="SIM","transferência internacional de dados; ","") &amp; IF(AL91="SIM","utilização de inteligência artificial; ","") &amp; IF(OR(AN91="Dados pessoais",AN91="Dados sensíveis",AN91="Dados pessoais e sensíveis"),"dados inseridos em IA; ","") &amp; IF(O91="Acima de 10.000 titulares por mês","volume crítico de titulares; ","") &amp; IF(O91="De 1.001 a 10.000 titulares por mês","volume moderado de titulares; ","") &amp; IF(AA91="SIM","compartilhamento com terceiros; ","") &amp; IF(R91="SIM","compartilhamento com órgãos governamentais; ","") &amp; IF(AJ91="NÃO","ausência de controle de acesso por perfil; ","")),"DPIA não indicado: Processo de baixa criticidade."))</f>
      </c>
    </row>
    <row x14ac:dyDescent="0.25" r="92" customHeight="1" ht="190.5">
      <c r="A92" s="112">
        <v>89</v>
      </c>
      <c r="B92" s="52"/>
      <c r="C92" s="53"/>
      <c r="D92" s="53"/>
      <c r="E92" s="32"/>
      <c r="F92" s="53"/>
      <c r="G92" s="32"/>
      <c r="H92" s="32"/>
      <c r="I92" s="53"/>
      <c r="J92" s="53"/>
      <c r="K92" s="53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  <c r="AB92" s="52"/>
      <c r="AC92" s="52"/>
      <c r="AD92" s="52"/>
      <c r="AE92" s="52"/>
      <c r="AF92" s="52"/>
      <c r="AG92" s="52"/>
      <c r="AH92" s="52"/>
      <c r="AI92" s="52"/>
      <c r="AJ92" s="52"/>
      <c r="AK92" s="53"/>
      <c r="AL92" s="53"/>
      <c r="AM92" s="53"/>
      <c r="AN92" s="53"/>
      <c r="AO92" s="53"/>
      <c r="AP92" s="52"/>
      <c r="AQ92" s="113">
        <f>IF(AND(I92="",K92="",AF92="",AL92="",AN92="",O92=""),"",IF(OR(I92="SIM",K92="SIM",AF92="SIM",AL92="SIM",AN92="Dados pessoais",AN92="Dados sensíveis",AN92="Dados pessoais e sensíveis",O92="Acima de 10.000 titulares por mês"),"SIM - Alta criticidade",IF((IF(I92="SIM",2,0)+IF(K92="SIM",2,0)+IF(AF92="SIM",2,0)+IF(OR(AN92="Dados pessoais",AN92="Dados sensíveis",AN92="Dados pessoais e sensíveis"),2,0)+IF(O92="De 1.001 a 10.000 titulares por mês",1,0)+IF(AA92="SIM",1,0)+IF(R92="SIM",1,0)+IF(AL92="SIM",1,0)+IF(AJ92="NÃO",1,0))&gt;=5,"SIM - Alta criticidade",IF((IF(I92="SIM",2,0)+IF(K92="SIM",2,0)+IF(AF92="SIM",2,0)+IF(OR(AN92="Dados pessoais",AN92="Dados sensíveis",AN92="Dados pessoais e sensíveis"),2,0)+IF(O92="De 1.001 a 10.000 titulares por mês",1,0)+IF(AA92="SIM",1,0)+IF(R92="SIM",1,0)+IF(AL92="SIM",1,0)+IF(AJ92="NÃO",1,0))&gt;=3,"Avaliação necessária","NÃO"))))</f>
      </c>
      <c r="AR92" s="68"/>
      <c r="AS92" s="113">
        <f>IF(AND(I92="",K92="",AF92="",AL92="",AN92="",O92=""),"",IF(OR(I92="SIM",K92="SIM",AF92="SIM",AL92="SIM",OR(AN92="Dados pessoais",AN92="Dados sensíveis",AN92="Dados pessoais e sensíveis"),O92="Acima de 10.000 titulares por mês",(IF(I92="SIM",2,0)+IF(K92="SIM",2,0)+IF(AF92="SIM",2,0)+IF(OR(AN92="Dados pessoais",AN92="Dados sensíveis",AN92="Dados pessoais e sensíveis"),2,0)+IF(O92="De 1.001 a 10.000 titulares por mês",1,0)+IF(AA92="SIM",1,0)+IF(R92="SIM",1,0)+IF(AL92="SIM",1,0)+IF(AJ92="NÃO",1,0))&gt;=3),"DPIA indicado ou em avaliação em razão de: " &amp; TRIM(IF(I92="SIM","tratamento de dados sensíveis; ","") &amp; IF(K92="SIM","utilização de dados de menores; ","") &amp; IF(AF92="SIM","transferência internacional de dados; ","") &amp; IF(AL92="SIM","utilização de inteligência artificial; ","") &amp; IF(OR(AN92="Dados pessoais",AN92="Dados sensíveis",AN92="Dados pessoais e sensíveis"),"dados inseridos em IA; ","") &amp; IF(O92="Acima de 10.000 titulares por mês","volume crítico de titulares; ","") &amp; IF(O92="De 1.001 a 10.000 titulares por mês","volume moderado de titulares; ","") &amp; IF(AA92="SIM","compartilhamento com terceiros; ","") &amp; IF(R92="SIM","compartilhamento com órgãos governamentais; ","") &amp; IF(AJ92="NÃO","ausência de controle de acesso por perfil; ","")),"DPIA não indicado: Processo de baixa criticidade."))</f>
      </c>
    </row>
    <row x14ac:dyDescent="0.25" r="93" customHeight="1" ht="15.75">
      <c r="A93" s="112">
        <v>90</v>
      </c>
      <c r="B93" s="52"/>
      <c r="C93" s="53"/>
      <c r="D93" s="53"/>
      <c r="E93" s="32"/>
      <c r="F93" s="53"/>
      <c r="G93" s="32"/>
      <c r="H93" s="32"/>
      <c r="I93" s="52"/>
      <c r="J93" s="53"/>
      <c r="K93" s="53"/>
      <c r="L93" s="3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  <c r="AB93" s="32"/>
      <c r="AC93" s="52"/>
      <c r="AD93" s="52"/>
      <c r="AE93" s="52"/>
      <c r="AF93" s="52"/>
      <c r="AG93" s="52"/>
      <c r="AH93" s="52"/>
      <c r="AI93" s="52"/>
      <c r="AJ93" s="52"/>
      <c r="AK93" s="53"/>
      <c r="AL93" s="53"/>
      <c r="AM93" s="53"/>
      <c r="AN93" s="53"/>
      <c r="AO93" s="53"/>
      <c r="AP93" s="52"/>
      <c r="AQ93" s="113">
        <f>IF(AND(I93="",K93="",AF93="",AL93="",AN93="",O93=""),"",IF(OR(I93="SIM",K93="SIM",AF93="SIM",AL93="SIM",AN93="Dados pessoais",AN93="Dados sensíveis",AN93="Dados pessoais e sensíveis",O93="Acima de 10.000 titulares por mês"),"SIM - Alta criticidade",IF((IF(I93="SIM",2,0)+IF(K93="SIM",2,0)+IF(AF93="SIM",2,0)+IF(OR(AN93="Dados pessoais",AN93="Dados sensíveis",AN93="Dados pessoais e sensíveis"),2,0)+IF(O93="De 1.001 a 10.000 titulares por mês",1,0)+IF(AA93="SIM",1,0)+IF(R93="SIM",1,0)+IF(AL93="SIM",1,0)+IF(AJ93="NÃO",1,0))&gt;=5,"SIM - Alta criticidade",IF((IF(I93="SIM",2,0)+IF(K93="SIM",2,0)+IF(AF93="SIM",2,0)+IF(OR(AN93="Dados pessoais",AN93="Dados sensíveis",AN93="Dados pessoais e sensíveis"),2,0)+IF(O93="De 1.001 a 10.000 titulares por mês",1,0)+IF(AA93="SIM",1,0)+IF(R93="SIM",1,0)+IF(AL93="SIM",1,0)+IF(AJ93="NÃO",1,0))&gt;=3,"Avaliação necessária","NÃO"))))</f>
      </c>
      <c r="AR93" s="68"/>
      <c r="AS93" s="113">
        <f>IF(AND(I93="",K93="",AF93="",AL93="",AN93="",O93=""),"",IF(OR(I93="SIM",K93="SIM",AF93="SIM",AL93="SIM",OR(AN93="Dados pessoais",AN93="Dados sensíveis",AN93="Dados pessoais e sensíveis"),O93="Acima de 10.000 titulares por mês",(IF(I93="SIM",2,0)+IF(K93="SIM",2,0)+IF(AF93="SIM",2,0)+IF(OR(AN93="Dados pessoais",AN93="Dados sensíveis",AN93="Dados pessoais e sensíveis"),2,0)+IF(O93="De 1.001 a 10.000 titulares por mês",1,0)+IF(AA93="SIM",1,0)+IF(R93="SIM",1,0)+IF(AL93="SIM",1,0)+IF(AJ93="NÃO",1,0))&gt;=3),"DPIA indicado ou em avaliação em razão de: " &amp; TRIM(IF(I93="SIM","tratamento de dados sensíveis; ","") &amp; IF(K93="SIM","utilização de dados de menores; ","") &amp; IF(AF93="SIM","transferência internacional de dados; ","") &amp; IF(AL93="SIM","utilização de inteligência artificial; ","") &amp; IF(OR(AN93="Dados pessoais",AN93="Dados sensíveis",AN93="Dados pessoais e sensíveis"),"dados inseridos em IA; ","") &amp; IF(O93="Acima de 10.000 titulares por mês","volume crítico de titulares; ","") &amp; IF(O93="De 1.001 a 10.000 titulares por mês","volume moderado de titulares; ","") &amp; IF(AA93="SIM","compartilhamento com terceiros; ","") &amp; IF(R93="SIM","compartilhamento com órgãos governamentais; ","") &amp; IF(AJ93="NÃO","ausência de controle de acesso por perfil; ","")),"DPIA não indicado: Processo de baixa criticidade."))</f>
      </c>
    </row>
    <row x14ac:dyDescent="0.25" r="94" customHeight="1" ht="15.75">
      <c r="A94" s="112">
        <v>91</v>
      </c>
      <c r="B94" s="52"/>
      <c r="C94" s="53"/>
      <c r="D94" s="53"/>
      <c r="E94" s="32"/>
      <c r="F94" s="53"/>
      <c r="G94" s="32"/>
      <c r="H94" s="32"/>
      <c r="I94" s="52"/>
      <c r="J94" s="53"/>
      <c r="K94" s="53"/>
      <c r="L94" s="3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  <c r="AB94" s="32"/>
      <c r="AC94" s="52"/>
      <c r="AD94" s="52"/>
      <c r="AE94" s="52"/>
      <c r="AF94" s="52"/>
      <c r="AG94" s="52"/>
      <c r="AH94" s="52"/>
      <c r="AI94" s="52"/>
      <c r="AJ94" s="52"/>
      <c r="AK94" s="53"/>
      <c r="AL94" s="53"/>
      <c r="AM94" s="53"/>
      <c r="AN94" s="53"/>
      <c r="AO94" s="53"/>
      <c r="AP94" s="52"/>
      <c r="AQ94" s="113">
        <f>IF(AND(I94="",K94="",AF94="",AL94="",AN94="",O94=""),"",IF(OR(I94="SIM",K94="SIM",AF94="SIM",AL94="SIM",AN94="Dados pessoais",AN94="Dados sensíveis",AN94="Dados pessoais e sensíveis",O94="Acima de 10.000 titulares por mês"),"SIM - Alta criticidade",IF((IF(I94="SIM",2,0)+IF(K94="SIM",2,0)+IF(AF94="SIM",2,0)+IF(OR(AN94="Dados pessoais",AN94="Dados sensíveis",AN94="Dados pessoais e sensíveis"),2,0)+IF(O94="De 1.001 a 10.000 titulares por mês",1,0)+IF(AA94="SIM",1,0)+IF(R94="SIM",1,0)+IF(AL94="SIM",1,0)+IF(AJ94="NÃO",1,0))&gt;=5,"SIM - Alta criticidade",IF((IF(I94="SIM",2,0)+IF(K94="SIM",2,0)+IF(AF94="SIM",2,0)+IF(OR(AN94="Dados pessoais",AN94="Dados sensíveis",AN94="Dados pessoais e sensíveis"),2,0)+IF(O94="De 1.001 a 10.000 titulares por mês",1,0)+IF(AA94="SIM",1,0)+IF(R94="SIM",1,0)+IF(AL94="SIM",1,0)+IF(AJ94="NÃO",1,0))&gt;=3,"Avaliação necessária","NÃO"))))</f>
      </c>
      <c r="AR94" s="68"/>
      <c r="AS94" s="113">
        <f>IF(AND(I94="",K94="",AF94="",AL94="",AN94="",O94=""),"",IF(OR(I94="SIM",K94="SIM",AF94="SIM",AL94="SIM",OR(AN94="Dados pessoais",AN94="Dados sensíveis",AN94="Dados pessoais e sensíveis"),O94="Acima de 10.000 titulares por mês",(IF(I94="SIM",2,0)+IF(K94="SIM",2,0)+IF(AF94="SIM",2,0)+IF(OR(AN94="Dados pessoais",AN94="Dados sensíveis",AN94="Dados pessoais e sensíveis"),2,0)+IF(O94="De 1.001 a 10.000 titulares por mês",1,0)+IF(AA94="SIM",1,0)+IF(R94="SIM",1,0)+IF(AL94="SIM",1,0)+IF(AJ94="NÃO",1,0))&gt;=3),"DPIA indicado ou em avaliação em razão de: " &amp; TRIM(IF(I94="SIM","tratamento de dados sensíveis; ","") &amp; IF(K94="SIM","utilização de dados de menores; ","") &amp; IF(AF94="SIM","transferência internacional de dados; ","") &amp; IF(AL94="SIM","utilização de inteligência artificial; ","") &amp; IF(OR(AN94="Dados pessoais",AN94="Dados sensíveis",AN94="Dados pessoais e sensíveis"),"dados inseridos em IA; ","") &amp; IF(O94="Acima de 10.000 titulares por mês","volume crítico de titulares; ","") &amp; IF(O94="De 1.001 a 10.000 titulares por mês","volume moderado de titulares; ","") &amp; IF(AA94="SIM","compartilhamento com terceiros; ","") &amp; IF(R94="SIM","compartilhamento com órgãos governamentais; ","") &amp; IF(AJ94="NÃO","ausência de controle de acesso por perfil; ","")),"DPIA não indicado: Processo de baixa criticidade."))</f>
      </c>
    </row>
    <row x14ac:dyDescent="0.25" r="95" customHeight="1" ht="15.75">
      <c r="A95" s="112">
        <v>92</v>
      </c>
      <c r="B95" s="52"/>
      <c r="C95" s="53"/>
      <c r="D95" s="53"/>
      <c r="E95" s="32"/>
      <c r="F95" s="53"/>
      <c r="G95" s="32"/>
      <c r="H95" s="32"/>
      <c r="I95" s="53"/>
      <c r="J95" s="53"/>
      <c r="K95" s="53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  <c r="AB95" s="52"/>
      <c r="AC95" s="52"/>
      <c r="AD95" s="52"/>
      <c r="AE95" s="52"/>
      <c r="AF95" s="52"/>
      <c r="AG95" s="52"/>
      <c r="AH95" s="52"/>
      <c r="AI95" s="52"/>
      <c r="AJ95" s="52"/>
      <c r="AK95" s="53"/>
      <c r="AL95" s="53"/>
      <c r="AM95" s="53"/>
      <c r="AN95" s="53"/>
      <c r="AO95" s="53"/>
      <c r="AP95" s="52"/>
      <c r="AQ95" s="113">
        <f>IF(AND(I95="",K95="",AF95="",AL95="",AN95="",O95=""),"",IF(OR(I95="SIM",K95="SIM",AF95="SIM",AL95="SIM",AN95="Dados pessoais",AN95="Dados sensíveis",AN95="Dados pessoais e sensíveis",O95="Acima de 10.000 titulares por mês"),"SIM - Alta criticidade",IF((IF(I95="SIM",2,0)+IF(K95="SIM",2,0)+IF(AF95="SIM",2,0)+IF(OR(AN95="Dados pessoais",AN95="Dados sensíveis",AN95="Dados pessoais e sensíveis"),2,0)+IF(O95="De 1.001 a 10.000 titulares por mês",1,0)+IF(AA95="SIM",1,0)+IF(R95="SIM",1,0)+IF(AL95="SIM",1,0)+IF(AJ95="NÃO",1,0))&gt;=5,"SIM - Alta criticidade",IF((IF(I95="SIM",2,0)+IF(K95="SIM",2,0)+IF(AF95="SIM",2,0)+IF(OR(AN95="Dados pessoais",AN95="Dados sensíveis",AN95="Dados pessoais e sensíveis"),2,0)+IF(O95="De 1.001 a 10.000 titulares por mês",1,0)+IF(AA95="SIM",1,0)+IF(R95="SIM",1,0)+IF(AL95="SIM",1,0)+IF(AJ95="NÃO",1,0))&gt;=3,"Avaliação necessária","NÃO"))))</f>
      </c>
      <c r="AR95" s="68"/>
      <c r="AS95" s="113">
        <f>IF(AND(I95="",K95="",AF95="",AL95="",AN95="",O95=""),"",IF(OR(I95="SIM",K95="SIM",AF95="SIM",AL95="SIM",OR(AN95="Dados pessoais",AN95="Dados sensíveis",AN95="Dados pessoais e sensíveis"),O95="Acima de 10.000 titulares por mês",(IF(I95="SIM",2,0)+IF(K95="SIM",2,0)+IF(AF95="SIM",2,0)+IF(OR(AN95="Dados pessoais",AN95="Dados sensíveis",AN95="Dados pessoais e sensíveis"),2,0)+IF(O95="De 1.001 a 10.000 titulares por mês",1,0)+IF(AA95="SIM",1,0)+IF(R95="SIM",1,0)+IF(AL95="SIM",1,0)+IF(AJ95="NÃO",1,0))&gt;=3),"DPIA indicado ou em avaliação em razão de: " &amp; TRIM(IF(I95="SIM","tratamento de dados sensíveis; ","") &amp; IF(K95="SIM","utilização de dados de menores; ","") &amp; IF(AF95="SIM","transferência internacional de dados; ","") &amp; IF(AL95="SIM","utilização de inteligência artificial; ","") &amp; IF(OR(AN95="Dados pessoais",AN95="Dados sensíveis",AN95="Dados pessoais e sensíveis"),"dados inseridos em IA; ","") &amp; IF(O95="Acima de 10.000 titulares por mês","volume crítico de titulares; ","") &amp; IF(O95="De 1.001 a 10.000 titulares por mês","volume moderado de titulares; ","") &amp; IF(AA95="SIM","compartilhamento com terceiros; ","") &amp; IF(R95="SIM","compartilhamento com órgãos governamentais; ","") &amp; IF(AJ95="NÃO","ausência de controle de acesso por perfil; ","")),"DPIA não indicado: Processo de baixa criticidade."))</f>
      </c>
    </row>
    <row x14ac:dyDescent="0.25" r="96" customHeight="1" ht="15.75">
      <c r="A96" s="46"/>
      <c r="B96" s="6"/>
      <c r="C96" s="11"/>
      <c r="D96" s="11"/>
      <c r="E96" s="11"/>
      <c r="F96" s="29"/>
      <c r="G96" s="11"/>
      <c r="H96" s="11"/>
      <c r="I96" s="29"/>
      <c r="J96" s="11"/>
      <c r="K96" s="29"/>
      <c r="L96" s="11"/>
      <c r="M96" s="11"/>
      <c r="N96" s="11"/>
      <c r="O96" s="29"/>
      <c r="P96" s="29"/>
      <c r="Q96" s="11"/>
      <c r="R96" s="29"/>
      <c r="S96" s="11"/>
      <c r="T96" s="6"/>
      <c r="U96" s="29"/>
      <c r="V96" s="11"/>
      <c r="W96" s="11"/>
      <c r="X96" s="29"/>
      <c r="Y96" s="11"/>
      <c r="Z96" s="29"/>
      <c r="AA96" s="29"/>
      <c r="AB96" s="11"/>
      <c r="AC96" s="11"/>
      <c r="AD96" s="29"/>
      <c r="AE96" s="11"/>
      <c r="AF96" s="29"/>
      <c r="AG96" s="11"/>
      <c r="AH96" s="29"/>
      <c r="AI96" s="11"/>
      <c r="AJ96" s="29"/>
      <c r="AK96" s="29"/>
      <c r="AL96" s="29"/>
      <c r="AM96" s="11"/>
      <c r="AN96" s="29"/>
      <c r="AO96" s="29"/>
      <c r="AP96" s="6"/>
      <c r="AQ96" s="113">
        <f>IF(AND(I96="",K96="",AF96="",AL96="",AN96="",O96=""),"",IF(OR(I96="SIM",K96="SIM",AF96="SIM",AL96="SIM",AN96="Dados pessoais",AN96="Dados sensíveis",AN96="Dados pessoais e sensíveis",O96="Acima de 10.000 titulares por mês"),"SIM - Alta criticidade",IF((IF(I96="SIM",2,0)+IF(K96="SIM",2,0)+IF(AF96="SIM",2,0)+IF(OR(AN96="Dados pessoais",AN96="Dados sensíveis",AN96="Dados pessoais e sensíveis"),2,0)+IF(O96="De 1.001 a 10.000 titulares por mês",1,0)+IF(AA96="SIM",1,0)+IF(R96="SIM",1,0)+IF(AL96="SIM",1,0)+IF(AJ96="NÃO",1,0))&gt;=5,"SIM - Alta criticidade",IF((IF(I96="SIM",2,0)+IF(K96="SIM",2,0)+IF(AF96="SIM",2,0)+IF(OR(AN96="Dados pessoais",AN96="Dados sensíveis",AN96="Dados pessoais e sensíveis"),2,0)+IF(O96="De 1.001 a 10.000 titulares por mês",1,0)+IF(AA96="SIM",1,0)+IF(R96="SIM",1,0)+IF(AL96="SIM",1,0)+IF(AJ96="NÃO",1,0))&gt;=3,"Avaliação necessária","NÃO"))))</f>
      </c>
      <c r="AR96" s="11"/>
      <c r="AS96" s="113">
        <f>IF(AND(I96="",K96="",AF96="",AL96="",AN96="",O96=""),"",IF(OR(I96="SIM",K96="SIM",AF96="SIM",AL96="SIM",OR(AN96="Dados pessoais",AN96="Dados sensíveis",AN96="Dados pessoais e sensíveis"),O96="Acima de 10.000 titulares por mês",(IF(I96="SIM",2,0)+IF(K96="SIM",2,0)+IF(AF96="SIM",2,0)+IF(OR(AN96="Dados pessoais",AN96="Dados sensíveis",AN96="Dados pessoais e sensíveis"),2,0)+IF(O96="De 1.001 a 10.000 titulares por mês",1,0)+IF(AA96="SIM",1,0)+IF(R96="SIM",1,0)+IF(AL96="SIM",1,0)+IF(AJ96="NÃO",1,0))&gt;=3),"DPIA indicado ou em avaliação em razão de: " &amp; TRIM(IF(I96="SIM","tratamento de dados sensíveis; ","") &amp; IF(K96="SIM","utilização de dados de menores; ","") &amp; IF(AF96="SIM","transferência internacional de dados; ","") &amp; IF(AL96="SIM","utilização de inteligência artificial; ","") &amp; IF(OR(AN96="Dados pessoais",AN96="Dados sensíveis",AN96="Dados pessoais e sensíveis"),"dados inseridos em IA; ","") &amp; IF(O96="Acima de 10.000 titulares por mês","volume crítico de titulares; ","") &amp; IF(O96="De 1.001 a 10.000 titulares por mês","volume moderado de titulares; ","") &amp; IF(AA96="SIM","compartilhamento com terceiros; ","") &amp; IF(R96="SIM","compartilhamento com órgãos governamentais; ","") &amp; IF(AJ96="NÃO","ausência de controle de acesso por perfil; ","")),"DPIA não indicado: Processo de baixa criticidade."))</f>
      </c>
    </row>
    <row x14ac:dyDescent="0.25" r="97" customHeight="1" ht="15.75">
      <c r="A97" s="46"/>
      <c r="B97" s="6"/>
      <c r="C97" s="11"/>
      <c r="D97" s="11"/>
      <c r="E97" s="11"/>
      <c r="F97" s="29"/>
      <c r="G97" s="11"/>
      <c r="H97" s="11"/>
      <c r="I97" s="29"/>
      <c r="J97" s="11"/>
      <c r="K97" s="29"/>
      <c r="L97" s="11"/>
      <c r="M97" s="11"/>
      <c r="N97" s="11"/>
      <c r="O97" s="29"/>
      <c r="P97" s="29"/>
      <c r="Q97" s="11"/>
      <c r="R97" s="29"/>
      <c r="S97" s="11"/>
      <c r="T97" s="6"/>
      <c r="U97" s="29"/>
      <c r="V97" s="11"/>
      <c r="W97" s="11"/>
      <c r="X97" s="29"/>
      <c r="Y97" s="11"/>
      <c r="Z97" s="29"/>
      <c r="AA97" s="29"/>
      <c r="AB97" s="11"/>
      <c r="AC97" s="11"/>
      <c r="AD97" s="29"/>
      <c r="AE97" s="11"/>
      <c r="AF97" s="29"/>
      <c r="AG97" s="11"/>
      <c r="AH97" s="29"/>
      <c r="AI97" s="11"/>
      <c r="AJ97" s="29"/>
      <c r="AK97" s="29"/>
      <c r="AL97" s="29"/>
      <c r="AM97" s="11"/>
      <c r="AN97" s="29"/>
      <c r="AO97" s="29"/>
      <c r="AP97" s="6"/>
      <c r="AQ97" s="113">
        <f>IF(AND(I97="",K97="",AF97="",AL97="",AN97="",O97=""),"",IF(OR(I97="SIM",K97="SIM",AF97="SIM",AL97="SIM",AN97="Dados pessoais",AN97="Dados sensíveis",AN97="Dados pessoais e sensíveis",O97="Acima de 10.000 titulares por mês"),"SIM - Alta criticidade",IF((IF(I97="SIM",2,0)+IF(K97="SIM",2,0)+IF(AF97="SIM",2,0)+IF(OR(AN97="Dados pessoais",AN97="Dados sensíveis",AN97="Dados pessoais e sensíveis"),2,0)+IF(O97="De 1.001 a 10.000 titulares por mês",1,0)+IF(AA97="SIM",1,0)+IF(R97="SIM",1,0)+IF(AL97="SIM",1,0)+IF(AJ97="NÃO",1,0))&gt;=5,"SIM - Alta criticidade",IF((IF(I97="SIM",2,0)+IF(K97="SIM",2,0)+IF(AF97="SIM",2,0)+IF(OR(AN97="Dados pessoais",AN97="Dados sensíveis",AN97="Dados pessoais e sensíveis"),2,0)+IF(O97="De 1.001 a 10.000 titulares por mês",1,0)+IF(AA97="SIM",1,0)+IF(R97="SIM",1,0)+IF(AL97="SIM",1,0)+IF(AJ97="NÃO",1,0))&gt;=3,"Avaliação necessária","NÃO"))))</f>
      </c>
      <c r="AR97" s="11"/>
      <c r="AS97" s="113">
        <f>IF(AND(I97="",K97="",AF97="",AL97="",AN97="",O97=""),"",IF(OR(I97="SIM",K97="SIM",AF97="SIM",AL97="SIM",OR(AN97="Dados pessoais",AN97="Dados sensíveis",AN97="Dados pessoais e sensíveis"),O97="Acima de 10.000 titulares por mês",(IF(I97="SIM",2,0)+IF(K97="SIM",2,0)+IF(AF97="SIM",2,0)+IF(OR(AN97="Dados pessoais",AN97="Dados sensíveis",AN97="Dados pessoais e sensíveis"),2,0)+IF(O97="De 1.001 a 10.000 titulares por mês",1,0)+IF(AA97="SIM",1,0)+IF(R97="SIM",1,0)+IF(AL97="SIM",1,0)+IF(AJ97="NÃO",1,0))&gt;=3),"DPIA indicado ou em avaliação em razão de: " &amp; TRIM(IF(I97="SIM","tratamento de dados sensíveis; ","") &amp; IF(K97="SIM","utilização de dados de menores; ","") &amp; IF(AF97="SIM","transferência internacional de dados; ","") &amp; IF(AL97="SIM","utilização de inteligência artificial; ","") &amp; IF(OR(AN97="Dados pessoais",AN97="Dados sensíveis",AN97="Dados pessoais e sensíveis"),"dados inseridos em IA; ","") &amp; IF(O97="Acima de 10.000 titulares por mês","volume crítico de titulares; ","") &amp; IF(O97="De 1.001 a 10.000 titulares por mês","volume moderado de titulares; ","") &amp; IF(AA97="SIM","compartilhamento com terceiros; ","") &amp; IF(R97="SIM","compartilhamento com órgãos governamentais; ","") &amp; IF(AJ97="NÃO","ausência de controle de acesso por perfil; ","")),"DPIA não indicado: Processo de baixa criticidade."))</f>
      </c>
    </row>
    <row x14ac:dyDescent="0.25" r="98" customHeight="1" ht="15.75">
      <c r="A98" s="46"/>
      <c r="B98" s="6"/>
      <c r="C98" s="11"/>
      <c r="D98" s="11"/>
      <c r="E98" s="11"/>
      <c r="F98" s="29"/>
      <c r="G98" s="11"/>
      <c r="H98" s="11"/>
      <c r="I98" s="29"/>
      <c r="J98" s="11"/>
      <c r="K98" s="29"/>
      <c r="L98" s="11"/>
      <c r="M98" s="11"/>
      <c r="N98" s="11"/>
      <c r="O98" s="29"/>
      <c r="P98" s="29"/>
      <c r="Q98" s="11"/>
      <c r="R98" s="29"/>
      <c r="S98" s="11"/>
      <c r="T98" s="6"/>
      <c r="U98" s="29"/>
      <c r="V98" s="11"/>
      <c r="W98" s="11"/>
      <c r="X98" s="29"/>
      <c r="Y98" s="11"/>
      <c r="Z98" s="29"/>
      <c r="AA98" s="29"/>
      <c r="AB98" s="11"/>
      <c r="AC98" s="11"/>
      <c r="AD98" s="29"/>
      <c r="AE98" s="11"/>
      <c r="AF98" s="29"/>
      <c r="AG98" s="11"/>
      <c r="AH98" s="29"/>
      <c r="AI98" s="11"/>
      <c r="AJ98" s="29"/>
      <c r="AK98" s="29"/>
      <c r="AL98" s="29"/>
      <c r="AM98" s="11"/>
      <c r="AN98" s="29"/>
      <c r="AO98" s="29"/>
      <c r="AP98" s="6"/>
      <c r="AQ98" s="113">
        <f>IF(AND(I98="",K98="",AF98="",AL98="",AN98="",O98=""),"",IF(OR(I98="SIM",K98="SIM",AF98="SIM",AL98="SIM",AN98="Dados pessoais",AN98="Dados sensíveis",AN98="Dados pessoais e sensíveis",O98="Acima de 10.000 titulares por mês"),"SIM - Alta criticidade",IF((IF(I98="SIM",2,0)+IF(K98="SIM",2,0)+IF(AF98="SIM",2,0)+IF(OR(AN98="Dados pessoais",AN98="Dados sensíveis",AN98="Dados pessoais e sensíveis"),2,0)+IF(O98="De 1.001 a 10.000 titulares por mês",1,0)+IF(AA98="SIM",1,0)+IF(R98="SIM",1,0)+IF(AL98="SIM",1,0)+IF(AJ98="NÃO",1,0))&gt;=5,"SIM - Alta criticidade",IF((IF(I98="SIM",2,0)+IF(K98="SIM",2,0)+IF(AF98="SIM",2,0)+IF(OR(AN98="Dados pessoais",AN98="Dados sensíveis",AN98="Dados pessoais e sensíveis"),2,0)+IF(O98="De 1.001 a 10.000 titulares por mês",1,0)+IF(AA98="SIM",1,0)+IF(R98="SIM",1,0)+IF(AL98="SIM",1,0)+IF(AJ98="NÃO",1,0))&gt;=3,"Avaliação necessária","NÃO"))))</f>
      </c>
      <c r="AR98" s="11"/>
      <c r="AS98" s="113">
        <f>IF(AND(I98="",K98="",AF98="",AL98="",AN98="",O98=""),"",IF(OR(I98="SIM",K98="SIM",AF98="SIM",AL98="SIM",OR(AN98="Dados pessoais",AN98="Dados sensíveis",AN98="Dados pessoais e sensíveis"),O98="Acima de 10.000 titulares por mês",(IF(I98="SIM",2,0)+IF(K98="SIM",2,0)+IF(AF98="SIM",2,0)+IF(OR(AN98="Dados pessoais",AN98="Dados sensíveis",AN98="Dados pessoais e sensíveis"),2,0)+IF(O98="De 1.001 a 10.000 titulares por mês",1,0)+IF(AA98="SIM",1,0)+IF(R98="SIM",1,0)+IF(AL98="SIM",1,0)+IF(AJ98="NÃO",1,0))&gt;=3),"DPIA indicado ou em avaliação em razão de: " &amp; TRIM(IF(I98="SIM","tratamento de dados sensíveis; ","") &amp; IF(K98="SIM","utilização de dados de menores; ","") &amp; IF(AF98="SIM","transferência internacional de dados; ","") &amp; IF(AL98="SIM","utilização de inteligência artificial; ","") &amp; IF(OR(AN98="Dados pessoais",AN98="Dados sensíveis",AN98="Dados pessoais e sensíveis"),"dados inseridos em IA; ","") &amp; IF(O98="Acima de 10.000 titulares por mês","volume crítico de titulares; ","") &amp; IF(O98="De 1.001 a 10.000 titulares por mês","volume moderado de titulares; ","") &amp; IF(AA98="SIM","compartilhamento com terceiros; ","") &amp; IF(R98="SIM","compartilhamento com órgãos governamentais; ","") &amp; IF(AJ98="NÃO","ausência de controle de acesso por perfil; ","")),"DPIA não indicado: Processo de baixa criticidade."))</f>
      </c>
    </row>
    <row x14ac:dyDescent="0.25" r="99" customHeight="1" ht="15.75">
      <c r="A99" s="46"/>
      <c r="B99" s="6"/>
      <c r="C99" s="11"/>
      <c r="D99" s="11"/>
      <c r="E99" s="11"/>
      <c r="F99" s="29"/>
      <c r="G99" s="11"/>
      <c r="H99" s="11"/>
      <c r="I99" s="29"/>
      <c r="J99" s="11"/>
      <c r="K99" s="29"/>
      <c r="L99" s="11"/>
      <c r="M99" s="11"/>
      <c r="N99" s="11"/>
      <c r="O99" s="29"/>
      <c r="P99" s="29"/>
      <c r="Q99" s="11"/>
      <c r="R99" s="29"/>
      <c r="S99" s="11"/>
      <c r="T99" s="6"/>
      <c r="U99" s="29"/>
      <c r="V99" s="11"/>
      <c r="W99" s="11"/>
      <c r="X99" s="29"/>
      <c r="Y99" s="11"/>
      <c r="Z99" s="29"/>
      <c r="AA99" s="29"/>
      <c r="AB99" s="11"/>
      <c r="AC99" s="11"/>
      <c r="AD99" s="29"/>
      <c r="AE99" s="11"/>
      <c r="AF99" s="29"/>
      <c r="AG99" s="11"/>
      <c r="AH99" s="29"/>
      <c r="AI99" s="11"/>
      <c r="AJ99" s="29"/>
      <c r="AK99" s="29"/>
      <c r="AL99" s="29"/>
      <c r="AM99" s="11"/>
      <c r="AN99" s="29"/>
      <c r="AO99" s="29"/>
      <c r="AP99" s="6"/>
      <c r="AQ99" s="113">
        <f>IF(AND(I99="",K99="",AF99="",AL99="",AN99="",O99=""),"",IF(OR(I99="SIM",K99="SIM",AF99="SIM",AL99="SIM",AN99="Dados pessoais",AN99="Dados sensíveis",AN99="Dados pessoais e sensíveis",O99="Acima de 10.000 titulares por mês"),"SIM - Alta criticidade",IF((IF(I99="SIM",2,0)+IF(K99="SIM",2,0)+IF(AF99="SIM",2,0)+IF(OR(AN99="Dados pessoais",AN99="Dados sensíveis",AN99="Dados pessoais e sensíveis"),2,0)+IF(O99="De 1.001 a 10.000 titulares por mês",1,0)+IF(AA99="SIM",1,0)+IF(R99="SIM",1,0)+IF(AL99="SIM",1,0)+IF(AJ99="NÃO",1,0))&gt;=5,"SIM - Alta criticidade",IF((IF(I99="SIM",2,0)+IF(K99="SIM",2,0)+IF(AF99="SIM",2,0)+IF(OR(AN99="Dados pessoais",AN99="Dados sensíveis",AN99="Dados pessoais e sensíveis"),2,0)+IF(O99="De 1.001 a 10.000 titulares por mês",1,0)+IF(AA99="SIM",1,0)+IF(R99="SIM",1,0)+IF(AL99="SIM",1,0)+IF(AJ99="NÃO",1,0))&gt;=3,"Avaliação necessária","NÃO"))))</f>
      </c>
      <c r="AR99" s="11"/>
      <c r="AS99" s="113">
        <f>IF(AND(I99="",K99="",AF99="",AL99="",AN99="",O99=""),"",IF(OR(I99="SIM",K99="SIM",AF99="SIM",AL99="SIM",OR(AN99="Dados pessoais",AN99="Dados sensíveis",AN99="Dados pessoais e sensíveis"),O99="Acima de 10.000 titulares por mês",(IF(I99="SIM",2,0)+IF(K99="SIM",2,0)+IF(AF99="SIM",2,0)+IF(OR(AN99="Dados pessoais",AN99="Dados sensíveis",AN99="Dados pessoais e sensíveis"),2,0)+IF(O99="De 1.001 a 10.000 titulares por mês",1,0)+IF(AA99="SIM",1,0)+IF(R99="SIM",1,0)+IF(AL99="SIM",1,0)+IF(AJ99="NÃO",1,0))&gt;=3),"DPIA indicado ou em avaliação em razão de: " &amp; TRIM(IF(I99="SIM","tratamento de dados sensíveis; ","") &amp; IF(K99="SIM","utilização de dados de menores; ","") &amp; IF(AF99="SIM","transferência internacional de dados; ","") &amp; IF(AL99="SIM","utilização de inteligência artificial; ","") &amp; IF(OR(AN99="Dados pessoais",AN99="Dados sensíveis",AN99="Dados pessoais e sensíveis"),"dados inseridos em IA; ","") &amp; IF(O99="Acima de 10.000 titulares por mês","volume crítico de titulares; ","") &amp; IF(O99="De 1.001 a 10.000 titulares por mês","volume moderado de titulares; ","") &amp; IF(AA99="SIM","compartilhamento com terceiros; ","") &amp; IF(R99="SIM","compartilhamento com órgãos governamentais; ","") &amp; IF(AJ99="NÃO","ausência de controle de acesso por perfil; ","")),"DPIA não indicado: Processo de baixa criticidade."))</f>
      </c>
    </row>
    <row x14ac:dyDescent="0.25" r="100" customHeight="1" ht="15.75">
      <c r="A100" s="46"/>
      <c r="B100" s="6"/>
      <c r="C100" s="11"/>
      <c r="D100" s="11"/>
      <c r="E100" s="11"/>
      <c r="F100" s="29"/>
      <c r="G100" s="11"/>
      <c r="H100" s="11"/>
      <c r="I100" s="29"/>
      <c r="J100" s="11"/>
      <c r="K100" s="29"/>
      <c r="L100" s="11"/>
      <c r="M100" s="11"/>
      <c r="N100" s="11"/>
      <c r="O100" s="29"/>
      <c r="P100" s="29"/>
      <c r="Q100" s="11"/>
      <c r="R100" s="29"/>
      <c r="S100" s="11"/>
      <c r="T100" s="6"/>
      <c r="U100" s="29"/>
      <c r="V100" s="11"/>
      <c r="W100" s="11"/>
      <c r="X100" s="29"/>
      <c r="Y100" s="11"/>
      <c r="Z100" s="29"/>
      <c r="AA100" s="29"/>
      <c r="AB100" s="11"/>
      <c r="AC100" s="11"/>
      <c r="AD100" s="29"/>
      <c r="AE100" s="11"/>
      <c r="AF100" s="29"/>
      <c r="AG100" s="11"/>
      <c r="AH100" s="29"/>
      <c r="AI100" s="11"/>
      <c r="AJ100" s="29"/>
      <c r="AK100" s="29"/>
      <c r="AL100" s="29"/>
      <c r="AM100" s="11"/>
      <c r="AN100" s="29"/>
      <c r="AO100" s="29"/>
      <c r="AP100" s="6"/>
      <c r="AQ100" s="113">
        <f>IF(AND(I100="",K100="",AF100="",AL100="",AN100="",O100=""),"",IF(OR(I100="SIM",K100="SIM",AF100="SIM",AL100="SIM",AN100="Dados pessoais",AN100="Dados sensíveis",AN100="Dados pessoais e sensíveis",O100="Acima de 10.000 titulares por mês"),"SIM - Alta criticidade",IF((IF(I100="SIM",2,0)+IF(K100="SIM",2,0)+IF(AF100="SIM",2,0)+IF(OR(AN100="Dados pessoais",AN100="Dados sensíveis",AN100="Dados pessoais e sensíveis"),2,0)+IF(O100="De 1.001 a 10.000 titulares por mês",1,0)+IF(AA100="SIM",1,0)+IF(R100="SIM",1,0)+IF(AL100="SIM",1,0)+IF(AJ100="NÃO",1,0))&gt;=5,"SIM - Alta criticidade",IF((IF(I100="SIM",2,0)+IF(K100="SIM",2,0)+IF(AF100="SIM",2,0)+IF(OR(AN100="Dados pessoais",AN100="Dados sensíveis",AN100="Dados pessoais e sensíveis"),2,0)+IF(O100="De 1.001 a 10.000 titulares por mês",1,0)+IF(AA100="SIM",1,0)+IF(R100="SIM",1,0)+IF(AL100="SIM",1,0)+IF(AJ100="NÃO",1,0))&gt;=3,"Avaliação necessária","NÃO"))))</f>
      </c>
      <c r="AR100" s="11"/>
      <c r="AS100" s="113">
        <f>IF(AND(I100="",K100="",AF100="",AL100="",AN100="",O100=""),"",IF(OR(I100="SIM",K100="SIM",AF100="SIM",AL100="SIM",OR(AN100="Dados pessoais",AN100="Dados sensíveis",AN100="Dados pessoais e sensíveis"),O100="Acima de 10.000 titulares por mês",(IF(I100="SIM",2,0)+IF(K100="SIM",2,0)+IF(AF100="SIM",2,0)+IF(OR(AN100="Dados pessoais",AN100="Dados sensíveis",AN100="Dados pessoais e sensíveis"),2,0)+IF(O100="De 1.001 a 10.000 titulares por mês",1,0)+IF(AA100="SIM",1,0)+IF(R100="SIM",1,0)+IF(AL100="SIM",1,0)+IF(AJ100="NÃO",1,0))&gt;=3),"DPIA indicado ou em avaliação em razão de: " &amp; TRIM(IF(I100="SIM","tratamento de dados sensíveis; ","") &amp; IF(K100="SIM","utilização de dados de menores; ","") &amp; IF(AF100="SIM","transferência internacional de dados; ","") &amp; IF(AL100="SIM","utilização de inteligência artificial; ","") &amp; IF(OR(AN100="Dados pessoais",AN100="Dados sensíveis",AN100="Dados pessoais e sensíveis"),"dados inseridos em IA; ","") &amp; IF(O100="Acima de 10.000 titulares por mês","volume crítico de titulares; ","") &amp; IF(O100="De 1.001 a 10.000 titulares por mês","volume moderado de titulares; ","") &amp; IF(AA100="SIM","compartilhamento com terceiros; ","") &amp; IF(R100="SIM","compartilhamento com órgãos governamentais; ","") &amp; IF(AJ100="NÃO","ausência de controle de acesso por perfil; ","")),"DPIA não indicado: Processo de baixa criticidade."))</f>
      </c>
    </row>
    <row x14ac:dyDescent="0.25" r="101" customHeight="1" ht="15.75">
      <c r="A101" s="46"/>
      <c r="B101" s="6"/>
      <c r="C101" s="11"/>
      <c r="D101" s="11"/>
      <c r="E101" s="11"/>
      <c r="F101" s="29"/>
      <c r="G101" s="11"/>
      <c r="H101" s="11"/>
      <c r="I101" s="29"/>
      <c r="J101" s="11"/>
      <c r="K101" s="29"/>
      <c r="L101" s="11"/>
      <c r="M101" s="11"/>
      <c r="N101" s="11"/>
      <c r="O101" s="29"/>
      <c r="P101" s="29"/>
      <c r="Q101" s="11"/>
      <c r="R101" s="29"/>
      <c r="S101" s="11"/>
      <c r="T101" s="6"/>
      <c r="U101" s="29"/>
      <c r="V101" s="11"/>
      <c r="W101" s="11"/>
      <c r="X101" s="29"/>
      <c r="Y101" s="11"/>
      <c r="Z101" s="29"/>
      <c r="AA101" s="29"/>
      <c r="AB101" s="11"/>
      <c r="AC101" s="11"/>
      <c r="AD101" s="29"/>
      <c r="AE101" s="11"/>
      <c r="AF101" s="29"/>
      <c r="AG101" s="11"/>
      <c r="AH101" s="29"/>
      <c r="AI101" s="11"/>
      <c r="AJ101" s="29"/>
      <c r="AK101" s="29"/>
      <c r="AL101" s="29"/>
      <c r="AM101" s="11"/>
      <c r="AN101" s="29"/>
      <c r="AO101" s="29"/>
      <c r="AP101" s="6"/>
      <c r="AQ101" s="113">
        <f>IF(AND(I101="",K101="",AF101="",AL101="",AN101="",O101=""),"",IF(OR(I101="SIM",K101="SIM",AF101="SIM",AL101="SIM",AN101="Dados pessoais",AN101="Dados sensíveis",AN101="Dados pessoais e sensíveis",O101="Acima de 10.000 titulares por mês"),"SIM - Alta criticidade",IF((IF(I101="SIM",2,0)+IF(K101="SIM",2,0)+IF(AF101="SIM",2,0)+IF(OR(AN101="Dados pessoais",AN101="Dados sensíveis",AN101="Dados pessoais e sensíveis"),2,0)+IF(O101="De 1.001 a 10.000 titulares por mês",1,0)+IF(AA101="SIM",1,0)+IF(R101="SIM",1,0)+IF(AL101="SIM",1,0)+IF(AJ101="NÃO",1,0))&gt;=5,"SIM - Alta criticidade",IF((IF(I101="SIM",2,0)+IF(K101="SIM",2,0)+IF(AF101="SIM",2,0)+IF(OR(AN101="Dados pessoais",AN101="Dados sensíveis",AN101="Dados pessoais e sensíveis"),2,0)+IF(O101="De 1.001 a 10.000 titulares por mês",1,0)+IF(AA101="SIM",1,0)+IF(R101="SIM",1,0)+IF(AL101="SIM",1,0)+IF(AJ101="NÃO",1,0))&gt;=3,"Avaliação necessária","NÃO"))))</f>
      </c>
      <c r="AR101" s="11"/>
      <c r="AS101" s="113">
        <f>IF(AND(I101="",K101="",AF101="",AL101="",AN101="",O101=""),"",IF(OR(I101="SIM",K101="SIM",AF101="SIM",AL101="SIM",OR(AN101="Dados pessoais",AN101="Dados sensíveis",AN101="Dados pessoais e sensíveis"),O101="Acima de 10.000 titulares por mês",(IF(I101="SIM",2,0)+IF(K101="SIM",2,0)+IF(AF101="SIM",2,0)+IF(OR(AN101="Dados pessoais",AN101="Dados sensíveis",AN101="Dados pessoais e sensíveis"),2,0)+IF(O101="De 1.001 a 10.000 titulares por mês",1,0)+IF(AA101="SIM",1,0)+IF(R101="SIM",1,0)+IF(AL101="SIM",1,0)+IF(AJ101="NÃO",1,0))&gt;=3),"DPIA indicado ou em avaliação em razão de: " &amp; TRIM(IF(I101="SIM","tratamento de dados sensíveis; ","") &amp; IF(K101="SIM","utilização de dados de menores; ","") &amp; IF(AF101="SIM","transferência internacional de dados; ","") &amp; IF(AL101="SIM","utilização de inteligência artificial; ","") &amp; IF(OR(AN101="Dados pessoais",AN101="Dados sensíveis",AN101="Dados pessoais e sensíveis"),"dados inseridos em IA; ","") &amp; IF(O101="Acima de 10.000 titulares por mês","volume crítico de titulares; ","") &amp; IF(O101="De 1.001 a 10.000 titulares por mês","volume moderado de titulares; ","") &amp; IF(AA101="SIM","compartilhamento com terceiros; ","") &amp; IF(R101="SIM","compartilhamento com órgãos governamentais; ","") &amp; IF(AJ101="NÃO","ausência de controle de acesso por perfil; ","")),"DPIA não indicado: Processo de baixa criticidade."))</f>
      </c>
    </row>
    <row x14ac:dyDescent="0.25" r="102" customHeight="1" ht="15.75">
      <c r="A102" s="46"/>
      <c r="B102" s="6"/>
      <c r="C102" s="11"/>
      <c r="D102" s="11"/>
      <c r="E102" s="11"/>
      <c r="F102" s="29"/>
      <c r="G102" s="11"/>
      <c r="H102" s="11"/>
      <c r="I102" s="29"/>
      <c r="J102" s="11"/>
      <c r="K102" s="29"/>
      <c r="L102" s="11"/>
      <c r="M102" s="11"/>
      <c r="N102" s="11"/>
      <c r="O102" s="29"/>
      <c r="P102" s="29"/>
      <c r="Q102" s="11"/>
      <c r="R102" s="29"/>
      <c r="S102" s="11"/>
      <c r="T102" s="6"/>
      <c r="U102" s="29"/>
      <c r="V102" s="11"/>
      <c r="W102" s="11"/>
      <c r="X102" s="29"/>
      <c r="Y102" s="11"/>
      <c r="Z102" s="29"/>
      <c r="AA102" s="29"/>
      <c r="AB102" s="11"/>
      <c r="AC102" s="11"/>
      <c r="AD102" s="29"/>
      <c r="AE102" s="11"/>
      <c r="AF102" s="29"/>
      <c r="AG102" s="11"/>
      <c r="AH102" s="29"/>
      <c r="AI102" s="11"/>
      <c r="AJ102" s="29"/>
      <c r="AK102" s="29"/>
      <c r="AL102" s="29"/>
      <c r="AM102" s="11"/>
      <c r="AN102" s="29"/>
      <c r="AO102" s="29"/>
      <c r="AP102" s="6"/>
      <c r="AQ102" s="113">
        <f>IF(AND(I102="",K102="",AF102="",AL102="",AN102="",O102=""),"",IF(OR(I102="SIM",K102="SIM",AF102="SIM",AL102="SIM",AN102="Dados pessoais",AN102="Dados sensíveis",AN102="Dados pessoais e sensíveis",O102="Acima de 10.000 titulares por mês"),"SIM - Alta criticidade",IF((IF(I102="SIM",2,0)+IF(K102="SIM",2,0)+IF(AF102="SIM",2,0)+IF(OR(AN102="Dados pessoais",AN102="Dados sensíveis",AN102="Dados pessoais e sensíveis"),2,0)+IF(O102="De 1.001 a 10.000 titulares por mês",1,0)+IF(AA102="SIM",1,0)+IF(R102="SIM",1,0)+IF(AL102="SIM",1,0)+IF(AJ102="NÃO",1,0))&gt;=5,"SIM - Alta criticidade",IF((IF(I102="SIM",2,0)+IF(K102="SIM",2,0)+IF(AF102="SIM",2,0)+IF(OR(AN102="Dados pessoais",AN102="Dados sensíveis",AN102="Dados pessoais e sensíveis"),2,0)+IF(O102="De 1.001 a 10.000 titulares por mês",1,0)+IF(AA102="SIM",1,0)+IF(R102="SIM",1,0)+IF(AL102="SIM",1,0)+IF(AJ102="NÃO",1,0))&gt;=3,"Avaliação necessária","NÃO"))))</f>
      </c>
      <c r="AR102" s="11"/>
      <c r="AS102" s="113">
        <f>IF(AND(I102="",K102="",AF102="",AL102="",AN102="",O102=""),"",IF(OR(I102="SIM",K102="SIM",AF102="SIM",AL102="SIM",OR(AN102="Dados pessoais",AN102="Dados sensíveis",AN102="Dados pessoais e sensíveis"),O102="Acima de 10.000 titulares por mês",(IF(I102="SIM",2,0)+IF(K102="SIM",2,0)+IF(AF102="SIM",2,0)+IF(OR(AN102="Dados pessoais",AN102="Dados sensíveis",AN102="Dados pessoais e sensíveis"),2,0)+IF(O102="De 1.001 a 10.000 titulares por mês",1,0)+IF(AA102="SIM",1,0)+IF(R102="SIM",1,0)+IF(AL102="SIM",1,0)+IF(AJ102="NÃO",1,0))&gt;=3),"DPIA indicado ou em avaliação em razão de: " &amp; TRIM(IF(I102="SIM","tratamento de dados sensíveis; ","") &amp; IF(K102="SIM","utilização de dados de menores; ","") &amp; IF(AF102="SIM","transferência internacional de dados; ","") &amp; IF(AL102="SIM","utilização de inteligência artificial; ","") &amp; IF(OR(AN102="Dados pessoais",AN102="Dados sensíveis",AN102="Dados pessoais e sensíveis"),"dados inseridos em IA; ","") &amp; IF(O102="Acima de 10.000 titulares por mês","volume crítico de titulares; ","") &amp; IF(O102="De 1.001 a 10.000 titulares por mês","volume moderado de titulares; ","") &amp; IF(AA102="SIM","compartilhamento com terceiros; ","") &amp; IF(R102="SIM","compartilhamento com órgãos governamentais; ","") &amp; IF(AJ102="NÃO","ausência de controle de acesso por perfil; ","")),"DPIA não indicado: Processo de baixa criticidade."))</f>
      </c>
    </row>
    <row x14ac:dyDescent="0.25" r="103" customHeight="1" ht="15.75">
      <c r="A103" s="46"/>
      <c r="B103" s="6"/>
      <c r="C103" s="11"/>
      <c r="D103" s="11"/>
      <c r="E103" s="11"/>
      <c r="F103" s="29"/>
      <c r="G103" s="11"/>
      <c r="H103" s="11"/>
      <c r="I103" s="29"/>
      <c r="J103" s="11"/>
      <c r="K103" s="29"/>
      <c r="L103" s="11"/>
      <c r="M103" s="11"/>
      <c r="N103" s="11"/>
      <c r="O103" s="29"/>
      <c r="P103" s="29"/>
      <c r="Q103" s="11"/>
      <c r="R103" s="29"/>
      <c r="S103" s="11"/>
      <c r="T103" s="6"/>
      <c r="U103" s="29"/>
      <c r="V103" s="11"/>
      <c r="W103" s="11"/>
      <c r="X103" s="29"/>
      <c r="Y103" s="11"/>
      <c r="Z103" s="29"/>
      <c r="AA103" s="29"/>
      <c r="AB103" s="11"/>
      <c r="AC103" s="11"/>
      <c r="AD103" s="29"/>
      <c r="AE103" s="11"/>
      <c r="AF103" s="29"/>
      <c r="AG103" s="11"/>
      <c r="AH103" s="29"/>
      <c r="AI103" s="11"/>
      <c r="AJ103" s="29"/>
      <c r="AK103" s="29"/>
      <c r="AL103" s="29"/>
      <c r="AM103" s="11"/>
      <c r="AN103" s="29"/>
      <c r="AO103" s="29"/>
      <c r="AP103" s="6"/>
      <c r="AQ103" s="113">
        <f>IF(AND(I103="",K103="",AF103="",AL103="",AN103="",O103=""),"",IF(OR(I103="SIM",K103="SIM",AF103="SIM",AL103="SIM",AN103="Dados pessoais",AN103="Dados sensíveis",AN103="Dados pessoais e sensíveis",O103="Acima de 10.000 titulares por mês"),"SIM - Alta criticidade",IF((IF(I103="SIM",2,0)+IF(K103="SIM",2,0)+IF(AF103="SIM",2,0)+IF(OR(AN103="Dados pessoais",AN103="Dados sensíveis",AN103="Dados pessoais e sensíveis"),2,0)+IF(O103="De 1.001 a 10.000 titulares por mês",1,0)+IF(AA103="SIM",1,0)+IF(R103="SIM",1,0)+IF(AL103="SIM",1,0)+IF(AJ103="NÃO",1,0))&gt;=5,"SIM - Alta criticidade",IF((IF(I103="SIM",2,0)+IF(K103="SIM",2,0)+IF(AF103="SIM",2,0)+IF(OR(AN103="Dados pessoais",AN103="Dados sensíveis",AN103="Dados pessoais e sensíveis"),2,0)+IF(O103="De 1.001 a 10.000 titulares por mês",1,0)+IF(AA103="SIM",1,0)+IF(R103="SIM",1,0)+IF(AL103="SIM",1,0)+IF(AJ103="NÃO",1,0))&gt;=3,"Avaliação necessária","NÃO"))))</f>
      </c>
      <c r="AR103" s="11"/>
      <c r="AS103" s="113">
        <f>IF(AND(I103="",K103="",AF103="",AL103="",AN103="",O103=""),"",IF(OR(I103="SIM",K103="SIM",AF103="SIM",AL103="SIM",OR(AN103="Dados pessoais",AN103="Dados sensíveis",AN103="Dados pessoais e sensíveis"),O103="Acima de 10.000 titulares por mês",(IF(I103="SIM",2,0)+IF(K103="SIM",2,0)+IF(AF103="SIM",2,0)+IF(OR(AN103="Dados pessoais",AN103="Dados sensíveis",AN103="Dados pessoais e sensíveis"),2,0)+IF(O103="De 1.001 a 10.000 titulares por mês",1,0)+IF(AA103="SIM",1,0)+IF(R103="SIM",1,0)+IF(AL103="SIM",1,0)+IF(AJ103="NÃO",1,0))&gt;=3),"DPIA indicado ou em avaliação em razão de: " &amp; TRIM(IF(I103="SIM","tratamento de dados sensíveis; ","") &amp; IF(K103="SIM","utilização de dados de menores; ","") &amp; IF(AF103="SIM","transferência internacional de dados; ","") &amp; IF(AL103="SIM","utilização de inteligência artificial; ","") &amp; IF(OR(AN103="Dados pessoais",AN103="Dados sensíveis",AN103="Dados pessoais e sensíveis"),"dados inseridos em IA; ","") &amp; IF(O103="Acima de 10.000 titulares por mês","volume crítico de titulares; ","") &amp; IF(O103="De 1.001 a 10.000 titulares por mês","volume moderado de titulares; ","") &amp; IF(AA103="SIM","compartilhamento com terceiros; ","") &amp; IF(R103="SIM","compartilhamento com órgãos governamentais; ","") &amp; IF(AJ103="NÃO","ausência de controle de acesso por perfil; ","")),"DPIA não indicado: Processo de baixa criticidade."))</f>
      </c>
    </row>
    <row x14ac:dyDescent="0.25" r="104" customHeight="1" ht="15.75">
      <c r="A104" s="46"/>
      <c r="B104" s="6"/>
      <c r="C104" s="11"/>
      <c r="D104" s="11"/>
      <c r="E104" s="11"/>
      <c r="F104" s="29"/>
      <c r="G104" s="11"/>
      <c r="H104" s="11"/>
      <c r="I104" s="29"/>
      <c r="J104" s="11"/>
      <c r="K104" s="29"/>
      <c r="L104" s="11"/>
      <c r="M104" s="11"/>
      <c r="N104" s="11"/>
      <c r="O104" s="29"/>
      <c r="P104" s="29"/>
      <c r="Q104" s="11"/>
      <c r="R104" s="29"/>
      <c r="S104" s="11"/>
      <c r="T104" s="6"/>
      <c r="U104" s="29"/>
      <c r="V104" s="11"/>
      <c r="W104" s="11"/>
      <c r="X104" s="29"/>
      <c r="Y104" s="11"/>
      <c r="Z104" s="29"/>
      <c r="AA104" s="29"/>
      <c r="AB104" s="11"/>
      <c r="AC104" s="11"/>
      <c r="AD104" s="29"/>
      <c r="AE104" s="11"/>
      <c r="AF104" s="29"/>
      <c r="AG104" s="11"/>
      <c r="AH104" s="29"/>
      <c r="AI104" s="11"/>
      <c r="AJ104" s="29"/>
      <c r="AK104" s="29"/>
      <c r="AL104" s="29"/>
      <c r="AM104" s="11"/>
      <c r="AN104" s="29"/>
      <c r="AO104" s="29"/>
      <c r="AP104" s="6"/>
      <c r="AQ104" s="113">
        <f>IF(AND(I104="",K104="",AF104="",AL104="",AN104="",O104=""),"",IF(OR(I104="SIM",K104="SIM",AF104="SIM",AL104="SIM",AN104="Dados pessoais",AN104="Dados sensíveis",AN104="Dados pessoais e sensíveis",O104="Acima de 10.000 titulares por mês"),"SIM - Alta criticidade",IF((IF(I104="SIM",2,0)+IF(K104="SIM",2,0)+IF(AF104="SIM",2,0)+IF(OR(AN104="Dados pessoais",AN104="Dados sensíveis",AN104="Dados pessoais e sensíveis"),2,0)+IF(O104="De 1.001 a 10.000 titulares por mês",1,0)+IF(AA104="SIM",1,0)+IF(R104="SIM",1,0)+IF(AL104="SIM",1,0)+IF(AJ104="NÃO",1,0))&gt;=5,"SIM - Alta criticidade",IF((IF(I104="SIM",2,0)+IF(K104="SIM",2,0)+IF(AF104="SIM",2,0)+IF(OR(AN104="Dados pessoais",AN104="Dados sensíveis",AN104="Dados pessoais e sensíveis"),2,0)+IF(O104="De 1.001 a 10.000 titulares por mês",1,0)+IF(AA104="SIM",1,0)+IF(R104="SIM",1,0)+IF(AL104="SIM",1,0)+IF(AJ104="NÃO",1,0))&gt;=3,"Avaliação necessária","NÃO"))))</f>
      </c>
      <c r="AR104" s="11"/>
      <c r="AS104" s="113">
        <f>IF(AND(I104="",K104="",AF104="",AL104="",AN104="",O104=""),"",IF(OR(I104="SIM",K104="SIM",AF104="SIM",AL104="SIM",OR(AN104="Dados pessoais",AN104="Dados sensíveis",AN104="Dados pessoais e sensíveis"),O104="Acima de 10.000 titulares por mês",(IF(I104="SIM",2,0)+IF(K104="SIM",2,0)+IF(AF104="SIM",2,0)+IF(OR(AN104="Dados pessoais",AN104="Dados sensíveis",AN104="Dados pessoais e sensíveis"),2,0)+IF(O104="De 1.001 a 10.000 titulares por mês",1,0)+IF(AA104="SIM",1,0)+IF(R104="SIM",1,0)+IF(AL104="SIM",1,0)+IF(AJ104="NÃO",1,0))&gt;=3),"DPIA indicado ou em avaliação em razão de: " &amp; TRIM(IF(I104="SIM","tratamento de dados sensíveis; ","") &amp; IF(K104="SIM","utilização de dados de menores; ","") &amp; IF(AF104="SIM","transferência internacional de dados; ","") &amp; IF(AL104="SIM","utilização de inteligência artificial; ","") &amp; IF(OR(AN104="Dados pessoais",AN104="Dados sensíveis",AN104="Dados pessoais e sensíveis"),"dados inseridos em IA; ","") &amp; IF(O104="Acima de 10.000 titulares por mês","volume crítico de titulares; ","") &amp; IF(O104="De 1.001 a 10.000 titulares por mês","volume moderado de titulares; ","") &amp; IF(AA104="SIM","compartilhamento com terceiros; ","") &amp; IF(R104="SIM","compartilhamento com órgãos governamentais; ","") &amp; IF(AJ104="NÃO","ausência de controle de acesso por perfil; ","")),"DPIA não indicado: Processo de baixa criticidade."))</f>
      </c>
    </row>
    <row x14ac:dyDescent="0.25" r="105" customHeight="1" ht="15.75">
      <c r="A105" s="46"/>
      <c r="B105" s="6"/>
      <c r="C105" s="11"/>
      <c r="D105" s="11"/>
      <c r="E105" s="11"/>
      <c r="F105" s="29"/>
      <c r="G105" s="11"/>
      <c r="H105" s="11"/>
      <c r="I105" s="29"/>
      <c r="J105" s="11"/>
      <c r="K105" s="29"/>
      <c r="L105" s="11"/>
      <c r="M105" s="11"/>
      <c r="N105" s="11"/>
      <c r="O105" s="29"/>
      <c r="P105" s="29"/>
      <c r="Q105" s="11"/>
      <c r="R105" s="29"/>
      <c r="S105" s="11"/>
      <c r="T105" s="6"/>
      <c r="U105" s="29"/>
      <c r="V105" s="11"/>
      <c r="W105" s="11"/>
      <c r="X105" s="29"/>
      <c r="Y105" s="11"/>
      <c r="Z105" s="29"/>
      <c r="AA105" s="29"/>
      <c r="AB105" s="11"/>
      <c r="AC105" s="11"/>
      <c r="AD105" s="29"/>
      <c r="AE105" s="11"/>
      <c r="AF105" s="29"/>
      <c r="AG105" s="11"/>
      <c r="AH105" s="29"/>
      <c r="AI105" s="11"/>
      <c r="AJ105" s="29"/>
      <c r="AK105" s="29"/>
      <c r="AL105" s="29"/>
      <c r="AM105" s="11"/>
      <c r="AN105" s="29"/>
      <c r="AO105" s="29"/>
      <c r="AP105" s="6"/>
      <c r="AQ105" s="113">
        <f>IF(AND(I105="",K105="",AF105="",AL105="",AN105="",O105=""),"",IF(OR(I105="SIM",K105="SIM",AF105="SIM",AL105="SIM",AN105="Dados pessoais",AN105="Dados sensíveis",AN105="Dados pessoais e sensíveis",O105="Acima de 10.000 titulares por mês"),"SIM - Alta criticidade",IF((IF(I105="SIM",2,0)+IF(K105="SIM",2,0)+IF(AF105="SIM",2,0)+IF(OR(AN105="Dados pessoais",AN105="Dados sensíveis",AN105="Dados pessoais e sensíveis"),2,0)+IF(O105="De 1.001 a 10.000 titulares por mês",1,0)+IF(AA105="SIM",1,0)+IF(R105="SIM",1,0)+IF(AL105="SIM",1,0)+IF(AJ105="NÃO",1,0))&gt;=5,"SIM - Alta criticidade",IF((IF(I105="SIM",2,0)+IF(K105="SIM",2,0)+IF(AF105="SIM",2,0)+IF(OR(AN105="Dados pessoais",AN105="Dados sensíveis",AN105="Dados pessoais e sensíveis"),2,0)+IF(O105="De 1.001 a 10.000 titulares por mês",1,0)+IF(AA105="SIM",1,0)+IF(R105="SIM",1,0)+IF(AL105="SIM",1,0)+IF(AJ105="NÃO",1,0))&gt;=3,"Avaliação necessária","NÃO"))))</f>
      </c>
      <c r="AR105" s="11"/>
      <c r="AS105" s="113">
        <f>IF(AND(I105="",K105="",AF105="",AL105="",AN105="",O105=""),"",IF(OR(I105="SIM",K105="SIM",AF105="SIM",AL105="SIM",OR(AN105="Dados pessoais",AN105="Dados sensíveis",AN105="Dados pessoais e sensíveis"),O105="Acima de 10.000 titulares por mês",(IF(I105="SIM",2,0)+IF(K105="SIM",2,0)+IF(AF105="SIM",2,0)+IF(OR(AN105="Dados pessoais",AN105="Dados sensíveis",AN105="Dados pessoais e sensíveis"),2,0)+IF(O105="De 1.001 a 10.000 titulares por mês",1,0)+IF(AA105="SIM",1,0)+IF(R105="SIM",1,0)+IF(AL105="SIM",1,0)+IF(AJ105="NÃO",1,0))&gt;=3),"DPIA indicado ou em avaliação em razão de: " &amp; TRIM(IF(I105="SIM","tratamento de dados sensíveis; ","") &amp; IF(K105="SIM","utilização de dados de menores; ","") &amp; IF(AF105="SIM","transferência internacional de dados; ","") &amp; IF(AL105="SIM","utilização de inteligência artificial; ","") &amp; IF(OR(AN105="Dados pessoais",AN105="Dados sensíveis",AN105="Dados pessoais e sensíveis"),"dados inseridos em IA; ","") &amp; IF(O105="Acima de 10.000 titulares por mês","volume crítico de titulares; ","") &amp; IF(O105="De 1.001 a 10.000 titulares por mês","volume moderado de titulares; ","") &amp; IF(AA105="SIM","compartilhamento com terceiros; ","") &amp; IF(R105="SIM","compartilhamento com órgãos governamentais; ","") &amp; IF(AJ105="NÃO","ausência de controle de acesso por perfil; ","")),"DPIA não indicado: Processo de baixa criticidade."))</f>
      </c>
    </row>
    <row x14ac:dyDescent="0.25" r="106" customHeight="1" ht="15.75">
      <c r="A106" s="46"/>
      <c r="B106" s="6"/>
      <c r="C106" s="11"/>
      <c r="D106" s="11"/>
      <c r="E106" s="11"/>
      <c r="F106" s="29"/>
      <c r="G106" s="11"/>
      <c r="H106" s="11"/>
      <c r="I106" s="29"/>
      <c r="J106" s="11"/>
      <c r="K106" s="29"/>
      <c r="L106" s="11"/>
      <c r="M106" s="11"/>
      <c r="N106" s="11"/>
      <c r="O106" s="29"/>
      <c r="P106" s="29"/>
      <c r="Q106" s="11"/>
      <c r="R106" s="29"/>
      <c r="S106" s="11"/>
      <c r="T106" s="6"/>
      <c r="U106" s="29"/>
      <c r="V106" s="11"/>
      <c r="W106" s="11"/>
      <c r="X106" s="29"/>
      <c r="Y106" s="11"/>
      <c r="Z106" s="29"/>
      <c r="AA106" s="29"/>
      <c r="AB106" s="11"/>
      <c r="AC106" s="11"/>
      <c r="AD106" s="29"/>
      <c r="AE106" s="11"/>
      <c r="AF106" s="29"/>
      <c r="AG106" s="11"/>
      <c r="AH106" s="29"/>
      <c r="AI106" s="11"/>
      <c r="AJ106" s="29"/>
      <c r="AK106" s="29"/>
      <c r="AL106" s="29"/>
      <c r="AM106" s="11"/>
      <c r="AN106" s="29"/>
      <c r="AO106" s="29"/>
      <c r="AP106" s="6"/>
      <c r="AQ106" s="113">
        <f>IF(AND(I106="",K106="",AF106="",AL106="",AN106="",O106=""),"",IF(OR(I106="SIM",K106="SIM",AF106="SIM",AL106="SIM",AN106="Dados pessoais",AN106="Dados sensíveis",AN106="Dados pessoais e sensíveis",O106="Acima de 10.000 titulares por mês"),"SIM - Alta criticidade",IF((IF(I106="SIM",2,0)+IF(K106="SIM",2,0)+IF(AF106="SIM",2,0)+IF(OR(AN106="Dados pessoais",AN106="Dados sensíveis",AN106="Dados pessoais e sensíveis"),2,0)+IF(O106="De 1.001 a 10.000 titulares por mês",1,0)+IF(AA106="SIM",1,0)+IF(R106="SIM",1,0)+IF(AL106="SIM",1,0)+IF(AJ106="NÃO",1,0))&gt;=5,"SIM - Alta criticidade",IF((IF(I106="SIM",2,0)+IF(K106="SIM",2,0)+IF(AF106="SIM",2,0)+IF(OR(AN106="Dados pessoais",AN106="Dados sensíveis",AN106="Dados pessoais e sensíveis"),2,0)+IF(O106="De 1.001 a 10.000 titulares por mês",1,0)+IF(AA106="SIM",1,0)+IF(R106="SIM",1,0)+IF(AL106="SIM",1,0)+IF(AJ106="NÃO",1,0))&gt;=3,"Avaliação necessária","NÃO"))))</f>
      </c>
      <c r="AR106" s="11"/>
      <c r="AS106" s="113">
        <f>IF(AND(I106="",K106="",AF106="",AL106="",AN106="",O106=""),"",IF(OR(I106="SIM",K106="SIM",AF106="SIM",AL106="SIM",OR(AN106="Dados pessoais",AN106="Dados sensíveis",AN106="Dados pessoais e sensíveis"),O106="Acima de 10.000 titulares por mês",(IF(I106="SIM",2,0)+IF(K106="SIM",2,0)+IF(AF106="SIM",2,0)+IF(OR(AN106="Dados pessoais",AN106="Dados sensíveis",AN106="Dados pessoais e sensíveis"),2,0)+IF(O106="De 1.001 a 10.000 titulares por mês",1,0)+IF(AA106="SIM",1,0)+IF(R106="SIM",1,0)+IF(AL106="SIM",1,0)+IF(AJ106="NÃO",1,0))&gt;=3),"DPIA indicado ou em avaliação em razão de: " &amp; TRIM(IF(I106="SIM","tratamento de dados sensíveis; ","") &amp; IF(K106="SIM","utilização de dados de menores; ","") &amp; IF(AF106="SIM","transferência internacional de dados; ","") &amp; IF(AL106="SIM","utilização de inteligência artificial; ","") &amp; IF(OR(AN106="Dados pessoais",AN106="Dados sensíveis",AN106="Dados pessoais e sensíveis"),"dados inseridos em IA; ","") &amp; IF(O106="Acima de 10.000 titulares por mês","volume crítico de titulares; ","") &amp; IF(O106="De 1.001 a 10.000 titulares por mês","volume moderado de titulares; ","") &amp; IF(AA106="SIM","compartilhamento com terceiros; ","") &amp; IF(R106="SIM","compartilhamento com órgãos governamentais; ","") &amp; IF(AJ106="NÃO","ausência de controle de acesso por perfil; ","")),"DPIA não indicado: Processo de baixa criticidade."))</f>
      </c>
    </row>
    <row x14ac:dyDescent="0.25" r="107" customHeight="1" ht="15.75">
      <c r="A107" s="46"/>
      <c r="B107" s="6"/>
      <c r="C107" s="11"/>
      <c r="D107" s="11"/>
      <c r="E107" s="11"/>
      <c r="F107" s="29"/>
      <c r="G107" s="11"/>
      <c r="H107" s="11"/>
      <c r="I107" s="29"/>
      <c r="J107" s="11"/>
      <c r="K107" s="29"/>
      <c r="L107" s="11"/>
      <c r="M107" s="11"/>
      <c r="N107" s="11"/>
      <c r="O107" s="29"/>
      <c r="P107" s="29"/>
      <c r="Q107" s="11"/>
      <c r="R107" s="29"/>
      <c r="S107" s="11"/>
      <c r="T107" s="6"/>
      <c r="U107" s="29"/>
      <c r="V107" s="11"/>
      <c r="W107" s="11"/>
      <c r="X107" s="29"/>
      <c r="Y107" s="11"/>
      <c r="Z107" s="29"/>
      <c r="AA107" s="29"/>
      <c r="AB107" s="11"/>
      <c r="AC107" s="11"/>
      <c r="AD107" s="29"/>
      <c r="AE107" s="11"/>
      <c r="AF107" s="29"/>
      <c r="AG107" s="11"/>
      <c r="AH107" s="29"/>
      <c r="AI107" s="11"/>
      <c r="AJ107" s="29"/>
      <c r="AK107" s="29"/>
      <c r="AL107" s="29"/>
      <c r="AM107" s="11"/>
      <c r="AN107" s="29"/>
      <c r="AO107" s="29"/>
      <c r="AP107" s="6"/>
      <c r="AQ107" s="113">
        <f>IF(AND(I107="",K107="",AF107="",AL107="",AN107="",O107=""),"",IF(OR(I107="SIM",K107="SIM",AF107="SIM",AL107="SIM",AN107="Dados pessoais",AN107="Dados sensíveis",AN107="Dados pessoais e sensíveis",O107="Acima de 10.000 titulares por mês"),"SIM - Alta criticidade",IF((IF(I107="SIM",2,0)+IF(K107="SIM",2,0)+IF(AF107="SIM",2,0)+IF(OR(AN107="Dados pessoais",AN107="Dados sensíveis",AN107="Dados pessoais e sensíveis"),2,0)+IF(O107="De 1.001 a 10.000 titulares por mês",1,0)+IF(AA107="SIM",1,0)+IF(R107="SIM",1,0)+IF(AL107="SIM",1,0)+IF(AJ107="NÃO",1,0))&gt;=5,"SIM - Alta criticidade",IF((IF(I107="SIM",2,0)+IF(K107="SIM",2,0)+IF(AF107="SIM",2,0)+IF(OR(AN107="Dados pessoais",AN107="Dados sensíveis",AN107="Dados pessoais e sensíveis"),2,0)+IF(O107="De 1.001 a 10.000 titulares por mês",1,0)+IF(AA107="SIM",1,0)+IF(R107="SIM",1,0)+IF(AL107="SIM",1,0)+IF(AJ107="NÃO",1,0))&gt;=3,"Avaliação necessária","NÃO"))))</f>
      </c>
      <c r="AR107" s="11"/>
      <c r="AS107" s="113">
        <f>IF(AND(I107="",K107="",AF107="",AL107="",AN107="",O107=""),"",IF(OR(I107="SIM",K107="SIM",AF107="SIM",AL107="SIM",OR(AN107="Dados pessoais",AN107="Dados sensíveis",AN107="Dados pessoais e sensíveis"),O107="Acima de 10.000 titulares por mês",(IF(I107="SIM",2,0)+IF(K107="SIM",2,0)+IF(AF107="SIM",2,0)+IF(OR(AN107="Dados pessoais",AN107="Dados sensíveis",AN107="Dados pessoais e sensíveis"),2,0)+IF(O107="De 1.001 a 10.000 titulares por mês",1,0)+IF(AA107="SIM",1,0)+IF(R107="SIM",1,0)+IF(AL107="SIM",1,0)+IF(AJ107="NÃO",1,0))&gt;=3),"DPIA indicado ou em avaliação em razão de: " &amp; TRIM(IF(I107="SIM","tratamento de dados sensíveis; ","") &amp; IF(K107="SIM","utilização de dados de menores; ","") &amp; IF(AF107="SIM","transferência internacional de dados; ","") &amp; IF(AL107="SIM","utilização de inteligência artificial; ","") &amp; IF(OR(AN107="Dados pessoais",AN107="Dados sensíveis",AN107="Dados pessoais e sensíveis"),"dados inseridos em IA; ","") &amp; IF(O107="Acima de 10.000 titulares por mês","volume crítico de titulares; ","") &amp; IF(O107="De 1.001 a 10.000 titulares por mês","volume moderado de titulares; ","") &amp; IF(AA107="SIM","compartilhamento com terceiros; ","") &amp; IF(R107="SIM","compartilhamento com órgãos governamentais; ","") &amp; IF(AJ107="NÃO","ausência de controle de acesso por perfil; ","")),"DPIA não indicado: Processo de baixa criticidade."))</f>
      </c>
    </row>
    <row x14ac:dyDescent="0.25" r="108" customHeight="1" ht="15.75">
      <c r="A108" s="46"/>
      <c r="B108" s="6"/>
      <c r="C108" s="11"/>
      <c r="D108" s="11"/>
      <c r="E108" s="11"/>
      <c r="F108" s="29"/>
      <c r="G108" s="11"/>
      <c r="H108" s="11"/>
      <c r="I108" s="29"/>
      <c r="J108" s="11"/>
      <c r="K108" s="29"/>
      <c r="L108" s="11"/>
      <c r="M108" s="11"/>
      <c r="N108" s="11"/>
      <c r="O108" s="29"/>
      <c r="P108" s="29"/>
      <c r="Q108" s="11"/>
      <c r="R108" s="29"/>
      <c r="S108" s="11"/>
      <c r="T108" s="6"/>
      <c r="U108" s="29"/>
      <c r="V108" s="11"/>
      <c r="W108" s="11"/>
      <c r="X108" s="29"/>
      <c r="Y108" s="11"/>
      <c r="Z108" s="29"/>
      <c r="AA108" s="29"/>
      <c r="AB108" s="11"/>
      <c r="AC108" s="11"/>
      <c r="AD108" s="29"/>
      <c r="AE108" s="11"/>
      <c r="AF108" s="29"/>
      <c r="AG108" s="11"/>
      <c r="AH108" s="29"/>
      <c r="AI108" s="11"/>
      <c r="AJ108" s="29"/>
      <c r="AK108" s="29"/>
      <c r="AL108" s="29"/>
      <c r="AM108" s="11"/>
      <c r="AN108" s="29"/>
      <c r="AO108" s="29"/>
      <c r="AP108" s="6"/>
      <c r="AQ108" s="113">
        <f>IF(AND(I108="",K108="",AF108="",AL108="",AN108="",O108=""),"",IF(OR(I108="SIM",K108="SIM",AF108="SIM",AL108="SIM",AN108="Dados pessoais",AN108="Dados sensíveis",AN108="Dados pessoais e sensíveis",O108="Acima de 10.000 titulares por mês"),"SIM - Alta criticidade",IF((IF(I108="SIM",2,0)+IF(K108="SIM",2,0)+IF(AF108="SIM",2,0)+IF(OR(AN108="Dados pessoais",AN108="Dados sensíveis",AN108="Dados pessoais e sensíveis"),2,0)+IF(O108="De 1.001 a 10.000 titulares por mês",1,0)+IF(AA108="SIM",1,0)+IF(R108="SIM",1,0)+IF(AL108="SIM",1,0)+IF(AJ108="NÃO",1,0))&gt;=5,"SIM - Alta criticidade",IF((IF(I108="SIM",2,0)+IF(K108="SIM",2,0)+IF(AF108="SIM",2,0)+IF(OR(AN108="Dados pessoais",AN108="Dados sensíveis",AN108="Dados pessoais e sensíveis"),2,0)+IF(O108="De 1.001 a 10.000 titulares por mês",1,0)+IF(AA108="SIM",1,0)+IF(R108="SIM",1,0)+IF(AL108="SIM",1,0)+IF(AJ108="NÃO",1,0))&gt;=3,"Avaliação necessária","NÃO"))))</f>
      </c>
      <c r="AR108" s="11"/>
      <c r="AS108" s="113">
        <f>IF(AND(I108="",K108="",AF108="",AL108="",AN108="",O108=""),"",IF(OR(I108="SIM",K108="SIM",AF108="SIM",AL108="SIM",OR(AN108="Dados pessoais",AN108="Dados sensíveis",AN108="Dados pessoais e sensíveis"),O108="Acima de 10.000 titulares por mês",(IF(I108="SIM",2,0)+IF(K108="SIM",2,0)+IF(AF108="SIM",2,0)+IF(OR(AN108="Dados pessoais",AN108="Dados sensíveis",AN108="Dados pessoais e sensíveis"),2,0)+IF(O108="De 1.001 a 10.000 titulares por mês",1,0)+IF(AA108="SIM",1,0)+IF(R108="SIM",1,0)+IF(AL108="SIM",1,0)+IF(AJ108="NÃO",1,0))&gt;=3),"DPIA indicado ou em avaliação em razão de: " &amp; TRIM(IF(I108="SIM","tratamento de dados sensíveis; ","") &amp; IF(K108="SIM","utilização de dados de menores; ","") &amp; IF(AF108="SIM","transferência internacional de dados; ","") &amp; IF(AL108="SIM","utilização de inteligência artificial; ","") &amp; IF(OR(AN108="Dados pessoais",AN108="Dados sensíveis",AN108="Dados pessoais e sensíveis"),"dados inseridos em IA; ","") &amp; IF(O108="Acima de 10.000 titulares por mês","volume crítico de titulares; ","") &amp; IF(O108="De 1.001 a 10.000 titulares por mês","volume moderado de titulares; ","") &amp; IF(AA108="SIM","compartilhamento com terceiros; ","") &amp; IF(R108="SIM","compartilhamento com órgãos governamentais; ","") &amp; IF(AJ108="NÃO","ausência de controle de acesso por perfil; ","")),"DPIA não indicado: Processo de baixa criticidade."))</f>
      </c>
    </row>
    <row x14ac:dyDescent="0.25" r="109" customHeight="1" ht="15.75">
      <c r="A109" s="46"/>
      <c r="B109" s="6"/>
      <c r="C109" s="11"/>
      <c r="D109" s="11"/>
      <c r="E109" s="11"/>
      <c r="F109" s="29"/>
      <c r="G109" s="11"/>
      <c r="H109" s="11"/>
      <c r="I109" s="29"/>
      <c r="J109" s="11"/>
      <c r="K109" s="29"/>
      <c r="L109" s="11"/>
      <c r="M109" s="11"/>
      <c r="N109" s="11"/>
      <c r="O109" s="29"/>
      <c r="P109" s="29"/>
      <c r="Q109" s="11"/>
      <c r="R109" s="29"/>
      <c r="S109" s="11"/>
      <c r="T109" s="6"/>
      <c r="U109" s="29"/>
      <c r="V109" s="11"/>
      <c r="W109" s="11"/>
      <c r="X109" s="29"/>
      <c r="Y109" s="11"/>
      <c r="Z109" s="29"/>
      <c r="AA109" s="29"/>
      <c r="AB109" s="11"/>
      <c r="AC109" s="11"/>
      <c r="AD109" s="29"/>
      <c r="AE109" s="11"/>
      <c r="AF109" s="29"/>
      <c r="AG109" s="11"/>
      <c r="AH109" s="29"/>
      <c r="AI109" s="11"/>
      <c r="AJ109" s="29"/>
      <c r="AK109" s="29"/>
      <c r="AL109" s="29"/>
      <c r="AM109" s="11"/>
      <c r="AN109" s="29"/>
      <c r="AO109" s="29"/>
      <c r="AP109" s="6"/>
      <c r="AQ109" s="113">
        <f>IF(AND(I109="",K109="",AF109="",AL109="",AN109="",O109=""),"",IF(OR(I109="SIM",K109="SIM",AF109="SIM",AL109="SIM",AN109="Dados pessoais",AN109="Dados sensíveis",AN109="Dados pessoais e sensíveis",O109="Acima de 10.000 titulares por mês"),"SIM - Alta criticidade",IF((IF(I109="SIM",2,0)+IF(K109="SIM",2,0)+IF(AF109="SIM",2,0)+IF(OR(AN109="Dados pessoais",AN109="Dados sensíveis",AN109="Dados pessoais e sensíveis"),2,0)+IF(O109="De 1.001 a 10.000 titulares por mês",1,0)+IF(AA109="SIM",1,0)+IF(R109="SIM",1,0)+IF(AL109="SIM",1,0)+IF(AJ109="NÃO",1,0))&gt;=5,"SIM - Alta criticidade",IF((IF(I109="SIM",2,0)+IF(K109="SIM",2,0)+IF(AF109="SIM",2,0)+IF(OR(AN109="Dados pessoais",AN109="Dados sensíveis",AN109="Dados pessoais e sensíveis"),2,0)+IF(O109="De 1.001 a 10.000 titulares por mês",1,0)+IF(AA109="SIM",1,0)+IF(R109="SIM",1,0)+IF(AL109="SIM",1,0)+IF(AJ109="NÃO",1,0))&gt;=3,"Avaliação necessária","NÃO"))))</f>
      </c>
      <c r="AR109" s="11"/>
      <c r="AS109" s="113">
        <f>IF(AND(I109="",K109="",AF109="",AL109="",AN109="",O109=""),"",IF(OR(I109="SIM",K109="SIM",AF109="SIM",AL109="SIM",OR(AN109="Dados pessoais",AN109="Dados sensíveis",AN109="Dados pessoais e sensíveis"),O109="Acima de 10.000 titulares por mês",(IF(I109="SIM",2,0)+IF(K109="SIM",2,0)+IF(AF109="SIM",2,0)+IF(OR(AN109="Dados pessoais",AN109="Dados sensíveis",AN109="Dados pessoais e sensíveis"),2,0)+IF(O109="De 1.001 a 10.000 titulares por mês",1,0)+IF(AA109="SIM",1,0)+IF(R109="SIM",1,0)+IF(AL109="SIM",1,0)+IF(AJ109="NÃO",1,0))&gt;=3),"DPIA indicado ou em avaliação em razão de: " &amp; TRIM(IF(I109="SIM","tratamento de dados sensíveis; ","") &amp; IF(K109="SIM","utilização de dados de menores; ","") &amp; IF(AF109="SIM","transferência internacional de dados; ","") &amp; IF(AL109="SIM","utilização de inteligência artificial; ","") &amp; IF(OR(AN109="Dados pessoais",AN109="Dados sensíveis",AN109="Dados pessoais e sensíveis"),"dados inseridos em IA; ","") &amp; IF(O109="Acima de 10.000 titulares por mês","volume crítico de titulares; ","") &amp; IF(O109="De 1.001 a 10.000 titulares por mês","volume moderado de titulares; ","") &amp; IF(AA109="SIM","compartilhamento com terceiros; ","") &amp; IF(R109="SIM","compartilhamento com órgãos governamentais; ","") &amp; IF(AJ109="NÃO","ausência de controle de acesso por perfil; ","")),"DPIA não indicado: Processo de baixa criticidade."))</f>
      </c>
    </row>
    <row x14ac:dyDescent="0.25" r="110" customHeight="1" ht="15.75">
      <c r="A110" s="46"/>
      <c r="B110" s="6"/>
      <c r="C110" s="11"/>
      <c r="D110" s="11"/>
      <c r="E110" s="11"/>
      <c r="F110" s="29"/>
      <c r="G110" s="11"/>
      <c r="H110" s="11"/>
      <c r="I110" s="29"/>
      <c r="J110" s="11"/>
      <c r="K110" s="29"/>
      <c r="L110" s="11"/>
      <c r="M110" s="11"/>
      <c r="N110" s="11"/>
      <c r="O110" s="29"/>
      <c r="P110" s="29"/>
      <c r="Q110" s="11"/>
      <c r="R110" s="29"/>
      <c r="S110" s="11"/>
      <c r="T110" s="6"/>
      <c r="U110" s="29"/>
      <c r="V110" s="11"/>
      <c r="W110" s="11"/>
      <c r="X110" s="29"/>
      <c r="Y110" s="11"/>
      <c r="Z110" s="29"/>
      <c r="AA110" s="29"/>
      <c r="AB110" s="11"/>
      <c r="AC110" s="11"/>
      <c r="AD110" s="29"/>
      <c r="AE110" s="11"/>
      <c r="AF110" s="29"/>
      <c r="AG110" s="11"/>
      <c r="AH110" s="29"/>
      <c r="AI110" s="11"/>
      <c r="AJ110" s="29"/>
      <c r="AK110" s="29"/>
      <c r="AL110" s="29"/>
      <c r="AM110" s="11"/>
      <c r="AN110" s="29"/>
      <c r="AO110" s="29"/>
      <c r="AP110" s="6"/>
      <c r="AQ110" s="113">
        <f>IF(AND(I110="",K110="",AF110="",AL110="",AN110="",O110=""),"",IF(OR(I110="SIM",K110="SIM",AF110="SIM",AL110="SIM",AN110="Dados pessoais",AN110="Dados sensíveis",AN110="Dados pessoais e sensíveis",O110="Acima de 10.000 titulares por mês"),"SIM - Alta criticidade",IF((IF(I110="SIM",2,0)+IF(K110="SIM",2,0)+IF(AF110="SIM",2,0)+IF(OR(AN110="Dados pessoais",AN110="Dados sensíveis",AN110="Dados pessoais e sensíveis"),2,0)+IF(O110="De 1.001 a 10.000 titulares por mês",1,0)+IF(AA110="SIM",1,0)+IF(R110="SIM",1,0)+IF(AL110="SIM",1,0)+IF(AJ110="NÃO",1,0))&gt;=5,"SIM - Alta criticidade",IF((IF(I110="SIM",2,0)+IF(K110="SIM",2,0)+IF(AF110="SIM",2,0)+IF(OR(AN110="Dados pessoais",AN110="Dados sensíveis",AN110="Dados pessoais e sensíveis"),2,0)+IF(O110="De 1.001 a 10.000 titulares por mês",1,0)+IF(AA110="SIM",1,0)+IF(R110="SIM",1,0)+IF(AL110="SIM",1,0)+IF(AJ110="NÃO",1,0))&gt;=3,"Avaliação necessária","NÃO"))))</f>
      </c>
      <c r="AR110" s="11"/>
      <c r="AS110" s="113">
        <f>IF(AND(I110="",K110="",AF110="",AL110="",AN110="",O110=""),"",IF(OR(I110="SIM",K110="SIM",AF110="SIM",AL110="SIM",OR(AN110="Dados pessoais",AN110="Dados sensíveis",AN110="Dados pessoais e sensíveis"),O110="Acima de 10.000 titulares por mês",(IF(I110="SIM",2,0)+IF(K110="SIM",2,0)+IF(AF110="SIM",2,0)+IF(OR(AN110="Dados pessoais",AN110="Dados sensíveis",AN110="Dados pessoais e sensíveis"),2,0)+IF(O110="De 1.001 a 10.000 titulares por mês",1,0)+IF(AA110="SIM",1,0)+IF(R110="SIM",1,0)+IF(AL110="SIM",1,0)+IF(AJ110="NÃO",1,0))&gt;=3),"DPIA indicado ou em avaliação em razão de: " &amp; TRIM(IF(I110="SIM","tratamento de dados sensíveis; ","") &amp; IF(K110="SIM","utilização de dados de menores; ","") &amp; IF(AF110="SIM","transferência internacional de dados; ","") &amp; IF(AL110="SIM","utilização de inteligência artificial; ","") &amp; IF(OR(AN110="Dados pessoais",AN110="Dados sensíveis",AN110="Dados pessoais e sensíveis"),"dados inseridos em IA; ","") &amp; IF(O110="Acima de 10.000 titulares por mês","volume crítico de titulares; ","") &amp; IF(O110="De 1.001 a 10.000 titulares por mês","volume moderado de titulares; ","") &amp; IF(AA110="SIM","compartilhamento com terceiros; ","") &amp; IF(R110="SIM","compartilhamento com órgãos governamentais; ","") &amp; IF(AJ110="NÃO","ausência de controle de acesso por perfil; ","")),"DPIA não indicado: Processo de baixa criticidade."))</f>
      </c>
    </row>
    <row x14ac:dyDescent="0.25" r="111" customHeight="1" ht="15.75">
      <c r="A111" s="46"/>
      <c r="B111" s="6"/>
      <c r="C111" s="11"/>
      <c r="D111" s="11"/>
      <c r="E111" s="11"/>
      <c r="F111" s="29"/>
      <c r="G111" s="11"/>
      <c r="H111" s="11"/>
      <c r="I111" s="29"/>
      <c r="J111" s="11"/>
      <c r="K111" s="29"/>
      <c r="L111" s="11"/>
      <c r="M111" s="11"/>
      <c r="N111" s="11"/>
      <c r="O111" s="29"/>
      <c r="P111" s="29"/>
      <c r="Q111" s="11"/>
      <c r="R111" s="29"/>
      <c r="S111" s="11"/>
      <c r="T111" s="6"/>
      <c r="U111" s="29"/>
      <c r="V111" s="11"/>
      <c r="W111" s="11"/>
      <c r="X111" s="29"/>
      <c r="Y111" s="11"/>
      <c r="Z111" s="29"/>
      <c r="AA111" s="29"/>
      <c r="AB111" s="11"/>
      <c r="AC111" s="11"/>
      <c r="AD111" s="29"/>
      <c r="AE111" s="11"/>
      <c r="AF111" s="29"/>
      <c r="AG111" s="11"/>
      <c r="AH111" s="29"/>
      <c r="AI111" s="11"/>
      <c r="AJ111" s="29"/>
      <c r="AK111" s="29"/>
      <c r="AL111" s="29"/>
      <c r="AM111" s="11"/>
      <c r="AN111" s="29"/>
      <c r="AO111" s="29"/>
      <c r="AP111" s="6"/>
      <c r="AQ111" s="113">
        <f>IF(AND(I111="",K111="",AF111="",AL111="",AN111="",O111=""),"",IF(OR(I111="SIM",K111="SIM",AF111="SIM",AL111="SIM",AN111="Dados pessoais",AN111="Dados sensíveis",AN111="Dados pessoais e sensíveis",O111="Acima de 10.000 titulares por mês"),"SIM - Alta criticidade",IF((IF(I111="SIM",2,0)+IF(K111="SIM",2,0)+IF(AF111="SIM",2,0)+IF(OR(AN111="Dados pessoais",AN111="Dados sensíveis",AN111="Dados pessoais e sensíveis"),2,0)+IF(O111="De 1.001 a 10.000 titulares por mês",1,0)+IF(AA111="SIM",1,0)+IF(R111="SIM",1,0)+IF(AL111="SIM",1,0)+IF(AJ111="NÃO",1,0))&gt;=5,"SIM - Alta criticidade",IF((IF(I111="SIM",2,0)+IF(K111="SIM",2,0)+IF(AF111="SIM",2,0)+IF(OR(AN111="Dados pessoais",AN111="Dados sensíveis",AN111="Dados pessoais e sensíveis"),2,0)+IF(O111="De 1.001 a 10.000 titulares por mês",1,0)+IF(AA111="SIM",1,0)+IF(R111="SIM",1,0)+IF(AL111="SIM",1,0)+IF(AJ111="NÃO",1,0))&gt;=3,"Avaliação necessária","NÃO"))))</f>
      </c>
      <c r="AR111" s="11"/>
      <c r="AS111" s="113">
        <f>IF(AND(I111="",K111="",AF111="",AL111="",AN111="",O111=""),"",IF(OR(I111="SIM",K111="SIM",AF111="SIM",AL111="SIM",OR(AN111="Dados pessoais",AN111="Dados sensíveis",AN111="Dados pessoais e sensíveis"),O111="Acima de 10.000 titulares por mês",(IF(I111="SIM",2,0)+IF(K111="SIM",2,0)+IF(AF111="SIM",2,0)+IF(OR(AN111="Dados pessoais",AN111="Dados sensíveis",AN111="Dados pessoais e sensíveis"),2,0)+IF(O111="De 1.001 a 10.000 titulares por mês",1,0)+IF(AA111="SIM",1,0)+IF(R111="SIM",1,0)+IF(AL111="SIM",1,0)+IF(AJ111="NÃO",1,0))&gt;=3),"DPIA indicado ou em avaliação em razão de: " &amp; TRIM(IF(I111="SIM","tratamento de dados sensíveis; ","") &amp; IF(K111="SIM","utilização de dados de menores; ","") &amp; IF(AF111="SIM","transferência internacional de dados; ","") &amp; IF(AL111="SIM","utilização de inteligência artificial; ","") &amp; IF(OR(AN111="Dados pessoais",AN111="Dados sensíveis",AN111="Dados pessoais e sensíveis"),"dados inseridos em IA; ","") &amp; IF(O111="Acima de 10.000 titulares por mês","volume crítico de titulares; ","") &amp; IF(O111="De 1.001 a 10.000 titulares por mês","volume moderado de titulares; ","") &amp; IF(AA111="SIM","compartilhamento com terceiros; ","") &amp; IF(R111="SIM","compartilhamento com órgãos governamentais; ","") &amp; IF(AJ111="NÃO","ausência de controle de acesso por perfil; ","")),"DPIA não indicado: Processo de baixa criticidade."))</f>
      </c>
    </row>
    <row x14ac:dyDescent="0.25" r="112" customHeight="1" ht="15.75">
      <c r="A112" s="46"/>
      <c r="B112" s="6"/>
      <c r="C112" s="11"/>
      <c r="D112" s="11"/>
      <c r="E112" s="11"/>
      <c r="F112" s="29"/>
      <c r="G112" s="11"/>
      <c r="H112" s="11"/>
      <c r="I112" s="29"/>
      <c r="J112" s="11"/>
      <c r="K112" s="29"/>
      <c r="L112" s="11"/>
      <c r="M112" s="11"/>
      <c r="N112" s="11"/>
      <c r="O112" s="29"/>
      <c r="P112" s="29"/>
      <c r="Q112" s="11"/>
      <c r="R112" s="29"/>
      <c r="S112" s="11"/>
      <c r="T112" s="6"/>
      <c r="U112" s="29"/>
      <c r="V112" s="11"/>
      <c r="W112" s="11"/>
      <c r="X112" s="29"/>
      <c r="Y112" s="11"/>
      <c r="Z112" s="29"/>
      <c r="AA112" s="29"/>
      <c r="AB112" s="11"/>
      <c r="AC112" s="11"/>
      <c r="AD112" s="29"/>
      <c r="AE112" s="11"/>
      <c r="AF112" s="29"/>
      <c r="AG112" s="11"/>
      <c r="AH112" s="29"/>
      <c r="AI112" s="11"/>
      <c r="AJ112" s="29"/>
      <c r="AK112" s="29"/>
      <c r="AL112" s="29"/>
      <c r="AM112" s="11"/>
      <c r="AN112" s="29"/>
      <c r="AO112" s="29"/>
      <c r="AP112" s="6"/>
      <c r="AQ112" s="113">
        <f>IF(AND(I112="",K112="",AF112="",AL112="",AN112="",O112=""),"",IF(OR(I112="SIM",K112="SIM",AF112="SIM",AL112="SIM",AN112="Dados pessoais",AN112="Dados sensíveis",AN112="Dados pessoais e sensíveis",O112="Acima de 10.000 titulares por mês"),"SIM - Alta criticidade",IF((IF(I112="SIM",2,0)+IF(K112="SIM",2,0)+IF(AF112="SIM",2,0)+IF(OR(AN112="Dados pessoais",AN112="Dados sensíveis",AN112="Dados pessoais e sensíveis"),2,0)+IF(O112="De 1.001 a 10.000 titulares por mês",1,0)+IF(AA112="SIM",1,0)+IF(R112="SIM",1,0)+IF(AL112="SIM",1,0)+IF(AJ112="NÃO",1,0))&gt;=5,"SIM - Alta criticidade",IF((IF(I112="SIM",2,0)+IF(K112="SIM",2,0)+IF(AF112="SIM",2,0)+IF(OR(AN112="Dados pessoais",AN112="Dados sensíveis",AN112="Dados pessoais e sensíveis"),2,0)+IF(O112="De 1.001 a 10.000 titulares por mês",1,0)+IF(AA112="SIM",1,0)+IF(R112="SIM",1,0)+IF(AL112="SIM",1,0)+IF(AJ112="NÃO",1,0))&gt;=3,"Avaliação necessária","NÃO"))))</f>
      </c>
      <c r="AR112" s="11"/>
      <c r="AS112" s="113">
        <f>IF(AND(I112="",K112="",AF112="",AL112="",AN112="",O112=""),"",IF(OR(I112="SIM",K112="SIM",AF112="SIM",AL112="SIM",OR(AN112="Dados pessoais",AN112="Dados sensíveis",AN112="Dados pessoais e sensíveis"),O112="Acima de 10.000 titulares por mês",(IF(I112="SIM",2,0)+IF(K112="SIM",2,0)+IF(AF112="SIM",2,0)+IF(OR(AN112="Dados pessoais",AN112="Dados sensíveis",AN112="Dados pessoais e sensíveis"),2,0)+IF(O112="De 1.001 a 10.000 titulares por mês",1,0)+IF(AA112="SIM",1,0)+IF(R112="SIM",1,0)+IF(AL112="SIM",1,0)+IF(AJ112="NÃO",1,0))&gt;=3),"DPIA indicado ou em avaliação em razão de: " &amp; TRIM(IF(I112="SIM","tratamento de dados sensíveis; ","") &amp; IF(K112="SIM","utilização de dados de menores; ","") &amp; IF(AF112="SIM","transferência internacional de dados; ","") &amp; IF(AL112="SIM","utilização de inteligência artificial; ","") &amp; IF(OR(AN112="Dados pessoais",AN112="Dados sensíveis",AN112="Dados pessoais e sensíveis"),"dados inseridos em IA; ","") &amp; IF(O112="Acima de 10.000 titulares por mês","volume crítico de titulares; ","") &amp; IF(O112="De 1.001 a 10.000 titulares por mês","volume moderado de titulares; ","") &amp; IF(AA112="SIM","compartilhamento com terceiros; ","") &amp; IF(R112="SIM","compartilhamento com órgãos governamentais; ","") &amp; IF(AJ112="NÃO","ausência de controle de acesso por perfil; ","")),"DPIA não indicado: Processo de baixa criticidade."))</f>
      </c>
    </row>
    <row x14ac:dyDescent="0.25" r="113" customHeight="1" ht="15.75">
      <c r="A113" s="46"/>
      <c r="B113" s="6"/>
      <c r="C113" s="11"/>
      <c r="D113" s="11"/>
      <c r="E113" s="11"/>
      <c r="F113" s="29"/>
      <c r="G113" s="11"/>
      <c r="H113" s="11"/>
      <c r="I113" s="29"/>
      <c r="J113" s="11"/>
      <c r="K113" s="29"/>
      <c r="L113" s="11"/>
      <c r="M113" s="11"/>
      <c r="N113" s="11"/>
      <c r="O113" s="29"/>
      <c r="P113" s="29"/>
      <c r="Q113" s="11"/>
      <c r="R113" s="29"/>
      <c r="S113" s="11"/>
      <c r="T113" s="6"/>
      <c r="U113" s="29"/>
      <c r="V113" s="11"/>
      <c r="W113" s="11"/>
      <c r="X113" s="29"/>
      <c r="Y113" s="11"/>
      <c r="Z113" s="29"/>
      <c r="AA113" s="29"/>
      <c r="AB113" s="11"/>
      <c r="AC113" s="11"/>
      <c r="AD113" s="29"/>
      <c r="AE113" s="11"/>
      <c r="AF113" s="29"/>
      <c r="AG113" s="11"/>
      <c r="AH113" s="29"/>
      <c r="AI113" s="11"/>
      <c r="AJ113" s="29"/>
      <c r="AK113" s="29"/>
      <c r="AL113" s="29"/>
      <c r="AM113" s="11"/>
      <c r="AN113" s="29"/>
      <c r="AO113" s="29"/>
      <c r="AP113" s="6"/>
      <c r="AQ113" s="113">
        <f>IF(AND(I113="",K113="",AF113="",AL113="",AN113="",O113=""),"",IF(OR(I113="SIM",K113="SIM",AF113="SIM",AL113="SIM",AN113="Dados pessoais",AN113="Dados sensíveis",AN113="Dados pessoais e sensíveis",O113="Acima de 10.000 titulares por mês"),"SIM - Alta criticidade",IF((IF(I113="SIM",2,0)+IF(K113="SIM",2,0)+IF(AF113="SIM",2,0)+IF(OR(AN113="Dados pessoais",AN113="Dados sensíveis",AN113="Dados pessoais e sensíveis"),2,0)+IF(O113="De 1.001 a 10.000 titulares por mês",1,0)+IF(AA113="SIM",1,0)+IF(R113="SIM",1,0)+IF(AL113="SIM",1,0)+IF(AJ113="NÃO",1,0))&gt;=5,"SIM - Alta criticidade",IF((IF(I113="SIM",2,0)+IF(K113="SIM",2,0)+IF(AF113="SIM",2,0)+IF(OR(AN113="Dados pessoais",AN113="Dados sensíveis",AN113="Dados pessoais e sensíveis"),2,0)+IF(O113="De 1.001 a 10.000 titulares por mês",1,0)+IF(AA113="SIM",1,0)+IF(R113="SIM",1,0)+IF(AL113="SIM",1,0)+IF(AJ113="NÃO",1,0))&gt;=3,"Avaliação necessária","NÃO"))))</f>
      </c>
      <c r="AR113" s="11"/>
      <c r="AS113" s="113">
        <f>IF(AND(I113="",K113="",AF113="",AL113="",AN113="",O113=""),"",IF(OR(I113="SIM",K113="SIM",AF113="SIM",AL113="SIM",OR(AN113="Dados pessoais",AN113="Dados sensíveis",AN113="Dados pessoais e sensíveis"),O113="Acima de 10.000 titulares por mês",(IF(I113="SIM",2,0)+IF(K113="SIM",2,0)+IF(AF113="SIM",2,0)+IF(OR(AN113="Dados pessoais",AN113="Dados sensíveis",AN113="Dados pessoais e sensíveis"),2,0)+IF(O113="De 1.001 a 10.000 titulares por mês",1,0)+IF(AA113="SIM",1,0)+IF(R113="SIM",1,0)+IF(AL113="SIM",1,0)+IF(AJ113="NÃO",1,0))&gt;=3),"DPIA indicado ou em avaliação em razão de: " &amp; TRIM(IF(I113="SIM","tratamento de dados sensíveis; ","") &amp; IF(K113="SIM","utilização de dados de menores; ","") &amp; IF(AF113="SIM","transferência internacional de dados; ","") &amp; IF(AL113="SIM","utilização de inteligência artificial; ","") &amp; IF(OR(AN113="Dados pessoais",AN113="Dados sensíveis",AN113="Dados pessoais e sensíveis"),"dados inseridos em IA; ","") &amp; IF(O113="Acima de 10.000 titulares por mês","volume crítico de titulares; ","") &amp; IF(O113="De 1.001 a 10.000 titulares por mês","volume moderado de titulares; ","") &amp; IF(AA113="SIM","compartilhamento com terceiros; ","") &amp; IF(R113="SIM","compartilhamento com órgãos governamentais; ","") &amp; IF(AJ113="NÃO","ausência de controle de acesso por perfil; ","")),"DPIA não indicado: Processo de baixa criticidade."))</f>
      </c>
    </row>
    <row x14ac:dyDescent="0.25" r="114" customHeight="1" ht="15.75">
      <c r="A114" s="46"/>
      <c r="B114" s="6"/>
      <c r="C114" s="11"/>
      <c r="D114" s="11"/>
      <c r="E114" s="11"/>
      <c r="F114" s="29"/>
      <c r="G114" s="11"/>
      <c r="H114" s="11"/>
      <c r="I114" s="29"/>
      <c r="J114" s="11"/>
      <c r="K114" s="29"/>
      <c r="L114" s="11"/>
      <c r="M114" s="11"/>
      <c r="N114" s="11"/>
      <c r="O114" s="29"/>
      <c r="P114" s="29"/>
      <c r="Q114" s="11"/>
      <c r="R114" s="29"/>
      <c r="S114" s="11"/>
      <c r="T114" s="6"/>
      <c r="U114" s="29"/>
      <c r="V114" s="11"/>
      <c r="W114" s="11"/>
      <c r="X114" s="29"/>
      <c r="Y114" s="11"/>
      <c r="Z114" s="29"/>
      <c r="AA114" s="29"/>
      <c r="AB114" s="11"/>
      <c r="AC114" s="11"/>
      <c r="AD114" s="29"/>
      <c r="AE114" s="11"/>
      <c r="AF114" s="29"/>
      <c r="AG114" s="11"/>
      <c r="AH114" s="29"/>
      <c r="AI114" s="11"/>
      <c r="AJ114" s="29"/>
      <c r="AK114" s="29"/>
      <c r="AL114" s="29"/>
      <c r="AM114" s="11"/>
      <c r="AN114" s="29"/>
      <c r="AO114" s="29"/>
      <c r="AP114" s="6"/>
      <c r="AQ114" s="113">
        <f>IF(AND(I114="",K114="",AF114="",AL114="",AN114="",O114=""),"",IF(OR(I114="SIM",K114="SIM",AF114="SIM",AL114="SIM",AN114="Dados pessoais",AN114="Dados sensíveis",AN114="Dados pessoais e sensíveis",O114="Acima de 10.000 titulares por mês"),"SIM - Alta criticidade",IF((IF(I114="SIM",2,0)+IF(K114="SIM",2,0)+IF(AF114="SIM",2,0)+IF(OR(AN114="Dados pessoais",AN114="Dados sensíveis",AN114="Dados pessoais e sensíveis"),2,0)+IF(O114="De 1.001 a 10.000 titulares por mês",1,0)+IF(AA114="SIM",1,0)+IF(R114="SIM",1,0)+IF(AL114="SIM",1,0)+IF(AJ114="NÃO",1,0))&gt;=5,"SIM - Alta criticidade",IF((IF(I114="SIM",2,0)+IF(K114="SIM",2,0)+IF(AF114="SIM",2,0)+IF(OR(AN114="Dados pessoais",AN114="Dados sensíveis",AN114="Dados pessoais e sensíveis"),2,0)+IF(O114="De 1.001 a 10.000 titulares por mês",1,0)+IF(AA114="SIM",1,0)+IF(R114="SIM",1,0)+IF(AL114="SIM",1,0)+IF(AJ114="NÃO",1,0))&gt;=3,"Avaliação necessária","NÃO"))))</f>
      </c>
      <c r="AR114" s="11"/>
      <c r="AS114" s="113">
        <f>IF(AND(I114="",K114="",AF114="",AL114="",AN114="",O114=""),"",IF(OR(I114="SIM",K114="SIM",AF114="SIM",AL114="SIM",OR(AN114="Dados pessoais",AN114="Dados sensíveis",AN114="Dados pessoais e sensíveis"),O114="Acima de 10.000 titulares por mês",(IF(I114="SIM",2,0)+IF(K114="SIM",2,0)+IF(AF114="SIM",2,0)+IF(OR(AN114="Dados pessoais",AN114="Dados sensíveis",AN114="Dados pessoais e sensíveis"),2,0)+IF(O114="De 1.001 a 10.000 titulares por mês",1,0)+IF(AA114="SIM",1,0)+IF(R114="SIM",1,0)+IF(AL114="SIM",1,0)+IF(AJ114="NÃO",1,0))&gt;=3),"DPIA indicado ou em avaliação em razão de: " &amp; TRIM(IF(I114="SIM","tratamento de dados sensíveis; ","") &amp; IF(K114="SIM","utilização de dados de menores; ","") &amp; IF(AF114="SIM","transferência internacional de dados; ","") &amp; IF(AL114="SIM","utilização de inteligência artificial; ","") &amp; IF(OR(AN114="Dados pessoais",AN114="Dados sensíveis",AN114="Dados pessoais e sensíveis"),"dados inseridos em IA; ","") &amp; IF(O114="Acima de 10.000 titulares por mês","volume crítico de titulares; ","") &amp; IF(O114="De 1.001 a 10.000 titulares por mês","volume moderado de titulares; ","") &amp; IF(AA114="SIM","compartilhamento com terceiros; ","") &amp; IF(R114="SIM","compartilhamento com órgãos governamentais; ","") &amp; IF(AJ114="NÃO","ausência de controle de acesso por perfil; ","")),"DPIA não indicado: Processo de baixa criticidade."))</f>
      </c>
    </row>
    <row x14ac:dyDescent="0.25" r="115" customHeight="1" ht="15.75">
      <c r="A115" s="46"/>
      <c r="B115" s="6"/>
      <c r="C115" s="11"/>
      <c r="D115" s="11"/>
      <c r="E115" s="11"/>
      <c r="F115" s="29"/>
      <c r="G115" s="11"/>
      <c r="H115" s="11"/>
      <c r="I115" s="29"/>
      <c r="J115" s="11"/>
      <c r="K115" s="29"/>
      <c r="L115" s="11"/>
      <c r="M115" s="11"/>
      <c r="N115" s="11"/>
      <c r="O115" s="29"/>
      <c r="P115" s="29"/>
      <c r="Q115" s="11"/>
      <c r="R115" s="29"/>
      <c r="S115" s="11"/>
      <c r="T115" s="6"/>
      <c r="U115" s="29"/>
      <c r="V115" s="11"/>
      <c r="W115" s="11"/>
      <c r="X115" s="29"/>
      <c r="Y115" s="11"/>
      <c r="Z115" s="29"/>
      <c r="AA115" s="29"/>
      <c r="AB115" s="11"/>
      <c r="AC115" s="11"/>
      <c r="AD115" s="29"/>
      <c r="AE115" s="11"/>
      <c r="AF115" s="29"/>
      <c r="AG115" s="11"/>
      <c r="AH115" s="29"/>
      <c r="AI115" s="11"/>
      <c r="AJ115" s="29"/>
      <c r="AK115" s="29"/>
      <c r="AL115" s="29"/>
      <c r="AM115" s="11"/>
      <c r="AN115" s="29"/>
      <c r="AO115" s="29"/>
      <c r="AP115" s="6"/>
      <c r="AQ115" s="113">
        <f>IF(AND(I115="",K115="",AF115="",AL115="",AN115="",O115=""),"",IF(OR(I115="SIM",K115="SIM",AF115="SIM",AL115="SIM",AN115="Dados pessoais",AN115="Dados sensíveis",AN115="Dados pessoais e sensíveis",O115="Acima de 10.000 titulares por mês"),"SIM - Alta criticidade",IF((IF(I115="SIM",2,0)+IF(K115="SIM",2,0)+IF(AF115="SIM",2,0)+IF(OR(AN115="Dados pessoais",AN115="Dados sensíveis",AN115="Dados pessoais e sensíveis"),2,0)+IF(O115="De 1.001 a 10.000 titulares por mês",1,0)+IF(AA115="SIM",1,0)+IF(R115="SIM",1,0)+IF(AL115="SIM",1,0)+IF(AJ115="NÃO",1,0))&gt;=5,"SIM - Alta criticidade",IF((IF(I115="SIM",2,0)+IF(K115="SIM",2,0)+IF(AF115="SIM",2,0)+IF(OR(AN115="Dados pessoais",AN115="Dados sensíveis",AN115="Dados pessoais e sensíveis"),2,0)+IF(O115="De 1.001 a 10.000 titulares por mês",1,0)+IF(AA115="SIM",1,0)+IF(R115="SIM",1,0)+IF(AL115="SIM",1,0)+IF(AJ115="NÃO",1,0))&gt;=3,"Avaliação necessária","NÃO"))))</f>
      </c>
      <c r="AR115" s="11"/>
      <c r="AS115" s="113">
        <f>IF(AND(I115="",K115="",AF115="",AL115="",AN115="",O115=""),"",IF(OR(I115="SIM",K115="SIM",AF115="SIM",AL115="SIM",OR(AN115="Dados pessoais",AN115="Dados sensíveis",AN115="Dados pessoais e sensíveis"),O115="Acima de 10.000 titulares por mês",(IF(I115="SIM",2,0)+IF(K115="SIM",2,0)+IF(AF115="SIM",2,0)+IF(OR(AN115="Dados pessoais",AN115="Dados sensíveis",AN115="Dados pessoais e sensíveis"),2,0)+IF(O115="De 1.001 a 10.000 titulares por mês",1,0)+IF(AA115="SIM",1,0)+IF(R115="SIM",1,0)+IF(AL115="SIM",1,0)+IF(AJ115="NÃO",1,0))&gt;=3),"DPIA indicado ou em avaliação em razão de: " &amp; TRIM(IF(I115="SIM","tratamento de dados sensíveis; ","") &amp; IF(K115="SIM","utilização de dados de menores; ","") &amp; IF(AF115="SIM","transferência internacional de dados; ","") &amp; IF(AL115="SIM","utilização de inteligência artificial; ","") &amp; IF(OR(AN115="Dados pessoais",AN115="Dados sensíveis",AN115="Dados pessoais e sensíveis"),"dados inseridos em IA; ","") &amp; IF(O115="Acima de 10.000 titulares por mês","volume crítico de titulares; ","") &amp; IF(O115="De 1.001 a 10.000 titulares por mês","volume moderado de titulares; ","") &amp; IF(AA115="SIM","compartilhamento com terceiros; ","") &amp; IF(R115="SIM","compartilhamento com órgãos governamentais; ","") &amp; IF(AJ115="NÃO","ausência de controle de acesso por perfil; ","")),"DPIA não indicado: Processo de baixa criticidade."))</f>
      </c>
    </row>
    <row x14ac:dyDescent="0.25" r="116" customHeight="1" ht="15.75">
      <c r="A116" s="46"/>
      <c r="B116" s="6"/>
      <c r="C116" s="11"/>
      <c r="D116" s="11"/>
      <c r="E116" s="11"/>
      <c r="F116" s="29"/>
      <c r="G116" s="11"/>
      <c r="H116" s="11"/>
      <c r="I116" s="29"/>
      <c r="J116" s="11"/>
      <c r="K116" s="29"/>
      <c r="L116" s="11"/>
      <c r="M116" s="11"/>
      <c r="N116" s="11"/>
      <c r="O116" s="29"/>
      <c r="P116" s="29"/>
      <c r="Q116" s="11"/>
      <c r="R116" s="29"/>
      <c r="S116" s="11"/>
      <c r="T116" s="6"/>
      <c r="U116" s="29"/>
      <c r="V116" s="11"/>
      <c r="W116" s="11"/>
      <c r="X116" s="29"/>
      <c r="Y116" s="11"/>
      <c r="Z116" s="29"/>
      <c r="AA116" s="29"/>
      <c r="AB116" s="11"/>
      <c r="AC116" s="11"/>
      <c r="AD116" s="29"/>
      <c r="AE116" s="11"/>
      <c r="AF116" s="29"/>
      <c r="AG116" s="11"/>
      <c r="AH116" s="29"/>
      <c r="AI116" s="11"/>
      <c r="AJ116" s="29"/>
      <c r="AK116" s="29"/>
      <c r="AL116" s="29"/>
      <c r="AM116" s="11"/>
      <c r="AN116" s="29"/>
      <c r="AO116" s="29"/>
      <c r="AP116" s="6"/>
      <c r="AQ116" s="113">
        <f>IF(AND(I116="",K116="",AF116="",AL116="",AN116="",O116=""),"",IF(OR(I116="SIM",K116="SIM",AF116="SIM",AL116="SIM",AN116="Dados pessoais",AN116="Dados sensíveis",AN116="Dados pessoais e sensíveis",O116="Acima de 10.000 titulares por mês"),"SIM - Alta criticidade",IF((IF(I116="SIM",2,0)+IF(K116="SIM",2,0)+IF(AF116="SIM",2,0)+IF(OR(AN116="Dados pessoais",AN116="Dados sensíveis",AN116="Dados pessoais e sensíveis"),2,0)+IF(O116="De 1.001 a 10.000 titulares por mês",1,0)+IF(AA116="SIM",1,0)+IF(R116="SIM",1,0)+IF(AL116="SIM",1,0)+IF(AJ116="NÃO",1,0))&gt;=5,"SIM - Alta criticidade",IF((IF(I116="SIM",2,0)+IF(K116="SIM",2,0)+IF(AF116="SIM",2,0)+IF(OR(AN116="Dados pessoais",AN116="Dados sensíveis",AN116="Dados pessoais e sensíveis"),2,0)+IF(O116="De 1.001 a 10.000 titulares por mês",1,0)+IF(AA116="SIM",1,0)+IF(R116="SIM",1,0)+IF(AL116="SIM",1,0)+IF(AJ116="NÃO",1,0))&gt;=3,"Avaliação necessária","NÃO"))))</f>
      </c>
      <c r="AR116" s="11"/>
      <c r="AS116" s="113">
        <f>IF(AND(I116="",K116="",AF116="",AL116="",AN116="",O116=""),"",IF(OR(I116="SIM",K116="SIM",AF116="SIM",AL116="SIM",OR(AN116="Dados pessoais",AN116="Dados sensíveis",AN116="Dados pessoais e sensíveis"),O116="Acima de 10.000 titulares por mês",(IF(I116="SIM",2,0)+IF(K116="SIM",2,0)+IF(AF116="SIM",2,0)+IF(OR(AN116="Dados pessoais",AN116="Dados sensíveis",AN116="Dados pessoais e sensíveis"),2,0)+IF(O116="De 1.001 a 10.000 titulares por mês",1,0)+IF(AA116="SIM",1,0)+IF(R116="SIM",1,0)+IF(AL116="SIM",1,0)+IF(AJ116="NÃO",1,0))&gt;=3),"DPIA indicado ou em avaliação em razão de: " &amp; TRIM(IF(I116="SIM","tratamento de dados sensíveis; ","") &amp; IF(K116="SIM","utilização de dados de menores; ","") &amp; IF(AF116="SIM","transferência internacional de dados; ","") &amp; IF(AL116="SIM","utilização de inteligência artificial; ","") &amp; IF(OR(AN116="Dados pessoais",AN116="Dados sensíveis",AN116="Dados pessoais e sensíveis"),"dados inseridos em IA; ","") &amp; IF(O116="Acima de 10.000 titulares por mês","volume crítico de titulares; ","") &amp; IF(O116="De 1.001 a 10.000 titulares por mês","volume moderado de titulares; ","") &amp; IF(AA116="SIM","compartilhamento com terceiros; ","") &amp; IF(R116="SIM","compartilhamento com órgãos governamentais; ","") &amp; IF(AJ116="NÃO","ausência de controle de acesso por perfil; ","")),"DPIA não indicado: Processo de baixa criticidade."))</f>
      </c>
    </row>
    <row x14ac:dyDescent="0.25" r="117" customHeight="1" ht="15.75">
      <c r="A117" s="46"/>
      <c r="B117" s="6"/>
      <c r="C117" s="11"/>
      <c r="D117" s="11"/>
      <c r="E117" s="11"/>
      <c r="F117" s="29"/>
      <c r="G117" s="11"/>
      <c r="H117" s="11"/>
      <c r="I117" s="29"/>
      <c r="J117" s="11"/>
      <c r="K117" s="29"/>
      <c r="L117" s="11"/>
      <c r="M117" s="11"/>
      <c r="N117" s="11"/>
      <c r="O117" s="29"/>
      <c r="P117" s="29"/>
      <c r="Q117" s="11"/>
      <c r="R117" s="29"/>
      <c r="S117" s="11"/>
      <c r="T117" s="6"/>
      <c r="U117" s="29"/>
      <c r="V117" s="11"/>
      <c r="W117" s="11"/>
      <c r="X117" s="29"/>
      <c r="Y117" s="11"/>
      <c r="Z117" s="29"/>
      <c r="AA117" s="29"/>
      <c r="AB117" s="11"/>
      <c r="AC117" s="11"/>
      <c r="AD117" s="29"/>
      <c r="AE117" s="11"/>
      <c r="AF117" s="29"/>
      <c r="AG117" s="11"/>
      <c r="AH117" s="29"/>
      <c r="AI117" s="11"/>
      <c r="AJ117" s="29"/>
      <c r="AK117" s="29"/>
      <c r="AL117" s="29"/>
      <c r="AM117" s="11"/>
      <c r="AN117" s="29"/>
      <c r="AO117" s="29"/>
      <c r="AP117" s="6"/>
      <c r="AQ117" s="113">
        <f>IF(AND(I117="",K117="",AF117="",AL117="",AN117="",O117=""),"",IF(OR(I117="SIM",K117="SIM",AF117="SIM",AL117="SIM",AN117="Dados pessoais",AN117="Dados sensíveis",AN117="Dados pessoais e sensíveis",O117="Acima de 10.000 titulares por mês"),"SIM - Alta criticidade",IF((IF(I117="SIM",2,0)+IF(K117="SIM",2,0)+IF(AF117="SIM",2,0)+IF(OR(AN117="Dados pessoais",AN117="Dados sensíveis",AN117="Dados pessoais e sensíveis"),2,0)+IF(O117="De 1.001 a 10.000 titulares por mês",1,0)+IF(AA117="SIM",1,0)+IF(R117="SIM",1,0)+IF(AL117="SIM",1,0)+IF(AJ117="NÃO",1,0))&gt;=5,"SIM - Alta criticidade",IF((IF(I117="SIM",2,0)+IF(K117="SIM",2,0)+IF(AF117="SIM",2,0)+IF(OR(AN117="Dados pessoais",AN117="Dados sensíveis",AN117="Dados pessoais e sensíveis"),2,0)+IF(O117="De 1.001 a 10.000 titulares por mês",1,0)+IF(AA117="SIM",1,0)+IF(R117="SIM",1,0)+IF(AL117="SIM",1,0)+IF(AJ117="NÃO",1,0))&gt;=3,"Avaliação necessária","NÃO"))))</f>
      </c>
      <c r="AR117" s="11"/>
      <c r="AS117" s="113">
        <f>IF(AND(I117="",K117="",AF117="",AL117="",AN117="",O117=""),"",IF(OR(I117="SIM",K117="SIM",AF117="SIM",AL117="SIM",OR(AN117="Dados pessoais",AN117="Dados sensíveis",AN117="Dados pessoais e sensíveis"),O117="Acima de 10.000 titulares por mês",(IF(I117="SIM",2,0)+IF(K117="SIM",2,0)+IF(AF117="SIM",2,0)+IF(OR(AN117="Dados pessoais",AN117="Dados sensíveis",AN117="Dados pessoais e sensíveis"),2,0)+IF(O117="De 1.001 a 10.000 titulares por mês",1,0)+IF(AA117="SIM",1,0)+IF(R117="SIM",1,0)+IF(AL117="SIM",1,0)+IF(AJ117="NÃO",1,0))&gt;=3),"DPIA indicado ou em avaliação em razão de: " &amp; TRIM(IF(I117="SIM","tratamento de dados sensíveis; ","") &amp; IF(K117="SIM","utilização de dados de menores; ","") &amp; IF(AF117="SIM","transferência internacional de dados; ","") &amp; IF(AL117="SIM","utilização de inteligência artificial; ","") &amp; IF(OR(AN117="Dados pessoais",AN117="Dados sensíveis",AN117="Dados pessoais e sensíveis"),"dados inseridos em IA; ","") &amp; IF(O117="Acima de 10.000 titulares por mês","volume crítico de titulares; ","") &amp; IF(O117="De 1.001 a 10.000 titulares por mês","volume moderado de titulares; ","") &amp; IF(AA117="SIM","compartilhamento com terceiros; ","") &amp; IF(R117="SIM","compartilhamento com órgãos governamentais; ","") &amp; IF(AJ117="NÃO","ausência de controle de acesso por perfil; ","")),"DPIA não indicado: Processo de baixa criticidade."))</f>
      </c>
    </row>
    <row x14ac:dyDescent="0.25" r="118" customHeight="1" ht="15.75">
      <c r="A118" s="46"/>
      <c r="B118" s="6"/>
      <c r="C118" s="11"/>
      <c r="D118" s="11"/>
      <c r="E118" s="11"/>
      <c r="F118" s="29"/>
      <c r="G118" s="11"/>
      <c r="H118" s="11"/>
      <c r="I118" s="29"/>
      <c r="J118" s="11"/>
      <c r="K118" s="29"/>
      <c r="L118" s="11"/>
      <c r="M118" s="11"/>
      <c r="N118" s="11"/>
      <c r="O118" s="29"/>
      <c r="P118" s="29"/>
      <c r="Q118" s="11"/>
      <c r="R118" s="29"/>
      <c r="S118" s="11"/>
      <c r="T118" s="6"/>
      <c r="U118" s="29"/>
      <c r="V118" s="11"/>
      <c r="W118" s="11"/>
      <c r="X118" s="29"/>
      <c r="Y118" s="11"/>
      <c r="Z118" s="29"/>
      <c r="AA118" s="29"/>
      <c r="AB118" s="11"/>
      <c r="AC118" s="11"/>
      <c r="AD118" s="29"/>
      <c r="AE118" s="11"/>
      <c r="AF118" s="29"/>
      <c r="AG118" s="11"/>
      <c r="AH118" s="29"/>
      <c r="AI118" s="11"/>
      <c r="AJ118" s="29"/>
      <c r="AK118" s="29"/>
      <c r="AL118" s="29"/>
      <c r="AM118" s="11"/>
      <c r="AN118" s="29"/>
      <c r="AO118" s="29"/>
      <c r="AP118" s="6"/>
      <c r="AQ118" s="113">
        <f>IF(AND(I118="",K118="",AF118="",AL118="",AN118="",O118=""),"",IF(OR(I118="SIM",K118="SIM",AF118="SIM",AL118="SIM",AN118="Dados pessoais",AN118="Dados sensíveis",AN118="Dados pessoais e sensíveis",O118="Acima de 10.000 titulares por mês"),"SIM - Alta criticidade",IF((IF(I118="SIM",2,0)+IF(K118="SIM",2,0)+IF(AF118="SIM",2,0)+IF(OR(AN118="Dados pessoais",AN118="Dados sensíveis",AN118="Dados pessoais e sensíveis"),2,0)+IF(O118="De 1.001 a 10.000 titulares por mês",1,0)+IF(AA118="SIM",1,0)+IF(R118="SIM",1,0)+IF(AL118="SIM",1,0)+IF(AJ118="NÃO",1,0))&gt;=5,"SIM - Alta criticidade",IF((IF(I118="SIM",2,0)+IF(K118="SIM",2,0)+IF(AF118="SIM",2,0)+IF(OR(AN118="Dados pessoais",AN118="Dados sensíveis",AN118="Dados pessoais e sensíveis"),2,0)+IF(O118="De 1.001 a 10.000 titulares por mês",1,0)+IF(AA118="SIM",1,0)+IF(R118="SIM",1,0)+IF(AL118="SIM",1,0)+IF(AJ118="NÃO",1,0))&gt;=3,"Avaliação necessária","NÃO"))))</f>
      </c>
      <c r="AR118" s="11"/>
      <c r="AS118" s="113">
        <f>IF(AND(I118="",K118="",AF118="",AL118="",AN118="",O118=""),"",IF(OR(I118="SIM",K118="SIM",AF118="SIM",AL118="SIM",OR(AN118="Dados pessoais",AN118="Dados sensíveis",AN118="Dados pessoais e sensíveis"),O118="Acima de 10.000 titulares por mês",(IF(I118="SIM",2,0)+IF(K118="SIM",2,0)+IF(AF118="SIM",2,0)+IF(OR(AN118="Dados pessoais",AN118="Dados sensíveis",AN118="Dados pessoais e sensíveis"),2,0)+IF(O118="De 1.001 a 10.000 titulares por mês",1,0)+IF(AA118="SIM",1,0)+IF(R118="SIM",1,0)+IF(AL118="SIM",1,0)+IF(AJ118="NÃO",1,0))&gt;=3),"DPIA indicado ou em avaliação em razão de: " &amp; TRIM(IF(I118="SIM","tratamento de dados sensíveis; ","") &amp; IF(K118="SIM","utilização de dados de menores; ","") &amp; IF(AF118="SIM","transferência internacional de dados; ","") &amp; IF(AL118="SIM","utilização de inteligência artificial; ","") &amp; IF(OR(AN118="Dados pessoais",AN118="Dados sensíveis",AN118="Dados pessoais e sensíveis"),"dados inseridos em IA; ","") &amp; IF(O118="Acima de 10.000 titulares por mês","volume crítico de titulares; ","") &amp; IF(O118="De 1.001 a 10.000 titulares por mês","volume moderado de titulares; ","") &amp; IF(AA118="SIM","compartilhamento com terceiros; ","") &amp; IF(R118="SIM","compartilhamento com órgãos governamentais; ","") &amp; IF(AJ118="NÃO","ausência de controle de acesso por perfil; ","")),"DPIA não indicado: Processo de baixa criticidade."))</f>
      </c>
    </row>
    <row x14ac:dyDescent="0.25" r="119" customHeight="1" ht="15.75">
      <c r="A119" s="46"/>
      <c r="B119" s="6"/>
      <c r="C119" s="11"/>
      <c r="D119" s="11"/>
      <c r="E119" s="11"/>
      <c r="F119" s="29"/>
      <c r="G119" s="11"/>
      <c r="H119" s="11"/>
      <c r="I119" s="29"/>
      <c r="J119" s="11"/>
      <c r="K119" s="29"/>
      <c r="L119" s="11"/>
      <c r="M119" s="11"/>
      <c r="N119" s="11"/>
      <c r="O119" s="29"/>
      <c r="P119" s="29"/>
      <c r="Q119" s="11"/>
      <c r="R119" s="29"/>
      <c r="S119" s="11"/>
      <c r="T119" s="6"/>
      <c r="U119" s="29"/>
      <c r="V119" s="11"/>
      <c r="W119" s="11"/>
      <c r="X119" s="29"/>
      <c r="Y119" s="11"/>
      <c r="Z119" s="29"/>
      <c r="AA119" s="29"/>
      <c r="AB119" s="11"/>
      <c r="AC119" s="11"/>
      <c r="AD119" s="29"/>
      <c r="AE119" s="11"/>
      <c r="AF119" s="29"/>
      <c r="AG119" s="11"/>
      <c r="AH119" s="29"/>
      <c r="AI119" s="11"/>
      <c r="AJ119" s="29"/>
      <c r="AK119" s="29"/>
      <c r="AL119" s="29"/>
      <c r="AM119" s="11"/>
      <c r="AN119" s="29"/>
      <c r="AO119" s="29"/>
      <c r="AP119" s="6"/>
      <c r="AQ119" s="113">
        <f>IF(AND(I119="",K119="",AF119="",AL119="",AN119="",O119=""),"",IF(OR(I119="SIM",K119="SIM",AF119="SIM",AL119="SIM",AN119="Dados pessoais",AN119="Dados sensíveis",AN119="Dados pessoais e sensíveis",O119="Acima de 10.000 titulares por mês"),"SIM - Alta criticidade",IF((IF(I119="SIM",2,0)+IF(K119="SIM",2,0)+IF(AF119="SIM",2,0)+IF(OR(AN119="Dados pessoais",AN119="Dados sensíveis",AN119="Dados pessoais e sensíveis"),2,0)+IF(O119="De 1.001 a 10.000 titulares por mês",1,0)+IF(AA119="SIM",1,0)+IF(R119="SIM",1,0)+IF(AL119="SIM",1,0)+IF(AJ119="NÃO",1,0))&gt;=5,"SIM - Alta criticidade",IF((IF(I119="SIM",2,0)+IF(K119="SIM",2,0)+IF(AF119="SIM",2,0)+IF(OR(AN119="Dados pessoais",AN119="Dados sensíveis",AN119="Dados pessoais e sensíveis"),2,0)+IF(O119="De 1.001 a 10.000 titulares por mês",1,0)+IF(AA119="SIM",1,0)+IF(R119="SIM",1,0)+IF(AL119="SIM",1,0)+IF(AJ119="NÃO",1,0))&gt;=3,"Avaliação necessária","NÃO"))))</f>
      </c>
      <c r="AR119" s="11"/>
      <c r="AS119" s="113">
        <f>IF(AND(I119="",K119="",AF119="",AL119="",AN119="",O119=""),"",IF(OR(I119="SIM",K119="SIM",AF119="SIM",AL119="SIM",OR(AN119="Dados pessoais",AN119="Dados sensíveis",AN119="Dados pessoais e sensíveis"),O119="Acima de 10.000 titulares por mês",(IF(I119="SIM",2,0)+IF(K119="SIM",2,0)+IF(AF119="SIM",2,0)+IF(OR(AN119="Dados pessoais",AN119="Dados sensíveis",AN119="Dados pessoais e sensíveis"),2,0)+IF(O119="De 1.001 a 10.000 titulares por mês",1,0)+IF(AA119="SIM",1,0)+IF(R119="SIM",1,0)+IF(AL119="SIM",1,0)+IF(AJ119="NÃO",1,0))&gt;=3),"DPIA indicado ou em avaliação em razão de: " &amp; TRIM(IF(I119="SIM","tratamento de dados sensíveis; ","") &amp; IF(K119="SIM","utilização de dados de menores; ","") &amp; IF(AF119="SIM","transferência internacional de dados; ","") &amp; IF(AL119="SIM","utilização de inteligência artificial; ","") &amp; IF(OR(AN119="Dados pessoais",AN119="Dados sensíveis",AN119="Dados pessoais e sensíveis"),"dados inseridos em IA; ","") &amp; IF(O119="Acima de 10.000 titulares por mês","volume crítico de titulares; ","") &amp; IF(O119="De 1.001 a 10.000 titulares por mês","volume moderado de titulares; ","") &amp; IF(AA119="SIM","compartilhamento com terceiros; ","") &amp; IF(R119="SIM","compartilhamento com órgãos governamentais; ","") &amp; IF(AJ119="NÃO","ausência de controle de acesso por perfil; ","")),"DPIA não indicado: Processo de baixa criticidade."))</f>
      </c>
    </row>
    <row x14ac:dyDescent="0.25" r="120" customHeight="1" ht="15.75">
      <c r="A120" s="46"/>
      <c r="B120" s="6"/>
      <c r="C120" s="11"/>
      <c r="D120" s="11"/>
      <c r="E120" s="11"/>
      <c r="F120" s="29"/>
      <c r="G120" s="11"/>
      <c r="H120" s="11"/>
      <c r="I120" s="29"/>
      <c r="J120" s="11"/>
      <c r="K120" s="29"/>
      <c r="L120" s="11"/>
      <c r="M120" s="11"/>
      <c r="N120" s="11"/>
      <c r="O120" s="29"/>
      <c r="P120" s="29"/>
      <c r="Q120" s="11"/>
      <c r="R120" s="29"/>
      <c r="S120" s="11"/>
      <c r="T120" s="6"/>
      <c r="U120" s="29"/>
      <c r="V120" s="11"/>
      <c r="W120" s="11"/>
      <c r="X120" s="29"/>
      <c r="Y120" s="11"/>
      <c r="Z120" s="29"/>
      <c r="AA120" s="29"/>
      <c r="AB120" s="11"/>
      <c r="AC120" s="11"/>
      <c r="AD120" s="29"/>
      <c r="AE120" s="11"/>
      <c r="AF120" s="29"/>
      <c r="AG120" s="11"/>
      <c r="AH120" s="29"/>
      <c r="AI120" s="11"/>
      <c r="AJ120" s="29"/>
      <c r="AK120" s="29"/>
      <c r="AL120" s="29"/>
      <c r="AM120" s="11"/>
      <c r="AN120" s="29"/>
      <c r="AO120" s="29"/>
      <c r="AP120" s="6"/>
      <c r="AQ120" s="113">
        <f>IF(AND(I120="",K120="",AF120="",AL120="",AN120="",O120=""),"",IF(OR(I120="SIM",K120="SIM",AF120="SIM",AL120="SIM",AN120="Dados pessoais",AN120="Dados sensíveis",AN120="Dados pessoais e sensíveis",O120="Acima de 10.000 titulares por mês"),"SIM - Alta criticidade",IF((IF(I120="SIM",2,0)+IF(K120="SIM",2,0)+IF(AF120="SIM",2,0)+IF(OR(AN120="Dados pessoais",AN120="Dados sensíveis",AN120="Dados pessoais e sensíveis"),2,0)+IF(O120="De 1.001 a 10.000 titulares por mês",1,0)+IF(AA120="SIM",1,0)+IF(R120="SIM",1,0)+IF(AL120="SIM",1,0)+IF(AJ120="NÃO",1,0))&gt;=5,"SIM - Alta criticidade",IF((IF(I120="SIM",2,0)+IF(K120="SIM",2,0)+IF(AF120="SIM",2,0)+IF(OR(AN120="Dados pessoais",AN120="Dados sensíveis",AN120="Dados pessoais e sensíveis"),2,0)+IF(O120="De 1.001 a 10.000 titulares por mês",1,0)+IF(AA120="SIM",1,0)+IF(R120="SIM",1,0)+IF(AL120="SIM",1,0)+IF(AJ120="NÃO",1,0))&gt;=3,"Avaliação necessária","NÃO"))))</f>
      </c>
      <c r="AR120" s="11"/>
      <c r="AS120" s="113">
        <f>IF(AND(I120="",K120="",AF120="",AL120="",AN120="",O120=""),"",IF(OR(I120="SIM",K120="SIM",AF120="SIM",AL120="SIM",OR(AN120="Dados pessoais",AN120="Dados sensíveis",AN120="Dados pessoais e sensíveis"),O120="Acima de 10.000 titulares por mês",(IF(I120="SIM",2,0)+IF(K120="SIM",2,0)+IF(AF120="SIM",2,0)+IF(OR(AN120="Dados pessoais",AN120="Dados sensíveis",AN120="Dados pessoais e sensíveis"),2,0)+IF(O120="De 1.001 a 10.000 titulares por mês",1,0)+IF(AA120="SIM",1,0)+IF(R120="SIM",1,0)+IF(AL120="SIM",1,0)+IF(AJ120="NÃO",1,0))&gt;=3),"DPIA indicado ou em avaliação em razão de: " &amp; TRIM(IF(I120="SIM","tratamento de dados sensíveis; ","") &amp; IF(K120="SIM","utilização de dados de menores; ","") &amp; IF(AF120="SIM","transferência internacional de dados; ","") &amp; IF(AL120="SIM","utilização de inteligência artificial; ","") &amp; IF(OR(AN120="Dados pessoais",AN120="Dados sensíveis",AN120="Dados pessoais e sensíveis"),"dados inseridos em IA; ","") &amp; IF(O120="Acima de 10.000 titulares por mês","volume crítico de titulares; ","") &amp; IF(O120="De 1.001 a 10.000 titulares por mês","volume moderado de titulares; ","") &amp; IF(AA120="SIM","compartilhamento com terceiros; ","") &amp; IF(R120="SIM","compartilhamento com órgãos governamentais; ","") &amp; IF(AJ120="NÃO","ausência de controle de acesso por perfil; ","")),"DPIA não indicado: Processo de baixa criticidade."))</f>
      </c>
    </row>
    <row x14ac:dyDescent="0.25" r="121" customHeight="1" ht="15.75">
      <c r="A121" s="46"/>
      <c r="B121" s="6"/>
      <c r="C121" s="11"/>
      <c r="D121" s="11"/>
      <c r="E121" s="11"/>
      <c r="F121" s="29"/>
      <c r="G121" s="11"/>
      <c r="H121" s="11"/>
      <c r="I121" s="29"/>
      <c r="J121" s="11"/>
      <c r="K121" s="29"/>
      <c r="L121" s="11"/>
      <c r="M121" s="11"/>
      <c r="N121" s="11"/>
      <c r="O121" s="29"/>
      <c r="P121" s="29"/>
      <c r="Q121" s="11"/>
      <c r="R121" s="29"/>
      <c r="S121" s="11"/>
      <c r="T121" s="6"/>
      <c r="U121" s="29"/>
      <c r="V121" s="11"/>
      <c r="W121" s="11"/>
      <c r="X121" s="29"/>
      <c r="Y121" s="11"/>
      <c r="Z121" s="29"/>
      <c r="AA121" s="29"/>
      <c r="AB121" s="11"/>
      <c r="AC121" s="11"/>
      <c r="AD121" s="29"/>
      <c r="AE121" s="11"/>
      <c r="AF121" s="29"/>
      <c r="AG121" s="11"/>
      <c r="AH121" s="29"/>
      <c r="AI121" s="11"/>
      <c r="AJ121" s="29"/>
      <c r="AK121" s="29"/>
      <c r="AL121" s="29"/>
      <c r="AM121" s="11"/>
      <c r="AN121" s="29"/>
      <c r="AO121" s="29"/>
      <c r="AP121" s="6"/>
      <c r="AQ121" s="113">
        <f>IF(AND(I121="",K121="",AF121="",AL121="",AN121="",O121=""),"",IF(OR(I121="SIM",K121="SIM",AF121="SIM",AL121="SIM",AN121="Dados pessoais",AN121="Dados sensíveis",AN121="Dados pessoais e sensíveis",O121="Acima de 10.000 titulares por mês"),"SIM - Alta criticidade",IF((IF(I121="SIM",2,0)+IF(K121="SIM",2,0)+IF(AF121="SIM",2,0)+IF(OR(AN121="Dados pessoais",AN121="Dados sensíveis",AN121="Dados pessoais e sensíveis"),2,0)+IF(O121="De 1.001 a 10.000 titulares por mês",1,0)+IF(AA121="SIM",1,0)+IF(R121="SIM",1,0)+IF(AL121="SIM",1,0)+IF(AJ121="NÃO",1,0))&gt;=5,"SIM - Alta criticidade",IF((IF(I121="SIM",2,0)+IF(K121="SIM",2,0)+IF(AF121="SIM",2,0)+IF(OR(AN121="Dados pessoais",AN121="Dados sensíveis",AN121="Dados pessoais e sensíveis"),2,0)+IF(O121="De 1.001 a 10.000 titulares por mês",1,0)+IF(AA121="SIM",1,0)+IF(R121="SIM",1,0)+IF(AL121="SIM",1,0)+IF(AJ121="NÃO",1,0))&gt;=3,"Avaliação necessária","NÃO"))))</f>
      </c>
      <c r="AR121" s="11"/>
      <c r="AS121" s="113">
        <f>IF(AND(I121="",K121="",AF121="",AL121="",AN121="",O121=""),"",IF(OR(I121="SIM",K121="SIM",AF121="SIM",AL121="SIM",OR(AN121="Dados pessoais",AN121="Dados sensíveis",AN121="Dados pessoais e sensíveis"),O121="Acima de 10.000 titulares por mês",(IF(I121="SIM",2,0)+IF(K121="SIM",2,0)+IF(AF121="SIM",2,0)+IF(OR(AN121="Dados pessoais",AN121="Dados sensíveis",AN121="Dados pessoais e sensíveis"),2,0)+IF(O121="De 1.001 a 10.000 titulares por mês",1,0)+IF(AA121="SIM",1,0)+IF(R121="SIM",1,0)+IF(AL121="SIM",1,0)+IF(AJ121="NÃO",1,0))&gt;=3),"DPIA indicado ou em avaliação em razão de: " &amp; TRIM(IF(I121="SIM","tratamento de dados sensíveis; ","") &amp; IF(K121="SIM","utilização de dados de menores; ","") &amp; IF(AF121="SIM","transferência internacional de dados; ","") &amp; IF(AL121="SIM","utilização de inteligência artificial; ","") &amp; IF(OR(AN121="Dados pessoais",AN121="Dados sensíveis",AN121="Dados pessoais e sensíveis"),"dados inseridos em IA; ","") &amp; IF(O121="Acima de 10.000 titulares por mês","volume crítico de titulares; ","") &amp; IF(O121="De 1.001 a 10.000 titulares por mês","volume moderado de titulares; ","") &amp; IF(AA121="SIM","compartilhamento com terceiros; ","") &amp; IF(R121="SIM","compartilhamento com órgãos governamentais; ","") &amp; IF(AJ121="NÃO","ausência de controle de acesso por perfil; ","")),"DPIA não indicado: Processo de baixa criticidade."))</f>
      </c>
    </row>
    <row x14ac:dyDescent="0.25" r="122" customHeight="1" ht="15.75">
      <c r="A122" s="46"/>
      <c r="B122" s="6"/>
      <c r="C122" s="11"/>
      <c r="D122" s="11"/>
      <c r="E122" s="11"/>
      <c r="F122" s="29"/>
      <c r="G122" s="11"/>
      <c r="H122" s="11"/>
      <c r="I122" s="29"/>
      <c r="J122" s="11"/>
      <c r="K122" s="29"/>
      <c r="L122" s="11"/>
      <c r="M122" s="11"/>
      <c r="N122" s="11"/>
      <c r="O122" s="29"/>
      <c r="P122" s="29"/>
      <c r="Q122" s="11"/>
      <c r="R122" s="29"/>
      <c r="S122" s="11"/>
      <c r="T122" s="6"/>
      <c r="U122" s="29"/>
      <c r="V122" s="11"/>
      <c r="W122" s="11"/>
      <c r="X122" s="29"/>
      <c r="Y122" s="11"/>
      <c r="Z122" s="29"/>
      <c r="AA122" s="29"/>
      <c r="AB122" s="11"/>
      <c r="AC122" s="11"/>
      <c r="AD122" s="29"/>
      <c r="AE122" s="11"/>
      <c r="AF122" s="29"/>
      <c r="AG122" s="11"/>
      <c r="AH122" s="29"/>
      <c r="AI122" s="11"/>
      <c r="AJ122" s="29"/>
      <c r="AK122" s="29"/>
      <c r="AL122" s="29"/>
      <c r="AM122" s="11"/>
      <c r="AN122" s="29"/>
      <c r="AO122" s="29"/>
      <c r="AP122" s="6"/>
      <c r="AQ122" s="113">
        <f>IF(AND(I122="",K122="",AF122="",AL122="",AN122="",O122=""),"",IF(OR(I122="SIM",K122="SIM",AF122="SIM",AL122="SIM",AN122="Dados pessoais",AN122="Dados sensíveis",AN122="Dados pessoais e sensíveis",O122="Acima de 10.000 titulares por mês"),"SIM - Alta criticidade",IF((IF(I122="SIM",2,0)+IF(K122="SIM",2,0)+IF(AF122="SIM",2,0)+IF(OR(AN122="Dados pessoais",AN122="Dados sensíveis",AN122="Dados pessoais e sensíveis"),2,0)+IF(O122="De 1.001 a 10.000 titulares por mês",1,0)+IF(AA122="SIM",1,0)+IF(R122="SIM",1,0)+IF(AL122="SIM",1,0)+IF(AJ122="NÃO",1,0))&gt;=5,"SIM - Alta criticidade",IF((IF(I122="SIM",2,0)+IF(K122="SIM",2,0)+IF(AF122="SIM",2,0)+IF(OR(AN122="Dados pessoais",AN122="Dados sensíveis",AN122="Dados pessoais e sensíveis"),2,0)+IF(O122="De 1.001 a 10.000 titulares por mês",1,0)+IF(AA122="SIM",1,0)+IF(R122="SIM",1,0)+IF(AL122="SIM",1,0)+IF(AJ122="NÃO",1,0))&gt;=3,"Avaliação necessária","NÃO"))))</f>
      </c>
      <c r="AR122" s="11"/>
      <c r="AS122" s="113">
        <f>IF(AND(I122="",K122="",AF122="",AL122="",AN122="",O122=""),"",IF(OR(I122="SIM",K122="SIM",AF122="SIM",AL122="SIM",OR(AN122="Dados pessoais",AN122="Dados sensíveis",AN122="Dados pessoais e sensíveis"),O122="Acima de 10.000 titulares por mês",(IF(I122="SIM",2,0)+IF(K122="SIM",2,0)+IF(AF122="SIM",2,0)+IF(OR(AN122="Dados pessoais",AN122="Dados sensíveis",AN122="Dados pessoais e sensíveis"),2,0)+IF(O122="De 1.001 a 10.000 titulares por mês",1,0)+IF(AA122="SIM",1,0)+IF(R122="SIM",1,0)+IF(AL122="SIM",1,0)+IF(AJ122="NÃO",1,0))&gt;=3),"DPIA indicado ou em avaliação em razão de: " &amp; TRIM(IF(I122="SIM","tratamento de dados sensíveis; ","") &amp; IF(K122="SIM","utilização de dados de menores; ","") &amp; IF(AF122="SIM","transferência internacional de dados; ","") &amp; IF(AL122="SIM","utilização de inteligência artificial; ","") &amp; IF(OR(AN122="Dados pessoais",AN122="Dados sensíveis",AN122="Dados pessoais e sensíveis"),"dados inseridos em IA; ","") &amp; IF(O122="Acima de 10.000 titulares por mês","volume crítico de titulares; ","") &amp; IF(O122="De 1.001 a 10.000 titulares por mês","volume moderado de titulares; ","") &amp; IF(AA122="SIM","compartilhamento com terceiros; ","") &amp; IF(R122="SIM","compartilhamento com órgãos governamentais; ","") &amp; IF(AJ122="NÃO","ausência de controle de acesso por perfil; ","")),"DPIA não indicado: Processo de baixa criticidade."))</f>
      </c>
    </row>
    <row x14ac:dyDescent="0.25" r="123" customHeight="1" ht="15.75">
      <c r="A123" s="46"/>
      <c r="B123" s="6"/>
      <c r="C123" s="11"/>
      <c r="D123" s="11"/>
      <c r="E123" s="11"/>
      <c r="F123" s="29"/>
      <c r="G123" s="11"/>
      <c r="H123" s="11"/>
      <c r="I123" s="29"/>
      <c r="J123" s="11"/>
      <c r="K123" s="29"/>
      <c r="L123" s="11"/>
      <c r="M123" s="11"/>
      <c r="N123" s="11"/>
      <c r="O123" s="29"/>
      <c r="P123" s="29"/>
      <c r="Q123" s="11"/>
      <c r="R123" s="29"/>
      <c r="S123" s="11"/>
      <c r="T123" s="6"/>
      <c r="U123" s="29"/>
      <c r="V123" s="11"/>
      <c r="W123" s="11"/>
      <c r="X123" s="29"/>
      <c r="Y123" s="11"/>
      <c r="Z123" s="29"/>
      <c r="AA123" s="29"/>
      <c r="AB123" s="11"/>
      <c r="AC123" s="11"/>
      <c r="AD123" s="29"/>
      <c r="AE123" s="11"/>
      <c r="AF123" s="29"/>
      <c r="AG123" s="11"/>
      <c r="AH123" s="29"/>
      <c r="AI123" s="11"/>
      <c r="AJ123" s="29"/>
      <c r="AK123" s="29"/>
      <c r="AL123" s="29"/>
      <c r="AM123" s="11"/>
      <c r="AN123" s="29"/>
      <c r="AO123" s="29"/>
      <c r="AP123" s="6"/>
      <c r="AQ123" s="113">
        <f>IF(AND(I123="",K123="",AF123="",AL123="",AN123="",O123=""),"",IF(OR(I123="SIM",K123="SIM",AF123="SIM",AL123="SIM",AN123="Dados pessoais",AN123="Dados sensíveis",AN123="Dados pessoais e sensíveis",O123="Acima de 10.000 titulares por mês"),"SIM - Alta criticidade",IF((IF(I123="SIM",2,0)+IF(K123="SIM",2,0)+IF(AF123="SIM",2,0)+IF(OR(AN123="Dados pessoais",AN123="Dados sensíveis",AN123="Dados pessoais e sensíveis"),2,0)+IF(O123="De 1.001 a 10.000 titulares por mês",1,0)+IF(AA123="SIM",1,0)+IF(R123="SIM",1,0)+IF(AL123="SIM",1,0)+IF(AJ123="NÃO",1,0))&gt;=5,"SIM - Alta criticidade",IF((IF(I123="SIM",2,0)+IF(K123="SIM",2,0)+IF(AF123="SIM",2,0)+IF(OR(AN123="Dados pessoais",AN123="Dados sensíveis",AN123="Dados pessoais e sensíveis"),2,0)+IF(O123="De 1.001 a 10.000 titulares por mês",1,0)+IF(AA123="SIM",1,0)+IF(R123="SIM",1,0)+IF(AL123="SIM",1,0)+IF(AJ123="NÃO",1,0))&gt;=3,"Avaliação necessária","NÃO"))))</f>
      </c>
      <c r="AR123" s="11"/>
      <c r="AS123" s="113">
        <f>IF(AND(I123="",K123="",AF123="",AL123="",AN123="",O123=""),"",IF(OR(I123="SIM",K123="SIM",AF123="SIM",AL123="SIM",OR(AN123="Dados pessoais",AN123="Dados sensíveis",AN123="Dados pessoais e sensíveis"),O123="Acima de 10.000 titulares por mês",(IF(I123="SIM",2,0)+IF(K123="SIM",2,0)+IF(AF123="SIM",2,0)+IF(OR(AN123="Dados pessoais",AN123="Dados sensíveis",AN123="Dados pessoais e sensíveis"),2,0)+IF(O123="De 1.001 a 10.000 titulares por mês",1,0)+IF(AA123="SIM",1,0)+IF(R123="SIM",1,0)+IF(AL123="SIM",1,0)+IF(AJ123="NÃO",1,0))&gt;=3),"DPIA indicado ou em avaliação em razão de: " &amp; TRIM(IF(I123="SIM","tratamento de dados sensíveis; ","") &amp; IF(K123="SIM","utilização de dados de menores; ","") &amp; IF(AF123="SIM","transferência internacional de dados; ","") &amp; IF(AL123="SIM","utilização de inteligência artificial; ","") &amp; IF(OR(AN123="Dados pessoais",AN123="Dados sensíveis",AN123="Dados pessoais e sensíveis"),"dados inseridos em IA; ","") &amp; IF(O123="Acima de 10.000 titulares por mês","volume crítico de titulares; ","") &amp; IF(O123="De 1.001 a 10.000 titulares por mês","volume moderado de titulares; ","") &amp; IF(AA123="SIM","compartilhamento com terceiros; ","") &amp; IF(R123="SIM","compartilhamento com órgãos governamentais; ","") &amp; IF(AJ123="NÃO","ausência de controle de acesso por perfil; ","")),"DPIA não indicado: Processo de baixa criticidade."))</f>
      </c>
    </row>
    <row x14ac:dyDescent="0.25" r="124" customHeight="1" ht="15.75">
      <c r="A124" s="46"/>
      <c r="B124" s="6"/>
      <c r="C124" s="11"/>
      <c r="D124" s="11"/>
      <c r="E124" s="11"/>
      <c r="F124" s="29"/>
      <c r="G124" s="11"/>
      <c r="H124" s="11"/>
      <c r="I124" s="29"/>
      <c r="J124" s="11"/>
      <c r="K124" s="29"/>
      <c r="L124" s="11"/>
      <c r="M124" s="11"/>
      <c r="N124" s="11"/>
      <c r="O124" s="29"/>
      <c r="P124" s="29"/>
      <c r="Q124" s="11"/>
      <c r="R124" s="29"/>
      <c r="S124" s="11"/>
      <c r="T124" s="6"/>
      <c r="U124" s="29"/>
      <c r="V124" s="11"/>
      <c r="W124" s="11"/>
      <c r="X124" s="29"/>
      <c r="Y124" s="11"/>
      <c r="Z124" s="29"/>
      <c r="AA124" s="29"/>
      <c r="AB124" s="11"/>
      <c r="AC124" s="11"/>
      <c r="AD124" s="29"/>
      <c r="AE124" s="11"/>
      <c r="AF124" s="29"/>
      <c r="AG124" s="11"/>
      <c r="AH124" s="29"/>
      <c r="AI124" s="11"/>
      <c r="AJ124" s="29"/>
      <c r="AK124" s="29"/>
      <c r="AL124" s="29"/>
      <c r="AM124" s="11"/>
      <c r="AN124" s="29"/>
      <c r="AO124" s="29"/>
      <c r="AP124" s="6"/>
      <c r="AQ124" s="113">
        <f>IF(AND(I124="",K124="",AF124="",AL124="",AN124="",O124=""),"",IF(OR(I124="SIM",K124="SIM",AF124="SIM",AL124="SIM",AN124="Dados pessoais",AN124="Dados sensíveis",AN124="Dados pessoais e sensíveis",O124="Acima de 10.000 titulares por mês"),"SIM - Alta criticidade",IF((IF(I124="SIM",2,0)+IF(K124="SIM",2,0)+IF(AF124="SIM",2,0)+IF(OR(AN124="Dados pessoais",AN124="Dados sensíveis",AN124="Dados pessoais e sensíveis"),2,0)+IF(O124="De 1.001 a 10.000 titulares por mês",1,0)+IF(AA124="SIM",1,0)+IF(R124="SIM",1,0)+IF(AL124="SIM",1,0)+IF(AJ124="NÃO",1,0))&gt;=5,"SIM - Alta criticidade",IF((IF(I124="SIM",2,0)+IF(K124="SIM",2,0)+IF(AF124="SIM",2,0)+IF(OR(AN124="Dados pessoais",AN124="Dados sensíveis",AN124="Dados pessoais e sensíveis"),2,0)+IF(O124="De 1.001 a 10.000 titulares por mês",1,0)+IF(AA124="SIM",1,0)+IF(R124="SIM",1,0)+IF(AL124="SIM",1,0)+IF(AJ124="NÃO",1,0))&gt;=3,"Avaliação necessária","NÃO"))))</f>
      </c>
      <c r="AR124" s="11"/>
      <c r="AS124" s="113">
        <f>IF(AND(I124="",K124="",AF124="",AL124="",AN124="",O124=""),"",IF(OR(I124="SIM",K124="SIM",AF124="SIM",AL124="SIM",OR(AN124="Dados pessoais",AN124="Dados sensíveis",AN124="Dados pessoais e sensíveis"),O124="Acima de 10.000 titulares por mês",(IF(I124="SIM",2,0)+IF(K124="SIM",2,0)+IF(AF124="SIM",2,0)+IF(OR(AN124="Dados pessoais",AN124="Dados sensíveis",AN124="Dados pessoais e sensíveis"),2,0)+IF(O124="De 1.001 a 10.000 titulares por mês",1,0)+IF(AA124="SIM",1,0)+IF(R124="SIM",1,0)+IF(AL124="SIM",1,0)+IF(AJ124="NÃO",1,0))&gt;=3),"DPIA indicado ou em avaliação em razão de: " &amp; TRIM(IF(I124="SIM","tratamento de dados sensíveis; ","") &amp; IF(K124="SIM","utilização de dados de menores; ","") &amp; IF(AF124="SIM","transferência internacional de dados; ","") &amp; IF(AL124="SIM","utilização de inteligência artificial; ","") &amp; IF(OR(AN124="Dados pessoais",AN124="Dados sensíveis",AN124="Dados pessoais e sensíveis"),"dados inseridos em IA; ","") &amp; IF(O124="Acima de 10.000 titulares por mês","volume crítico de titulares; ","") &amp; IF(O124="De 1.001 a 10.000 titulares por mês","volume moderado de titulares; ","") &amp; IF(AA124="SIM","compartilhamento com terceiros; ","") &amp; IF(R124="SIM","compartilhamento com órgãos governamentais; ","") &amp; IF(AJ124="NÃO","ausência de controle de acesso por perfil; ","")),"DPIA não indicado: Processo de baixa criticidade."))</f>
      </c>
    </row>
    <row x14ac:dyDescent="0.25" r="125" customHeight="1" ht="15.75">
      <c r="A125" s="46"/>
      <c r="B125" s="6"/>
      <c r="C125" s="11"/>
      <c r="D125" s="11"/>
      <c r="E125" s="11"/>
      <c r="F125" s="29"/>
      <c r="G125" s="11"/>
      <c r="H125" s="11"/>
      <c r="I125" s="29"/>
      <c r="J125" s="11"/>
      <c r="K125" s="29"/>
      <c r="L125" s="11"/>
      <c r="M125" s="11"/>
      <c r="N125" s="11"/>
      <c r="O125" s="29"/>
      <c r="P125" s="29"/>
      <c r="Q125" s="11"/>
      <c r="R125" s="29"/>
      <c r="S125" s="11"/>
      <c r="T125" s="6"/>
      <c r="U125" s="29"/>
      <c r="V125" s="11"/>
      <c r="W125" s="11"/>
      <c r="X125" s="29"/>
      <c r="Y125" s="11"/>
      <c r="Z125" s="29"/>
      <c r="AA125" s="29"/>
      <c r="AB125" s="11"/>
      <c r="AC125" s="11"/>
      <c r="AD125" s="29"/>
      <c r="AE125" s="11"/>
      <c r="AF125" s="29"/>
      <c r="AG125" s="11"/>
      <c r="AH125" s="29"/>
      <c r="AI125" s="11"/>
      <c r="AJ125" s="29"/>
      <c r="AK125" s="29"/>
      <c r="AL125" s="29"/>
      <c r="AM125" s="11"/>
      <c r="AN125" s="29"/>
      <c r="AO125" s="29"/>
      <c r="AP125" s="6"/>
      <c r="AQ125" s="113">
        <f>IF(AND(I125="",K125="",AF125="",AL125="",AN125="",O125=""),"",IF(OR(I125="SIM",K125="SIM",AF125="SIM",AL125="SIM",AN125="Dados pessoais",AN125="Dados sensíveis",AN125="Dados pessoais e sensíveis",O125="Acima de 10.000 titulares por mês"),"SIM - Alta criticidade",IF((IF(I125="SIM",2,0)+IF(K125="SIM",2,0)+IF(AF125="SIM",2,0)+IF(OR(AN125="Dados pessoais",AN125="Dados sensíveis",AN125="Dados pessoais e sensíveis"),2,0)+IF(O125="De 1.001 a 10.000 titulares por mês",1,0)+IF(AA125="SIM",1,0)+IF(R125="SIM",1,0)+IF(AL125="SIM",1,0)+IF(AJ125="NÃO",1,0))&gt;=5,"SIM - Alta criticidade",IF((IF(I125="SIM",2,0)+IF(K125="SIM",2,0)+IF(AF125="SIM",2,0)+IF(OR(AN125="Dados pessoais",AN125="Dados sensíveis",AN125="Dados pessoais e sensíveis"),2,0)+IF(O125="De 1.001 a 10.000 titulares por mês",1,0)+IF(AA125="SIM",1,0)+IF(R125="SIM",1,0)+IF(AL125="SIM",1,0)+IF(AJ125="NÃO",1,0))&gt;=3,"Avaliação necessária","NÃO"))))</f>
      </c>
      <c r="AR125" s="11"/>
      <c r="AS125" s="113">
        <f>IF(AND(I125="",K125="",AF125="",AL125="",AN125="",O125=""),"",IF(OR(I125="SIM",K125="SIM",AF125="SIM",AL125="SIM",OR(AN125="Dados pessoais",AN125="Dados sensíveis",AN125="Dados pessoais e sensíveis"),O125="Acima de 10.000 titulares por mês",(IF(I125="SIM",2,0)+IF(K125="SIM",2,0)+IF(AF125="SIM",2,0)+IF(OR(AN125="Dados pessoais",AN125="Dados sensíveis",AN125="Dados pessoais e sensíveis"),2,0)+IF(O125="De 1.001 a 10.000 titulares por mês",1,0)+IF(AA125="SIM",1,0)+IF(R125="SIM",1,0)+IF(AL125="SIM",1,0)+IF(AJ125="NÃO",1,0))&gt;=3),"DPIA indicado ou em avaliação em razão de: " &amp; TRIM(IF(I125="SIM","tratamento de dados sensíveis; ","") &amp; IF(K125="SIM","utilização de dados de menores; ","") &amp; IF(AF125="SIM","transferência internacional de dados; ","") &amp; IF(AL125="SIM","utilização de inteligência artificial; ","") &amp; IF(OR(AN125="Dados pessoais",AN125="Dados sensíveis",AN125="Dados pessoais e sensíveis"),"dados inseridos em IA; ","") &amp; IF(O125="Acima de 10.000 titulares por mês","volume crítico de titulares; ","") &amp; IF(O125="De 1.001 a 10.000 titulares por mês","volume moderado de titulares; ","") &amp; IF(AA125="SIM","compartilhamento com terceiros; ","") &amp; IF(R125="SIM","compartilhamento com órgãos governamentais; ","") &amp; IF(AJ125="NÃO","ausência de controle de acesso por perfil; ","")),"DPIA não indicado: Processo de baixa criticidade."))</f>
      </c>
    </row>
    <row x14ac:dyDescent="0.25" r="126" customHeight="1" ht="15.75">
      <c r="A126" s="46"/>
      <c r="B126" s="6"/>
      <c r="C126" s="11"/>
      <c r="D126" s="11"/>
      <c r="E126" s="11"/>
      <c r="F126" s="29"/>
      <c r="G126" s="11"/>
      <c r="H126" s="11"/>
      <c r="I126" s="29"/>
      <c r="J126" s="11"/>
      <c r="K126" s="29"/>
      <c r="L126" s="11"/>
      <c r="M126" s="11"/>
      <c r="N126" s="11"/>
      <c r="O126" s="29"/>
      <c r="P126" s="29"/>
      <c r="Q126" s="11"/>
      <c r="R126" s="29"/>
      <c r="S126" s="11"/>
      <c r="T126" s="6"/>
      <c r="U126" s="29"/>
      <c r="V126" s="11"/>
      <c r="W126" s="11"/>
      <c r="X126" s="29"/>
      <c r="Y126" s="11"/>
      <c r="Z126" s="29"/>
      <c r="AA126" s="29"/>
      <c r="AB126" s="11"/>
      <c r="AC126" s="11"/>
      <c r="AD126" s="29"/>
      <c r="AE126" s="11"/>
      <c r="AF126" s="29"/>
      <c r="AG126" s="11"/>
      <c r="AH126" s="29"/>
      <c r="AI126" s="11"/>
      <c r="AJ126" s="29"/>
      <c r="AK126" s="29"/>
      <c r="AL126" s="29"/>
      <c r="AM126" s="11"/>
      <c r="AN126" s="29"/>
      <c r="AO126" s="29"/>
      <c r="AP126" s="6"/>
      <c r="AQ126" s="113">
        <f>IF(AND(I126="",K126="",AF126="",AL126="",AN126="",O126=""),"",IF(OR(I126="SIM",K126="SIM",AF126="SIM",AL126="SIM",AN126="Dados pessoais",AN126="Dados sensíveis",AN126="Dados pessoais e sensíveis",O126="Acima de 10.000 titulares por mês"),"SIM - Alta criticidade",IF((IF(I126="SIM",2,0)+IF(K126="SIM",2,0)+IF(AF126="SIM",2,0)+IF(OR(AN126="Dados pessoais",AN126="Dados sensíveis",AN126="Dados pessoais e sensíveis"),2,0)+IF(O126="De 1.001 a 10.000 titulares por mês",1,0)+IF(AA126="SIM",1,0)+IF(R126="SIM",1,0)+IF(AL126="SIM",1,0)+IF(AJ126="NÃO",1,0))&gt;=5,"SIM - Alta criticidade",IF((IF(I126="SIM",2,0)+IF(K126="SIM",2,0)+IF(AF126="SIM",2,0)+IF(OR(AN126="Dados pessoais",AN126="Dados sensíveis",AN126="Dados pessoais e sensíveis"),2,0)+IF(O126="De 1.001 a 10.000 titulares por mês",1,0)+IF(AA126="SIM",1,0)+IF(R126="SIM",1,0)+IF(AL126="SIM",1,0)+IF(AJ126="NÃO",1,0))&gt;=3,"Avaliação necessária","NÃO"))))</f>
      </c>
      <c r="AR126" s="11"/>
      <c r="AS126" s="113">
        <f>IF(AND(I126="",K126="",AF126="",AL126="",AN126="",O126=""),"",IF(OR(I126="SIM",K126="SIM",AF126="SIM",AL126="SIM",OR(AN126="Dados pessoais",AN126="Dados sensíveis",AN126="Dados pessoais e sensíveis"),O126="Acima de 10.000 titulares por mês",(IF(I126="SIM",2,0)+IF(K126="SIM",2,0)+IF(AF126="SIM",2,0)+IF(OR(AN126="Dados pessoais",AN126="Dados sensíveis",AN126="Dados pessoais e sensíveis"),2,0)+IF(O126="De 1.001 a 10.000 titulares por mês",1,0)+IF(AA126="SIM",1,0)+IF(R126="SIM",1,0)+IF(AL126="SIM",1,0)+IF(AJ126="NÃO",1,0))&gt;=3),"DPIA indicado ou em avaliação em razão de: " &amp; TRIM(IF(I126="SIM","tratamento de dados sensíveis; ","") &amp; IF(K126="SIM","utilização de dados de menores; ","") &amp; IF(AF126="SIM","transferência internacional de dados; ","") &amp; IF(AL126="SIM","utilização de inteligência artificial; ","") &amp; IF(OR(AN126="Dados pessoais",AN126="Dados sensíveis",AN126="Dados pessoais e sensíveis"),"dados inseridos em IA; ","") &amp; IF(O126="Acima de 10.000 titulares por mês","volume crítico de titulares; ","") &amp; IF(O126="De 1.001 a 10.000 titulares por mês","volume moderado de titulares; ","") &amp; IF(AA126="SIM","compartilhamento com terceiros; ","") &amp; IF(R126="SIM","compartilhamento com órgãos governamentais; ","") &amp; IF(AJ126="NÃO","ausência de controle de acesso por perfil; ","")),"DPIA não indicado: Processo de baixa criticidade."))</f>
      </c>
    </row>
    <row x14ac:dyDescent="0.25" r="127" customHeight="1" ht="15.75">
      <c r="A127" s="46"/>
      <c r="B127" s="6"/>
      <c r="C127" s="11"/>
      <c r="D127" s="11"/>
      <c r="E127" s="11"/>
      <c r="F127" s="29"/>
      <c r="G127" s="11"/>
      <c r="H127" s="11"/>
      <c r="I127" s="29"/>
      <c r="J127" s="11"/>
      <c r="K127" s="29"/>
      <c r="L127" s="11"/>
      <c r="M127" s="11"/>
      <c r="N127" s="11"/>
      <c r="O127" s="29"/>
      <c r="P127" s="29"/>
      <c r="Q127" s="11"/>
      <c r="R127" s="29"/>
      <c r="S127" s="11"/>
      <c r="T127" s="6"/>
      <c r="U127" s="29"/>
      <c r="V127" s="11"/>
      <c r="W127" s="11"/>
      <c r="X127" s="29"/>
      <c r="Y127" s="11"/>
      <c r="Z127" s="29"/>
      <c r="AA127" s="29"/>
      <c r="AB127" s="11"/>
      <c r="AC127" s="11"/>
      <c r="AD127" s="29"/>
      <c r="AE127" s="11"/>
      <c r="AF127" s="29"/>
      <c r="AG127" s="11"/>
      <c r="AH127" s="29"/>
      <c r="AI127" s="11"/>
      <c r="AJ127" s="29"/>
      <c r="AK127" s="29"/>
      <c r="AL127" s="29"/>
      <c r="AM127" s="11"/>
      <c r="AN127" s="29"/>
      <c r="AO127" s="29"/>
      <c r="AP127" s="6"/>
      <c r="AQ127" s="113">
        <f>IF(AND(I127="",K127="",AF127="",AL127="",AN127="",O127=""),"",IF(OR(I127="SIM",K127="SIM",AF127="SIM",AL127="SIM",AN127="Dados pessoais",AN127="Dados sensíveis",AN127="Dados pessoais e sensíveis",O127="Acima de 10.000 titulares por mês"),"SIM - Alta criticidade",IF((IF(I127="SIM",2,0)+IF(K127="SIM",2,0)+IF(AF127="SIM",2,0)+IF(OR(AN127="Dados pessoais",AN127="Dados sensíveis",AN127="Dados pessoais e sensíveis"),2,0)+IF(O127="De 1.001 a 10.000 titulares por mês",1,0)+IF(AA127="SIM",1,0)+IF(R127="SIM",1,0)+IF(AL127="SIM",1,0)+IF(AJ127="NÃO",1,0))&gt;=5,"SIM - Alta criticidade",IF((IF(I127="SIM",2,0)+IF(K127="SIM",2,0)+IF(AF127="SIM",2,0)+IF(OR(AN127="Dados pessoais",AN127="Dados sensíveis",AN127="Dados pessoais e sensíveis"),2,0)+IF(O127="De 1.001 a 10.000 titulares por mês",1,0)+IF(AA127="SIM",1,0)+IF(R127="SIM",1,0)+IF(AL127="SIM",1,0)+IF(AJ127="NÃO",1,0))&gt;=3,"Avaliação necessária","NÃO"))))</f>
      </c>
      <c r="AR127" s="11"/>
      <c r="AS127" s="113">
        <f>IF(AND(I127="",K127="",AF127="",AL127="",AN127="",O127=""),"",IF(OR(I127="SIM",K127="SIM",AF127="SIM",AL127="SIM",OR(AN127="Dados pessoais",AN127="Dados sensíveis",AN127="Dados pessoais e sensíveis"),O127="Acima de 10.000 titulares por mês",(IF(I127="SIM",2,0)+IF(K127="SIM",2,0)+IF(AF127="SIM",2,0)+IF(OR(AN127="Dados pessoais",AN127="Dados sensíveis",AN127="Dados pessoais e sensíveis"),2,0)+IF(O127="De 1.001 a 10.000 titulares por mês",1,0)+IF(AA127="SIM",1,0)+IF(R127="SIM",1,0)+IF(AL127="SIM",1,0)+IF(AJ127="NÃO",1,0))&gt;=3),"DPIA indicado ou em avaliação em razão de: " &amp; TRIM(IF(I127="SIM","tratamento de dados sensíveis; ","") &amp; IF(K127="SIM","utilização de dados de menores; ","") &amp; IF(AF127="SIM","transferência internacional de dados; ","") &amp; IF(AL127="SIM","utilização de inteligência artificial; ","") &amp; IF(OR(AN127="Dados pessoais",AN127="Dados sensíveis",AN127="Dados pessoais e sensíveis"),"dados inseridos em IA; ","") &amp; IF(O127="Acima de 10.000 titulares por mês","volume crítico de titulares; ","") &amp; IF(O127="De 1.001 a 10.000 titulares por mês","volume moderado de titulares; ","") &amp; IF(AA127="SIM","compartilhamento com terceiros; ","") &amp; IF(R127="SIM","compartilhamento com órgãos governamentais; ","") &amp; IF(AJ127="NÃO","ausência de controle de acesso por perfil; ","")),"DPIA não indicado: Processo de baixa criticidade."))</f>
      </c>
    </row>
    <row x14ac:dyDescent="0.25" r="128" customHeight="1" ht="15.75">
      <c r="A128" s="46"/>
      <c r="B128" s="6"/>
      <c r="C128" s="11"/>
      <c r="D128" s="11"/>
      <c r="E128" s="11"/>
      <c r="F128" s="29"/>
      <c r="G128" s="11"/>
      <c r="H128" s="11"/>
      <c r="I128" s="29"/>
      <c r="J128" s="11"/>
      <c r="K128" s="29"/>
      <c r="L128" s="11"/>
      <c r="M128" s="11"/>
      <c r="N128" s="11"/>
      <c r="O128" s="29"/>
      <c r="P128" s="29"/>
      <c r="Q128" s="11"/>
      <c r="R128" s="29"/>
      <c r="S128" s="11"/>
      <c r="T128" s="6"/>
      <c r="U128" s="29"/>
      <c r="V128" s="11"/>
      <c r="W128" s="11"/>
      <c r="X128" s="29"/>
      <c r="Y128" s="11"/>
      <c r="Z128" s="29"/>
      <c r="AA128" s="29"/>
      <c r="AB128" s="11"/>
      <c r="AC128" s="11"/>
      <c r="AD128" s="29"/>
      <c r="AE128" s="11"/>
      <c r="AF128" s="29"/>
      <c r="AG128" s="11"/>
      <c r="AH128" s="29"/>
      <c r="AI128" s="11"/>
      <c r="AJ128" s="29"/>
      <c r="AK128" s="29"/>
      <c r="AL128" s="29"/>
      <c r="AM128" s="11"/>
      <c r="AN128" s="29"/>
      <c r="AO128" s="29"/>
      <c r="AP128" s="6"/>
      <c r="AQ128" s="113">
        <f>IF(AND(I128="",K128="",AF128="",AL128="",AN128="",O128=""),"",IF(OR(I128="SIM",K128="SIM",AF128="SIM",AL128="SIM",AN128="Dados pessoais",AN128="Dados sensíveis",AN128="Dados pessoais e sensíveis",O128="Acima de 10.000 titulares por mês"),"SIM - Alta criticidade",IF((IF(I128="SIM",2,0)+IF(K128="SIM",2,0)+IF(AF128="SIM",2,0)+IF(OR(AN128="Dados pessoais",AN128="Dados sensíveis",AN128="Dados pessoais e sensíveis"),2,0)+IF(O128="De 1.001 a 10.000 titulares por mês",1,0)+IF(AA128="SIM",1,0)+IF(R128="SIM",1,0)+IF(AL128="SIM",1,0)+IF(AJ128="NÃO",1,0))&gt;=5,"SIM - Alta criticidade",IF((IF(I128="SIM",2,0)+IF(K128="SIM",2,0)+IF(AF128="SIM",2,0)+IF(OR(AN128="Dados pessoais",AN128="Dados sensíveis",AN128="Dados pessoais e sensíveis"),2,0)+IF(O128="De 1.001 a 10.000 titulares por mês",1,0)+IF(AA128="SIM",1,0)+IF(R128="SIM",1,0)+IF(AL128="SIM",1,0)+IF(AJ128="NÃO",1,0))&gt;=3,"Avaliação necessária","NÃO"))))</f>
      </c>
      <c r="AR128" s="11"/>
      <c r="AS128" s="113">
        <f>IF(AND(I128="",K128="",AF128="",AL128="",AN128="",O128=""),"",IF(OR(I128="SIM",K128="SIM",AF128="SIM",AL128="SIM",OR(AN128="Dados pessoais",AN128="Dados sensíveis",AN128="Dados pessoais e sensíveis"),O128="Acima de 10.000 titulares por mês",(IF(I128="SIM",2,0)+IF(K128="SIM",2,0)+IF(AF128="SIM",2,0)+IF(OR(AN128="Dados pessoais",AN128="Dados sensíveis",AN128="Dados pessoais e sensíveis"),2,0)+IF(O128="De 1.001 a 10.000 titulares por mês",1,0)+IF(AA128="SIM",1,0)+IF(R128="SIM",1,0)+IF(AL128="SIM",1,0)+IF(AJ128="NÃO",1,0))&gt;=3),"DPIA indicado ou em avaliação em razão de: " &amp; TRIM(IF(I128="SIM","tratamento de dados sensíveis; ","") &amp; IF(K128="SIM","utilização de dados de menores; ","") &amp; IF(AF128="SIM","transferência internacional de dados; ","") &amp; IF(AL128="SIM","utilização de inteligência artificial; ","") &amp; IF(OR(AN128="Dados pessoais",AN128="Dados sensíveis",AN128="Dados pessoais e sensíveis"),"dados inseridos em IA; ","") &amp; IF(O128="Acima de 10.000 titulares por mês","volume crítico de titulares; ","") &amp; IF(O128="De 1.001 a 10.000 titulares por mês","volume moderado de titulares; ","") &amp; IF(AA128="SIM","compartilhamento com terceiros; ","") &amp; IF(R128="SIM","compartilhamento com órgãos governamentais; ","") &amp; IF(AJ128="NÃO","ausência de controle de acesso por perfil; ","")),"DPIA não indicado: Processo de baixa criticidade."))</f>
      </c>
    </row>
    <row x14ac:dyDescent="0.25" r="129" customHeight="1" ht="15.75">
      <c r="A129" s="46"/>
      <c r="B129" s="6"/>
      <c r="C129" s="11"/>
      <c r="D129" s="11"/>
      <c r="E129" s="11"/>
      <c r="F129" s="29"/>
      <c r="G129" s="11"/>
      <c r="H129" s="11"/>
      <c r="I129" s="29"/>
      <c r="J129" s="11"/>
      <c r="K129" s="29"/>
      <c r="L129" s="11"/>
      <c r="M129" s="11"/>
      <c r="N129" s="11"/>
      <c r="O129" s="29"/>
      <c r="P129" s="29"/>
      <c r="Q129" s="11"/>
      <c r="R129" s="29"/>
      <c r="S129" s="11"/>
      <c r="T129" s="6"/>
      <c r="U129" s="29"/>
      <c r="V129" s="11"/>
      <c r="W129" s="11"/>
      <c r="X129" s="29"/>
      <c r="Y129" s="11"/>
      <c r="Z129" s="29"/>
      <c r="AA129" s="29"/>
      <c r="AB129" s="11"/>
      <c r="AC129" s="11"/>
      <c r="AD129" s="29"/>
      <c r="AE129" s="11"/>
      <c r="AF129" s="29"/>
      <c r="AG129" s="11"/>
      <c r="AH129" s="29"/>
      <c r="AI129" s="11"/>
      <c r="AJ129" s="29"/>
      <c r="AK129" s="29"/>
      <c r="AL129" s="29"/>
      <c r="AM129" s="11"/>
      <c r="AN129" s="29"/>
      <c r="AO129" s="29"/>
      <c r="AP129" s="6"/>
      <c r="AQ129" s="113">
        <f>IF(AND(I129="",K129="",AF129="",AL129="",AN129="",O129=""),"",IF(OR(I129="SIM",K129="SIM",AF129="SIM",AL129="SIM",AN129="Dados pessoais",AN129="Dados sensíveis",AN129="Dados pessoais e sensíveis",O129="Acima de 10.000 titulares por mês"),"SIM - Alta criticidade",IF((IF(I129="SIM",2,0)+IF(K129="SIM",2,0)+IF(AF129="SIM",2,0)+IF(OR(AN129="Dados pessoais",AN129="Dados sensíveis",AN129="Dados pessoais e sensíveis"),2,0)+IF(O129="De 1.001 a 10.000 titulares por mês",1,0)+IF(AA129="SIM",1,0)+IF(R129="SIM",1,0)+IF(AL129="SIM",1,0)+IF(AJ129="NÃO",1,0))&gt;=5,"SIM - Alta criticidade",IF((IF(I129="SIM",2,0)+IF(K129="SIM",2,0)+IF(AF129="SIM",2,0)+IF(OR(AN129="Dados pessoais",AN129="Dados sensíveis",AN129="Dados pessoais e sensíveis"),2,0)+IF(O129="De 1.001 a 10.000 titulares por mês",1,0)+IF(AA129="SIM",1,0)+IF(R129="SIM",1,0)+IF(AL129="SIM",1,0)+IF(AJ129="NÃO",1,0))&gt;=3,"Avaliação necessária","NÃO"))))</f>
      </c>
      <c r="AR129" s="11"/>
      <c r="AS129" s="113">
        <f>IF(AND(I129="",K129="",AF129="",AL129="",AN129="",O129=""),"",IF(OR(I129="SIM",K129="SIM",AF129="SIM",AL129="SIM",OR(AN129="Dados pessoais",AN129="Dados sensíveis",AN129="Dados pessoais e sensíveis"),O129="Acima de 10.000 titulares por mês",(IF(I129="SIM",2,0)+IF(K129="SIM",2,0)+IF(AF129="SIM",2,0)+IF(OR(AN129="Dados pessoais",AN129="Dados sensíveis",AN129="Dados pessoais e sensíveis"),2,0)+IF(O129="De 1.001 a 10.000 titulares por mês",1,0)+IF(AA129="SIM",1,0)+IF(R129="SIM",1,0)+IF(AL129="SIM",1,0)+IF(AJ129="NÃO",1,0))&gt;=3),"DPIA indicado ou em avaliação em razão de: " &amp; TRIM(IF(I129="SIM","tratamento de dados sensíveis; ","") &amp; IF(K129="SIM","utilização de dados de menores; ","") &amp; IF(AF129="SIM","transferência internacional de dados; ","") &amp; IF(AL129="SIM","utilização de inteligência artificial; ","") &amp; IF(OR(AN129="Dados pessoais",AN129="Dados sensíveis",AN129="Dados pessoais e sensíveis"),"dados inseridos em IA; ","") &amp; IF(O129="Acima de 10.000 titulares por mês","volume crítico de titulares; ","") &amp; IF(O129="De 1.001 a 10.000 titulares por mês","volume moderado de titulares; ","") &amp; IF(AA129="SIM","compartilhamento com terceiros; ","") &amp; IF(R129="SIM","compartilhamento com órgãos governamentais; ","") &amp; IF(AJ129="NÃO","ausência de controle de acesso por perfil; ","")),"DPIA não indicado: Processo de baixa criticidade."))</f>
      </c>
    </row>
    <row x14ac:dyDescent="0.25" r="130" customHeight="1" ht="15.75">
      <c r="A130" s="46"/>
      <c r="B130" s="6"/>
      <c r="C130" s="11"/>
      <c r="D130" s="11"/>
      <c r="E130" s="11"/>
      <c r="F130" s="29"/>
      <c r="G130" s="11"/>
      <c r="H130" s="11"/>
      <c r="I130" s="29"/>
      <c r="J130" s="11"/>
      <c r="K130" s="29"/>
      <c r="L130" s="11"/>
      <c r="M130" s="11"/>
      <c r="N130" s="11"/>
      <c r="O130" s="29"/>
      <c r="P130" s="29"/>
      <c r="Q130" s="11"/>
      <c r="R130" s="29"/>
      <c r="S130" s="11"/>
      <c r="T130" s="6"/>
      <c r="U130" s="29"/>
      <c r="V130" s="11"/>
      <c r="W130" s="11"/>
      <c r="X130" s="29"/>
      <c r="Y130" s="11"/>
      <c r="Z130" s="29"/>
      <c r="AA130" s="29"/>
      <c r="AB130" s="11"/>
      <c r="AC130" s="11"/>
      <c r="AD130" s="29"/>
      <c r="AE130" s="11"/>
      <c r="AF130" s="29"/>
      <c r="AG130" s="11"/>
      <c r="AH130" s="29"/>
      <c r="AI130" s="11"/>
      <c r="AJ130" s="29"/>
      <c r="AK130" s="29"/>
      <c r="AL130" s="29"/>
      <c r="AM130" s="11"/>
      <c r="AN130" s="29"/>
      <c r="AO130" s="29"/>
      <c r="AP130" s="6"/>
      <c r="AQ130" s="113">
        <f>IF(AND(I130="",K130="",AF130="",AL130="",AN130="",O130=""),"",IF(OR(I130="SIM",K130="SIM",AF130="SIM",AL130="SIM",AN130="Dados pessoais",AN130="Dados sensíveis",AN130="Dados pessoais e sensíveis",O130="Acima de 10.000 titulares por mês"),"SIM - Alta criticidade",IF((IF(I130="SIM",2,0)+IF(K130="SIM",2,0)+IF(AF130="SIM",2,0)+IF(OR(AN130="Dados pessoais",AN130="Dados sensíveis",AN130="Dados pessoais e sensíveis"),2,0)+IF(O130="De 1.001 a 10.000 titulares por mês",1,0)+IF(AA130="SIM",1,0)+IF(R130="SIM",1,0)+IF(AL130="SIM",1,0)+IF(AJ130="NÃO",1,0))&gt;=5,"SIM - Alta criticidade",IF((IF(I130="SIM",2,0)+IF(K130="SIM",2,0)+IF(AF130="SIM",2,0)+IF(OR(AN130="Dados pessoais",AN130="Dados sensíveis",AN130="Dados pessoais e sensíveis"),2,0)+IF(O130="De 1.001 a 10.000 titulares por mês",1,0)+IF(AA130="SIM",1,0)+IF(R130="SIM",1,0)+IF(AL130="SIM",1,0)+IF(AJ130="NÃO",1,0))&gt;=3,"Avaliação necessária","NÃO"))))</f>
      </c>
      <c r="AR130" s="11"/>
      <c r="AS130" s="113">
        <f>IF(AND(I130="",K130="",AF130="",AL130="",AN130="",O130=""),"",IF(OR(I130="SIM",K130="SIM",AF130="SIM",AL130="SIM",OR(AN130="Dados pessoais",AN130="Dados sensíveis",AN130="Dados pessoais e sensíveis"),O130="Acima de 10.000 titulares por mês",(IF(I130="SIM",2,0)+IF(K130="SIM",2,0)+IF(AF130="SIM",2,0)+IF(OR(AN130="Dados pessoais",AN130="Dados sensíveis",AN130="Dados pessoais e sensíveis"),2,0)+IF(O130="De 1.001 a 10.000 titulares por mês",1,0)+IF(AA130="SIM",1,0)+IF(R130="SIM",1,0)+IF(AL130="SIM",1,0)+IF(AJ130="NÃO",1,0))&gt;=3),"DPIA indicado ou em avaliação em razão de: " &amp; TRIM(IF(I130="SIM","tratamento de dados sensíveis; ","") &amp; IF(K130="SIM","utilização de dados de menores; ","") &amp; IF(AF130="SIM","transferência internacional de dados; ","") &amp; IF(AL130="SIM","utilização de inteligência artificial; ","") &amp; IF(OR(AN130="Dados pessoais",AN130="Dados sensíveis",AN130="Dados pessoais e sensíveis"),"dados inseridos em IA; ","") &amp; IF(O130="Acima de 10.000 titulares por mês","volume crítico de titulares; ","") &amp; IF(O130="De 1.001 a 10.000 titulares por mês","volume moderado de titulares; ","") &amp; IF(AA130="SIM","compartilhamento com terceiros; ","") &amp; IF(R130="SIM","compartilhamento com órgãos governamentais; ","") &amp; IF(AJ130="NÃO","ausência de controle de acesso por perfil; ","")),"DPIA não indicado: Processo de baixa criticidade."))</f>
      </c>
    </row>
    <row x14ac:dyDescent="0.25" r="131" customHeight="1" ht="15.75">
      <c r="A131" s="46"/>
      <c r="B131" s="6"/>
      <c r="C131" s="11"/>
      <c r="D131" s="11"/>
      <c r="E131" s="11"/>
      <c r="F131" s="29"/>
      <c r="G131" s="11"/>
      <c r="H131" s="11"/>
      <c r="I131" s="29"/>
      <c r="J131" s="11"/>
      <c r="K131" s="29"/>
      <c r="L131" s="11"/>
      <c r="M131" s="11"/>
      <c r="N131" s="11"/>
      <c r="O131" s="29"/>
      <c r="P131" s="29"/>
      <c r="Q131" s="11"/>
      <c r="R131" s="29"/>
      <c r="S131" s="11"/>
      <c r="T131" s="6"/>
      <c r="U131" s="29"/>
      <c r="V131" s="11"/>
      <c r="W131" s="11"/>
      <c r="X131" s="29"/>
      <c r="Y131" s="11"/>
      <c r="Z131" s="29"/>
      <c r="AA131" s="29"/>
      <c r="AB131" s="11"/>
      <c r="AC131" s="11"/>
      <c r="AD131" s="29"/>
      <c r="AE131" s="11"/>
      <c r="AF131" s="29"/>
      <c r="AG131" s="11"/>
      <c r="AH131" s="29"/>
      <c r="AI131" s="11"/>
      <c r="AJ131" s="29"/>
      <c r="AK131" s="29"/>
      <c r="AL131" s="29"/>
      <c r="AM131" s="11"/>
      <c r="AN131" s="29"/>
      <c r="AO131" s="29"/>
      <c r="AP131" s="6"/>
      <c r="AQ131" s="113">
        <f>IF(AND(I131="",K131="",AF131="",AL131="",AN131="",O131=""),"",IF(OR(I131="SIM",K131="SIM",AF131="SIM",AL131="SIM",AN131="Dados pessoais",AN131="Dados sensíveis",AN131="Dados pessoais e sensíveis",O131="Acima de 10.000 titulares por mês"),"SIM - Alta criticidade",IF((IF(I131="SIM",2,0)+IF(K131="SIM",2,0)+IF(AF131="SIM",2,0)+IF(OR(AN131="Dados pessoais",AN131="Dados sensíveis",AN131="Dados pessoais e sensíveis"),2,0)+IF(O131="De 1.001 a 10.000 titulares por mês",1,0)+IF(AA131="SIM",1,0)+IF(R131="SIM",1,0)+IF(AL131="SIM",1,0)+IF(AJ131="NÃO",1,0))&gt;=5,"SIM - Alta criticidade",IF((IF(I131="SIM",2,0)+IF(K131="SIM",2,0)+IF(AF131="SIM",2,0)+IF(OR(AN131="Dados pessoais",AN131="Dados sensíveis",AN131="Dados pessoais e sensíveis"),2,0)+IF(O131="De 1.001 a 10.000 titulares por mês",1,0)+IF(AA131="SIM",1,0)+IF(R131="SIM",1,0)+IF(AL131="SIM",1,0)+IF(AJ131="NÃO",1,0))&gt;=3,"Avaliação necessária","NÃO"))))</f>
      </c>
      <c r="AR131" s="11"/>
      <c r="AS131" s="113">
        <f>IF(AND(I131="",K131="",AF131="",AL131="",AN131="",O131=""),"",IF(OR(I131="SIM",K131="SIM",AF131="SIM",AL131="SIM",OR(AN131="Dados pessoais",AN131="Dados sensíveis",AN131="Dados pessoais e sensíveis"),O131="Acima de 10.000 titulares por mês",(IF(I131="SIM",2,0)+IF(K131="SIM",2,0)+IF(AF131="SIM",2,0)+IF(OR(AN131="Dados pessoais",AN131="Dados sensíveis",AN131="Dados pessoais e sensíveis"),2,0)+IF(O131="De 1.001 a 10.000 titulares por mês",1,0)+IF(AA131="SIM",1,0)+IF(R131="SIM",1,0)+IF(AL131="SIM",1,0)+IF(AJ131="NÃO",1,0))&gt;=3),"DPIA indicado ou em avaliação em razão de: " &amp; TRIM(IF(I131="SIM","tratamento de dados sensíveis; ","") &amp; IF(K131="SIM","utilização de dados de menores; ","") &amp; IF(AF131="SIM","transferência internacional de dados; ","") &amp; IF(AL131="SIM","utilização de inteligência artificial; ","") &amp; IF(OR(AN131="Dados pessoais",AN131="Dados sensíveis",AN131="Dados pessoais e sensíveis"),"dados inseridos em IA; ","") &amp; IF(O131="Acima de 10.000 titulares por mês","volume crítico de titulares; ","") &amp; IF(O131="De 1.001 a 10.000 titulares por mês","volume moderado de titulares; ","") &amp; IF(AA131="SIM","compartilhamento com terceiros; ","") &amp; IF(R131="SIM","compartilhamento com órgãos governamentais; ","") &amp; IF(AJ131="NÃO","ausência de controle de acesso por perfil; ","")),"DPIA não indicado: Processo de baixa criticidade."))</f>
      </c>
    </row>
    <row x14ac:dyDescent="0.25" r="132" customHeight="1" ht="15.75">
      <c r="A132" s="46"/>
      <c r="B132" s="6"/>
      <c r="C132" s="11"/>
      <c r="D132" s="11"/>
      <c r="E132" s="11"/>
      <c r="F132" s="29"/>
      <c r="G132" s="11"/>
      <c r="H132" s="11"/>
      <c r="I132" s="29"/>
      <c r="J132" s="11"/>
      <c r="K132" s="29"/>
      <c r="L132" s="11"/>
      <c r="M132" s="11"/>
      <c r="N132" s="11"/>
      <c r="O132" s="29"/>
      <c r="P132" s="29"/>
      <c r="Q132" s="11"/>
      <c r="R132" s="29"/>
      <c r="S132" s="11"/>
      <c r="T132" s="6"/>
      <c r="U132" s="29"/>
      <c r="V132" s="11"/>
      <c r="W132" s="11"/>
      <c r="X132" s="29"/>
      <c r="Y132" s="11"/>
      <c r="Z132" s="29"/>
      <c r="AA132" s="29"/>
      <c r="AB132" s="11"/>
      <c r="AC132" s="11"/>
      <c r="AD132" s="29"/>
      <c r="AE132" s="11"/>
      <c r="AF132" s="29"/>
      <c r="AG132" s="11"/>
      <c r="AH132" s="29"/>
      <c r="AI132" s="11"/>
      <c r="AJ132" s="29"/>
      <c r="AK132" s="29"/>
      <c r="AL132" s="29"/>
      <c r="AM132" s="11"/>
      <c r="AN132" s="29"/>
      <c r="AO132" s="29"/>
      <c r="AP132" s="6"/>
      <c r="AQ132" s="113">
        <f>IF(AND(I132="",K132="",AF132="",AL132="",AN132="",O132=""),"",IF(OR(I132="SIM",K132="SIM",AF132="SIM",AL132="SIM",AN132="Dados pessoais",AN132="Dados sensíveis",AN132="Dados pessoais e sensíveis",O132="Acima de 10.000 titulares por mês"),"SIM - Alta criticidade",IF((IF(I132="SIM",2,0)+IF(K132="SIM",2,0)+IF(AF132="SIM",2,0)+IF(OR(AN132="Dados pessoais",AN132="Dados sensíveis",AN132="Dados pessoais e sensíveis"),2,0)+IF(O132="De 1.001 a 10.000 titulares por mês",1,0)+IF(AA132="SIM",1,0)+IF(R132="SIM",1,0)+IF(AL132="SIM",1,0)+IF(AJ132="NÃO",1,0))&gt;=5,"SIM - Alta criticidade",IF((IF(I132="SIM",2,0)+IF(K132="SIM",2,0)+IF(AF132="SIM",2,0)+IF(OR(AN132="Dados pessoais",AN132="Dados sensíveis",AN132="Dados pessoais e sensíveis"),2,0)+IF(O132="De 1.001 a 10.000 titulares por mês",1,0)+IF(AA132="SIM",1,0)+IF(R132="SIM",1,0)+IF(AL132="SIM",1,0)+IF(AJ132="NÃO",1,0))&gt;=3,"Avaliação necessária","NÃO"))))</f>
      </c>
      <c r="AR132" s="11"/>
      <c r="AS132" s="113">
        <f>IF(AND(I132="",K132="",AF132="",AL132="",AN132="",O132=""),"",IF(OR(I132="SIM",K132="SIM",AF132="SIM",AL132="SIM",OR(AN132="Dados pessoais",AN132="Dados sensíveis",AN132="Dados pessoais e sensíveis"),O132="Acima de 10.000 titulares por mês",(IF(I132="SIM",2,0)+IF(K132="SIM",2,0)+IF(AF132="SIM",2,0)+IF(OR(AN132="Dados pessoais",AN132="Dados sensíveis",AN132="Dados pessoais e sensíveis"),2,0)+IF(O132="De 1.001 a 10.000 titulares por mês",1,0)+IF(AA132="SIM",1,0)+IF(R132="SIM",1,0)+IF(AL132="SIM",1,0)+IF(AJ132="NÃO",1,0))&gt;=3),"DPIA indicado ou em avaliação em razão de: " &amp; TRIM(IF(I132="SIM","tratamento de dados sensíveis; ","") &amp; IF(K132="SIM","utilização de dados de menores; ","") &amp; IF(AF132="SIM","transferência internacional de dados; ","") &amp; IF(AL132="SIM","utilização de inteligência artificial; ","") &amp; IF(OR(AN132="Dados pessoais",AN132="Dados sensíveis",AN132="Dados pessoais e sensíveis"),"dados inseridos em IA; ","") &amp; IF(O132="Acima de 10.000 titulares por mês","volume crítico de titulares; ","") &amp; IF(O132="De 1.001 a 10.000 titulares por mês","volume moderado de titulares; ","") &amp; IF(AA132="SIM","compartilhamento com terceiros; ","") &amp; IF(R132="SIM","compartilhamento com órgãos governamentais; ","") &amp; IF(AJ132="NÃO","ausência de controle de acesso por perfil; ","")),"DPIA não indicado: Processo de baixa criticidade."))</f>
      </c>
    </row>
    <row x14ac:dyDescent="0.25" r="133" customHeight="1" ht="15.75">
      <c r="A133" s="46"/>
      <c r="B133" s="6"/>
      <c r="C133" s="11"/>
      <c r="D133" s="11"/>
      <c r="E133" s="11"/>
      <c r="F133" s="29"/>
      <c r="G133" s="11"/>
      <c r="H133" s="11"/>
      <c r="I133" s="29"/>
      <c r="J133" s="11"/>
      <c r="K133" s="29"/>
      <c r="L133" s="11"/>
      <c r="M133" s="11"/>
      <c r="N133" s="11"/>
      <c r="O133" s="29"/>
      <c r="P133" s="29"/>
      <c r="Q133" s="11"/>
      <c r="R133" s="29"/>
      <c r="S133" s="11"/>
      <c r="T133" s="6"/>
      <c r="U133" s="29"/>
      <c r="V133" s="11"/>
      <c r="W133" s="11"/>
      <c r="X133" s="29"/>
      <c r="Y133" s="11"/>
      <c r="Z133" s="29"/>
      <c r="AA133" s="29"/>
      <c r="AB133" s="11"/>
      <c r="AC133" s="11"/>
      <c r="AD133" s="29"/>
      <c r="AE133" s="11"/>
      <c r="AF133" s="29"/>
      <c r="AG133" s="11"/>
      <c r="AH133" s="29"/>
      <c r="AI133" s="11"/>
      <c r="AJ133" s="29"/>
      <c r="AK133" s="29"/>
      <c r="AL133" s="29"/>
      <c r="AM133" s="11"/>
      <c r="AN133" s="29"/>
      <c r="AO133" s="29"/>
      <c r="AP133" s="6"/>
      <c r="AQ133" s="113">
        <f>IF(AND(I133="",K133="",AF133="",AL133="",AN133="",O133=""),"",IF(OR(I133="SIM",K133="SIM",AF133="SIM",AL133="SIM",AN133="Dados pessoais",AN133="Dados sensíveis",AN133="Dados pessoais e sensíveis",O133="Acima de 10.000 titulares por mês"),"SIM - Alta criticidade",IF((IF(I133="SIM",2,0)+IF(K133="SIM",2,0)+IF(AF133="SIM",2,0)+IF(OR(AN133="Dados pessoais",AN133="Dados sensíveis",AN133="Dados pessoais e sensíveis"),2,0)+IF(O133="De 1.001 a 10.000 titulares por mês",1,0)+IF(AA133="SIM",1,0)+IF(R133="SIM",1,0)+IF(AL133="SIM",1,0)+IF(AJ133="NÃO",1,0))&gt;=5,"SIM - Alta criticidade",IF((IF(I133="SIM",2,0)+IF(K133="SIM",2,0)+IF(AF133="SIM",2,0)+IF(OR(AN133="Dados pessoais",AN133="Dados sensíveis",AN133="Dados pessoais e sensíveis"),2,0)+IF(O133="De 1.001 a 10.000 titulares por mês",1,0)+IF(AA133="SIM",1,0)+IF(R133="SIM",1,0)+IF(AL133="SIM",1,0)+IF(AJ133="NÃO",1,0))&gt;=3,"Avaliação necessária","NÃO"))))</f>
      </c>
      <c r="AR133" s="11"/>
      <c r="AS133" s="113">
        <f>IF(AND(I133="",K133="",AF133="",AL133="",AN133="",O133=""),"",IF(OR(I133="SIM",K133="SIM",AF133="SIM",AL133="SIM",OR(AN133="Dados pessoais",AN133="Dados sensíveis",AN133="Dados pessoais e sensíveis"),O133="Acima de 10.000 titulares por mês",(IF(I133="SIM",2,0)+IF(K133="SIM",2,0)+IF(AF133="SIM",2,0)+IF(OR(AN133="Dados pessoais",AN133="Dados sensíveis",AN133="Dados pessoais e sensíveis"),2,0)+IF(O133="De 1.001 a 10.000 titulares por mês",1,0)+IF(AA133="SIM",1,0)+IF(R133="SIM",1,0)+IF(AL133="SIM",1,0)+IF(AJ133="NÃO",1,0))&gt;=3),"DPIA indicado ou em avaliação em razão de: " &amp; TRIM(IF(I133="SIM","tratamento de dados sensíveis; ","") &amp; IF(K133="SIM","utilização de dados de menores; ","") &amp; IF(AF133="SIM","transferência internacional de dados; ","") &amp; IF(AL133="SIM","utilização de inteligência artificial; ","") &amp; IF(OR(AN133="Dados pessoais",AN133="Dados sensíveis",AN133="Dados pessoais e sensíveis"),"dados inseridos em IA; ","") &amp; IF(O133="Acima de 10.000 titulares por mês","volume crítico de titulares; ","") &amp; IF(O133="De 1.001 a 10.000 titulares por mês","volume moderado de titulares; ","") &amp; IF(AA133="SIM","compartilhamento com terceiros; ","") &amp; IF(R133="SIM","compartilhamento com órgãos governamentais; ","") &amp; IF(AJ133="NÃO","ausência de controle de acesso por perfil; ","")),"DPIA não indicado: Processo de baixa criticidade."))</f>
      </c>
    </row>
    <row x14ac:dyDescent="0.25" r="134" customHeight="1" ht="15.75">
      <c r="A134" s="46"/>
      <c r="B134" s="6"/>
      <c r="C134" s="11"/>
      <c r="D134" s="11"/>
      <c r="E134" s="11"/>
      <c r="F134" s="29"/>
      <c r="G134" s="11"/>
      <c r="H134" s="11"/>
      <c r="I134" s="29"/>
      <c r="J134" s="11"/>
      <c r="K134" s="29"/>
      <c r="L134" s="11"/>
      <c r="M134" s="11"/>
      <c r="N134" s="11"/>
      <c r="O134" s="29"/>
      <c r="P134" s="29"/>
      <c r="Q134" s="11"/>
      <c r="R134" s="29"/>
      <c r="S134" s="11"/>
      <c r="T134" s="6"/>
      <c r="U134" s="29"/>
      <c r="V134" s="11"/>
      <c r="W134" s="11"/>
      <c r="X134" s="29"/>
      <c r="Y134" s="11"/>
      <c r="Z134" s="29"/>
      <c r="AA134" s="29"/>
      <c r="AB134" s="11"/>
      <c r="AC134" s="11"/>
      <c r="AD134" s="29"/>
      <c r="AE134" s="11"/>
      <c r="AF134" s="29"/>
      <c r="AG134" s="11"/>
      <c r="AH134" s="29"/>
      <c r="AI134" s="11"/>
      <c r="AJ134" s="29"/>
      <c r="AK134" s="29"/>
      <c r="AL134" s="29"/>
      <c r="AM134" s="11"/>
      <c r="AN134" s="29"/>
      <c r="AO134" s="29"/>
      <c r="AP134" s="6"/>
      <c r="AQ134" s="113">
        <f>IF(AND(I134="",K134="",AF134="",AL134="",AN134="",O134=""),"",IF(OR(I134="SIM",K134="SIM",AF134="SIM",AL134="SIM",AN134="Dados pessoais",AN134="Dados sensíveis",AN134="Dados pessoais e sensíveis",O134="Acima de 10.000 titulares por mês"),"SIM - Alta criticidade",IF((IF(I134="SIM",2,0)+IF(K134="SIM",2,0)+IF(AF134="SIM",2,0)+IF(OR(AN134="Dados pessoais",AN134="Dados sensíveis",AN134="Dados pessoais e sensíveis"),2,0)+IF(O134="De 1.001 a 10.000 titulares por mês",1,0)+IF(AA134="SIM",1,0)+IF(R134="SIM",1,0)+IF(AL134="SIM",1,0)+IF(AJ134="NÃO",1,0))&gt;=5,"SIM - Alta criticidade",IF((IF(I134="SIM",2,0)+IF(K134="SIM",2,0)+IF(AF134="SIM",2,0)+IF(OR(AN134="Dados pessoais",AN134="Dados sensíveis",AN134="Dados pessoais e sensíveis"),2,0)+IF(O134="De 1.001 a 10.000 titulares por mês",1,0)+IF(AA134="SIM",1,0)+IF(R134="SIM",1,0)+IF(AL134="SIM",1,0)+IF(AJ134="NÃO",1,0))&gt;=3,"Avaliação necessária","NÃO"))))</f>
      </c>
      <c r="AR134" s="11"/>
      <c r="AS134" s="113">
        <f>IF(AND(I134="",K134="",AF134="",AL134="",AN134="",O134=""),"",IF(OR(I134="SIM",K134="SIM",AF134="SIM",AL134="SIM",OR(AN134="Dados pessoais",AN134="Dados sensíveis",AN134="Dados pessoais e sensíveis"),O134="Acima de 10.000 titulares por mês",(IF(I134="SIM",2,0)+IF(K134="SIM",2,0)+IF(AF134="SIM",2,0)+IF(OR(AN134="Dados pessoais",AN134="Dados sensíveis",AN134="Dados pessoais e sensíveis"),2,0)+IF(O134="De 1.001 a 10.000 titulares por mês",1,0)+IF(AA134="SIM",1,0)+IF(R134="SIM",1,0)+IF(AL134="SIM",1,0)+IF(AJ134="NÃO",1,0))&gt;=3),"DPIA indicado ou em avaliação em razão de: " &amp; TRIM(IF(I134="SIM","tratamento de dados sensíveis; ","") &amp; IF(K134="SIM","utilização de dados de menores; ","") &amp; IF(AF134="SIM","transferência internacional de dados; ","") &amp; IF(AL134="SIM","utilização de inteligência artificial; ","") &amp; IF(OR(AN134="Dados pessoais",AN134="Dados sensíveis",AN134="Dados pessoais e sensíveis"),"dados inseridos em IA; ","") &amp; IF(O134="Acima de 10.000 titulares por mês","volume crítico de titulares; ","") &amp; IF(O134="De 1.001 a 10.000 titulares por mês","volume moderado de titulares; ","") &amp; IF(AA134="SIM","compartilhamento com terceiros; ","") &amp; IF(R134="SIM","compartilhamento com órgãos governamentais; ","") &amp; IF(AJ134="NÃO","ausência de controle de acesso por perfil; ","")),"DPIA não indicado: Processo de baixa criticidade."))</f>
      </c>
    </row>
    <row x14ac:dyDescent="0.25" r="135" customHeight="1" ht="15.75">
      <c r="A135" s="46"/>
      <c r="B135" s="6"/>
      <c r="C135" s="11"/>
      <c r="D135" s="11"/>
      <c r="E135" s="11"/>
      <c r="F135" s="29"/>
      <c r="G135" s="11"/>
      <c r="H135" s="11"/>
      <c r="I135" s="29"/>
      <c r="J135" s="11"/>
      <c r="K135" s="29"/>
      <c r="L135" s="11"/>
      <c r="M135" s="11"/>
      <c r="N135" s="11"/>
      <c r="O135" s="29"/>
      <c r="P135" s="29"/>
      <c r="Q135" s="11"/>
      <c r="R135" s="29"/>
      <c r="S135" s="11"/>
      <c r="T135" s="6"/>
      <c r="U135" s="29"/>
      <c r="V135" s="11"/>
      <c r="W135" s="11"/>
      <c r="X135" s="29"/>
      <c r="Y135" s="11"/>
      <c r="Z135" s="29"/>
      <c r="AA135" s="29"/>
      <c r="AB135" s="11"/>
      <c r="AC135" s="11"/>
      <c r="AD135" s="29"/>
      <c r="AE135" s="11"/>
      <c r="AF135" s="29"/>
      <c r="AG135" s="11"/>
      <c r="AH135" s="29"/>
      <c r="AI135" s="11"/>
      <c r="AJ135" s="29"/>
      <c r="AK135" s="29"/>
      <c r="AL135" s="29"/>
      <c r="AM135" s="11"/>
      <c r="AN135" s="29"/>
      <c r="AO135" s="29"/>
      <c r="AP135" s="6"/>
      <c r="AQ135" s="113">
        <f>IF(AND(I135="",K135="",AF135="",AL135="",AN135="",O135=""),"",IF(OR(I135="SIM",K135="SIM",AF135="SIM",AL135="SIM",AN135="Dados pessoais",AN135="Dados sensíveis",AN135="Dados pessoais e sensíveis",O135="Acima de 10.000 titulares por mês"),"SIM - Alta criticidade",IF((IF(I135="SIM",2,0)+IF(K135="SIM",2,0)+IF(AF135="SIM",2,0)+IF(OR(AN135="Dados pessoais",AN135="Dados sensíveis",AN135="Dados pessoais e sensíveis"),2,0)+IF(O135="De 1.001 a 10.000 titulares por mês",1,0)+IF(AA135="SIM",1,0)+IF(R135="SIM",1,0)+IF(AL135="SIM",1,0)+IF(AJ135="NÃO",1,0))&gt;=5,"SIM - Alta criticidade",IF((IF(I135="SIM",2,0)+IF(K135="SIM",2,0)+IF(AF135="SIM",2,0)+IF(OR(AN135="Dados pessoais",AN135="Dados sensíveis",AN135="Dados pessoais e sensíveis"),2,0)+IF(O135="De 1.001 a 10.000 titulares por mês",1,0)+IF(AA135="SIM",1,0)+IF(R135="SIM",1,0)+IF(AL135="SIM",1,0)+IF(AJ135="NÃO",1,0))&gt;=3,"Avaliação necessária","NÃO"))))</f>
      </c>
      <c r="AR135" s="11"/>
      <c r="AS135" s="113">
        <f>IF(AND(I135="",K135="",AF135="",AL135="",AN135="",O135=""),"",IF(OR(I135="SIM",K135="SIM",AF135="SIM",AL135="SIM",OR(AN135="Dados pessoais",AN135="Dados sensíveis",AN135="Dados pessoais e sensíveis"),O135="Acima de 10.000 titulares por mês",(IF(I135="SIM",2,0)+IF(K135="SIM",2,0)+IF(AF135="SIM",2,0)+IF(OR(AN135="Dados pessoais",AN135="Dados sensíveis",AN135="Dados pessoais e sensíveis"),2,0)+IF(O135="De 1.001 a 10.000 titulares por mês",1,0)+IF(AA135="SIM",1,0)+IF(R135="SIM",1,0)+IF(AL135="SIM",1,0)+IF(AJ135="NÃO",1,0))&gt;=3),"DPIA indicado ou em avaliação em razão de: " &amp; TRIM(IF(I135="SIM","tratamento de dados sensíveis; ","") &amp; IF(K135="SIM","utilização de dados de menores; ","") &amp; IF(AF135="SIM","transferência internacional de dados; ","") &amp; IF(AL135="SIM","utilização de inteligência artificial; ","") &amp; IF(OR(AN135="Dados pessoais",AN135="Dados sensíveis",AN135="Dados pessoais e sensíveis"),"dados inseridos em IA; ","") &amp; IF(O135="Acima de 10.000 titulares por mês","volume crítico de titulares; ","") &amp; IF(O135="De 1.001 a 10.000 titulares por mês","volume moderado de titulares; ","") &amp; IF(AA135="SIM","compartilhamento com terceiros; ","") &amp; IF(R135="SIM","compartilhamento com órgãos governamentais; ","") &amp; IF(AJ135="NÃO","ausência de controle de acesso por perfil; ","")),"DPIA não indicado: Processo de baixa criticidade."))</f>
      </c>
    </row>
    <row x14ac:dyDescent="0.25" r="136" customHeight="1" ht="15.75">
      <c r="A136" s="46"/>
      <c r="B136" s="6"/>
      <c r="C136" s="11"/>
      <c r="D136" s="11"/>
      <c r="E136" s="11"/>
      <c r="F136" s="29"/>
      <c r="G136" s="11"/>
      <c r="H136" s="11"/>
      <c r="I136" s="29"/>
      <c r="J136" s="11"/>
      <c r="K136" s="29"/>
      <c r="L136" s="11"/>
      <c r="M136" s="11"/>
      <c r="N136" s="11"/>
      <c r="O136" s="29"/>
      <c r="P136" s="29"/>
      <c r="Q136" s="11"/>
      <c r="R136" s="29"/>
      <c r="S136" s="11"/>
      <c r="T136" s="6"/>
      <c r="U136" s="29"/>
      <c r="V136" s="11"/>
      <c r="W136" s="11"/>
      <c r="X136" s="29"/>
      <c r="Y136" s="11"/>
      <c r="Z136" s="29"/>
      <c r="AA136" s="29"/>
      <c r="AB136" s="11"/>
      <c r="AC136" s="11"/>
      <c r="AD136" s="29"/>
      <c r="AE136" s="11"/>
      <c r="AF136" s="29"/>
      <c r="AG136" s="11"/>
      <c r="AH136" s="29"/>
      <c r="AI136" s="11"/>
      <c r="AJ136" s="29"/>
      <c r="AK136" s="29"/>
      <c r="AL136" s="29"/>
      <c r="AM136" s="11"/>
      <c r="AN136" s="29"/>
      <c r="AO136" s="29"/>
      <c r="AP136" s="6"/>
      <c r="AQ136" s="113">
        <f>IF(AND(I136="",K136="",AF136="",AL136="",AN136="",O136=""),"",IF(OR(I136="SIM",K136="SIM",AF136="SIM",AL136="SIM",AN136="Dados pessoais",AN136="Dados sensíveis",AN136="Dados pessoais e sensíveis",O136="Acima de 10.000 titulares por mês"),"SIM - Alta criticidade",IF((IF(I136="SIM",2,0)+IF(K136="SIM",2,0)+IF(AF136="SIM",2,0)+IF(OR(AN136="Dados pessoais",AN136="Dados sensíveis",AN136="Dados pessoais e sensíveis"),2,0)+IF(O136="De 1.001 a 10.000 titulares por mês",1,0)+IF(AA136="SIM",1,0)+IF(R136="SIM",1,0)+IF(AL136="SIM",1,0)+IF(AJ136="NÃO",1,0))&gt;=5,"SIM - Alta criticidade",IF((IF(I136="SIM",2,0)+IF(K136="SIM",2,0)+IF(AF136="SIM",2,0)+IF(OR(AN136="Dados pessoais",AN136="Dados sensíveis",AN136="Dados pessoais e sensíveis"),2,0)+IF(O136="De 1.001 a 10.000 titulares por mês",1,0)+IF(AA136="SIM",1,0)+IF(R136="SIM",1,0)+IF(AL136="SIM",1,0)+IF(AJ136="NÃO",1,0))&gt;=3,"Avaliação necessária","NÃO"))))</f>
      </c>
      <c r="AR136" s="11"/>
      <c r="AS136" s="113">
        <f>IF(AND(I136="",K136="",AF136="",AL136="",AN136="",O136=""),"",IF(OR(I136="SIM",K136="SIM",AF136="SIM",AL136="SIM",OR(AN136="Dados pessoais",AN136="Dados sensíveis",AN136="Dados pessoais e sensíveis"),O136="Acima de 10.000 titulares por mês",(IF(I136="SIM",2,0)+IF(K136="SIM",2,0)+IF(AF136="SIM",2,0)+IF(OR(AN136="Dados pessoais",AN136="Dados sensíveis",AN136="Dados pessoais e sensíveis"),2,0)+IF(O136="De 1.001 a 10.000 titulares por mês",1,0)+IF(AA136="SIM",1,0)+IF(R136="SIM",1,0)+IF(AL136="SIM",1,0)+IF(AJ136="NÃO",1,0))&gt;=3),"DPIA indicado ou em avaliação em razão de: " &amp; TRIM(IF(I136="SIM","tratamento de dados sensíveis; ","") &amp; IF(K136="SIM","utilização de dados de menores; ","") &amp; IF(AF136="SIM","transferência internacional de dados; ","") &amp; IF(AL136="SIM","utilização de inteligência artificial; ","") &amp; IF(OR(AN136="Dados pessoais",AN136="Dados sensíveis",AN136="Dados pessoais e sensíveis"),"dados inseridos em IA; ","") &amp; IF(O136="Acima de 10.000 titulares por mês","volume crítico de titulares; ","") &amp; IF(O136="De 1.001 a 10.000 titulares por mês","volume moderado de titulares; ","") &amp; IF(AA136="SIM","compartilhamento com terceiros; ","") &amp; IF(R136="SIM","compartilhamento com órgãos governamentais; ","") &amp; IF(AJ136="NÃO","ausência de controle de acesso por perfil; ","")),"DPIA não indicado: Processo de baixa criticidade."))</f>
      </c>
    </row>
    <row x14ac:dyDescent="0.25" r="137" customHeight="1" ht="15.75">
      <c r="A137" s="46"/>
      <c r="B137" s="6"/>
      <c r="C137" s="11"/>
      <c r="D137" s="11"/>
      <c r="E137" s="11"/>
      <c r="F137" s="29"/>
      <c r="G137" s="11"/>
      <c r="H137" s="11"/>
      <c r="I137" s="29"/>
      <c r="J137" s="11"/>
      <c r="K137" s="29"/>
      <c r="L137" s="11"/>
      <c r="M137" s="11"/>
      <c r="N137" s="11"/>
      <c r="O137" s="29"/>
      <c r="P137" s="29"/>
      <c r="Q137" s="11"/>
      <c r="R137" s="29"/>
      <c r="S137" s="11"/>
      <c r="T137" s="6"/>
      <c r="U137" s="29"/>
      <c r="V137" s="11"/>
      <c r="W137" s="11"/>
      <c r="X137" s="29"/>
      <c r="Y137" s="11"/>
      <c r="Z137" s="29"/>
      <c r="AA137" s="29"/>
      <c r="AB137" s="11"/>
      <c r="AC137" s="11"/>
      <c r="AD137" s="29"/>
      <c r="AE137" s="11"/>
      <c r="AF137" s="29"/>
      <c r="AG137" s="11"/>
      <c r="AH137" s="29"/>
      <c r="AI137" s="11"/>
      <c r="AJ137" s="29"/>
      <c r="AK137" s="29"/>
      <c r="AL137" s="29"/>
      <c r="AM137" s="11"/>
      <c r="AN137" s="29"/>
      <c r="AO137" s="29"/>
      <c r="AP137" s="6"/>
      <c r="AQ137" s="113">
        <f>IF(AND(I137="",K137="",AF137="",AL137="",AN137="",O137=""),"",IF(OR(I137="SIM",K137="SIM",AF137="SIM",AL137="SIM",AN137="Dados pessoais",AN137="Dados sensíveis",AN137="Dados pessoais e sensíveis",O137="Acima de 10.000 titulares por mês"),"SIM - Alta criticidade",IF((IF(I137="SIM",2,0)+IF(K137="SIM",2,0)+IF(AF137="SIM",2,0)+IF(OR(AN137="Dados pessoais",AN137="Dados sensíveis",AN137="Dados pessoais e sensíveis"),2,0)+IF(O137="De 1.001 a 10.000 titulares por mês",1,0)+IF(AA137="SIM",1,0)+IF(R137="SIM",1,0)+IF(AL137="SIM",1,0)+IF(AJ137="NÃO",1,0))&gt;=5,"SIM - Alta criticidade",IF((IF(I137="SIM",2,0)+IF(K137="SIM",2,0)+IF(AF137="SIM",2,0)+IF(OR(AN137="Dados pessoais",AN137="Dados sensíveis",AN137="Dados pessoais e sensíveis"),2,0)+IF(O137="De 1.001 a 10.000 titulares por mês",1,0)+IF(AA137="SIM",1,0)+IF(R137="SIM",1,0)+IF(AL137="SIM",1,0)+IF(AJ137="NÃO",1,0))&gt;=3,"Avaliação necessária","NÃO"))))</f>
      </c>
      <c r="AR137" s="11"/>
      <c r="AS137" s="113">
        <f>IF(AND(I137="",K137="",AF137="",AL137="",AN137="",O137=""),"",IF(OR(I137="SIM",K137="SIM",AF137="SIM",AL137="SIM",OR(AN137="Dados pessoais",AN137="Dados sensíveis",AN137="Dados pessoais e sensíveis"),O137="Acima de 10.000 titulares por mês",(IF(I137="SIM",2,0)+IF(K137="SIM",2,0)+IF(AF137="SIM",2,0)+IF(OR(AN137="Dados pessoais",AN137="Dados sensíveis",AN137="Dados pessoais e sensíveis"),2,0)+IF(O137="De 1.001 a 10.000 titulares por mês",1,0)+IF(AA137="SIM",1,0)+IF(R137="SIM",1,0)+IF(AL137="SIM",1,0)+IF(AJ137="NÃO",1,0))&gt;=3),"DPIA indicado ou em avaliação em razão de: " &amp; TRIM(IF(I137="SIM","tratamento de dados sensíveis; ","") &amp; IF(K137="SIM","utilização de dados de menores; ","") &amp; IF(AF137="SIM","transferência internacional de dados; ","") &amp; IF(AL137="SIM","utilização de inteligência artificial; ","") &amp; IF(OR(AN137="Dados pessoais",AN137="Dados sensíveis",AN137="Dados pessoais e sensíveis"),"dados inseridos em IA; ","") &amp; IF(O137="Acima de 10.000 titulares por mês","volume crítico de titulares; ","") &amp; IF(O137="De 1.001 a 10.000 titulares por mês","volume moderado de titulares; ","") &amp; IF(AA137="SIM","compartilhamento com terceiros; ","") &amp; IF(R137="SIM","compartilhamento com órgãos governamentais; ","") &amp; IF(AJ137="NÃO","ausência de controle de acesso por perfil; ","")),"DPIA não indicado: Processo de baixa criticidade."))</f>
      </c>
    </row>
    <row x14ac:dyDescent="0.25" r="138" customHeight="1" ht="15.75">
      <c r="A138" s="46"/>
      <c r="B138" s="6"/>
      <c r="C138" s="11"/>
      <c r="D138" s="11"/>
      <c r="E138" s="11"/>
      <c r="F138" s="29"/>
      <c r="G138" s="11"/>
      <c r="H138" s="11"/>
      <c r="I138" s="29"/>
      <c r="J138" s="11"/>
      <c r="K138" s="29"/>
      <c r="L138" s="11"/>
      <c r="M138" s="11"/>
      <c r="N138" s="11"/>
      <c r="O138" s="29"/>
      <c r="P138" s="29"/>
      <c r="Q138" s="11"/>
      <c r="R138" s="29"/>
      <c r="S138" s="11"/>
      <c r="T138" s="6"/>
      <c r="U138" s="29"/>
      <c r="V138" s="11"/>
      <c r="W138" s="11"/>
      <c r="X138" s="29"/>
      <c r="Y138" s="11"/>
      <c r="Z138" s="29"/>
      <c r="AA138" s="29"/>
      <c r="AB138" s="11"/>
      <c r="AC138" s="11"/>
      <c r="AD138" s="29"/>
      <c r="AE138" s="11"/>
      <c r="AF138" s="29"/>
      <c r="AG138" s="11"/>
      <c r="AH138" s="29"/>
      <c r="AI138" s="11"/>
      <c r="AJ138" s="29"/>
      <c r="AK138" s="29"/>
      <c r="AL138" s="29"/>
      <c r="AM138" s="11"/>
      <c r="AN138" s="29"/>
      <c r="AO138" s="29"/>
      <c r="AP138" s="6"/>
      <c r="AQ138" s="113">
        <f>IF(AND(I138="",K138="",AF138="",AL138="",AN138="",O138=""),"",IF(OR(I138="SIM",K138="SIM",AF138="SIM",AL138="SIM",AN138="Dados pessoais",AN138="Dados sensíveis",AN138="Dados pessoais e sensíveis",O138="Acima de 10.000 titulares por mês"),"SIM - Alta criticidade",IF((IF(I138="SIM",2,0)+IF(K138="SIM",2,0)+IF(AF138="SIM",2,0)+IF(OR(AN138="Dados pessoais",AN138="Dados sensíveis",AN138="Dados pessoais e sensíveis"),2,0)+IF(O138="De 1.001 a 10.000 titulares por mês",1,0)+IF(AA138="SIM",1,0)+IF(R138="SIM",1,0)+IF(AL138="SIM",1,0)+IF(AJ138="NÃO",1,0))&gt;=5,"SIM - Alta criticidade",IF((IF(I138="SIM",2,0)+IF(K138="SIM",2,0)+IF(AF138="SIM",2,0)+IF(OR(AN138="Dados pessoais",AN138="Dados sensíveis",AN138="Dados pessoais e sensíveis"),2,0)+IF(O138="De 1.001 a 10.000 titulares por mês",1,0)+IF(AA138="SIM",1,0)+IF(R138="SIM",1,0)+IF(AL138="SIM",1,0)+IF(AJ138="NÃO",1,0))&gt;=3,"Avaliação necessária","NÃO"))))</f>
      </c>
      <c r="AR138" s="11"/>
      <c r="AS138" s="113">
        <f>IF(AND(I138="",K138="",AF138="",AL138="",AN138="",O138=""),"",IF(OR(I138="SIM",K138="SIM",AF138="SIM",AL138="SIM",OR(AN138="Dados pessoais",AN138="Dados sensíveis",AN138="Dados pessoais e sensíveis"),O138="Acima de 10.000 titulares por mês",(IF(I138="SIM",2,0)+IF(K138="SIM",2,0)+IF(AF138="SIM",2,0)+IF(OR(AN138="Dados pessoais",AN138="Dados sensíveis",AN138="Dados pessoais e sensíveis"),2,0)+IF(O138="De 1.001 a 10.000 titulares por mês",1,0)+IF(AA138="SIM",1,0)+IF(R138="SIM",1,0)+IF(AL138="SIM",1,0)+IF(AJ138="NÃO",1,0))&gt;=3),"DPIA indicado ou em avaliação em razão de: " &amp; TRIM(IF(I138="SIM","tratamento de dados sensíveis; ","") &amp; IF(K138="SIM","utilização de dados de menores; ","") &amp; IF(AF138="SIM","transferência internacional de dados; ","") &amp; IF(AL138="SIM","utilização de inteligência artificial; ","") &amp; IF(OR(AN138="Dados pessoais",AN138="Dados sensíveis",AN138="Dados pessoais e sensíveis"),"dados inseridos em IA; ","") &amp; IF(O138="Acima de 10.000 titulares por mês","volume crítico de titulares; ","") &amp; IF(O138="De 1.001 a 10.000 titulares por mês","volume moderado de titulares; ","") &amp; IF(AA138="SIM","compartilhamento com terceiros; ","") &amp; IF(R138="SIM","compartilhamento com órgãos governamentais; ","") &amp; IF(AJ138="NÃO","ausência de controle de acesso por perfil; ","")),"DPIA não indicado: Processo de baixa criticidade."))</f>
      </c>
    </row>
    <row x14ac:dyDescent="0.25" r="139" customHeight="1" ht="15.75">
      <c r="A139" s="46"/>
      <c r="B139" s="6"/>
      <c r="C139" s="11"/>
      <c r="D139" s="11"/>
      <c r="E139" s="11"/>
      <c r="F139" s="29"/>
      <c r="G139" s="11"/>
      <c r="H139" s="11"/>
      <c r="I139" s="29"/>
      <c r="J139" s="11"/>
      <c r="K139" s="29"/>
      <c r="L139" s="11"/>
      <c r="M139" s="11"/>
      <c r="N139" s="11"/>
      <c r="O139" s="29"/>
      <c r="P139" s="29"/>
      <c r="Q139" s="11"/>
      <c r="R139" s="29"/>
      <c r="S139" s="11"/>
      <c r="T139" s="6"/>
      <c r="U139" s="29"/>
      <c r="V139" s="11"/>
      <c r="W139" s="11"/>
      <c r="X139" s="29"/>
      <c r="Y139" s="11"/>
      <c r="Z139" s="29"/>
      <c r="AA139" s="29"/>
      <c r="AB139" s="11"/>
      <c r="AC139" s="11"/>
      <c r="AD139" s="29"/>
      <c r="AE139" s="11"/>
      <c r="AF139" s="29"/>
      <c r="AG139" s="11"/>
      <c r="AH139" s="29"/>
      <c r="AI139" s="11"/>
      <c r="AJ139" s="29"/>
      <c r="AK139" s="29"/>
      <c r="AL139" s="29"/>
      <c r="AM139" s="11"/>
      <c r="AN139" s="29"/>
      <c r="AO139" s="29"/>
      <c r="AP139" s="6"/>
      <c r="AQ139" s="113">
        <f>IF(AND(I139="",K139="",AF139="",AL139="",AN139="",O139=""),"",IF(OR(I139="SIM",K139="SIM",AF139="SIM",AL139="SIM",AN139="Dados pessoais",AN139="Dados sensíveis",AN139="Dados pessoais e sensíveis",O139="Acima de 10.000 titulares por mês"),"SIM - Alta criticidade",IF((IF(I139="SIM",2,0)+IF(K139="SIM",2,0)+IF(AF139="SIM",2,0)+IF(OR(AN139="Dados pessoais",AN139="Dados sensíveis",AN139="Dados pessoais e sensíveis"),2,0)+IF(O139="De 1.001 a 10.000 titulares por mês",1,0)+IF(AA139="SIM",1,0)+IF(R139="SIM",1,0)+IF(AL139="SIM",1,0)+IF(AJ139="NÃO",1,0))&gt;=5,"SIM - Alta criticidade",IF((IF(I139="SIM",2,0)+IF(K139="SIM",2,0)+IF(AF139="SIM",2,0)+IF(OR(AN139="Dados pessoais",AN139="Dados sensíveis",AN139="Dados pessoais e sensíveis"),2,0)+IF(O139="De 1.001 a 10.000 titulares por mês",1,0)+IF(AA139="SIM",1,0)+IF(R139="SIM",1,0)+IF(AL139="SIM",1,0)+IF(AJ139="NÃO",1,0))&gt;=3,"Avaliação necessária","NÃO"))))</f>
      </c>
      <c r="AR139" s="11"/>
      <c r="AS139" s="113">
        <f>IF(AND(I139="",K139="",AF139="",AL139="",AN139="",O139=""),"",IF(OR(I139="SIM",K139="SIM",AF139="SIM",AL139="SIM",OR(AN139="Dados pessoais",AN139="Dados sensíveis",AN139="Dados pessoais e sensíveis"),O139="Acima de 10.000 titulares por mês",(IF(I139="SIM",2,0)+IF(K139="SIM",2,0)+IF(AF139="SIM",2,0)+IF(OR(AN139="Dados pessoais",AN139="Dados sensíveis",AN139="Dados pessoais e sensíveis"),2,0)+IF(O139="De 1.001 a 10.000 titulares por mês",1,0)+IF(AA139="SIM",1,0)+IF(R139="SIM",1,0)+IF(AL139="SIM",1,0)+IF(AJ139="NÃO",1,0))&gt;=3),"DPIA indicado ou em avaliação em razão de: " &amp; TRIM(IF(I139="SIM","tratamento de dados sensíveis; ","") &amp; IF(K139="SIM","utilização de dados de menores; ","") &amp; IF(AF139="SIM","transferência internacional de dados; ","") &amp; IF(AL139="SIM","utilização de inteligência artificial; ","") &amp; IF(OR(AN139="Dados pessoais",AN139="Dados sensíveis",AN139="Dados pessoais e sensíveis"),"dados inseridos em IA; ","") &amp; IF(O139="Acima de 10.000 titulares por mês","volume crítico de titulares; ","") &amp; IF(O139="De 1.001 a 10.000 titulares por mês","volume moderado de titulares; ","") &amp; IF(AA139="SIM","compartilhamento com terceiros; ","") &amp; IF(R139="SIM","compartilhamento com órgãos governamentais; ","") &amp; IF(AJ139="NÃO","ausência de controle de acesso por perfil; ","")),"DPIA não indicado: Processo de baixa criticidade."))</f>
      </c>
    </row>
    <row x14ac:dyDescent="0.25" r="140" customHeight="1" ht="15.75">
      <c r="A140" s="46"/>
      <c r="B140" s="6"/>
      <c r="C140" s="11"/>
      <c r="D140" s="11"/>
      <c r="E140" s="11"/>
      <c r="F140" s="29"/>
      <c r="G140" s="11"/>
      <c r="H140" s="11"/>
      <c r="I140" s="29"/>
      <c r="J140" s="11"/>
      <c r="K140" s="29"/>
      <c r="L140" s="11"/>
      <c r="M140" s="11"/>
      <c r="N140" s="11"/>
      <c r="O140" s="29"/>
      <c r="P140" s="29"/>
      <c r="Q140" s="11"/>
      <c r="R140" s="29"/>
      <c r="S140" s="11"/>
      <c r="T140" s="6"/>
      <c r="U140" s="29"/>
      <c r="V140" s="11"/>
      <c r="W140" s="11"/>
      <c r="X140" s="29"/>
      <c r="Y140" s="11"/>
      <c r="Z140" s="29"/>
      <c r="AA140" s="29"/>
      <c r="AB140" s="11"/>
      <c r="AC140" s="11"/>
      <c r="AD140" s="29"/>
      <c r="AE140" s="11"/>
      <c r="AF140" s="29"/>
      <c r="AG140" s="11"/>
      <c r="AH140" s="29"/>
      <c r="AI140" s="11"/>
      <c r="AJ140" s="29"/>
      <c r="AK140" s="29"/>
      <c r="AL140" s="29"/>
      <c r="AM140" s="11"/>
      <c r="AN140" s="29"/>
      <c r="AO140" s="29"/>
      <c r="AP140" s="6"/>
      <c r="AQ140" s="113">
        <f>IF(AND(I140="",K140="",AF140="",AL140="",AN140="",O140=""),"",IF(OR(I140="SIM",K140="SIM",AF140="SIM",AL140="SIM",AN140="Dados pessoais",AN140="Dados sensíveis",AN140="Dados pessoais e sensíveis",O140="Acima de 10.000 titulares por mês"),"SIM - Alta criticidade",IF((IF(I140="SIM",2,0)+IF(K140="SIM",2,0)+IF(AF140="SIM",2,0)+IF(OR(AN140="Dados pessoais",AN140="Dados sensíveis",AN140="Dados pessoais e sensíveis"),2,0)+IF(O140="De 1.001 a 10.000 titulares por mês",1,0)+IF(AA140="SIM",1,0)+IF(R140="SIM",1,0)+IF(AL140="SIM",1,0)+IF(AJ140="NÃO",1,0))&gt;=5,"SIM - Alta criticidade",IF((IF(I140="SIM",2,0)+IF(K140="SIM",2,0)+IF(AF140="SIM",2,0)+IF(OR(AN140="Dados pessoais",AN140="Dados sensíveis",AN140="Dados pessoais e sensíveis"),2,0)+IF(O140="De 1.001 a 10.000 titulares por mês",1,0)+IF(AA140="SIM",1,0)+IF(R140="SIM",1,0)+IF(AL140="SIM",1,0)+IF(AJ140="NÃO",1,0))&gt;=3,"Avaliação necessária","NÃO"))))</f>
      </c>
      <c r="AR140" s="11"/>
      <c r="AS140" s="113">
        <f>IF(AND(I140="",K140="",AF140="",AL140="",AN140="",O140=""),"",IF(OR(I140="SIM",K140="SIM",AF140="SIM",AL140="SIM",OR(AN140="Dados pessoais",AN140="Dados sensíveis",AN140="Dados pessoais e sensíveis"),O140="Acima de 10.000 titulares por mês",(IF(I140="SIM",2,0)+IF(K140="SIM",2,0)+IF(AF140="SIM",2,0)+IF(OR(AN140="Dados pessoais",AN140="Dados sensíveis",AN140="Dados pessoais e sensíveis"),2,0)+IF(O140="De 1.001 a 10.000 titulares por mês",1,0)+IF(AA140="SIM",1,0)+IF(R140="SIM",1,0)+IF(AL140="SIM",1,0)+IF(AJ140="NÃO",1,0))&gt;=3),"DPIA indicado ou em avaliação em razão de: " &amp; TRIM(IF(I140="SIM","tratamento de dados sensíveis; ","") &amp; IF(K140="SIM","utilização de dados de menores; ","") &amp; IF(AF140="SIM","transferência internacional de dados; ","") &amp; IF(AL140="SIM","utilização de inteligência artificial; ","") &amp; IF(OR(AN140="Dados pessoais",AN140="Dados sensíveis",AN140="Dados pessoais e sensíveis"),"dados inseridos em IA; ","") &amp; IF(O140="Acima de 10.000 titulares por mês","volume crítico de titulares; ","") &amp; IF(O140="De 1.001 a 10.000 titulares por mês","volume moderado de titulares; ","") &amp; IF(AA140="SIM","compartilhamento com terceiros; ","") &amp; IF(R140="SIM","compartilhamento com órgãos governamentais; ","") &amp; IF(AJ140="NÃO","ausência de controle de acesso por perfil; ","")),"DPIA não indicado: Processo de baixa criticidade."))</f>
      </c>
    </row>
    <row x14ac:dyDescent="0.25" r="141" customHeight="1" ht="15.75">
      <c r="A141" s="46"/>
      <c r="B141" s="6"/>
      <c r="C141" s="11"/>
      <c r="D141" s="11"/>
      <c r="E141" s="11"/>
      <c r="F141" s="29"/>
      <c r="G141" s="11"/>
      <c r="H141" s="11"/>
      <c r="I141" s="29"/>
      <c r="J141" s="11"/>
      <c r="K141" s="29"/>
      <c r="L141" s="11"/>
      <c r="M141" s="11"/>
      <c r="N141" s="11"/>
      <c r="O141" s="29"/>
      <c r="P141" s="29"/>
      <c r="Q141" s="11"/>
      <c r="R141" s="29"/>
      <c r="S141" s="11"/>
      <c r="T141" s="6"/>
      <c r="U141" s="29"/>
      <c r="V141" s="11"/>
      <c r="W141" s="11"/>
      <c r="X141" s="29"/>
      <c r="Y141" s="11"/>
      <c r="Z141" s="29"/>
      <c r="AA141" s="29"/>
      <c r="AB141" s="11"/>
      <c r="AC141" s="11"/>
      <c r="AD141" s="29"/>
      <c r="AE141" s="11"/>
      <c r="AF141" s="29"/>
      <c r="AG141" s="11"/>
      <c r="AH141" s="29"/>
      <c r="AI141" s="11"/>
      <c r="AJ141" s="29"/>
      <c r="AK141" s="29"/>
      <c r="AL141" s="29"/>
      <c r="AM141" s="11"/>
      <c r="AN141" s="29"/>
      <c r="AO141" s="29"/>
      <c r="AP141" s="6"/>
      <c r="AQ141" s="113">
        <f>IF(AND(I141="",K141="",AF141="",AL141="",AN141="",O141=""),"",IF(OR(I141="SIM",K141="SIM",AF141="SIM",AL141="SIM",AN141="Dados pessoais",AN141="Dados sensíveis",AN141="Dados pessoais e sensíveis",O141="Acima de 10.000 titulares por mês"),"SIM - Alta criticidade",IF((IF(I141="SIM",2,0)+IF(K141="SIM",2,0)+IF(AF141="SIM",2,0)+IF(OR(AN141="Dados pessoais",AN141="Dados sensíveis",AN141="Dados pessoais e sensíveis"),2,0)+IF(O141="De 1.001 a 10.000 titulares por mês",1,0)+IF(AA141="SIM",1,0)+IF(R141="SIM",1,0)+IF(AL141="SIM",1,0)+IF(AJ141="NÃO",1,0))&gt;=5,"SIM - Alta criticidade",IF((IF(I141="SIM",2,0)+IF(K141="SIM",2,0)+IF(AF141="SIM",2,0)+IF(OR(AN141="Dados pessoais",AN141="Dados sensíveis",AN141="Dados pessoais e sensíveis"),2,0)+IF(O141="De 1.001 a 10.000 titulares por mês",1,0)+IF(AA141="SIM",1,0)+IF(R141="SIM",1,0)+IF(AL141="SIM",1,0)+IF(AJ141="NÃO",1,0))&gt;=3,"Avaliação necessária","NÃO"))))</f>
      </c>
      <c r="AR141" s="11"/>
      <c r="AS141" s="113">
        <f>IF(AND(I141="",K141="",AF141="",AL141="",AN141="",O141=""),"",IF(OR(I141="SIM",K141="SIM",AF141="SIM",AL141="SIM",OR(AN141="Dados pessoais",AN141="Dados sensíveis",AN141="Dados pessoais e sensíveis"),O141="Acima de 10.000 titulares por mês",(IF(I141="SIM",2,0)+IF(K141="SIM",2,0)+IF(AF141="SIM",2,0)+IF(OR(AN141="Dados pessoais",AN141="Dados sensíveis",AN141="Dados pessoais e sensíveis"),2,0)+IF(O141="De 1.001 a 10.000 titulares por mês",1,0)+IF(AA141="SIM",1,0)+IF(R141="SIM",1,0)+IF(AL141="SIM",1,0)+IF(AJ141="NÃO",1,0))&gt;=3),"DPIA indicado ou em avaliação em razão de: " &amp; TRIM(IF(I141="SIM","tratamento de dados sensíveis; ","") &amp; IF(K141="SIM","utilização de dados de menores; ","") &amp; IF(AF141="SIM","transferência internacional de dados; ","") &amp; IF(AL141="SIM","utilização de inteligência artificial; ","") &amp; IF(OR(AN141="Dados pessoais",AN141="Dados sensíveis",AN141="Dados pessoais e sensíveis"),"dados inseridos em IA; ","") &amp; IF(O141="Acima de 10.000 titulares por mês","volume crítico de titulares; ","") &amp; IF(O141="De 1.001 a 10.000 titulares por mês","volume moderado de titulares; ","") &amp; IF(AA141="SIM","compartilhamento com terceiros; ","") &amp; IF(R141="SIM","compartilhamento com órgãos governamentais; ","") &amp; IF(AJ141="NÃO","ausência de controle de acesso por perfil; ","")),"DPIA não indicado: Processo de baixa criticidade."))</f>
      </c>
    </row>
    <row x14ac:dyDescent="0.25" r="142" customHeight="1" ht="15.75">
      <c r="A142" s="46"/>
      <c r="B142" s="6"/>
      <c r="C142" s="11"/>
      <c r="D142" s="11"/>
      <c r="E142" s="11"/>
      <c r="F142" s="29"/>
      <c r="G142" s="11"/>
      <c r="H142" s="11"/>
      <c r="I142" s="29"/>
      <c r="J142" s="11"/>
      <c r="K142" s="29"/>
      <c r="L142" s="11"/>
      <c r="M142" s="11"/>
      <c r="N142" s="11"/>
      <c r="O142" s="29"/>
      <c r="P142" s="29"/>
      <c r="Q142" s="11"/>
      <c r="R142" s="29"/>
      <c r="S142" s="11"/>
      <c r="T142" s="6"/>
      <c r="U142" s="29"/>
      <c r="V142" s="11"/>
      <c r="W142" s="11"/>
      <c r="X142" s="29"/>
      <c r="Y142" s="11"/>
      <c r="Z142" s="29"/>
      <c r="AA142" s="29"/>
      <c r="AB142" s="11"/>
      <c r="AC142" s="11"/>
      <c r="AD142" s="29"/>
      <c r="AE142" s="11"/>
      <c r="AF142" s="29"/>
      <c r="AG142" s="11"/>
      <c r="AH142" s="29"/>
      <c r="AI142" s="11"/>
      <c r="AJ142" s="29"/>
      <c r="AK142" s="29"/>
      <c r="AL142" s="29"/>
      <c r="AM142" s="11"/>
      <c r="AN142" s="29"/>
      <c r="AO142" s="29"/>
      <c r="AP142" s="6"/>
      <c r="AQ142" s="113">
        <f>IF(AND(I142="",K142="",AF142="",AL142="",AN142="",O142=""),"",IF(OR(I142="SIM",K142="SIM",AF142="SIM",AL142="SIM",AN142="Dados pessoais",AN142="Dados sensíveis",AN142="Dados pessoais e sensíveis",O142="Acima de 10.000 titulares por mês"),"SIM - Alta criticidade",IF((IF(I142="SIM",2,0)+IF(K142="SIM",2,0)+IF(AF142="SIM",2,0)+IF(OR(AN142="Dados pessoais",AN142="Dados sensíveis",AN142="Dados pessoais e sensíveis"),2,0)+IF(O142="De 1.001 a 10.000 titulares por mês",1,0)+IF(AA142="SIM",1,0)+IF(R142="SIM",1,0)+IF(AL142="SIM",1,0)+IF(AJ142="NÃO",1,0))&gt;=5,"SIM - Alta criticidade",IF((IF(I142="SIM",2,0)+IF(K142="SIM",2,0)+IF(AF142="SIM",2,0)+IF(OR(AN142="Dados pessoais",AN142="Dados sensíveis",AN142="Dados pessoais e sensíveis"),2,0)+IF(O142="De 1.001 a 10.000 titulares por mês",1,0)+IF(AA142="SIM",1,0)+IF(R142="SIM",1,0)+IF(AL142="SIM",1,0)+IF(AJ142="NÃO",1,0))&gt;=3,"Avaliação necessária","NÃO"))))</f>
      </c>
      <c r="AR142" s="11"/>
      <c r="AS142" s="113">
        <f>IF(AND(I142="",K142="",AF142="",AL142="",AN142="",O142=""),"",IF(OR(I142="SIM",K142="SIM",AF142="SIM",AL142="SIM",OR(AN142="Dados pessoais",AN142="Dados sensíveis",AN142="Dados pessoais e sensíveis"),O142="Acima de 10.000 titulares por mês",(IF(I142="SIM",2,0)+IF(K142="SIM",2,0)+IF(AF142="SIM",2,0)+IF(OR(AN142="Dados pessoais",AN142="Dados sensíveis",AN142="Dados pessoais e sensíveis"),2,0)+IF(O142="De 1.001 a 10.000 titulares por mês",1,0)+IF(AA142="SIM",1,0)+IF(R142="SIM",1,0)+IF(AL142="SIM",1,0)+IF(AJ142="NÃO",1,0))&gt;=3),"DPIA indicado ou em avaliação em razão de: " &amp; TRIM(IF(I142="SIM","tratamento de dados sensíveis; ","") &amp; IF(K142="SIM","utilização de dados de menores; ","") &amp; IF(AF142="SIM","transferência internacional de dados; ","") &amp; IF(AL142="SIM","utilização de inteligência artificial; ","") &amp; IF(OR(AN142="Dados pessoais",AN142="Dados sensíveis",AN142="Dados pessoais e sensíveis"),"dados inseridos em IA; ","") &amp; IF(O142="Acima de 10.000 titulares por mês","volume crítico de titulares; ","") &amp; IF(O142="De 1.001 a 10.000 titulares por mês","volume moderado de titulares; ","") &amp; IF(AA142="SIM","compartilhamento com terceiros; ","") &amp; IF(R142="SIM","compartilhamento com órgãos governamentais; ","") &amp; IF(AJ142="NÃO","ausência de controle de acesso por perfil; ","")),"DPIA não indicado: Processo de baixa criticidade."))</f>
      </c>
    </row>
    <row x14ac:dyDescent="0.25" r="143" customHeight="1" ht="15.75">
      <c r="A143" s="46"/>
      <c r="B143" s="6"/>
      <c r="C143" s="11"/>
      <c r="D143" s="11"/>
      <c r="E143" s="11"/>
      <c r="F143" s="29"/>
      <c r="G143" s="11"/>
      <c r="H143" s="11"/>
      <c r="I143" s="29"/>
      <c r="J143" s="11"/>
      <c r="K143" s="29"/>
      <c r="L143" s="11"/>
      <c r="M143" s="11"/>
      <c r="N143" s="11"/>
      <c r="O143" s="29"/>
      <c r="P143" s="29"/>
      <c r="Q143" s="11"/>
      <c r="R143" s="29"/>
      <c r="S143" s="11"/>
      <c r="T143" s="6"/>
      <c r="U143" s="29"/>
      <c r="V143" s="11"/>
      <c r="W143" s="11"/>
      <c r="X143" s="29"/>
      <c r="Y143" s="11"/>
      <c r="Z143" s="29"/>
      <c r="AA143" s="29"/>
      <c r="AB143" s="11"/>
      <c r="AC143" s="11"/>
      <c r="AD143" s="29"/>
      <c r="AE143" s="11"/>
      <c r="AF143" s="29"/>
      <c r="AG143" s="11"/>
      <c r="AH143" s="29"/>
      <c r="AI143" s="11"/>
      <c r="AJ143" s="29"/>
      <c r="AK143" s="29"/>
      <c r="AL143" s="29"/>
      <c r="AM143" s="11"/>
      <c r="AN143" s="29"/>
      <c r="AO143" s="29"/>
      <c r="AP143" s="6"/>
      <c r="AQ143" s="113">
        <f>IF(AND(I143="",K143="",AF143="",AL143="",AN143="",O143=""),"",IF(OR(I143="SIM",K143="SIM",AF143="SIM",AL143="SIM",AN143="Dados pessoais",AN143="Dados sensíveis",AN143="Dados pessoais e sensíveis",O143="Acima de 10.000 titulares por mês"),"SIM - Alta criticidade",IF((IF(I143="SIM",2,0)+IF(K143="SIM",2,0)+IF(AF143="SIM",2,0)+IF(OR(AN143="Dados pessoais",AN143="Dados sensíveis",AN143="Dados pessoais e sensíveis"),2,0)+IF(O143="De 1.001 a 10.000 titulares por mês",1,0)+IF(AA143="SIM",1,0)+IF(R143="SIM",1,0)+IF(AL143="SIM",1,0)+IF(AJ143="NÃO",1,0))&gt;=5,"SIM - Alta criticidade",IF((IF(I143="SIM",2,0)+IF(K143="SIM",2,0)+IF(AF143="SIM",2,0)+IF(OR(AN143="Dados pessoais",AN143="Dados sensíveis",AN143="Dados pessoais e sensíveis"),2,0)+IF(O143="De 1.001 a 10.000 titulares por mês",1,0)+IF(AA143="SIM",1,0)+IF(R143="SIM",1,0)+IF(AL143="SIM",1,0)+IF(AJ143="NÃO",1,0))&gt;=3,"Avaliação necessária","NÃO"))))</f>
      </c>
      <c r="AR143" s="11"/>
      <c r="AS143" s="113">
        <f>IF(AND(I143="",K143="",AF143="",AL143="",AN143="",O143=""),"",IF(OR(I143="SIM",K143="SIM",AF143="SIM",AL143="SIM",OR(AN143="Dados pessoais",AN143="Dados sensíveis",AN143="Dados pessoais e sensíveis"),O143="Acima de 10.000 titulares por mês",(IF(I143="SIM",2,0)+IF(K143="SIM",2,0)+IF(AF143="SIM",2,0)+IF(OR(AN143="Dados pessoais",AN143="Dados sensíveis",AN143="Dados pessoais e sensíveis"),2,0)+IF(O143="De 1.001 a 10.000 titulares por mês",1,0)+IF(AA143="SIM",1,0)+IF(R143="SIM",1,0)+IF(AL143="SIM",1,0)+IF(AJ143="NÃO",1,0))&gt;=3),"DPIA indicado ou em avaliação em razão de: " &amp; TRIM(IF(I143="SIM","tratamento de dados sensíveis; ","") &amp; IF(K143="SIM","utilização de dados de menores; ","") &amp; IF(AF143="SIM","transferência internacional de dados; ","") &amp; IF(AL143="SIM","utilização de inteligência artificial; ","") &amp; IF(OR(AN143="Dados pessoais",AN143="Dados sensíveis",AN143="Dados pessoais e sensíveis"),"dados inseridos em IA; ","") &amp; IF(O143="Acima de 10.000 titulares por mês","volume crítico de titulares; ","") &amp; IF(O143="De 1.001 a 10.000 titulares por mês","volume moderado de titulares; ","") &amp; IF(AA143="SIM","compartilhamento com terceiros; ","") &amp; IF(R143="SIM","compartilhamento com órgãos governamentais; ","") &amp; IF(AJ143="NÃO","ausência de controle de acesso por perfil; ","")),"DPIA não indicado: Processo de baixa criticidade."))</f>
      </c>
    </row>
    <row x14ac:dyDescent="0.25" r="144" customHeight="1" ht="15.75">
      <c r="A144" s="46"/>
      <c r="B144" s="6"/>
      <c r="C144" s="11"/>
      <c r="D144" s="11"/>
      <c r="E144" s="11"/>
      <c r="F144" s="29"/>
      <c r="G144" s="11"/>
      <c r="H144" s="11"/>
      <c r="I144" s="29"/>
      <c r="J144" s="11"/>
      <c r="K144" s="29"/>
      <c r="L144" s="11"/>
      <c r="M144" s="11"/>
      <c r="N144" s="11"/>
      <c r="O144" s="29"/>
      <c r="P144" s="29"/>
      <c r="Q144" s="11"/>
      <c r="R144" s="29"/>
      <c r="S144" s="11"/>
      <c r="T144" s="6"/>
      <c r="U144" s="29"/>
      <c r="V144" s="11"/>
      <c r="W144" s="11"/>
      <c r="X144" s="29"/>
      <c r="Y144" s="11"/>
      <c r="Z144" s="29"/>
      <c r="AA144" s="29"/>
      <c r="AB144" s="11"/>
      <c r="AC144" s="11"/>
      <c r="AD144" s="29"/>
      <c r="AE144" s="11"/>
      <c r="AF144" s="29"/>
      <c r="AG144" s="11"/>
      <c r="AH144" s="29"/>
      <c r="AI144" s="11"/>
      <c r="AJ144" s="29"/>
      <c r="AK144" s="29"/>
      <c r="AL144" s="29"/>
      <c r="AM144" s="11"/>
      <c r="AN144" s="29"/>
      <c r="AO144" s="29"/>
      <c r="AP144" s="6"/>
      <c r="AQ144" s="113">
        <f>IF(AND(I144="",K144="",AF144="",AL144="",AN144="",O144=""),"",IF(OR(I144="SIM",K144="SIM",AF144="SIM",AL144="SIM",AN144="Dados pessoais",AN144="Dados sensíveis",AN144="Dados pessoais e sensíveis",O144="Acima de 10.000 titulares por mês"),"SIM - Alta criticidade",IF((IF(I144="SIM",2,0)+IF(K144="SIM",2,0)+IF(AF144="SIM",2,0)+IF(OR(AN144="Dados pessoais",AN144="Dados sensíveis",AN144="Dados pessoais e sensíveis"),2,0)+IF(O144="De 1.001 a 10.000 titulares por mês",1,0)+IF(AA144="SIM",1,0)+IF(R144="SIM",1,0)+IF(AL144="SIM",1,0)+IF(AJ144="NÃO",1,0))&gt;=5,"SIM - Alta criticidade",IF((IF(I144="SIM",2,0)+IF(K144="SIM",2,0)+IF(AF144="SIM",2,0)+IF(OR(AN144="Dados pessoais",AN144="Dados sensíveis",AN144="Dados pessoais e sensíveis"),2,0)+IF(O144="De 1.001 a 10.000 titulares por mês",1,0)+IF(AA144="SIM",1,0)+IF(R144="SIM",1,0)+IF(AL144="SIM",1,0)+IF(AJ144="NÃO",1,0))&gt;=3,"Avaliação necessária","NÃO"))))</f>
      </c>
      <c r="AR144" s="11"/>
      <c r="AS144" s="113">
        <f>IF(AND(I144="",K144="",AF144="",AL144="",AN144="",O144=""),"",IF(OR(I144="SIM",K144="SIM",AF144="SIM",AL144="SIM",OR(AN144="Dados pessoais",AN144="Dados sensíveis",AN144="Dados pessoais e sensíveis"),O144="Acima de 10.000 titulares por mês",(IF(I144="SIM",2,0)+IF(K144="SIM",2,0)+IF(AF144="SIM",2,0)+IF(OR(AN144="Dados pessoais",AN144="Dados sensíveis",AN144="Dados pessoais e sensíveis"),2,0)+IF(O144="De 1.001 a 10.000 titulares por mês",1,0)+IF(AA144="SIM",1,0)+IF(R144="SIM",1,0)+IF(AL144="SIM",1,0)+IF(AJ144="NÃO",1,0))&gt;=3),"DPIA indicado ou em avaliação em razão de: " &amp; TRIM(IF(I144="SIM","tratamento de dados sensíveis; ","") &amp; IF(K144="SIM","utilização de dados de menores; ","") &amp; IF(AF144="SIM","transferência internacional de dados; ","") &amp; IF(AL144="SIM","utilização de inteligência artificial; ","") &amp; IF(OR(AN144="Dados pessoais",AN144="Dados sensíveis",AN144="Dados pessoais e sensíveis"),"dados inseridos em IA; ","") &amp; IF(O144="Acima de 10.000 titulares por mês","volume crítico de titulares; ","") &amp; IF(O144="De 1.001 a 10.000 titulares por mês","volume moderado de titulares; ","") &amp; IF(AA144="SIM","compartilhamento com terceiros; ","") &amp; IF(R144="SIM","compartilhamento com órgãos governamentais; ","") &amp; IF(AJ144="NÃO","ausência de controle de acesso por perfil; ","")),"DPIA não indicado: Processo de baixa criticidade."))</f>
      </c>
    </row>
    <row x14ac:dyDescent="0.25" r="145" customHeight="1" ht="15.75">
      <c r="A145" s="46"/>
      <c r="B145" s="6"/>
      <c r="C145" s="11"/>
      <c r="D145" s="11"/>
      <c r="E145" s="11"/>
      <c r="F145" s="29"/>
      <c r="G145" s="11"/>
      <c r="H145" s="11"/>
      <c r="I145" s="29"/>
      <c r="J145" s="11"/>
      <c r="K145" s="29"/>
      <c r="L145" s="11"/>
      <c r="M145" s="11"/>
      <c r="N145" s="11"/>
      <c r="O145" s="29"/>
      <c r="P145" s="29"/>
      <c r="Q145" s="11"/>
      <c r="R145" s="29"/>
      <c r="S145" s="11"/>
      <c r="T145" s="6"/>
      <c r="U145" s="29"/>
      <c r="V145" s="11"/>
      <c r="W145" s="11"/>
      <c r="X145" s="29"/>
      <c r="Y145" s="11"/>
      <c r="Z145" s="29"/>
      <c r="AA145" s="29"/>
      <c r="AB145" s="11"/>
      <c r="AC145" s="11"/>
      <c r="AD145" s="29"/>
      <c r="AE145" s="11"/>
      <c r="AF145" s="29"/>
      <c r="AG145" s="11"/>
      <c r="AH145" s="29"/>
      <c r="AI145" s="11"/>
      <c r="AJ145" s="29"/>
      <c r="AK145" s="29"/>
      <c r="AL145" s="29"/>
      <c r="AM145" s="11"/>
      <c r="AN145" s="29"/>
      <c r="AO145" s="29"/>
      <c r="AP145" s="6"/>
      <c r="AQ145" s="113">
        <f>IF(AND(I145="",K145="",AF145="",AL145="",AN145="",O145=""),"",IF(OR(I145="SIM",K145="SIM",AF145="SIM",AL145="SIM",AN145="Dados pessoais",AN145="Dados sensíveis",AN145="Dados pessoais e sensíveis",O145="Acima de 10.000 titulares por mês"),"SIM - Alta criticidade",IF((IF(I145="SIM",2,0)+IF(K145="SIM",2,0)+IF(AF145="SIM",2,0)+IF(OR(AN145="Dados pessoais",AN145="Dados sensíveis",AN145="Dados pessoais e sensíveis"),2,0)+IF(O145="De 1.001 a 10.000 titulares por mês",1,0)+IF(AA145="SIM",1,0)+IF(R145="SIM",1,0)+IF(AL145="SIM",1,0)+IF(AJ145="NÃO",1,0))&gt;=5,"SIM - Alta criticidade",IF((IF(I145="SIM",2,0)+IF(K145="SIM",2,0)+IF(AF145="SIM",2,0)+IF(OR(AN145="Dados pessoais",AN145="Dados sensíveis",AN145="Dados pessoais e sensíveis"),2,0)+IF(O145="De 1.001 a 10.000 titulares por mês",1,0)+IF(AA145="SIM",1,0)+IF(R145="SIM",1,0)+IF(AL145="SIM",1,0)+IF(AJ145="NÃO",1,0))&gt;=3,"Avaliação necessária","NÃO"))))</f>
      </c>
      <c r="AR145" s="11"/>
      <c r="AS145" s="113">
        <f>IF(AND(I145="",K145="",AF145="",AL145="",AN145="",O145=""),"",IF(OR(I145="SIM",K145="SIM",AF145="SIM",AL145="SIM",OR(AN145="Dados pessoais",AN145="Dados sensíveis",AN145="Dados pessoais e sensíveis"),O145="Acima de 10.000 titulares por mês",(IF(I145="SIM",2,0)+IF(K145="SIM",2,0)+IF(AF145="SIM",2,0)+IF(OR(AN145="Dados pessoais",AN145="Dados sensíveis",AN145="Dados pessoais e sensíveis"),2,0)+IF(O145="De 1.001 a 10.000 titulares por mês",1,0)+IF(AA145="SIM",1,0)+IF(R145="SIM",1,0)+IF(AL145="SIM",1,0)+IF(AJ145="NÃO",1,0))&gt;=3),"DPIA indicado ou em avaliação em razão de: " &amp; TRIM(IF(I145="SIM","tratamento de dados sensíveis; ","") &amp; IF(K145="SIM","utilização de dados de menores; ","") &amp; IF(AF145="SIM","transferência internacional de dados; ","") &amp; IF(AL145="SIM","utilização de inteligência artificial; ","") &amp; IF(OR(AN145="Dados pessoais",AN145="Dados sensíveis",AN145="Dados pessoais e sensíveis"),"dados inseridos em IA; ","") &amp; IF(O145="Acima de 10.000 titulares por mês","volume crítico de titulares; ","") &amp; IF(O145="De 1.001 a 10.000 titulares por mês","volume moderado de titulares; ","") &amp; IF(AA145="SIM","compartilhamento com terceiros; ","") &amp; IF(R145="SIM","compartilhamento com órgãos governamentais; ","") &amp; IF(AJ145="NÃO","ausência de controle de acesso por perfil; ","")),"DPIA não indicado: Processo de baixa criticidade."))</f>
      </c>
    </row>
    <row x14ac:dyDescent="0.25" r="146" customHeight="1" ht="15.75">
      <c r="A146" s="46"/>
      <c r="B146" s="6"/>
      <c r="C146" s="11"/>
      <c r="D146" s="11"/>
      <c r="E146" s="11"/>
      <c r="F146" s="29"/>
      <c r="G146" s="11"/>
      <c r="H146" s="11"/>
      <c r="I146" s="29"/>
      <c r="J146" s="11"/>
      <c r="K146" s="29"/>
      <c r="L146" s="11"/>
      <c r="M146" s="11"/>
      <c r="N146" s="11"/>
      <c r="O146" s="29"/>
      <c r="P146" s="29"/>
      <c r="Q146" s="11"/>
      <c r="R146" s="29"/>
      <c r="S146" s="11"/>
      <c r="T146" s="6"/>
      <c r="U146" s="29"/>
      <c r="V146" s="11"/>
      <c r="W146" s="11"/>
      <c r="X146" s="29"/>
      <c r="Y146" s="11"/>
      <c r="Z146" s="29"/>
      <c r="AA146" s="29"/>
      <c r="AB146" s="11"/>
      <c r="AC146" s="11"/>
      <c r="AD146" s="29"/>
      <c r="AE146" s="11"/>
      <c r="AF146" s="29"/>
      <c r="AG146" s="11"/>
      <c r="AH146" s="29"/>
      <c r="AI146" s="11"/>
      <c r="AJ146" s="29"/>
      <c r="AK146" s="29"/>
      <c r="AL146" s="29"/>
      <c r="AM146" s="11"/>
      <c r="AN146" s="29"/>
      <c r="AO146" s="29"/>
      <c r="AP146" s="6"/>
      <c r="AQ146" s="113">
        <f>IF(AND(I146="",K146="",AF146="",AL146="",AN146="",O146=""),"",IF(OR(I146="SIM",K146="SIM",AF146="SIM",AL146="SIM",AN146="Dados pessoais",AN146="Dados sensíveis",AN146="Dados pessoais e sensíveis",O146="Acima de 10.000 titulares por mês"),"SIM - Alta criticidade",IF((IF(I146="SIM",2,0)+IF(K146="SIM",2,0)+IF(AF146="SIM",2,0)+IF(OR(AN146="Dados pessoais",AN146="Dados sensíveis",AN146="Dados pessoais e sensíveis"),2,0)+IF(O146="De 1.001 a 10.000 titulares por mês",1,0)+IF(AA146="SIM",1,0)+IF(R146="SIM",1,0)+IF(AL146="SIM",1,0)+IF(AJ146="NÃO",1,0))&gt;=5,"SIM - Alta criticidade",IF((IF(I146="SIM",2,0)+IF(K146="SIM",2,0)+IF(AF146="SIM",2,0)+IF(OR(AN146="Dados pessoais",AN146="Dados sensíveis",AN146="Dados pessoais e sensíveis"),2,0)+IF(O146="De 1.001 a 10.000 titulares por mês",1,0)+IF(AA146="SIM",1,0)+IF(R146="SIM",1,0)+IF(AL146="SIM",1,0)+IF(AJ146="NÃO",1,0))&gt;=3,"Avaliação necessária","NÃO"))))</f>
      </c>
      <c r="AR146" s="11"/>
      <c r="AS146" s="113">
        <f>IF(AND(I146="",K146="",AF146="",AL146="",AN146="",O146=""),"",IF(OR(I146="SIM",K146="SIM",AF146="SIM",AL146="SIM",OR(AN146="Dados pessoais",AN146="Dados sensíveis",AN146="Dados pessoais e sensíveis"),O146="Acima de 10.000 titulares por mês",(IF(I146="SIM",2,0)+IF(K146="SIM",2,0)+IF(AF146="SIM",2,0)+IF(OR(AN146="Dados pessoais",AN146="Dados sensíveis",AN146="Dados pessoais e sensíveis"),2,0)+IF(O146="De 1.001 a 10.000 titulares por mês",1,0)+IF(AA146="SIM",1,0)+IF(R146="SIM",1,0)+IF(AL146="SIM",1,0)+IF(AJ146="NÃO",1,0))&gt;=3),"DPIA indicado ou em avaliação em razão de: " &amp; TRIM(IF(I146="SIM","tratamento de dados sensíveis; ","") &amp; IF(K146="SIM","utilização de dados de menores; ","") &amp; IF(AF146="SIM","transferência internacional de dados; ","") &amp; IF(AL146="SIM","utilização de inteligência artificial; ","") &amp; IF(OR(AN146="Dados pessoais",AN146="Dados sensíveis",AN146="Dados pessoais e sensíveis"),"dados inseridos em IA; ","") &amp; IF(O146="Acima de 10.000 titulares por mês","volume crítico de titulares; ","") &amp; IF(O146="De 1.001 a 10.000 titulares por mês","volume moderado de titulares; ","") &amp; IF(AA146="SIM","compartilhamento com terceiros; ","") &amp; IF(R146="SIM","compartilhamento com órgãos governamentais; ","") &amp; IF(AJ146="NÃO","ausência de controle de acesso por perfil; ","")),"DPIA não indicado: Processo de baixa criticidade."))</f>
      </c>
    </row>
    <row x14ac:dyDescent="0.25" r="147" customHeight="1" ht="15.75">
      <c r="A147" s="46"/>
      <c r="B147" s="6"/>
      <c r="C147" s="11"/>
      <c r="D147" s="11"/>
      <c r="E147" s="11"/>
      <c r="F147" s="29"/>
      <c r="G147" s="11"/>
      <c r="H147" s="11"/>
      <c r="I147" s="29"/>
      <c r="J147" s="11"/>
      <c r="K147" s="29"/>
      <c r="L147" s="11"/>
      <c r="M147" s="11"/>
      <c r="N147" s="11"/>
      <c r="O147" s="29"/>
      <c r="P147" s="29"/>
      <c r="Q147" s="11"/>
      <c r="R147" s="29"/>
      <c r="S147" s="11"/>
      <c r="T147" s="6"/>
      <c r="U147" s="29"/>
      <c r="V147" s="11"/>
      <c r="W147" s="11"/>
      <c r="X147" s="29"/>
      <c r="Y147" s="11"/>
      <c r="Z147" s="29"/>
      <c r="AA147" s="29"/>
      <c r="AB147" s="11"/>
      <c r="AC147" s="11"/>
      <c r="AD147" s="29"/>
      <c r="AE147" s="11"/>
      <c r="AF147" s="29"/>
      <c r="AG147" s="11"/>
      <c r="AH147" s="29"/>
      <c r="AI147" s="11"/>
      <c r="AJ147" s="29"/>
      <c r="AK147" s="29"/>
      <c r="AL147" s="29"/>
      <c r="AM147" s="11"/>
      <c r="AN147" s="29"/>
      <c r="AO147" s="29"/>
      <c r="AP147" s="6"/>
      <c r="AQ147" s="113">
        <f>IF(AND(I147="",K147="",AF147="",AL147="",AN147="",O147=""),"",IF(OR(I147="SIM",K147="SIM",AF147="SIM",AL147="SIM",AN147="Dados pessoais",AN147="Dados sensíveis",AN147="Dados pessoais e sensíveis",O147="Acima de 10.000 titulares por mês"),"SIM - Alta criticidade",IF((IF(I147="SIM",2,0)+IF(K147="SIM",2,0)+IF(AF147="SIM",2,0)+IF(OR(AN147="Dados pessoais",AN147="Dados sensíveis",AN147="Dados pessoais e sensíveis"),2,0)+IF(O147="De 1.001 a 10.000 titulares por mês",1,0)+IF(AA147="SIM",1,0)+IF(R147="SIM",1,0)+IF(AL147="SIM",1,0)+IF(AJ147="NÃO",1,0))&gt;=5,"SIM - Alta criticidade",IF((IF(I147="SIM",2,0)+IF(K147="SIM",2,0)+IF(AF147="SIM",2,0)+IF(OR(AN147="Dados pessoais",AN147="Dados sensíveis",AN147="Dados pessoais e sensíveis"),2,0)+IF(O147="De 1.001 a 10.000 titulares por mês",1,0)+IF(AA147="SIM",1,0)+IF(R147="SIM",1,0)+IF(AL147="SIM",1,0)+IF(AJ147="NÃO",1,0))&gt;=3,"Avaliação necessária","NÃO"))))</f>
      </c>
      <c r="AR147" s="11"/>
      <c r="AS147" s="113">
        <f>IF(AND(I147="",K147="",AF147="",AL147="",AN147="",O147=""),"",IF(OR(I147="SIM",K147="SIM",AF147="SIM",AL147="SIM",OR(AN147="Dados pessoais",AN147="Dados sensíveis",AN147="Dados pessoais e sensíveis"),O147="Acima de 10.000 titulares por mês",(IF(I147="SIM",2,0)+IF(K147="SIM",2,0)+IF(AF147="SIM",2,0)+IF(OR(AN147="Dados pessoais",AN147="Dados sensíveis",AN147="Dados pessoais e sensíveis"),2,0)+IF(O147="De 1.001 a 10.000 titulares por mês",1,0)+IF(AA147="SIM",1,0)+IF(R147="SIM",1,0)+IF(AL147="SIM",1,0)+IF(AJ147="NÃO",1,0))&gt;=3),"DPIA indicado ou em avaliação em razão de: " &amp; TRIM(IF(I147="SIM","tratamento de dados sensíveis; ","") &amp; IF(K147="SIM","utilização de dados de menores; ","") &amp; IF(AF147="SIM","transferência internacional de dados; ","") &amp; IF(AL147="SIM","utilização de inteligência artificial; ","") &amp; IF(OR(AN147="Dados pessoais",AN147="Dados sensíveis",AN147="Dados pessoais e sensíveis"),"dados inseridos em IA; ","") &amp; IF(O147="Acima de 10.000 titulares por mês","volume crítico de titulares; ","") &amp; IF(O147="De 1.001 a 10.000 titulares por mês","volume moderado de titulares; ","") &amp; IF(AA147="SIM","compartilhamento com terceiros; ","") &amp; IF(R147="SIM","compartilhamento com órgãos governamentais; ","") &amp; IF(AJ147="NÃO","ausência de controle de acesso por perfil; ","")),"DPIA não indicado: Processo de baixa criticidade."))</f>
      </c>
    </row>
    <row x14ac:dyDescent="0.25" r="148" customHeight="1" ht="15.75">
      <c r="A148" s="46"/>
      <c r="B148" s="6"/>
      <c r="C148" s="11"/>
      <c r="D148" s="11"/>
      <c r="E148" s="11"/>
      <c r="F148" s="29"/>
      <c r="G148" s="11"/>
      <c r="H148" s="11"/>
      <c r="I148" s="29"/>
      <c r="J148" s="11"/>
      <c r="K148" s="29"/>
      <c r="L148" s="11"/>
      <c r="M148" s="11"/>
      <c r="N148" s="11"/>
      <c r="O148" s="29"/>
      <c r="P148" s="29"/>
      <c r="Q148" s="11"/>
      <c r="R148" s="29"/>
      <c r="S148" s="11"/>
      <c r="T148" s="6"/>
      <c r="U148" s="29"/>
      <c r="V148" s="11"/>
      <c r="W148" s="11"/>
      <c r="X148" s="29"/>
      <c r="Y148" s="11"/>
      <c r="Z148" s="29"/>
      <c r="AA148" s="29"/>
      <c r="AB148" s="11"/>
      <c r="AC148" s="11"/>
      <c r="AD148" s="29"/>
      <c r="AE148" s="11"/>
      <c r="AF148" s="29"/>
      <c r="AG148" s="11"/>
      <c r="AH148" s="29"/>
      <c r="AI148" s="11"/>
      <c r="AJ148" s="29"/>
      <c r="AK148" s="29"/>
      <c r="AL148" s="29"/>
      <c r="AM148" s="11"/>
      <c r="AN148" s="29"/>
      <c r="AO148" s="29"/>
      <c r="AP148" s="6"/>
      <c r="AQ148" s="113">
        <f>IF(AND(I148="",K148="",AF148="",AL148="",AN148="",O148=""),"",IF(OR(I148="SIM",K148="SIM",AF148="SIM",AL148="SIM",AN148="Dados pessoais",AN148="Dados sensíveis",AN148="Dados pessoais e sensíveis",O148="Acima de 10.000 titulares por mês"),"SIM - Alta criticidade",IF((IF(I148="SIM",2,0)+IF(K148="SIM",2,0)+IF(AF148="SIM",2,0)+IF(OR(AN148="Dados pessoais",AN148="Dados sensíveis",AN148="Dados pessoais e sensíveis"),2,0)+IF(O148="De 1.001 a 10.000 titulares por mês",1,0)+IF(AA148="SIM",1,0)+IF(R148="SIM",1,0)+IF(AL148="SIM",1,0)+IF(AJ148="NÃO",1,0))&gt;=5,"SIM - Alta criticidade",IF((IF(I148="SIM",2,0)+IF(K148="SIM",2,0)+IF(AF148="SIM",2,0)+IF(OR(AN148="Dados pessoais",AN148="Dados sensíveis",AN148="Dados pessoais e sensíveis"),2,0)+IF(O148="De 1.001 a 10.000 titulares por mês",1,0)+IF(AA148="SIM",1,0)+IF(R148="SIM",1,0)+IF(AL148="SIM",1,0)+IF(AJ148="NÃO",1,0))&gt;=3,"Avaliação necessária","NÃO"))))</f>
      </c>
      <c r="AR148" s="11"/>
      <c r="AS148" s="113">
        <f>IF(AND(I148="",K148="",AF148="",AL148="",AN148="",O148=""),"",IF(OR(I148="SIM",K148="SIM",AF148="SIM",AL148="SIM",OR(AN148="Dados pessoais",AN148="Dados sensíveis",AN148="Dados pessoais e sensíveis"),O148="Acima de 10.000 titulares por mês",(IF(I148="SIM",2,0)+IF(K148="SIM",2,0)+IF(AF148="SIM",2,0)+IF(OR(AN148="Dados pessoais",AN148="Dados sensíveis",AN148="Dados pessoais e sensíveis"),2,0)+IF(O148="De 1.001 a 10.000 titulares por mês",1,0)+IF(AA148="SIM",1,0)+IF(R148="SIM",1,0)+IF(AL148="SIM",1,0)+IF(AJ148="NÃO",1,0))&gt;=3),"DPIA indicado ou em avaliação em razão de: " &amp; TRIM(IF(I148="SIM","tratamento de dados sensíveis; ","") &amp; IF(K148="SIM","utilização de dados de menores; ","") &amp; IF(AF148="SIM","transferência internacional de dados; ","") &amp; IF(AL148="SIM","utilização de inteligência artificial; ","") &amp; IF(OR(AN148="Dados pessoais",AN148="Dados sensíveis",AN148="Dados pessoais e sensíveis"),"dados inseridos em IA; ","") &amp; IF(O148="Acima de 10.000 titulares por mês","volume crítico de titulares; ","") &amp; IF(O148="De 1.001 a 10.000 titulares por mês","volume moderado de titulares; ","") &amp; IF(AA148="SIM","compartilhamento com terceiros; ","") &amp; IF(R148="SIM","compartilhamento com órgãos governamentais; ","") &amp; IF(AJ148="NÃO","ausência de controle de acesso por perfil; ","")),"DPIA não indicado: Processo de baixa criticidade."))</f>
      </c>
    </row>
    <row x14ac:dyDescent="0.25" r="149" customHeight="1" ht="15.75">
      <c r="A149" s="46"/>
      <c r="B149" s="6"/>
      <c r="C149" s="11"/>
      <c r="D149" s="11"/>
      <c r="E149" s="11"/>
      <c r="F149" s="29"/>
      <c r="G149" s="11"/>
      <c r="H149" s="11"/>
      <c r="I149" s="29"/>
      <c r="J149" s="11"/>
      <c r="K149" s="29"/>
      <c r="L149" s="11"/>
      <c r="M149" s="11"/>
      <c r="N149" s="11"/>
      <c r="O149" s="29"/>
      <c r="P149" s="29"/>
      <c r="Q149" s="11"/>
      <c r="R149" s="29"/>
      <c r="S149" s="11"/>
      <c r="T149" s="6"/>
      <c r="U149" s="29"/>
      <c r="V149" s="11"/>
      <c r="W149" s="11"/>
      <c r="X149" s="29"/>
      <c r="Y149" s="11"/>
      <c r="Z149" s="29"/>
      <c r="AA149" s="29"/>
      <c r="AB149" s="11"/>
      <c r="AC149" s="11"/>
      <c r="AD149" s="29"/>
      <c r="AE149" s="11"/>
      <c r="AF149" s="29"/>
      <c r="AG149" s="11"/>
      <c r="AH149" s="29"/>
      <c r="AI149" s="11"/>
      <c r="AJ149" s="29"/>
      <c r="AK149" s="29"/>
      <c r="AL149" s="29"/>
      <c r="AM149" s="11"/>
      <c r="AN149" s="29"/>
      <c r="AO149" s="29"/>
      <c r="AP149" s="6"/>
      <c r="AQ149" s="113">
        <f>IF(AND(I149="",K149="",AF149="",AL149="",AN149="",O149=""),"",IF(OR(I149="SIM",K149="SIM",AF149="SIM",AL149="SIM",AN149="Dados pessoais",AN149="Dados sensíveis",AN149="Dados pessoais e sensíveis",O149="Acima de 10.000 titulares por mês"),"SIM - Alta criticidade",IF((IF(I149="SIM",2,0)+IF(K149="SIM",2,0)+IF(AF149="SIM",2,0)+IF(OR(AN149="Dados pessoais",AN149="Dados sensíveis",AN149="Dados pessoais e sensíveis"),2,0)+IF(O149="De 1.001 a 10.000 titulares por mês",1,0)+IF(AA149="SIM",1,0)+IF(R149="SIM",1,0)+IF(AL149="SIM",1,0)+IF(AJ149="NÃO",1,0))&gt;=5,"SIM - Alta criticidade",IF((IF(I149="SIM",2,0)+IF(K149="SIM",2,0)+IF(AF149="SIM",2,0)+IF(OR(AN149="Dados pessoais",AN149="Dados sensíveis",AN149="Dados pessoais e sensíveis"),2,0)+IF(O149="De 1.001 a 10.000 titulares por mês",1,0)+IF(AA149="SIM",1,0)+IF(R149="SIM",1,0)+IF(AL149="SIM",1,0)+IF(AJ149="NÃO",1,0))&gt;=3,"Avaliação necessária","NÃO"))))</f>
      </c>
      <c r="AR149" s="11"/>
      <c r="AS149" s="113">
        <f>IF(AND(I149="",K149="",AF149="",AL149="",AN149="",O149=""),"",IF(OR(I149="SIM",K149="SIM",AF149="SIM",AL149="SIM",OR(AN149="Dados pessoais",AN149="Dados sensíveis",AN149="Dados pessoais e sensíveis"),O149="Acima de 10.000 titulares por mês",(IF(I149="SIM",2,0)+IF(K149="SIM",2,0)+IF(AF149="SIM",2,0)+IF(OR(AN149="Dados pessoais",AN149="Dados sensíveis",AN149="Dados pessoais e sensíveis"),2,0)+IF(O149="De 1.001 a 10.000 titulares por mês",1,0)+IF(AA149="SIM",1,0)+IF(R149="SIM",1,0)+IF(AL149="SIM",1,0)+IF(AJ149="NÃO",1,0))&gt;=3),"DPIA indicado ou em avaliação em razão de: " &amp; TRIM(IF(I149="SIM","tratamento de dados sensíveis; ","") &amp; IF(K149="SIM","utilização de dados de menores; ","") &amp; IF(AF149="SIM","transferência internacional de dados; ","") &amp; IF(AL149="SIM","utilização de inteligência artificial; ","") &amp; IF(OR(AN149="Dados pessoais",AN149="Dados sensíveis",AN149="Dados pessoais e sensíveis"),"dados inseridos em IA; ","") &amp; IF(O149="Acima de 10.000 titulares por mês","volume crítico de titulares; ","") &amp; IF(O149="De 1.001 a 10.000 titulares por mês","volume moderado de titulares; ","") &amp; IF(AA149="SIM","compartilhamento com terceiros; ","") &amp; IF(R149="SIM","compartilhamento com órgãos governamentais; ","") &amp; IF(AJ149="NÃO","ausência de controle de acesso por perfil; ","")),"DPIA não indicado: Processo de baixa criticidade."))</f>
      </c>
    </row>
    <row x14ac:dyDescent="0.25" r="150" customHeight="1" ht="15.75">
      <c r="A150" s="46"/>
      <c r="B150" s="6"/>
      <c r="C150" s="11"/>
      <c r="D150" s="11"/>
      <c r="E150" s="11"/>
      <c r="F150" s="29"/>
      <c r="G150" s="11"/>
      <c r="H150" s="11"/>
      <c r="I150" s="29"/>
      <c r="J150" s="11"/>
      <c r="K150" s="29"/>
      <c r="L150" s="11"/>
      <c r="M150" s="11"/>
      <c r="N150" s="11"/>
      <c r="O150" s="29"/>
      <c r="P150" s="29"/>
      <c r="Q150" s="11"/>
      <c r="R150" s="29"/>
      <c r="S150" s="11"/>
      <c r="T150" s="6"/>
      <c r="U150" s="29"/>
      <c r="V150" s="11"/>
      <c r="W150" s="11"/>
      <c r="X150" s="29"/>
      <c r="Y150" s="11"/>
      <c r="Z150" s="29"/>
      <c r="AA150" s="29"/>
      <c r="AB150" s="11"/>
      <c r="AC150" s="11"/>
      <c r="AD150" s="29"/>
      <c r="AE150" s="11"/>
      <c r="AF150" s="29"/>
      <c r="AG150" s="11"/>
      <c r="AH150" s="29"/>
      <c r="AI150" s="11"/>
      <c r="AJ150" s="29"/>
      <c r="AK150" s="29"/>
      <c r="AL150" s="29"/>
      <c r="AM150" s="11"/>
      <c r="AN150" s="29"/>
      <c r="AO150" s="29"/>
      <c r="AP150" s="6"/>
      <c r="AQ150" s="113">
        <f>IF(AND(I150="",K150="",AF150="",AL150="",AN150="",O150=""),"",IF(OR(I150="SIM",K150="SIM",AF150="SIM",AL150="SIM",AN150="Dados pessoais",AN150="Dados sensíveis",AN150="Dados pessoais e sensíveis",O150="Acima de 10.000 titulares por mês"),"SIM - Alta criticidade",IF((IF(I150="SIM",2,0)+IF(K150="SIM",2,0)+IF(AF150="SIM",2,0)+IF(OR(AN150="Dados pessoais",AN150="Dados sensíveis",AN150="Dados pessoais e sensíveis"),2,0)+IF(O150="De 1.001 a 10.000 titulares por mês",1,0)+IF(AA150="SIM",1,0)+IF(R150="SIM",1,0)+IF(AL150="SIM",1,0)+IF(AJ150="NÃO",1,0))&gt;=5,"SIM - Alta criticidade",IF((IF(I150="SIM",2,0)+IF(K150="SIM",2,0)+IF(AF150="SIM",2,0)+IF(OR(AN150="Dados pessoais",AN150="Dados sensíveis",AN150="Dados pessoais e sensíveis"),2,0)+IF(O150="De 1.001 a 10.000 titulares por mês",1,0)+IF(AA150="SIM",1,0)+IF(R150="SIM",1,0)+IF(AL150="SIM",1,0)+IF(AJ150="NÃO",1,0))&gt;=3,"Avaliação necessária","NÃO"))))</f>
      </c>
      <c r="AR150" s="11"/>
      <c r="AS150" s="113">
        <f>IF(AND(I150="",K150="",AF150="",AL150="",AN150="",O150=""),"",IF(OR(I150="SIM",K150="SIM",AF150="SIM",AL150="SIM",OR(AN150="Dados pessoais",AN150="Dados sensíveis",AN150="Dados pessoais e sensíveis"),O150="Acima de 10.000 titulares por mês",(IF(I150="SIM",2,0)+IF(K150="SIM",2,0)+IF(AF150="SIM",2,0)+IF(OR(AN150="Dados pessoais",AN150="Dados sensíveis",AN150="Dados pessoais e sensíveis"),2,0)+IF(O150="De 1.001 a 10.000 titulares por mês",1,0)+IF(AA150="SIM",1,0)+IF(R150="SIM",1,0)+IF(AL150="SIM",1,0)+IF(AJ150="NÃO",1,0))&gt;=3),"DPIA indicado ou em avaliação em razão de: " &amp; TRIM(IF(I150="SIM","tratamento de dados sensíveis; ","") &amp; IF(K150="SIM","utilização de dados de menores; ","") &amp; IF(AF150="SIM","transferência internacional de dados; ","") &amp; IF(AL150="SIM","utilização de inteligência artificial; ","") &amp; IF(OR(AN150="Dados pessoais",AN150="Dados sensíveis",AN150="Dados pessoais e sensíveis"),"dados inseridos em IA; ","") &amp; IF(O150="Acima de 10.000 titulares por mês","volume crítico de titulares; ","") &amp; IF(O150="De 1.001 a 10.000 titulares por mês","volume moderado de titulares; ","") &amp; IF(AA150="SIM","compartilhamento com terceiros; ","") &amp; IF(R150="SIM","compartilhamento com órgãos governamentais; ","") &amp; IF(AJ150="NÃO","ausência de controle de acesso por perfil; ","")),"DPIA não indicado: Processo de baixa criticidade."))</f>
      </c>
    </row>
    <row x14ac:dyDescent="0.25" r="151" customHeight="1" ht="15.75">
      <c r="A151" s="46"/>
      <c r="B151" s="6"/>
      <c r="C151" s="11"/>
      <c r="D151" s="11"/>
      <c r="E151" s="11"/>
      <c r="F151" s="29"/>
      <c r="G151" s="11"/>
      <c r="H151" s="11"/>
      <c r="I151" s="29"/>
      <c r="J151" s="11"/>
      <c r="K151" s="29"/>
      <c r="L151" s="11"/>
      <c r="M151" s="11"/>
      <c r="N151" s="11"/>
      <c r="O151" s="29"/>
      <c r="P151" s="29"/>
      <c r="Q151" s="11"/>
      <c r="R151" s="29"/>
      <c r="S151" s="11"/>
      <c r="T151" s="6"/>
      <c r="U151" s="29"/>
      <c r="V151" s="11"/>
      <c r="W151" s="11"/>
      <c r="X151" s="29"/>
      <c r="Y151" s="11"/>
      <c r="Z151" s="29"/>
      <c r="AA151" s="29"/>
      <c r="AB151" s="11"/>
      <c r="AC151" s="11"/>
      <c r="AD151" s="29"/>
      <c r="AE151" s="11"/>
      <c r="AF151" s="29"/>
      <c r="AG151" s="11"/>
      <c r="AH151" s="29"/>
      <c r="AI151" s="11"/>
      <c r="AJ151" s="29"/>
      <c r="AK151" s="29"/>
      <c r="AL151" s="29"/>
      <c r="AM151" s="11"/>
      <c r="AN151" s="29"/>
      <c r="AO151" s="29"/>
      <c r="AP151" s="6"/>
      <c r="AQ151" s="113">
        <f>IF(AND(I151="",K151="",AF151="",AL151="",AN151="",O151=""),"",IF(OR(I151="SIM",K151="SIM",AF151="SIM",AL151="SIM",AN151="Dados pessoais",AN151="Dados sensíveis",AN151="Dados pessoais e sensíveis",O151="Acima de 10.000 titulares por mês"),"SIM - Alta criticidade",IF((IF(I151="SIM",2,0)+IF(K151="SIM",2,0)+IF(AF151="SIM",2,0)+IF(OR(AN151="Dados pessoais",AN151="Dados sensíveis",AN151="Dados pessoais e sensíveis"),2,0)+IF(O151="De 1.001 a 10.000 titulares por mês",1,0)+IF(AA151="SIM",1,0)+IF(R151="SIM",1,0)+IF(AL151="SIM",1,0)+IF(AJ151="NÃO",1,0))&gt;=5,"SIM - Alta criticidade",IF((IF(I151="SIM",2,0)+IF(K151="SIM",2,0)+IF(AF151="SIM",2,0)+IF(OR(AN151="Dados pessoais",AN151="Dados sensíveis",AN151="Dados pessoais e sensíveis"),2,0)+IF(O151="De 1.001 a 10.000 titulares por mês",1,0)+IF(AA151="SIM",1,0)+IF(R151="SIM",1,0)+IF(AL151="SIM",1,0)+IF(AJ151="NÃO",1,0))&gt;=3,"Avaliação necessária","NÃO"))))</f>
      </c>
      <c r="AR151" s="11"/>
      <c r="AS151" s="113">
        <f>IF(AND(I151="",K151="",AF151="",AL151="",AN151="",O151=""),"",IF(OR(I151="SIM",K151="SIM",AF151="SIM",AL151="SIM",OR(AN151="Dados pessoais",AN151="Dados sensíveis",AN151="Dados pessoais e sensíveis"),O151="Acima de 10.000 titulares por mês",(IF(I151="SIM",2,0)+IF(K151="SIM",2,0)+IF(AF151="SIM",2,0)+IF(OR(AN151="Dados pessoais",AN151="Dados sensíveis",AN151="Dados pessoais e sensíveis"),2,0)+IF(O151="De 1.001 a 10.000 titulares por mês",1,0)+IF(AA151="SIM",1,0)+IF(R151="SIM",1,0)+IF(AL151="SIM",1,0)+IF(AJ151="NÃO",1,0))&gt;=3),"DPIA indicado ou em avaliação em razão de: " &amp; TRIM(IF(I151="SIM","tratamento de dados sensíveis; ","") &amp; IF(K151="SIM","utilização de dados de menores; ","") &amp; IF(AF151="SIM","transferência internacional de dados; ","") &amp; IF(AL151="SIM","utilização de inteligência artificial; ","") &amp; IF(OR(AN151="Dados pessoais",AN151="Dados sensíveis",AN151="Dados pessoais e sensíveis"),"dados inseridos em IA; ","") &amp; IF(O151="Acima de 10.000 titulares por mês","volume crítico de titulares; ","") &amp; IF(O151="De 1.001 a 10.000 titulares por mês","volume moderado de titulares; ","") &amp; IF(AA151="SIM","compartilhamento com terceiros; ","") &amp; IF(R151="SIM","compartilhamento com órgãos governamentais; ","") &amp; IF(AJ151="NÃO","ausência de controle de acesso por perfil; ","")),"DPIA não indicado: Processo de baixa criticidade."))</f>
      </c>
    </row>
    <row x14ac:dyDescent="0.25" r="152" customHeight="1" ht="15.75">
      <c r="A152" s="46"/>
      <c r="B152" s="6"/>
      <c r="C152" s="11"/>
      <c r="D152" s="11"/>
      <c r="E152" s="11"/>
      <c r="F152" s="29"/>
      <c r="G152" s="11"/>
      <c r="H152" s="11"/>
      <c r="I152" s="29"/>
      <c r="J152" s="11"/>
      <c r="K152" s="29"/>
      <c r="L152" s="11"/>
      <c r="M152" s="11"/>
      <c r="N152" s="11"/>
      <c r="O152" s="29"/>
      <c r="P152" s="29"/>
      <c r="Q152" s="11"/>
      <c r="R152" s="29"/>
      <c r="S152" s="11"/>
      <c r="T152" s="6"/>
      <c r="U152" s="29"/>
      <c r="V152" s="11"/>
      <c r="W152" s="11"/>
      <c r="X152" s="29"/>
      <c r="Y152" s="11"/>
      <c r="Z152" s="29"/>
      <c r="AA152" s="29"/>
      <c r="AB152" s="11"/>
      <c r="AC152" s="11"/>
      <c r="AD152" s="29"/>
      <c r="AE152" s="11"/>
      <c r="AF152" s="29"/>
      <c r="AG152" s="11"/>
      <c r="AH152" s="29"/>
      <c r="AI152" s="11"/>
      <c r="AJ152" s="29"/>
      <c r="AK152" s="29"/>
      <c r="AL152" s="29"/>
      <c r="AM152" s="11"/>
      <c r="AN152" s="29"/>
      <c r="AO152" s="29"/>
      <c r="AP152" s="6"/>
      <c r="AQ152" s="113">
        <f>IF(AND(I152="",K152="",AF152="",AL152="",AN152="",O152=""),"",IF(OR(I152="SIM",K152="SIM",AF152="SIM",AL152="SIM",AN152="Dados pessoais",AN152="Dados sensíveis",AN152="Dados pessoais e sensíveis",O152="Acima de 10.000 titulares por mês"),"SIM - Alta criticidade",IF((IF(I152="SIM",2,0)+IF(K152="SIM",2,0)+IF(AF152="SIM",2,0)+IF(OR(AN152="Dados pessoais",AN152="Dados sensíveis",AN152="Dados pessoais e sensíveis"),2,0)+IF(O152="De 1.001 a 10.000 titulares por mês",1,0)+IF(AA152="SIM",1,0)+IF(R152="SIM",1,0)+IF(AL152="SIM",1,0)+IF(AJ152="NÃO",1,0))&gt;=5,"SIM - Alta criticidade",IF((IF(I152="SIM",2,0)+IF(K152="SIM",2,0)+IF(AF152="SIM",2,0)+IF(OR(AN152="Dados pessoais",AN152="Dados sensíveis",AN152="Dados pessoais e sensíveis"),2,0)+IF(O152="De 1.001 a 10.000 titulares por mês",1,0)+IF(AA152="SIM",1,0)+IF(R152="SIM",1,0)+IF(AL152="SIM",1,0)+IF(AJ152="NÃO",1,0))&gt;=3,"Avaliação necessária","NÃO"))))</f>
      </c>
      <c r="AR152" s="11"/>
      <c r="AS152" s="113">
        <f>IF(AND(I152="",K152="",AF152="",AL152="",AN152="",O152=""),"",IF(OR(I152="SIM",K152="SIM",AF152="SIM",AL152="SIM",OR(AN152="Dados pessoais",AN152="Dados sensíveis",AN152="Dados pessoais e sensíveis"),O152="Acima de 10.000 titulares por mês",(IF(I152="SIM",2,0)+IF(K152="SIM",2,0)+IF(AF152="SIM",2,0)+IF(OR(AN152="Dados pessoais",AN152="Dados sensíveis",AN152="Dados pessoais e sensíveis"),2,0)+IF(O152="De 1.001 a 10.000 titulares por mês",1,0)+IF(AA152="SIM",1,0)+IF(R152="SIM",1,0)+IF(AL152="SIM",1,0)+IF(AJ152="NÃO",1,0))&gt;=3),"DPIA indicado ou em avaliação em razão de: " &amp; TRIM(IF(I152="SIM","tratamento de dados sensíveis; ","") &amp; IF(K152="SIM","utilização de dados de menores; ","") &amp; IF(AF152="SIM","transferência internacional de dados; ","") &amp; IF(AL152="SIM","utilização de inteligência artificial; ","") &amp; IF(OR(AN152="Dados pessoais",AN152="Dados sensíveis",AN152="Dados pessoais e sensíveis"),"dados inseridos em IA; ","") &amp; IF(O152="Acima de 10.000 titulares por mês","volume crítico de titulares; ","") &amp; IF(O152="De 1.001 a 10.000 titulares por mês","volume moderado de titulares; ","") &amp; IF(AA152="SIM","compartilhamento com terceiros; ","") &amp; IF(R152="SIM","compartilhamento com órgãos governamentais; ","") &amp; IF(AJ152="NÃO","ausência de controle de acesso por perfil; ","")),"DPIA não indicado: Processo de baixa criticidade."))</f>
      </c>
    </row>
    <row x14ac:dyDescent="0.25" r="153" customHeight="1" ht="15.75">
      <c r="A153" s="46"/>
      <c r="B153" s="6"/>
      <c r="C153" s="11"/>
      <c r="D153" s="11"/>
      <c r="E153" s="11"/>
      <c r="F153" s="29"/>
      <c r="G153" s="11"/>
      <c r="H153" s="11"/>
      <c r="I153" s="29"/>
      <c r="J153" s="11"/>
      <c r="K153" s="29"/>
      <c r="L153" s="11"/>
      <c r="M153" s="11"/>
      <c r="N153" s="11"/>
      <c r="O153" s="29"/>
      <c r="P153" s="29"/>
      <c r="Q153" s="11"/>
      <c r="R153" s="29"/>
      <c r="S153" s="11"/>
      <c r="T153" s="6"/>
      <c r="U153" s="29"/>
      <c r="V153" s="11"/>
      <c r="W153" s="11"/>
      <c r="X153" s="29"/>
      <c r="Y153" s="11"/>
      <c r="Z153" s="29"/>
      <c r="AA153" s="29"/>
      <c r="AB153" s="11"/>
      <c r="AC153" s="11"/>
      <c r="AD153" s="29"/>
      <c r="AE153" s="11"/>
      <c r="AF153" s="29"/>
      <c r="AG153" s="11"/>
      <c r="AH153" s="29"/>
      <c r="AI153" s="11"/>
      <c r="AJ153" s="29"/>
      <c r="AK153" s="29"/>
      <c r="AL153" s="29"/>
      <c r="AM153" s="11"/>
      <c r="AN153" s="29"/>
      <c r="AO153" s="29"/>
      <c r="AP153" s="6"/>
      <c r="AQ153" s="113">
        <f>IF(AND(I153="",K153="",AF153="",AL153="",AN153="",O153=""),"",IF(OR(I153="SIM",K153="SIM",AF153="SIM",AL153="SIM",AN153="Dados pessoais",AN153="Dados sensíveis",AN153="Dados pessoais e sensíveis",O153="Acima de 10.000 titulares por mês"),"SIM - Alta criticidade",IF((IF(I153="SIM",2,0)+IF(K153="SIM",2,0)+IF(AF153="SIM",2,0)+IF(OR(AN153="Dados pessoais",AN153="Dados sensíveis",AN153="Dados pessoais e sensíveis"),2,0)+IF(O153="De 1.001 a 10.000 titulares por mês",1,0)+IF(AA153="SIM",1,0)+IF(R153="SIM",1,0)+IF(AL153="SIM",1,0)+IF(AJ153="NÃO",1,0))&gt;=5,"SIM - Alta criticidade",IF((IF(I153="SIM",2,0)+IF(K153="SIM",2,0)+IF(AF153="SIM",2,0)+IF(OR(AN153="Dados pessoais",AN153="Dados sensíveis",AN153="Dados pessoais e sensíveis"),2,0)+IF(O153="De 1.001 a 10.000 titulares por mês",1,0)+IF(AA153="SIM",1,0)+IF(R153="SIM",1,0)+IF(AL153="SIM",1,0)+IF(AJ153="NÃO",1,0))&gt;=3,"Avaliação necessária","NÃO"))))</f>
      </c>
      <c r="AR153" s="11"/>
      <c r="AS153" s="113">
        <f>IF(AND(I153="",K153="",AF153="",AL153="",AN153="",O153=""),"",IF(OR(I153="SIM",K153="SIM",AF153="SIM",AL153="SIM",OR(AN153="Dados pessoais",AN153="Dados sensíveis",AN153="Dados pessoais e sensíveis"),O153="Acima de 10.000 titulares por mês",(IF(I153="SIM",2,0)+IF(K153="SIM",2,0)+IF(AF153="SIM",2,0)+IF(OR(AN153="Dados pessoais",AN153="Dados sensíveis",AN153="Dados pessoais e sensíveis"),2,0)+IF(O153="De 1.001 a 10.000 titulares por mês",1,0)+IF(AA153="SIM",1,0)+IF(R153="SIM",1,0)+IF(AL153="SIM",1,0)+IF(AJ153="NÃO",1,0))&gt;=3),"DPIA indicado ou em avaliação em razão de: " &amp; TRIM(IF(I153="SIM","tratamento de dados sensíveis; ","") &amp; IF(K153="SIM","utilização de dados de menores; ","") &amp; IF(AF153="SIM","transferência internacional de dados; ","") &amp; IF(AL153="SIM","utilização de inteligência artificial; ","") &amp; IF(OR(AN153="Dados pessoais",AN153="Dados sensíveis",AN153="Dados pessoais e sensíveis"),"dados inseridos em IA; ","") &amp; IF(O153="Acima de 10.000 titulares por mês","volume crítico de titulares; ","") &amp; IF(O153="De 1.001 a 10.000 titulares por mês","volume moderado de titulares; ","") &amp; IF(AA153="SIM","compartilhamento com terceiros; ","") &amp; IF(R153="SIM","compartilhamento com órgãos governamentais; ","") &amp; IF(AJ153="NÃO","ausência de controle de acesso por perfil; ","")),"DPIA não indicado: Processo de baixa criticidade."))</f>
      </c>
    </row>
    <row x14ac:dyDescent="0.25" r="154" customHeight="1" ht="15.75">
      <c r="A154" s="46"/>
      <c r="B154" s="6"/>
      <c r="C154" s="11"/>
      <c r="D154" s="11"/>
      <c r="E154" s="11"/>
      <c r="F154" s="29"/>
      <c r="G154" s="11"/>
      <c r="H154" s="11"/>
      <c r="I154" s="29"/>
      <c r="J154" s="11"/>
      <c r="K154" s="29"/>
      <c r="L154" s="11"/>
      <c r="M154" s="11"/>
      <c r="N154" s="11"/>
      <c r="O154" s="29"/>
      <c r="P154" s="29"/>
      <c r="Q154" s="11"/>
      <c r="R154" s="29"/>
      <c r="S154" s="11"/>
      <c r="T154" s="6"/>
      <c r="U154" s="29"/>
      <c r="V154" s="11"/>
      <c r="W154" s="11"/>
      <c r="X154" s="29"/>
      <c r="Y154" s="11"/>
      <c r="Z154" s="29"/>
      <c r="AA154" s="29"/>
      <c r="AB154" s="11"/>
      <c r="AC154" s="11"/>
      <c r="AD154" s="29"/>
      <c r="AE154" s="11"/>
      <c r="AF154" s="29"/>
      <c r="AG154" s="11"/>
      <c r="AH154" s="29"/>
      <c r="AI154" s="11"/>
      <c r="AJ154" s="29"/>
      <c r="AK154" s="29"/>
      <c r="AL154" s="29"/>
      <c r="AM154" s="11"/>
      <c r="AN154" s="29"/>
      <c r="AO154" s="29"/>
      <c r="AP154" s="6"/>
      <c r="AQ154" s="113">
        <f>IF(AND(I154="",K154="",AF154="",AL154="",AN154="",O154=""),"",IF(OR(I154="SIM",K154="SIM",AF154="SIM",AL154="SIM",AN154="Dados pessoais",AN154="Dados sensíveis",AN154="Dados pessoais e sensíveis",O154="Acima de 10.000 titulares por mês"),"SIM - Alta criticidade",IF((IF(I154="SIM",2,0)+IF(K154="SIM",2,0)+IF(AF154="SIM",2,0)+IF(OR(AN154="Dados pessoais",AN154="Dados sensíveis",AN154="Dados pessoais e sensíveis"),2,0)+IF(O154="De 1.001 a 10.000 titulares por mês",1,0)+IF(AA154="SIM",1,0)+IF(R154="SIM",1,0)+IF(AL154="SIM",1,0)+IF(AJ154="NÃO",1,0))&gt;=5,"SIM - Alta criticidade",IF((IF(I154="SIM",2,0)+IF(K154="SIM",2,0)+IF(AF154="SIM",2,0)+IF(OR(AN154="Dados pessoais",AN154="Dados sensíveis",AN154="Dados pessoais e sensíveis"),2,0)+IF(O154="De 1.001 a 10.000 titulares por mês",1,0)+IF(AA154="SIM",1,0)+IF(R154="SIM",1,0)+IF(AL154="SIM",1,0)+IF(AJ154="NÃO",1,0))&gt;=3,"Avaliação necessária","NÃO"))))</f>
      </c>
      <c r="AR154" s="11"/>
      <c r="AS154" s="113">
        <f>IF(AND(I154="",K154="",AF154="",AL154="",AN154="",O154=""),"",IF(OR(I154="SIM",K154="SIM",AF154="SIM",AL154="SIM",OR(AN154="Dados pessoais",AN154="Dados sensíveis",AN154="Dados pessoais e sensíveis"),O154="Acima de 10.000 titulares por mês",(IF(I154="SIM",2,0)+IF(K154="SIM",2,0)+IF(AF154="SIM",2,0)+IF(OR(AN154="Dados pessoais",AN154="Dados sensíveis",AN154="Dados pessoais e sensíveis"),2,0)+IF(O154="De 1.001 a 10.000 titulares por mês",1,0)+IF(AA154="SIM",1,0)+IF(R154="SIM",1,0)+IF(AL154="SIM",1,0)+IF(AJ154="NÃO",1,0))&gt;=3),"DPIA indicado ou em avaliação em razão de: " &amp; TRIM(IF(I154="SIM","tratamento de dados sensíveis; ","") &amp; IF(K154="SIM","utilização de dados de menores; ","") &amp; IF(AF154="SIM","transferência internacional de dados; ","") &amp; IF(AL154="SIM","utilização de inteligência artificial; ","") &amp; IF(OR(AN154="Dados pessoais",AN154="Dados sensíveis",AN154="Dados pessoais e sensíveis"),"dados inseridos em IA; ","") &amp; IF(O154="Acima de 10.000 titulares por mês","volume crítico de titulares; ","") &amp; IF(O154="De 1.001 a 10.000 titulares por mês","volume moderado de titulares; ","") &amp; IF(AA154="SIM","compartilhamento com terceiros; ","") &amp; IF(R154="SIM","compartilhamento com órgãos governamentais; ","") &amp; IF(AJ154="NÃO","ausência de controle de acesso por perfil; ","")),"DPIA não indicado: Processo de baixa criticidade."))</f>
      </c>
    </row>
    <row x14ac:dyDescent="0.25" r="155" customHeight="1" ht="15.75">
      <c r="A155" s="46"/>
      <c r="B155" s="6"/>
      <c r="C155" s="11"/>
      <c r="D155" s="11"/>
      <c r="E155" s="11"/>
      <c r="F155" s="29"/>
      <c r="G155" s="11"/>
      <c r="H155" s="11"/>
      <c r="I155" s="29"/>
      <c r="J155" s="11"/>
      <c r="K155" s="29"/>
      <c r="L155" s="11"/>
      <c r="M155" s="11"/>
      <c r="N155" s="11"/>
      <c r="O155" s="29"/>
      <c r="P155" s="29"/>
      <c r="Q155" s="11"/>
      <c r="R155" s="29"/>
      <c r="S155" s="11"/>
      <c r="T155" s="6"/>
      <c r="U155" s="29"/>
      <c r="V155" s="11"/>
      <c r="W155" s="11"/>
      <c r="X155" s="29"/>
      <c r="Y155" s="11"/>
      <c r="Z155" s="29"/>
      <c r="AA155" s="29"/>
      <c r="AB155" s="11"/>
      <c r="AC155" s="11"/>
      <c r="AD155" s="29"/>
      <c r="AE155" s="11"/>
      <c r="AF155" s="29"/>
      <c r="AG155" s="11"/>
      <c r="AH155" s="29"/>
      <c r="AI155" s="11"/>
      <c r="AJ155" s="29"/>
      <c r="AK155" s="29"/>
      <c r="AL155" s="29"/>
      <c r="AM155" s="11"/>
      <c r="AN155" s="29"/>
      <c r="AO155" s="29"/>
      <c r="AP155" s="6"/>
      <c r="AQ155" s="113">
        <f>IF(AND(I155="",K155="",AF155="",AL155="",AN155="",O155=""),"",IF(OR(I155="SIM",K155="SIM",AF155="SIM",AL155="SIM",AN155="Dados pessoais",AN155="Dados sensíveis",AN155="Dados pessoais e sensíveis",O155="Acima de 10.000 titulares por mês"),"SIM - Alta criticidade",IF((IF(I155="SIM",2,0)+IF(K155="SIM",2,0)+IF(AF155="SIM",2,0)+IF(OR(AN155="Dados pessoais",AN155="Dados sensíveis",AN155="Dados pessoais e sensíveis"),2,0)+IF(O155="De 1.001 a 10.000 titulares por mês",1,0)+IF(AA155="SIM",1,0)+IF(R155="SIM",1,0)+IF(AL155="SIM",1,0)+IF(AJ155="NÃO",1,0))&gt;=5,"SIM - Alta criticidade",IF((IF(I155="SIM",2,0)+IF(K155="SIM",2,0)+IF(AF155="SIM",2,0)+IF(OR(AN155="Dados pessoais",AN155="Dados sensíveis",AN155="Dados pessoais e sensíveis"),2,0)+IF(O155="De 1.001 a 10.000 titulares por mês",1,0)+IF(AA155="SIM",1,0)+IF(R155="SIM",1,0)+IF(AL155="SIM",1,0)+IF(AJ155="NÃO",1,0))&gt;=3,"Avaliação necessária","NÃO"))))</f>
      </c>
      <c r="AR155" s="11"/>
      <c r="AS155" s="113">
        <f>IF(AND(I155="",K155="",AF155="",AL155="",AN155="",O155=""),"",IF(OR(I155="SIM",K155="SIM",AF155="SIM",AL155="SIM",OR(AN155="Dados pessoais",AN155="Dados sensíveis",AN155="Dados pessoais e sensíveis"),O155="Acima de 10.000 titulares por mês",(IF(I155="SIM",2,0)+IF(K155="SIM",2,0)+IF(AF155="SIM",2,0)+IF(OR(AN155="Dados pessoais",AN155="Dados sensíveis",AN155="Dados pessoais e sensíveis"),2,0)+IF(O155="De 1.001 a 10.000 titulares por mês",1,0)+IF(AA155="SIM",1,0)+IF(R155="SIM",1,0)+IF(AL155="SIM",1,0)+IF(AJ155="NÃO",1,0))&gt;=3),"DPIA indicado ou em avaliação em razão de: " &amp; TRIM(IF(I155="SIM","tratamento de dados sensíveis; ","") &amp; IF(K155="SIM","utilização de dados de menores; ","") &amp; IF(AF155="SIM","transferência internacional de dados; ","") &amp; IF(AL155="SIM","utilização de inteligência artificial; ","") &amp; IF(OR(AN155="Dados pessoais",AN155="Dados sensíveis",AN155="Dados pessoais e sensíveis"),"dados inseridos em IA; ","") &amp; IF(O155="Acima de 10.000 titulares por mês","volume crítico de titulares; ","") &amp; IF(O155="De 1.001 a 10.000 titulares por mês","volume moderado de titulares; ","") &amp; IF(AA155="SIM","compartilhamento com terceiros; ","") &amp; IF(R155="SIM","compartilhamento com órgãos governamentais; ","") &amp; IF(AJ155="NÃO","ausência de controle de acesso por perfil; ","")),"DPIA não indicado: Processo de baixa criticidade."))</f>
      </c>
    </row>
    <row x14ac:dyDescent="0.25" r="156" customHeight="1" ht="15.75">
      <c r="A156" s="46"/>
      <c r="B156" s="6"/>
      <c r="C156" s="11"/>
      <c r="D156" s="11"/>
      <c r="E156" s="11"/>
      <c r="F156" s="29"/>
      <c r="G156" s="11"/>
      <c r="H156" s="11"/>
      <c r="I156" s="29"/>
      <c r="J156" s="11"/>
      <c r="K156" s="29"/>
      <c r="L156" s="11"/>
      <c r="M156" s="11"/>
      <c r="N156" s="11"/>
      <c r="O156" s="29"/>
      <c r="P156" s="29"/>
      <c r="Q156" s="11"/>
      <c r="R156" s="29"/>
      <c r="S156" s="11"/>
      <c r="T156" s="6"/>
      <c r="U156" s="29"/>
      <c r="V156" s="11"/>
      <c r="W156" s="11"/>
      <c r="X156" s="29"/>
      <c r="Y156" s="11"/>
      <c r="Z156" s="29"/>
      <c r="AA156" s="29"/>
      <c r="AB156" s="11"/>
      <c r="AC156" s="11"/>
      <c r="AD156" s="29"/>
      <c r="AE156" s="11"/>
      <c r="AF156" s="29"/>
      <c r="AG156" s="11"/>
      <c r="AH156" s="29"/>
      <c r="AI156" s="11"/>
      <c r="AJ156" s="29"/>
      <c r="AK156" s="29"/>
      <c r="AL156" s="29"/>
      <c r="AM156" s="11"/>
      <c r="AN156" s="29"/>
      <c r="AO156" s="29"/>
      <c r="AP156" s="6"/>
      <c r="AQ156" s="113">
        <f>IF(AND(I156="",K156="",AF156="",AL156="",AN156="",O156=""),"",IF(OR(I156="SIM",K156="SIM",AF156="SIM",AL156="SIM",AN156="Dados pessoais",AN156="Dados sensíveis",AN156="Dados pessoais e sensíveis",O156="Acima de 10.000 titulares por mês"),"SIM - Alta criticidade",IF((IF(I156="SIM",2,0)+IF(K156="SIM",2,0)+IF(AF156="SIM",2,0)+IF(OR(AN156="Dados pessoais",AN156="Dados sensíveis",AN156="Dados pessoais e sensíveis"),2,0)+IF(O156="De 1.001 a 10.000 titulares por mês",1,0)+IF(AA156="SIM",1,0)+IF(R156="SIM",1,0)+IF(AL156="SIM",1,0)+IF(AJ156="NÃO",1,0))&gt;=5,"SIM - Alta criticidade",IF((IF(I156="SIM",2,0)+IF(K156="SIM",2,0)+IF(AF156="SIM",2,0)+IF(OR(AN156="Dados pessoais",AN156="Dados sensíveis",AN156="Dados pessoais e sensíveis"),2,0)+IF(O156="De 1.001 a 10.000 titulares por mês",1,0)+IF(AA156="SIM",1,0)+IF(R156="SIM",1,0)+IF(AL156="SIM",1,0)+IF(AJ156="NÃO",1,0))&gt;=3,"Avaliação necessária","NÃO"))))</f>
      </c>
      <c r="AR156" s="11"/>
      <c r="AS156" s="113">
        <f>IF(AND(I156="",K156="",AF156="",AL156="",AN156="",O156=""),"",IF(OR(I156="SIM",K156="SIM",AF156="SIM",AL156="SIM",OR(AN156="Dados pessoais",AN156="Dados sensíveis",AN156="Dados pessoais e sensíveis"),O156="Acima de 10.000 titulares por mês",(IF(I156="SIM",2,0)+IF(K156="SIM",2,0)+IF(AF156="SIM",2,0)+IF(OR(AN156="Dados pessoais",AN156="Dados sensíveis",AN156="Dados pessoais e sensíveis"),2,0)+IF(O156="De 1.001 a 10.000 titulares por mês",1,0)+IF(AA156="SIM",1,0)+IF(R156="SIM",1,0)+IF(AL156="SIM",1,0)+IF(AJ156="NÃO",1,0))&gt;=3),"DPIA indicado ou em avaliação em razão de: " &amp; TRIM(IF(I156="SIM","tratamento de dados sensíveis; ","") &amp; IF(K156="SIM","utilização de dados de menores; ","") &amp; IF(AF156="SIM","transferência internacional de dados; ","") &amp; IF(AL156="SIM","utilização de inteligência artificial; ","") &amp; IF(OR(AN156="Dados pessoais",AN156="Dados sensíveis",AN156="Dados pessoais e sensíveis"),"dados inseridos em IA; ","") &amp; IF(O156="Acima de 10.000 titulares por mês","volume crítico de titulares; ","") &amp; IF(O156="De 1.001 a 10.000 titulares por mês","volume moderado de titulares; ","") &amp; IF(AA156="SIM","compartilhamento com terceiros; ","") &amp; IF(R156="SIM","compartilhamento com órgãos governamentais; ","") &amp; IF(AJ156="NÃO","ausência de controle de acesso por perfil; ","")),"DPIA não indicado: Processo de baixa criticidade."))</f>
      </c>
    </row>
    <row x14ac:dyDescent="0.25" r="157" customHeight="1" ht="15.75">
      <c r="A157" s="46"/>
      <c r="B157" s="6"/>
      <c r="C157" s="11"/>
      <c r="D157" s="11"/>
      <c r="E157" s="11"/>
      <c r="F157" s="29"/>
      <c r="G157" s="11"/>
      <c r="H157" s="11"/>
      <c r="I157" s="29"/>
      <c r="J157" s="11"/>
      <c r="K157" s="29"/>
      <c r="L157" s="11"/>
      <c r="M157" s="11"/>
      <c r="N157" s="11"/>
      <c r="O157" s="29"/>
      <c r="P157" s="29"/>
      <c r="Q157" s="11"/>
      <c r="R157" s="29"/>
      <c r="S157" s="11"/>
      <c r="T157" s="6"/>
      <c r="U157" s="29"/>
      <c r="V157" s="11"/>
      <c r="W157" s="11"/>
      <c r="X157" s="29"/>
      <c r="Y157" s="11"/>
      <c r="Z157" s="29"/>
      <c r="AA157" s="29"/>
      <c r="AB157" s="11"/>
      <c r="AC157" s="11"/>
      <c r="AD157" s="29"/>
      <c r="AE157" s="11"/>
      <c r="AF157" s="29"/>
      <c r="AG157" s="11"/>
      <c r="AH157" s="29"/>
      <c r="AI157" s="11"/>
      <c r="AJ157" s="29"/>
      <c r="AK157" s="29"/>
      <c r="AL157" s="29"/>
      <c r="AM157" s="11"/>
      <c r="AN157" s="29"/>
      <c r="AO157" s="29"/>
      <c r="AP157" s="6"/>
      <c r="AQ157" s="113">
        <f>IF(AND(I157="",K157="",AF157="",AL157="",AN157="",O157=""),"",IF(OR(I157="SIM",K157="SIM",AF157="SIM",AL157="SIM",AN157="Dados pessoais",AN157="Dados sensíveis",AN157="Dados pessoais e sensíveis",O157="Acima de 10.000 titulares por mês"),"SIM - Alta criticidade",IF((IF(I157="SIM",2,0)+IF(K157="SIM",2,0)+IF(AF157="SIM",2,0)+IF(OR(AN157="Dados pessoais",AN157="Dados sensíveis",AN157="Dados pessoais e sensíveis"),2,0)+IF(O157="De 1.001 a 10.000 titulares por mês",1,0)+IF(AA157="SIM",1,0)+IF(R157="SIM",1,0)+IF(AL157="SIM",1,0)+IF(AJ157="NÃO",1,0))&gt;=5,"SIM - Alta criticidade",IF((IF(I157="SIM",2,0)+IF(K157="SIM",2,0)+IF(AF157="SIM",2,0)+IF(OR(AN157="Dados pessoais",AN157="Dados sensíveis",AN157="Dados pessoais e sensíveis"),2,0)+IF(O157="De 1.001 a 10.000 titulares por mês",1,0)+IF(AA157="SIM",1,0)+IF(R157="SIM",1,0)+IF(AL157="SIM",1,0)+IF(AJ157="NÃO",1,0))&gt;=3,"Avaliação necessária","NÃO"))))</f>
      </c>
      <c r="AR157" s="11"/>
      <c r="AS157" s="113">
        <f>IF(AND(I157="",K157="",AF157="",AL157="",AN157="",O157=""),"",IF(OR(I157="SIM",K157="SIM",AF157="SIM",AL157="SIM",OR(AN157="Dados pessoais",AN157="Dados sensíveis",AN157="Dados pessoais e sensíveis"),O157="Acima de 10.000 titulares por mês",(IF(I157="SIM",2,0)+IF(K157="SIM",2,0)+IF(AF157="SIM",2,0)+IF(OR(AN157="Dados pessoais",AN157="Dados sensíveis",AN157="Dados pessoais e sensíveis"),2,0)+IF(O157="De 1.001 a 10.000 titulares por mês",1,0)+IF(AA157="SIM",1,0)+IF(R157="SIM",1,0)+IF(AL157="SIM",1,0)+IF(AJ157="NÃO",1,0))&gt;=3),"DPIA indicado ou em avaliação em razão de: " &amp; TRIM(IF(I157="SIM","tratamento de dados sensíveis; ","") &amp; IF(K157="SIM","utilização de dados de menores; ","") &amp; IF(AF157="SIM","transferência internacional de dados; ","") &amp; IF(AL157="SIM","utilização de inteligência artificial; ","") &amp; IF(OR(AN157="Dados pessoais",AN157="Dados sensíveis",AN157="Dados pessoais e sensíveis"),"dados inseridos em IA; ","") &amp; IF(O157="Acima de 10.000 titulares por mês","volume crítico de titulares; ","") &amp; IF(O157="De 1.001 a 10.000 titulares por mês","volume moderado de titulares; ","") &amp; IF(AA157="SIM","compartilhamento com terceiros; ","") &amp; IF(R157="SIM","compartilhamento com órgãos governamentais; ","") &amp; IF(AJ157="NÃO","ausência de controle de acesso por perfil; ","")),"DPIA não indicado: Processo de baixa criticidade."))</f>
      </c>
    </row>
    <row x14ac:dyDescent="0.25" r="158" customHeight="1" ht="15.75">
      <c r="A158" s="46"/>
      <c r="B158" s="6"/>
      <c r="C158" s="11"/>
      <c r="D158" s="11"/>
      <c r="E158" s="11"/>
      <c r="F158" s="29"/>
      <c r="G158" s="11"/>
      <c r="H158" s="11"/>
      <c r="I158" s="29"/>
      <c r="J158" s="11"/>
      <c r="K158" s="29"/>
      <c r="L158" s="11"/>
      <c r="M158" s="11"/>
      <c r="N158" s="11"/>
      <c r="O158" s="29"/>
      <c r="P158" s="29"/>
      <c r="Q158" s="11"/>
      <c r="R158" s="29"/>
      <c r="S158" s="11"/>
      <c r="T158" s="6"/>
      <c r="U158" s="29"/>
      <c r="V158" s="11"/>
      <c r="W158" s="11"/>
      <c r="X158" s="29"/>
      <c r="Y158" s="11"/>
      <c r="Z158" s="29"/>
      <c r="AA158" s="29"/>
      <c r="AB158" s="11"/>
      <c r="AC158" s="11"/>
      <c r="AD158" s="29"/>
      <c r="AE158" s="11"/>
      <c r="AF158" s="29"/>
      <c r="AG158" s="11"/>
      <c r="AH158" s="29"/>
      <c r="AI158" s="11"/>
      <c r="AJ158" s="29"/>
      <c r="AK158" s="29"/>
      <c r="AL158" s="29"/>
      <c r="AM158" s="11"/>
      <c r="AN158" s="29"/>
      <c r="AO158" s="29"/>
      <c r="AP158" s="6"/>
      <c r="AQ158" s="113">
        <f>IF(AND(I158="",K158="",AF158="",AL158="",AN158="",O158=""),"",IF(OR(I158="SIM",K158="SIM",AF158="SIM",AL158="SIM",AN158="Dados pessoais",AN158="Dados sensíveis",AN158="Dados pessoais e sensíveis",O158="Acima de 10.000 titulares por mês"),"SIM - Alta criticidade",IF((IF(I158="SIM",2,0)+IF(K158="SIM",2,0)+IF(AF158="SIM",2,0)+IF(OR(AN158="Dados pessoais",AN158="Dados sensíveis",AN158="Dados pessoais e sensíveis"),2,0)+IF(O158="De 1.001 a 10.000 titulares por mês",1,0)+IF(AA158="SIM",1,0)+IF(R158="SIM",1,0)+IF(AL158="SIM",1,0)+IF(AJ158="NÃO",1,0))&gt;=5,"SIM - Alta criticidade",IF((IF(I158="SIM",2,0)+IF(K158="SIM",2,0)+IF(AF158="SIM",2,0)+IF(OR(AN158="Dados pessoais",AN158="Dados sensíveis",AN158="Dados pessoais e sensíveis"),2,0)+IF(O158="De 1.001 a 10.000 titulares por mês",1,0)+IF(AA158="SIM",1,0)+IF(R158="SIM",1,0)+IF(AL158="SIM",1,0)+IF(AJ158="NÃO",1,0))&gt;=3,"Avaliação necessária","NÃO"))))</f>
      </c>
      <c r="AR158" s="11"/>
      <c r="AS158" s="113">
        <f>IF(AND(I158="",K158="",AF158="",AL158="",AN158="",O158=""),"",IF(OR(I158="SIM",K158="SIM",AF158="SIM",AL158="SIM",OR(AN158="Dados pessoais",AN158="Dados sensíveis",AN158="Dados pessoais e sensíveis"),O158="Acima de 10.000 titulares por mês",(IF(I158="SIM",2,0)+IF(K158="SIM",2,0)+IF(AF158="SIM",2,0)+IF(OR(AN158="Dados pessoais",AN158="Dados sensíveis",AN158="Dados pessoais e sensíveis"),2,0)+IF(O158="De 1.001 a 10.000 titulares por mês",1,0)+IF(AA158="SIM",1,0)+IF(R158="SIM",1,0)+IF(AL158="SIM",1,0)+IF(AJ158="NÃO",1,0))&gt;=3),"DPIA indicado ou em avaliação em razão de: " &amp; TRIM(IF(I158="SIM","tratamento de dados sensíveis; ","") &amp; IF(K158="SIM","utilização de dados de menores; ","") &amp; IF(AF158="SIM","transferência internacional de dados; ","") &amp; IF(AL158="SIM","utilização de inteligência artificial; ","") &amp; IF(OR(AN158="Dados pessoais",AN158="Dados sensíveis",AN158="Dados pessoais e sensíveis"),"dados inseridos em IA; ","") &amp; IF(O158="Acima de 10.000 titulares por mês","volume crítico de titulares; ","") &amp; IF(O158="De 1.001 a 10.000 titulares por mês","volume moderado de titulares; ","") &amp; IF(AA158="SIM","compartilhamento com terceiros; ","") &amp; IF(R158="SIM","compartilhamento com órgãos governamentais; ","") &amp; IF(AJ158="NÃO","ausência de controle de acesso por perfil; ","")),"DPIA não indicado: Processo de baixa criticidade."))</f>
      </c>
    </row>
    <row x14ac:dyDescent="0.25" r="159" customHeight="1" ht="15.75">
      <c r="A159" s="46"/>
      <c r="B159" s="6"/>
      <c r="C159" s="11"/>
      <c r="D159" s="11"/>
      <c r="E159" s="11"/>
      <c r="F159" s="29"/>
      <c r="G159" s="11"/>
      <c r="H159" s="11"/>
      <c r="I159" s="29"/>
      <c r="J159" s="11"/>
      <c r="K159" s="29"/>
      <c r="L159" s="11"/>
      <c r="M159" s="11"/>
      <c r="N159" s="11"/>
      <c r="O159" s="29"/>
      <c r="P159" s="29"/>
      <c r="Q159" s="11"/>
      <c r="R159" s="29"/>
      <c r="S159" s="11"/>
      <c r="T159" s="6"/>
      <c r="U159" s="29"/>
      <c r="V159" s="11"/>
      <c r="W159" s="11"/>
      <c r="X159" s="29"/>
      <c r="Y159" s="11"/>
      <c r="Z159" s="29"/>
      <c r="AA159" s="29"/>
      <c r="AB159" s="11"/>
      <c r="AC159" s="11"/>
      <c r="AD159" s="29"/>
      <c r="AE159" s="11"/>
      <c r="AF159" s="29"/>
      <c r="AG159" s="11"/>
      <c r="AH159" s="29"/>
      <c r="AI159" s="11"/>
      <c r="AJ159" s="29"/>
      <c r="AK159" s="29"/>
      <c r="AL159" s="29"/>
      <c r="AM159" s="11"/>
      <c r="AN159" s="29"/>
      <c r="AO159" s="29"/>
      <c r="AP159" s="6"/>
      <c r="AQ159" s="113">
        <f>IF(AND(I159="",K159="",AF159="",AL159="",AN159="",O159=""),"",IF(OR(I159="SIM",K159="SIM",AF159="SIM",AL159="SIM",AN159="Dados pessoais",AN159="Dados sensíveis",AN159="Dados pessoais e sensíveis",O159="Acima de 10.000 titulares por mês"),"SIM - Alta criticidade",IF((IF(I159="SIM",2,0)+IF(K159="SIM",2,0)+IF(AF159="SIM",2,0)+IF(OR(AN159="Dados pessoais",AN159="Dados sensíveis",AN159="Dados pessoais e sensíveis"),2,0)+IF(O159="De 1.001 a 10.000 titulares por mês",1,0)+IF(AA159="SIM",1,0)+IF(R159="SIM",1,0)+IF(AL159="SIM",1,0)+IF(AJ159="NÃO",1,0))&gt;=5,"SIM - Alta criticidade",IF((IF(I159="SIM",2,0)+IF(K159="SIM",2,0)+IF(AF159="SIM",2,0)+IF(OR(AN159="Dados pessoais",AN159="Dados sensíveis",AN159="Dados pessoais e sensíveis"),2,0)+IF(O159="De 1.001 a 10.000 titulares por mês",1,0)+IF(AA159="SIM",1,0)+IF(R159="SIM",1,0)+IF(AL159="SIM",1,0)+IF(AJ159="NÃO",1,0))&gt;=3,"Avaliação necessária","NÃO"))))</f>
      </c>
      <c r="AR159" s="11"/>
      <c r="AS159" s="113">
        <f>IF(AND(I159="",K159="",AF159="",AL159="",AN159="",O159=""),"",IF(OR(I159="SIM",K159="SIM",AF159="SIM",AL159="SIM",OR(AN159="Dados pessoais",AN159="Dados sensíveis",AN159="Dados pessoais e sensíveis"),O159="Acima de 10.000 titulares por mês",(IF(I159="SIM",2,0)+IF(K159="SIM",2,0)+IF(AF159="SIM",2,0)+IF(OR(AN159="Dados pessoais",AN159="Dados sensíveis",AN159="Dados pessoais e sensíveis"),2,0)+IF(O159="De 1.001 a 10.000 titulares por mês",1,0)+IF(AA159="SIM",1,0)+IF(R159="SIM",1,0)+IF(AL159="SIM",1,0)+IF(AJ159="NÃO",1,0))&gt;=3),"DPIA indicado ou em avaliação em razão de: " &amp; TRIM(IF(I159="SIM","tratamento de dados sensíveis; ","") &amp; IF(K159="SIM","utilização de dados de menores; ","") &amp; IF(AF159="SIM","transferência internacional de dados; ","") &amp; IF(AL159="SIM","utilização de inteligência artificial; ","") &amp; IF(OR(AN159="Dados pessoais",AN159="Dados sensíveis",AN159="Dados pessoais e sensíveis"),"dados inseridos em IA; ","") &amp; IF(O159="Acima de 10.000 titulares por mês","volume crítico de titulares; ","") &amp; IF(O159="De 1.001 a 10.000 titulares por mês","volume moderado de titulares; ","") &amp; IF(AA159="SIM","compartilhamento com terceiros; ","") &amp; IF(R159="SIM","compartilhamento com órgãos governamentais; ","") &amp; IF(AJ159="NÃO","ausência de controle de acesso por perfil; ","")),"DPIA não indicado: Processo de baixa criticidade."))</f>
      </c>
    </row>
    <row x14ac:dyDescent="0.25" r="160" customHeight="1" ht="15.75">
      <c r="A160" s="46"/>
      <c r="B160" s="6"/>
      <c r="C160" s="11"/>
      <c r="D160" s="11"/>
      <c r="E160" s="11"/>
      <c r="F160" s="29"/>
      <c r="G160" s="11"/>
      <c r="H160" s="11"/>
      <c r="I160" s="29"/>
      <c r="J160" s="11"/>
      <c r="K160" s="29"/>
      <c r="L160" s="11"/>
      <c r="M160" s="11"/>
      <c r="N160" s="11"/>
      <c r="O160" s="29"/>
      <c r="P160" s="29"/>
      <c r="Q160" s="11"/>
      <c r="R160" s="29"/>
      <c r="S160" s="11"/>
      <c r="T160" s="6"/>
      <c r="U160" s="29"/>
      <c r="V160" s="11"/>
      <c r="W160" s="11"/>
      <c r="X160" s="29"/>
      <c r="Y160" s="11"/>
      <c r="Z160" s="29"/>
      <c r="AA160" s="29"/>
      <c r="AB160" s="11"/>
      <c r="AC160" s="11"/>
      <c r="AD160" s="29"/>
      <c r="AE160" s="11"/>
      <c r="AF160" s="29"/>
      <c r="AG160" s="11"/>
      <c r="AH160" s="29"/>
      <c r="AI160" s="11"/>
      <c r="AJ160" s="29"/>
      <c r="AK160" s="29"/>
      <c r="AL160" s="29"/>
      <c r="AM160" s="11"/>
      <c r="AN160" s="29"/>
      <c r="AO160" s="29"/>
      <c r="AP160" s="6"/>
      <c r="AQ160" s="113">
        <f>IF(AND(I160="",K160="",AF160="",AL160="",AN160="",O160=""),"",IF(OR(I160="SIM",K160="SIM",AF160="SIM",AL160="SIM",AN160="Dados pessoais",AN160="Dados sensíveis",AN160="Dados pessoais e sensíveis",O160="Acima de 10.000 titulares por mês"),"SIM - Alta criticidade",IF((IF(I160="SIM",2,0)+IF(K160="SIM",2,0)+IF(AF160="SIM",2,0)+IF(OR(AN160="Dados pessoais",AN160="Dados sensíveis",AN160="Dados pessoais e sensíveis"),2,0)+IF(O160="De 1.001 a 10.000 titulares por mês",1,0)+IF(AA160="SIM",1,0)+IF(R160="SIM",1,0)+IF(AL160="SIM",1,0)+IF(AJ160="NÃO",1,0))&gt;=5,"SIM - Alta criticidade",IF((IF(I160="SIM",2,0)+IF(K160="SIM",2,0)+IF(AF160="SIM",2,0)+IF(OR(AN160="Dados pessoais",AN160="Dados sensíveis",AN160="Dados pessoais e sensíveis"),2,0)+IF(O160="De 1.001 a 10.000 titulares por mês",1,0)+IF(AA160="SIM",1,0)+IF(R160="SIM",1,0)+IF(AL160="SIM",1,0)+IF(AJ160="NÃO",1,0))&gt;=3,"Avaliação necessária","NÃO"))))</f>
      </c>
      <c r="AR160" s="11"/>
      <c r="AS160" s="113">
        <f>IF(AND(I160="",K160="",AF160="",AL160="",AN160="",O160=""),"",IF(OR(I160="SIM",K160="SIM",AF160="SIM",AL160="SIM",OR(AN160="Dados pessoais",AN160="Dados sensíveis",AN160="Dados pessoais e sensíveis"),O160="Acima de 10.000 titulares por mês",(IF(I160="SIM",2,0)+IF(K160="SIM",2,0)+IF(AF160="SIM",2,0)+IF(OR(AN160="Dados pessoais",AN160="Dados sensíveis",AN160="Dados pessoais e sensíveis"),2,0)+IF(O160="De 1.001 a 10.000 titulares por mês",1,0)+IF(AA160="SIM",1,0)+IF(R160="SIM",1,0)+IF(AL160="SIM",1,0)+IF(AJ160="NÃO",1,0))&gt;=3),"DPIA indicado ou em avaliação em razão de: " &amp; TRIM(IF(I160="SIM","tratamento de dados sensíveis; ","") &amp; IF(K160="SIM","utilização de dados de menores; ","") &amp; IF(AF160="SIM","transferência internacional de dados; ","") &amp; IF(AL160="SIM","utilização de inteligência artificial; ","") &amp; IF(OR(AN160="Dados pessoais",AN160="Dados sensíveis",AN160="Dados pessoais e sensíveis"),"dados inseridos em IA; ","") &amp; IF(O160="Acima de 10.000 titulares por mês","volume crítico de titulares; ","") &amp; IF(O160="De 1.001 a 10.000 titulares por mês","volume moderado de titulares; ","") &amp; IF(AA160="SIM","compartilhamento com terceiros; ","") &amp; IF(R160="SIM","compartilhamento com órgãos governamentais; ","") &amp; IF(AJ160="NÃO","ausência de controle de acesso por perfil; ","")),"DPIA não indicado: Processo de baixa criticidade."))</f>
      </c>
    </row>
    <row x14ac:dyDescent="0.25" r="161" customHeight="1" ht="15.75">
      <c r="A161" s="46"/>
      <c r="B161" s="6"/>
      <c r="C161" s="11"/>
      <c r="D161" s="11"/>
      <c r="E161" s="11"/>
      <c r="F161" s="29"/>
      <c r="G161" s="11"/>
      <c r="H161" s="11"/>
      <c r="I161" s="29"/>
      <c r="J161" s="11"/>
      <c r="K161" s="29"/>
      <c r="L161" s="11"/>
      <c r="M161" s="11"/>
      <c r="N161" s="11"/>
      <c r="O161" s="29"/>
      <c r="P161" s="29"/>
      <c r="Q161" s="11"/>
      <c r="R161" s="29"/>
      <c r="S161" s="11"/>
      <c r="T161" s="6"/>
      <c r="U161" s="29"/>
      <c r="V161" s="11"/>
      <c r="W161" s="11"/>
      <c r="X161" s="29"/>
      <c r="Y161" s="11"/>
      <c r="Z161" s="29"/>
      <c r="AA161" s="29"/>
      <c r="AB161" s="11"/>
      <c r="AC161" s="11"/>
      <c r="AD161" s="29"/>
      <c r="AE161" s="11"/>
      <c r="AF161" s="29"/>
      <c r="AG161" s="11"/>
      <c r="AH161" s="29"/>
      <c r="AI161" s="11"/>
      <c r="AJ161" s="29"/>
      <c r="AK161" s="29"/>
      <c r="AL161" s="29"/>
      <c r="AM161" s="11"/>
      <c r="AN161" s="29"/>
      <c r="AO161" s="29"/>
      <c r="AP161" s="6"/>
      <c r="AQ161" s="113">
        <f>IF(AND(I161="",K161="",AF161="",AL161="",AN161="",O161=""),"",IF(OR(I161="SIM",K161="SIM",AF161="SIM",AL161="SIM",AN161="Dados pessoais",AN161="Dados sensíveis",AN161="Dados pessoais e sensíveis",O161="Acima de 10.000 titulares por mês"),"SIM - Alta criticidade",IF((IF(I161="SIM",2,0)+IF(K161="SIM",2,0)+IF(AF161="SIM",2,0)+IF(OR(AN161="Dados pessoais",AN161="Dados sensíveis",AN161="Dados pessoais e sensíveis"),2,0)+IF(O161="De 1.001 a 10.000 titulares por mês",1,0)+IF(AA161="SIM",1,0)+IF(R161="SIM",1,0)+IF(AL161="SIM",1,0)+IF(AJ161="NÃO",1,0))&gt;=5,"SIM - Alta criticidade",IF((IF(I161="SIM",2,0)+IF(K161="SIM",2,0)+IF(AF161="SIM",2,0)+IF(OR(AN161="Dados pessoais",AN161="Dados sensíveis",AN161="Dados pessoais e sensíveis"),2,0)+IF(O161="De 1.001 a 10.000 titulares por mês",1,0)+IF(AA161="SIM",1,0)+IF(R161="SIM",1,0)+IF(AL161="SIM",1,0)+IF(AJ161="NÃO",1,0))&gt;=3,"Avaliação necessária","NÃO"))))</f>
      </c>
      <c r="AR161" s="11"/>
      <c r="AS161" s="113">
        <f>IF(AND(I161="",K161="",AF161="",AL161="",AN161="",O161=""),"",IF(OR(I161="SIM",K161="SIM",AF161="SIM",AL161="SIM",OR(AN161="Dados pessoais",AN161="Dados sensíveis",AN161="Dados pessoais e sensíveis"),O161="Acima de 10.000 titulares por mês",(IF(I161="SIM",2,0)+IF(K161="SIM",2,0)+IF(AF161="SIM",2,0)+IF(OR(AN161="Dados pessoais",AN161="Dados sensíveis",AN161="Dados pessoais e sensíveis"),2,0)+IF(O161="De 1.001 a 10.000 titulares por mês",1,0)+IF(AA161="SIM",1,0)+IF(R161="SIM",1,0)+IF(AL161="SIM",1,0)+IF(AJ161="NÃO",1,0))&gt;=3),"DPIA indicado ou em avaliação em razão de: " &amp; TRIM(IF(I161="SIM","tratamento de dados sensíveis; ","") &amp; IF(K161="SIM","utilização de dados de menores; ","") &amp; IF(AF161="SIM","transferência internacional de dados; ","") &amp; IF(AL161="SIM","utilização de inteligência artificial; ","") &amp; IF(OR(AN161="Dados pessoais",AN161="Dados sensíveis",AN161="Dados pessoais e sensíveis"),"dados inseridos em IA; ","") &amp; IF(O161="Acima de 10.000 titulares por mês","volume crítico de titulares; ","") &amp; IF(O161="De 1.001 a 10.000 titulares por mês","volume moderado de titulares; ","") &amp; IF(AA161="SIM","compartilhamento com terceiros; ","") &amp; IF(R161="SIM","compartilhamento com órgãos governamentais; ","") &amp; IF(AJ161="NÃO","ausência de controle de acesso por perfil; ","")),"DPIA não indicado: Processo de baixa criticidade."))</f>
      </c>
    </row>
    <row x14ac:dyDescent="0.25" r="162" customHeight="1" ht="15.75">
      <c r="A162" s="46"/>
      <c r="B162" s="6"/>
      <c r="C162" s="11"/>
      <c r="D162" s="11"/>
      <c r="E162" s="11"/>
      <c r="F162" s="29"/>
      <c r="G162" s="11"/>
      <c r="H162" s="11"/>
      <c r="I162" s="29"/>
      <c r="J162" s="11"/>
      <c r="K162" s="29"/>
      <c r="L162" s="11"/>
      <c r="M162" s="11"/>
      <c r="N162" s="11"/>
      <c r="O162" s="29"/>
      <c r="P162" s="29"/>
      <c r="Q162" s="11"/>
      <c r="R162" s="29"/>
      <c r="S162" s="11"/>
      <c r="T162" s="6"/>
      <c r="U162" s="29"/>
      <c r="V162" s="11"/>
      <c r="W162" s="11"/>
      <c r="X162" s="29"/>
      <c r="Y162" s="11"/>
      <c r="Z162" s="29"/>
      <c r="AA162" s="29"/>
      <c r="AB162" s="11"/>
      <c r="AC162" s="11"/>
      <c r="AD162" s="29"/>
      <c r="AE162" s="11"/>
      <c r="AF162" s="29"/>
      <c r="AG162" s="11"/>
      <c r="AH162" s="29"/>
      <c r="AI162" s="11"/>
      <c r="AJ162" s="29"/>
      <c r="AK162" s="29"/>
      <c r="AL162" s="29"/>
      <c r="AM162" s="11"/>
      <c r="AN162" s="29"/>
      <c r="AO162" s="29"/>
      <c r="AP162" s="6"/>
      <c r="AQ162" s="113">
        <f>IF(AND(I162="",K162="",AF162="",AL162="",AN162="",O162=""),"",IF(OR(I162="SIM",K162="SIM",AF162="SIM",AL162="SIM",AN162="Dados pessoais",AN162="Dados sensíveis",AN162="Dados pessoais e sensíveis",O162="Acima de 10.000 titulares por mês"),"SIM - Alta criticidade",IF((IF(I162="SIM",2,0)+IF(K162="SIM",2,0)+IF(AF162="SIM",2,0)+IF(OR(AN162="Dados pessoais",AN162="Dados sensíveis",AN162="Dados pessoais e sensíveis"),2,0)+IF(O162="De 1.001 a 10.000 titulares por mês",1,0)+IF(AA162="SIM",1,0)+IF(R162="SIM",1,0)+IF(AL162="SIM",1,0)+IF(AJ162="NÃO",1,0))&gt;=5,"SIM - Alta criticidade",IF((IF(I162="SIM",2,0)+IF(K162="SIM",2,0)+IF(AF162="SIM",2,0)+IF(OR(AN162="Dados pessoais",AN162="Dados sensíveis",AN162="Dados pessoais e sensíveis"),2,0)+IF(O162="De 1.001 a 10.000 titulares por mês",1,0)+IF(AA162="SIM",1,0)+IF(R162="SIM",1,0)+IF(AL162="SIM",1,0)+IF(AJ162="NÃO",1,0))&gt;=3,"Avaliação necessária","NÃO"))))</f>
      </c>
      <c r="AR162" s="11"/>
      <c r="AS162" s="113">
        <f>IF(AND(I162="",K162="",AF162="",AL162="",AN162="",O162=""),"",IF(OR(I162="SIM",K162="SIM",AF162="SIM",AL162="SIM",OR(AN162="Dados pessoais",AN162="Dados sensíveis",AN162="Dados pessoais e sensíveis"),O162="Acima de 10.000 titulares por mês",(IF(I162="SIM",2,0)+IF(K162="SIM",2,0)+IF(AF162="SIM",2,0)+IF(OR(AN162="Dados pessoais",AN162="Dados sensíveis",AN162="Dados pessoais e sensíveis"),2,0)+IF(O162="De 1.001 a 10.000 titulares por mês",1,0)+IF(AA162="SIM",1,0)+IF(R162="SIM",1,0)+IF(AL162="SIM",1,0)+IF(AJ162="NÃO",1,0))&gt;=3),"DPIA indicado ou em avaliação em razão de: " &amp; TRIM(IF(I162="SIM","tratamento de dados sensíveis; ","") &amp; IF(K162="SIM","utilização de dados de menores; ","") &amp; IF(AF162="SIM","transferência internacional de dados; ","") &amp; IF(AL162="SIM","utilização de inteligência artificial; ","") &amp; IF(OR(AN162="Dados pessoais",AN162="Dados sensíveis",AN162="Dados pessoais e sensíveis"),"dados inseridos em IA; ","") &amp; IF(O162="Acima de 10.000 titulares por mês","volume crítico de titulares; ","") &amp; IF(O162="De 1.001 a 10.000 titulares por mês","volume moderado de titulares; ","") &amp; IF(AA162="SIM","compartilhamento com terceiros; ","") &amp; IF(R162="SIM","compartilhamento com órgãos governamentais; ","") &amp; IF(AJ162="NÃO","ausência de controle de acesso por perfil; ","")),"DPIA não indicado: Processo de baixa criticidade."))</f>
      </c>
    </row>
    <row x14ac:dyDescent="0.25" r="163" customHeight="1" ht="15.75">
      <c r="A163" s="46"/>
      <c r="B163" s="6"/>
      <c r="C163" s="11"/>
      <c r="D163" s="11"/>
      <c r="E163" s="11"/>
      <c r="F163" s="29"/>
      <c r="G163" s="11"/>
      <c r="H163" s="11"/>
      <c r="I163" s="29"/>
      <c r="J163" s="11"/>
      <c r="K163" s="29"/>
      <c r="L163" s="11"/>
      <c r="M163" s="11"/>
      <c r="N163" s="11"/>
      <c r="O163" s="29"/>
      <c r="P163" s="29"/>
      <c r="Q163" s="11"/>
      <c r="R163" s="29"/>
      <c r="S163" s="11"/>
      <c r="T163" s="6"/>
      <c r="U163" s="29"/>
      <c r="V163" s="11"/>
      <c r="W163" s="11"/>
      <c r="X163" s="29"/>
      <c r="Y163" s="11"/>
      <c r="Z163" s="29"/>
      <c r="AA163" s="29"/>
      <c r="AB163" s="11"/>
      <c r="AC163" s="11"/>
      <c r="AD163" s="29"/>
      <c r="AE163" s="11"/>
      <c r="AF163" s="29"/>
      <c r="AG163" s="11"/>
      <c r="AH163" s="29"/>
      <c r="AI163" s="11"/>
      <c r="AJ163" s="29"/>
      <c r="AK163" s="29"/>
      <c r="AL163" s="29"/>
      <c r="AM163" s="11"/>
      <c r="AN163" s="29"/>
      <c r="AO163" s="29"/>
      <c r="AP163" s="6"/>
      <c r="AQ163" s="113">
        <f>IF(AND(I163="",K163="",AF163="",AL163="",AN163="",O163=""),"",IF(OR(I163="SIM",K163="SIM",AF163="SIM",AL163="SIM",AN163="Dados pessoais",AN163="Dados sensíveis",AN163="Dados pessoais e sensíveis",O163="Acima de 10.000 titulares por mês"),"SIM - Alta criticidade",IF((IF(I163="SIM",2,0)+IF(K163="SIM",2,0)+IF(AF163="SIM",2,0)+IF(OR(AN163="Dados pessoais",AN163="Dados sensíveis",AN163="Dados pessoais e sensíveis"),2,0)+IF(O163="De 1.001 a 10.000 titulares por mês",1,0)+IF(AA163="SIM",1,0)+IF(R163="SIM",1,0)+IF(AL163="SIM",1,0)+IF(AJ163="NÃO",1,0))&gt;=5,"SIM - Alta criticidade",IF((IF(I163="SIM",2,0)+IF(K163="SIM",2,0)+IF(AF163="SIM",2,0)+IF(OR(AN163="Dados pessoais",AN163="Dados sensíveis",AN163="Dados pessoais e sensíveis"),2,0)+IF(O163="De 1.001 a 10.000 titulares por mês",1,0)+IF(AA163="SIM",1,0)+IF(R163="SIM",1,0)+IF(AL163="SIM",1,0)+IF(AJ163="NÃO",1,0))&gt;=3,"Avaliação necessária","NÃO"))))</f>
      </c>
      <c r="AR163" s="11"/>
      <c r="AS163" s="113">
        <f>IF(AND(I163="",K163="",AF163="",AL163="",AN163="",O163=""),"",IF(OR(I163="SIM",K163="SIM",AF163="SIM",AL163="SIM",OR(AN163="Dados pessoais",AN163="Dados sensíveis",AN163="Dados pessoais e sensíveis"),O163="Acima de 10.000 titulares por mês",(IF(I163="SIM",2,0)+IF(K163="SIM",2,0)+IF(AF163="SIM",2,0)+IF(OR(AN163="Dados pessoais",AN163="Dados sensíveis",AN163="Dados pessoais e sensíveis"),2,0)+IF(O163="De 1.001 a 10.000 titulares por mês",1,0)+IF(AA163="SIM",1,0)+IF(R163="SIM",1,0)+IF(AL163="SIM",1,0)+IF(AJ163="NÃO",1,0))&gt;=3),"DPIA indicado ou em avaliação em razão de: " &amp; TRIM(IF(I163="SIM","tratamento de dados sensíveis; ","") &amp; IF(K163="SIM","utilização de dados de menores; ","") &amp; IF(AF163="SIM","transferência internacional de dados; ","") &amp; IF(AL163="SIM","utilização de inteligência artificial; ","") &amp; IF(OR(AN163="Dados pessoais",AN163="Dados sensíveis",AN163="Dados pessoais e sensíveis"),"dados inseridos em IA; ","") &amp; IF(O163="Acima de 10.000 titulares por mês","volume crítico de titulares; ","") &amp; IF(O163="De 1.001 a 10.000 titulares por mês","volume moderado de titulares; ","") &amp; IF(AA163="SIM","compartilhamento com terceiros; ","") &amp; IF(R163="SIM","compartilhamento com órgãos governamentais; ","") &amp; IF(AJ163="NÃO","ausência de controle de acesso por perfil; ","")),"DPIA não indicado: Processo de baixa criticidade."))</f>
      </c>
    </row>
    <row x14ac:dyDescent="0.25" r="164" customHeight="1" ht="15.75">
      <c r="A164" s="46"/>
      <c r="B164" s="6"/>
      <c r="C164" s="11"/>
      <c r="D164" s="11"/>
      <c r="E164" s="11"/>
      <c r="F164" s="29"/>
      <c r="G164" s="11"/>
      <c r="H164" s="11"/>
      <c r="I164" s="29"/>
      <c r="J164" s="11"/>
      <c r="K164" s="29"/>
      <c r="L164" s="11"/>
      <c r="M164" s="11"/>
      <c r="N164" s="11"/>
      <c r="O164" s="29"/>
      <c r="P164" s="29"/>
      <c r="Q164" s="11"/>
      <c r="R164" s="29"/>
      <c r="S164" s="11"/>
      <c r="T164" s="6"/>
      <c r="U164" s="29"/>
      <c r="V164" s="11"/>
      <c r="W164" s="11"/>
      <c r="X164" s="29"/>
      <c r="Y164" s="11"/>
      <c r="Z164" s="29"/>
      <c r="AA164" s="29"/>
      <c r="AB164" s="11"/>
      <c r="AC164" s="11"/>
      <c r="AD164" s="29"/>
      <c r="AE164" s="11"/>
      <c r="AF164" s="29"/>
      <c r="AG164" s="11"/>
      <c r="AH164" s="29"/>
      <c r="AI164" s="11"/>
      <c r="AJ164" s="29"/>
      <c r="AK164" s="29"/>
      <c r="AL164" s="29"/>
      <c r="AM164" s="11"/>
      <c r="AN164" s="29"/>
      <c r="AO164" s="29"/>
      <c r="AP164" s="6"/>
      <c r="AQ164" s="113">
        <f>IF(AND(I164="",K164="",AF164="",AL164="",AN164="",O164=""),"",IF(OR(I164="SIM",K164="SIM",AF164="SIM",AL164="SIM",AN164="Dados pessoais",AN164="Dados sensíveis",AN164="Dados pessoais e sensíveis",O164="Acima de 10.000 titulares por mês"),"SIM - Alta criticidade",IF((IF(I164="SIM",2,0)+IF(K164="SIM",2,0)+IF(AF164="SIM",2,0)+IF(OR(AN164="Dados pessoais",AN164="Dados sensíveis",AN164="Dados pessoais e sensíveis"),2,0)+IF(O164="De 1.001 a 10.000 titulares por mês",1,0)+IF(AA164="SIM",1,0)+IF(R164="SIM",1,0)+IF(AL164="SIM",1,0)+IF(AJ164="NÃO",1,0))&gt;=5,"SIM - Alta criticidade",IF((IF(I164="SIM",2,0)+IF(K164="SIM",2,0)+IF(AF164="SIM",2,0)+IF(OR(AN164="Dados pessoais",AN164="Dados sensíveis",AN164="Dados pessoais e sensíveis"),2,0)+IF(O164="De 1.001 a 10.000 titulares por mês",1,0)+IF(AA164="SIM",1,0)+IF(R164="SIM",1,0)+IF(AL164="SIM",1,0)+IF(AJ164="NÃO",1,0))&gt;=3,"Avaliação necessária","NÃO"))))</f>
      </c>
      <c r="AR164" s="11"/>
      <c r="AS164" s="113">
        <f>IF(AND(I164="",K164="",AF164="",AL164="",AN164="",O164=""),"",IF(OR(I164="SIM",K164="SIM",AF164="SIM",AL164="SIM",OR(AN164="Dados pessoais",AN164="Dados sensíveis",AN164="Dados pessoais e sensíveis"),O164="Acima de 10.000 titulares por mês",(IF(I164="SIM",2,0)+IF(K164="SIM",2,0)+IF(AF164="SIM",2,0)+IF(OR(AN164="Dados pessoais",AN164="Dados sensíveis",AN164="Dados pessoais e sensíveis"),2,0)+IF(O164="De 1.001 a 10.000 titulares por mês",1,0)+IF(AA164="SIM",1,0)+IF(R164="SIM",1,0)+IF(AL164="SIM",1,0)+IF(AJ164="NÃO",1,0))&gt;=3),"DPIA indicado ou em avaliação em razão de: " &amp; TRIM(IF(I164="SIM","tratamento de dados sensíveis; ","") &amp; IF(K164="SIM","utilização de dados de menores; ","") &amp; IF(AF164="SIM","transferência internacional de dados; ","") &amp; IF(AL164="SIM","utilização de inteligência artificial; ","") &amp; IF(OR(AN164="Dados pessoais",AN164="Dados sensíveis",AN164="Dados pessoais e sensíveis"),"dados inseridos em IA; ","") &amp; IF(O164="Acima de 10.000 titulares por mês","volume crítico de titulares; ","") &amp; IF(O164="De 1.001 a 10.000 titulares por mês","volume moderado de titulares; ","") &amp; IF(AA164="SIM","compartilhamento com terceiros; ","") &amp; IF(R164="SIM","compartilhamento com órgãos governamentais; ","") &amp; IF(AJ164="NÃO","ausência de controle de acesso por perfil; ","")),"DPIA não indicado: Processo de baixa criticidade."))</f>
      </c>
    </row>
    <row x14ac:dyDescent="0.25" r="165" customHeight="1" ht="15.75">
      <c r="A165" s="46"/>
      <c r="B165" s="6"/>
      <c r="C165" s="11"/>
      <c r="D165" s="11"/>
      <c r="E165" s="11"/>
      <c r="F165" s="29"/>
      <c r="G165" s="11"/>
      <c r="H165" s="11"/>
      <c r="I165" s="29"/>
      <c r="J165" s="11"/>
      <c r="K165" s="29"/>
      <c r="L165" s="11"/>
      <c r="M165" s="11"/>
      <c r="N165" s="11"/>
      <c r="O165" s="29"/>
      <c r="P165" s="29"/>
      <c r="Q165" s="11"/>
      <c r="R165" s="29"/>
      <c r="S165" s="11"/>
      <c r="T165" s="6"/>
      <c r="U165" s="29"/>
      <c r="V165" s="11"/>
      <c r="W165" s="11"/>
      <c r="X165" s="29"/>
      <c r="Y165" s="11"/>
      <c r="Z165" s="29"/>
      <c r="AA165" s="29"/>
      <c r="AB165" s="11"/>
      <c r="AC165" s="11"/>
      <c r="AD165" s="29"/>
      <c r="AE165" s="11"/>
      <c r="AF165" s="29"/>
      <c r="AG165" s="11"/>
      <c r="AH165" s="29"/>
      <c r="AI165" s="11"/>
      <c r="AJ165" s="29"/>
      <c r="AK165" s="29"/>
      <c r="AL165" s="29"/>
      <c r="AM165" s="11"/>
      <c r="AN165" s="29"/>
      <c r="AO165" s="29"/>
      <c r="AP165" s="6"/>
      <c r="AQ165" s="113">
        <f>IF(AND(I165="",K165="",AF165="",AL165="",AN165="",O165=""),"",IF(OR(I165="SIM",K165="SIM",AF165="SIM",AL165="SIM",AN165="Dados pessoais",AN165="Dados sensíveis",AN165="Dados pessoais e sensíveis",O165="Acima de 10.000 titulares por mês"),"SIM - Alta criticidade",IF((IF(I165="SIM",2,0)+IF(K165="SIM",2,0)+IF(AF165="SIM",2,0)+IF(OR(AN165="Dados pessoais",AN165="Dados sensíveis",AN165="Dados pessoais e sensíveis"),2,0)+IF(O165="De 1.001 a 10.000 titulares por mês",1,0)+IF(AA165="SIM",1,0)+IF(R165="SIM",1,0)+IF(AL165="SIM",1,0)+IF(AJ165="NÃO",1,0))&gt;=5,"SIM - Alta criticidade",IF((IF(I165="SIM",2,0)+IF(K165="SIM",2,0)+IF(AF165="SIM",2,0)+IF(OR(AN165="Dados pessoais",AN165="Dados sensíveis",AN165="Dados pessoais e sensíveis"),2,0)+IF(O165="De 1.001 a 10.000 titulares por mês",1,0)+IF(AA165="SIM",1,0)+IF(R165="SIM",1,0)+IF(AL165="SIM",1,0)+IF(AJ165="NÃO",1,0))&gt;=3,"Avaliação necessária","NÃO"))))</f>
      </c>
      <c r="AR165" s="11"/>
      <c r="AS165" s="113">
        <f>IF(AND(I165="",K165="",AF165="",AL165="",AN165="",O165=""),"",IF(OR(I165="SIM",K165="SIM",AF165="SIM",AL165="SIM",OR(AN165="Dados pessoais",AN165="Dados sensíveis",AN165="Dados pessoais e sensíveis"),O165="Acima de 10.000 titulares por mês",(IF(I165="SIM",2,0)+IF(K165="SIM",2,0)+IF(AF165="SIM",2,0)+IF(OR(AN165="Dados pessoais",AN165="Dados sensíveis",AN165="Dados pessoais e sensíveis"),2,0)+IF(O165="De 1.001 a 10.000 titulares por mês",1,0)+IF(AA165="SIM",1,0)+IF(R165="SIM",1,0)+IF(AL165="SIM",1,0)+IF(AJ165="NÃO",1,0))&gt;=3),"DPIA indicado ou em avaliação em razão de: " &amp; TRIM(IF(I165="SIM","tratamento de dados sensíveis; ","") &amp; IF(K165="SIM","utilização de dados de menores; ","") &amp; IF(AF165="SIM","transferência internacional de dados; ","") &amp; IF(AL165="SIM","utilização de inteligência artificial; ","") &amp; IF(OR(AN165="Dados pessoais",AN165="Dados sensíveis",AN165="Dados pessoais e sensíveis"),"dados inseridos em IA; ","") &amp; IF(O165="Acima de 10.000 titulares por mês","volume crítico de titulares; ","") &amp; IF(O165="De 1.001 a 10.000 titulares por mês","volume moderado de titulares; ","") &amp; IF(AA165="SIM","compartilhamento com terceiros; ","") &amp; IF(R165="SIM","compartilhamento com órgãos governamentais; ","") &amp; IF(AJ165="NÃO","ausência de controle de acesso por perfil; ","")),"DPIA não indicado: Processo de baixa criticidade."))</f>
      </c>
    </row>
    <row x14ac:dyDescent="0.25" r="166" customHeight="1" ht="15.75">
      <c r="A166" s="46"/>
      <c r="B166" s="6"/>
      <c r="C166" s="11"/>
      <c r="D166" s="11"/>
      <c r="E166" s="11"/>
      <c r="F166" s="29"/>
      <c r="G166" s="11"/>
      <c r="H166" s="11"/>
      <c r="I166" s="29"/>
      <c r="J166" s="11"/>
      <c r="K166" s="29"/>
      <c r="L166" s="11"/>
      <c r="M166" s="11"/>
      <c r="N166" s="11"/>
      <c r="O166" s="29"/>
      <c r="P166" s="29"/>
      <c r="Q166" s="11"/>
      <c r="R166" s="29"/>
      <c r="S166" s="11"/>
      <c r="T166" s="6"/>
      <c r="U166" s="29"/>
      <c r="V166" s="11"/>
      <c r="W166" s="11"/>
      <c r="X166" s="29"/>
      <c r="Y166" s="11"/>
      <c r="Z166" s="29"/>
      <c r="AA166" s="29"/>
      <c r="AB166" s="11"/>
      <c r="AC166" s="11"/>
      <c r="AD166" s="29"/>
      <c r="AE166" s="11"/>
      <c r="AF166" s="29"/>
      <c r="AG166" s="11"/>
      <c r="AH166" s="29"/>
      <c r="AI166" s="11"/>
      <c r="AJ166" s="29"/>
      <c r="AK166" s="29"/>
      <c r="AL166" s="29"/>
      <c r="AM166" s="11"/>
      <c r="AN166" s="29"/>
      <c r="AO166" s="29"/>
      <c r="AP166" s="6"/>
      <c r="AQ166" s="113">
        <f>IF(AND(I166="",K166="",AF166="",AL166="",AN166="",O166=""),"",IF(OR(I166="SIM",K166="SIM",AF166="SIM",AL166="SIM",AN166="Dados pessoais",AN166="Dados sensíveis",AN166="Dados pessoais e sensíveis",O166="Acima de 10.000 titulares por mês"),"SIM - Alta criticidade",IF((IF(I166="SIM",2,0)+IF(K166="SIM",2,0)+IF(AF166="SIM",2,0)+IF(OR(AN166="Dados pessoais",AN166="Dados sensíveis",AN166="Dados pessoais e sensíveis"),2,0)+IF(O166="De 1.001 a 10.000 titulares por mês",1,0)+IF(AA166="SIM",1,0)+IF(R166="SIM",1,0)+IF(AL166="SIM",1,0)+IF(AJ166="NÃO",1,0))&gt;=5,"SIM - Alta criticidade",IF((IF(I166="SIM",2,0)+IF(K166="SIM",2,0)+IF(AF166="SIM",2,0)+IF(OR(AN166="Dados pessoais",AN166="Dados sensíveis",AN166="Dados pessoais e sensíveis"),2,0)+IF(O166="De 1.001 a 10.000 titulares por mês",1,0)+IF(AA166="SIM",1,0)+IF(R166="SIM",1,0)+IF(AL166="SIM",1,0)+IF(AJ166="NÃO",1,0))&gt;=3,"Avaliação necessária","NÃO"))))</f>
      </c>
      <c r="AR166" s="11"/>
      <c r="AS166" s="113">
        <f>IF(AND(I166="",K166="",AF166="",AL166="",AN166="",O166=""),"",IF(OR(I166="SIM",K166="SIM",AF166="SIM",AL166="SIM",OR(AN166="Dados pessoais",AN166="Dados sensíveis",AN166="Dados pessoais e sensíveis"),O166="Acima de 10.000 titulares por mês",(IF(I166="SIM",2,0)+IF(K166="SIM",2,0)+IF(AF166="SIM",2,0)+IF(OR(AN166="Dados pessoais",AN166="Dados sensíveis",AN166="Dados pessoais e sensíveis"),2,0)+IF(O166="De 1.001 a 10.000 titulares por mês",1,0)+IF(AA166="SIM",1,0)+IF(R166="SIM",1,0)+IF(AL166="SIM",1,0)+IF(AJ166="NÃO",1,0))&gt;=3),"DPIA indicado ou em avaliação em razão de: " &amp; TRIM(IF(I166="SIM","tratamento de dados sensíveis; ","") &amp; IF(K166="SIM","utilização de dados de menores; ","") &amp; IF(AF166="SIM","transferência internacional de dados; ","") &amp; IF(AL166="SIM","utilização de inteligência artificial; ","") &amp; IF(OR(AN166="Dados pessoais",AN166="Dados sensíveis",AN166="Dados pessoais e sensíveis"),"dados inseridos em IA; ","") &amp; IF(O166="Acima de 10.000 titulares por mês","volume crítico de titulares; ","") &amp; IF(O166="De 1.001 a 10.000 titulares por mês","volume moderado de titulares; ","") &amp; IF(AA166="SIM","compartilhamento com terceiros; ","") &amp; IF(R166="SIM","compartilhamento com órgãos governamentais; ","") &amp; IF(AJ166="NÃO","ausência de controle de acesso por perfil; ","")),"DPIA não indicado: Processo de baixa criticidade."))</f>
      </c>
    </row>
    <row x14ac:dyDescent="0.25" r="167" customHeight="1" ht="15.75">
      <c r="A167" s="46"/>
      <c r="B167" s="6"/>
      <c r="C167" s="11"/>
      <c r="D167" s="11"/>
      <c r="E167" s="11"/>
      <c r="F167" s="29"/>
      <c r="G167" s="11"/>
      <c r="H167" s="11"/>
      <c r="I167" s="29"/>
      <c r="J167" s="11"/>
      <c r="K167" s="29"/>
      <c r="L167" s="11"/>
      <c r="M167" s="11"/>
      <c r="N167" s="11"/>
      <c r="O167" s="29"/>
      <c r="P167" s="29"/>
      <c r="Q167" s="11"/>
      <c r="R167" s="29"/>
      <c r="S167" s="11"/>
      <c r="T167" s="6"/>
      <c r="U167" s="29"/>
      <c r="V167" s="11"/>
      <c r="W167" s="11"/>
      <c r="X167" s="29"/>
      <c r="Y167" s="11"/>
      <c r="Z167" s="29"/>
      <c r="AA167" s="29"/>
      <c r="AB167" s="11"/>
      <c r="AC167" s="11"/>
      <c r="AD167" s="29"/>
      <c r="AE167" s="11"/>
      <c r="AF167" s="29"/>
      <c r="AG167" s="11"/>
      <c r="AH167" s="29"/>
      <c r="AI167" s="11"/>
      <c r="AJ167" s="29"/>
      <c r="AK167" s="29"/>
      <c r="AL167" s="29"/>
      <c r="AM167" s="11"/>
      <c r="AN167" s="29"/>
      <c r="AO167" s="29"/>
      <c r="AP167" s="6"/>
      <c r="AQ167" s="113">
        <f>IF(AND(I167="",K167="",AF167="",AL167="",AN167="",O167=""),"",IF(OR(I167="SIM",K167="SIM",AF167="SIM",AL167="SIM",AN167="Dados pessoais",AN167="Dados sensíveis",AN167="Dados pessoais e sensíveis",O167="Acima de 10.000 titulares por mês"),"SIM - Alta criticidade",IF((IF(I167="SIM",2,0)+IF(K167="SIM",2,0)+IF(AF167="SIM",2,0)+IF(OR(AN167="Dados pessoais",AN167="Dados sensíveis",AN167="Dados pessoais e sensíveis"),2,0)+IF(O167="De 1.001 a 10.000 titulares por mês",1,0)+IF(AA167="SIM",1,0)+IF(R167="SIM",1,0)+IF(AL167="SIM",1,0)+IF(AJ167="NÃO",1,0))&gt;=5,"SIM - Alta criticidade",IF((IF(I167="SIM",2,0)+IF(K167="SIM",2,0)+IF(AF167="SIM",2,0)+IF(OR(AN167="Dados pessoais",AN167="Dados sensíveis",AN167="Dados pessoais e sensíveis"),2,0)+IF(O167="De 1.001 a 10.000 titulares por mês",1,0)+IF(AA167="SIM",1,0)+IF(R167="SIM",1,0)+IF(AL167="SIM",1,0)+IF(AJ167="NÃO",1,0))&gt;=3,"Avaliação necessária","NÃO"))))</f>
      </c>
      <c r="AR167" s="11"/>
      <c r="AS167" s="113">
        <f>IF(AND(I167="",K167="",AF167="",AL167="",AN167="",O167=""),"",IF(OR(I167="SIM",K167="SIM",AF167="SIM",AL167="SIM",OR(AN167="Dados pessoais",AN167="Dados sensíveis",AN167="Dados pessoais e sensíveis"),O167="Acima de 10.000 titulares por mês",(IF(I167="SIM",2,0)+IF(K167="SIM",2,0)+IF(AF167="SIM",2,0)+IF(OR(AN167="Dados pessoais",AN167="Dados sensíveis",AN167="Dados pessoais e sensíveis"),2,0)+IF(O167="De 1.001 a 10.000 titulares por mês",1,0)+IF(AA167="SIM",1,0)+IF(R167="SIM",1,0)+IF(AL167="SIM",1,0)+IF(AJ167="NÃO",1,0))&gt;=3),"DPIA indicado ou em avaliação em razão de: " &amp; TRIM(IF(I167="SIM","tratamento de dados sensíveis; ","") &amp; IF(K167="SIM","utilização de dados de menores; ","") &amp; IF(AF167="SIM","transferência internacional de dados; ","") &amp; IF(AL167="SIM","utilização de inteligência artificial; ","") &amp; IF(OR(AN167="Dados pessoais",AN167="Dados sensíveis",AN167="Dados pessoais e sensíveis"),"dados inseridos em IA; ","") &amp; IF(O167="Acima de 10.000 titulares por mês","volume crítico de titulares; ","") &amp; IF(O167="De 1.001 a 10.000 titulares por mês","volume moderado de titulares; ","") &amp; IF(AA167="SIM","compartilhamento com terceiros; ","") &amp; IF(R167="SIM","compartilhamento com órgãos governamentais; ","") &amp; IF(AJ167="NÃO","ausência de controle de acesso por perfil; ","")),"DPIA não indicado: Processo de baixa criticidade."))</f>
      </c>
    </row>
    <row x14ac:dyDescent="0.25" r="168" customHeight="1" ht="15.75">
      <c r="A168" s="46"/>
      <c r="B168" s="6"/>
      <c r="C168" s="11"/>
      <c r="D168" s="11"/>
      <c r="E168" s="11"/>
      <c r="F168" s="29"/>
      <c r="G168" s="11"/>
      <c r="H168" s="11"/>
      <c r="I168" s="29"/>
      <c r="J168" s="11"/>
      <c r="K168" s="29"/>
      <c r="L168" s="11"/>
      <c r="M168" s="11"/>
      <c r="N168" s="11"/>
      <c r="O168" s="29"/>
      <c r="P168" s="29"/>
      <c r="Q168" s="11"/>
      <c r="R168" s="29"/>
      <c r="S168" s="11"/>
      <c r="T168" s="6"/>
      <c r="U168" s="29"/>
      <c r="V168" s="11"/>
      <c r="W168" s="11"/>
      <c r="X168" s="29"/>
      <c r="Y168" s="11"/>
      <c r="Z168" s="29"/>
      <c r="AA168" s="29"/>
      <c r="AB168" s="11"/>
      <c r="AC168" s="11"/>
      <c r="AD168" s="29"/>
      <c r="AE168" s="11"/>
      <c r="AF168" s="29"/>
      <c r="AG168" s="11"/>
      <c r="AH168" s="29"/>
      <c r="AI168" s="11"/>
      <c r="AJ168" s="29"/>
      <c r="AK168" s="29"/>
      <c r="AL168" s="29"/>
      <c r="AM168" s="11"/>
      <c r="AN168" s="29"/>
      <c r="AO168" s="29"/>
      <c r="AP168" s="6"/>
      <c r="AQ168" s="113">
        <f>IF(AND(I168="",K168="",AF168="",AL168="",AN168="",O168=""),"",IF(OR(I168="SIM",K168="SIM",AF168="SIM",AL168="SIM",AN168="Dados pessoais",AN168="Dados sensíveis",AN168="Dados pessoais e sensíveis",O168="Acima de 10.000 titulares por mês"),"SIM - Alta criticidade",IF((IF(I168="SIM",2,0)+IF(K168="SIM",2,0)+IF(AF168="SIM",2,0)+IF(OR(AN168="Dados pessoais",AN168="Dados sensíveis",AN168="Dados pessoais e sensíveis"),2,0)+IF(O168="De 1.001 a 10.000 titulares por mês",1,0)+IF(AA168="SIM",1,0)+IF(R168="SIM",1,0)+IF(AL168="SIM",1,0)+IF(AJ168="NÃO",1,0))&gt;=5,"SIM - Alta criticidade",IF((IF(I168="SIM",2,0)+IF(K168="SIM",2,0)+IF(AF168="SIM",2,0)+IF(OR(AN168="Dados pessoais",AN168="Dados sensíveis",AN168="Dados pessoais e sensíveis"),2,0)+IF(O168="De 1.001 a 10.000 titulares por mês",1,0)+IF(AA168="SIM",1,0)+IF(R168="SIM",1,0)+IF(AL168="SIM",1,0)+IF(AJ168="NÃO",1,0))&gt;=3,"Avaliação necessária","NÃO"))))</f>
      </c>
      <c r="AR168" s="11"/>
      <c r="AS168" s="113">
        <f>IF(AND(I168="",K168="",AF168="",AL168="",AN168="",O168=""),"",IF(OR(I168="SIM",K168="SIM",AF168="SIM",AL168="SIM",OR(AN168="Dados pessoais",AN168="Dados sensíveis",AN168="Dados pessoais e sensíveis"),O168="Acima de 10.000 titulares por mês",(IF(I168="SIM",2,0)+IF(K168="SIM",2,0)+IF(AF168="SIM",2,0)+IF(OR(AN168="Dados pessoais",AN168="Dados sensíveis",AN168="Dados pessoais e sensíveis"),2,0)+IF(O168="De 1.001 a 10.000 titulares por mês",1,0)+IF(AA168="SIM",1,0)+IF(R168="SIM",1,0)+IF(AL168="SIM",1,0)+IF(AJ168="NÃO",1,0))&gt;=3),"DPIA indicado ou em avaliação em razão de: " &amp; TRIM(IF(I168="SIM","tratamento de dados sensíveis; ","") &amp; IF(K168="SIM","utilização de dados de menores; ","") &amp; IF(AF168="SIM","transferência internacional de dados; ","") &amp; IF(AL168="SIM","utilização de inteligência artificial; ","") &amp; IF(OR(AN168="Dados pessoais",AN168="Dados sensíveis",AN168="Dados pessoais e sensíveis"),"dados inseridos em IA; ","") &amp; IF(O168="Acima de 10.000 titulares por mês","volume crítico de titulares; ","") &amp; IF(O168="De 1.001 a 10.000 titulares por mês","volume moderado de titulares; ","") &amp; IF(AA168="SIM","compartilhamento com terceiros; ","") &amp; IF(R168="SIM","compartilhamento com órgãos governamentais; ","") &amp; IF(AJ168="NÃO","ausência de controle de acesso por perfil; ","")),"DPIA não indicado: Processo de baixa criticidade."))</f>
      </c>
    </row>
    <row x14ac:dyDescent="0.25" r="169" customHeight="1" ht="15.75">
      <c r="A169" s="46"/>
      <c r="B169" s="6"/>
      <c r="C169" s="11"/>
      <c r="D169" s="11"/>
      <c r="E169" s="11"/>
      <c r="F169" s="29"/>
      <c r="G169" s="11"/>
      <c r="H169" s="11"/>
      <c r="I169" s="29"/>
      <c r="J169" s="11"/>
      <c r="K169" s="29"/>
      <c r="L169" s="11"/>
      <c r="M169" s="11"/>
      <c r="N169" s="11"/>
      <c r="O169" s="29"/>
      <c r="P169" s="29"/>
      <c r="Q169" s="11"/>
      <c r="R169" s="29"/>
      <c r="S169" s="11"/>
      <c r="T169" s="6"/>
      <c r="U169" s="29"/>
      <c r="V169" s="11"/>
      <c r="W169" s="11"/>
      <c r="X169" s="29"/>
      <c r="Y169" s="11"/>
      <c r="Z169" s="29"/>
      <c r="AA169" s="29"/>
      <c r="AB169" s="11"/>
      <c r="AC169" s="11"/>
      <c r="AD169" s="29"/>
      <c r="AE169" s="11"/>
      <c r="AF169" s="29"/>
      <c r="AG169" s="11"/>
      <c r="AH169" s="29"/>
      <c r="AI169" s="11"/>
      <c r="AJ169" s="29"/>
      <c r="AK169" s="29"/>
      <c r="AL169" s="29"/>
      <c r="AM169" s="11"/>
      <c r="AN169" s="29"/>
      <c r="AO169" s="29"/>
      <c r="AP169" s="6"/>
      <c r="AQ169" s="113">
        <f>IF(AND(I169="",K169="",AF169="",AL169="",AN169="",O169=""),"",IF(OR(I169="SIM",K169="SIM",AF169="SIM",AL169="SIM",AN169="Dados pessoais",AN169="Dados sensíveis",AN169="Dados pessoais e sensíveis",O169="Acima de 10.000 titulares por mês"),"SIM - Alta criticidade",IF((IF(I169="SIM",2,0)+IF(K169="SIM",2,0)+IF(AF169="SIM",2,0)+IF(OR(AN169="Dados pessoais",AN169="Dados sensíveis",AN169="Dados pessoais e sensíveis"),2,0)+IF(O169="De 1.001 a 10.000 titulares por mês",1,0)+IF(AA169="SIM",1,0)+IF(R169="SIM",1,0)+IF(AL169="SIM",1,0)+IF(AJ169="NÃO",1,0))&gt;=5,"SIM - Alta criticidade",IF((IF(I169="SIM",2,0)+IF(K169="SIM",2,0)+IF(AF169="SIM",2,0)+IF(OR(AN169="Dados pessoais",AN169="Dados sensíveis",AN169="Dados pessoais e sensíveis"),2,0)+IF(O169="De 1.001 a 10.000 titulares por mês",1,0)+IF(AA169="SIM",1,0)+IF(R169="SIM",1,0)+IF(AL169="SIM",1,0)+IF(AJ169="NÃO",1,0))&gt;=3,"Avaliação necessária","NÃO"))))</f>
      </c>
      <c r="AR169" s="11"/>
      <c r="AS169" s="113">
        <f>IF(AND(I169="",K169="",AF169="",AL169="",AN169="",O169=""),"",IF(OR(I169="SIM",K169="SIM",AF169="SIM",AL169="SIM",OR(AN169="Dados pessoais",AN169="Dados sensíveis",AN169="Dados pessoais e sensíveis"),O169="Acima de 10.000 titulares por mês",(IF(I169="SIM",2,0)+IF(K169="SIM",2,0)+IF(AF169="SIM",2,0)+IF(OR(AN169="Dados pessoais",AN169="Dados sensíveis",AN169="Dados pessoais e sensíveis"),2,0)+IF(O169="De 1.001 a 10.000 titulares por mês",1,0)+IF(AA169="SIM",1,0)+IF(R169="SIM",1,0)+IF(AL169="SIM",1,0)+IF(AJ169="NÃO",1,0))&gt;=3),"DPIA indicado ou em avaliação em razão de: " &amp; TRIM(IF(I169="SIM","tratamento de dados sensíveis; ","") &amp; IF(K169="SIM","utilização de dados de menores; ","") &amp; IF(AF169="SIM","transferência internacional de dados; ","") &amp; IF(AL169="SIM","utilização de inteligência artificial; ","") &amp; IF(OR(AN169="Dados pessoais",AN169="Dados sensíveis",AN169="Dados pessoais e sensíveis"),"dados inseridos em IA; ","") &amp; IF(O169="Acima de 10.000 titulares por mês","volume crítico de titulares; ","") &amp; IF(O169="De 1.001 a 10.000 titulares por mês","volume moderado de titulares; ","") &amp; IF(AA169="SIM","compartilhamento com terceiros; ","") &amp; IF(R169="SIM","compartilhamento com órgãos governamentais; ","") &amp; IF(AJ169="NÃO","ausência de controle de acesso por perfil; ","")),"DPIA não indicado: Processo de baixa criticidade."))</f>
      </c>
    </row>
    <row x14ac:dyDescent="0.25" r="170" customHeight="1" ht="15.75">
      <c r="A170" s="46"/>
      <c r="B170" s="6"/>
      <c r="C170" s="11"/>
      <c r="D170" s="11"/>
      <c r="E170" s="11"/>
      <c r="F170" s="29"/>
      <c r="G170" s="11"/>
      <c r="H170" s="11"/>
      <c r="I170" s="29"/>
      <c r="J170" s="11"/>
      <c r="K170" s="29"/>
      <c r="L170" s="11"/>
      <c r="M170" s="11"/>
      <c r="N170" s="11"/>
      <c r="O170" s="29"/>
      <c r="P170" s="29"/>
      <c r="Q170" s="11"/>
      <c r="R170" s="29"/>
      <c r="S170" s="11"/>
      <c r="T170" s="6"/>
      <c r="U170" s="29"/>
      <c r="V170" s="11"/>
      <c r="W170" s="11"/>
      <c r="X170" s="29"/>
      <c r="Y170" s="11"/>
      <c r="Z170" s="29"/>
      <c r="AA170" s="29"/>
      <c r="AB170" s="11"/>
      <c r="AC170" s="11"/>
      <c r="AD170" s="29"/>
      <c r="AE170" s="11"/>
      <c r="AF170" s="29"/>
      <c r="AG170" s="11"/>
      <c r="AH170" s="29"/>
      <c r="AI170" s="11"/>
      <c r="AJ170" s="29"/>
      <c r="AK170" s="29"/>
      <c r="AL170" s="29"/>
      <c r="AM170" s="11"/>
      <c r="AN170" s="29"/>
      <c r="AO170" s="29"/>
      <c r="AP170" s="6"/>
      <c r="AQ170" s="113">
        <f>IF(AND(I170="",K170="",AF170="",AL170="",AN170="",O170=""),"",IF(OR(I170="SIM",K170="SIM",AF170="SIM",AL170="SIM",AN170="Dados pessoais",AN170="Dados sensíveis",AN170="Dados pessoais e sensíveis",O170="Acima de 10.000 titulares por mês"),"SIM - Alta criticidade",IF((IF(I170="SIM",2,0)+IF(K170="SIM",2,0)+IF(AF170="SIM",2,0)+IF(OR(AN170="Dados pessoais",AN170="Dados sensíveis",AN170="Dados pessoais e sensíveis"),2,0)+IF(O170="De 1.001 a 10.000 titulares por mês",1,0)+IF(AA170="SIM",1,0)+IF(R170="SIM",1,0)+IF(AL170="SIM",1,0)+IF(AJ170="NÃO",1,0))&gt;=5,"SIM - Alta criticidade",IF((IF(I170="SIM",2,0)+IF(K170="SIM",2,0)+IF(AF170="SIM",2,0)+IF(OR(AN170="Dados pessoais",AN170="Dados sensíveis",AN170="Dados pessoais e sensíveis"),2,0)+IF(O170="De 1.001 a 10.000 titulares por mês",1,0)+IF(AA170="SIM",1,0)+IF(R170="SIM",1,0)+IF(AL170="SIM",1,0)+IF(AJ170="NÃO",1,0))&gt;=3,"Avaliação necessária","NÃO"))))</f>
      </c>
      <c r="AR170" s="11"/>
      <c r="AS170" s="113">
        <f>IF(AND(I170="",K170="",AF170="",AL170="",AN170="",O170=""),"",IF(OR(I170="SIM",K170="SIM",AF170="SIM",AL170="SIM",OR(AN170="Dados pessoais",AN170="Dados sensíveis",AN170="Dados pessoais e sensíveis"),O170="Acima de 10.000 titulares por mês",(IF(I170="SIM",2,0)+IF(K170="SIM",2,0)+IF(AF170="SIM",2,0)+IF(OR(AN170="Dados pessoais",AN170="Dados sensíveis",AN170="Dados pessoais e sensíveis"),2,0)+IF(O170="De 1.001 a 10.000 titulares por mês",1,0)+IF(AA170="SIM",1,0)+IF(R170="SIM",1,0)+IF(AL170="SIM",1,0)+IF(AJ170="NÃO",1,0))&gt;=3),"DPIA indicado ou em avaliação em razão de: " &amp; TRIM(IF(I170="SIM","tratamento de dados sensíveis; ","") &amp; IF(K170="SIM","utilização de dados de menores; ","") &amp; IF(AF170="SIM","transferência internacional de dados; ","") &amp; IF(AL170="SIM","utilização de inteligência artificial; ","") &amp; IF(OR(AN170="Dados pessoais",AN170="Dados sensíveis",AN170="Dados pessoais e sensíveis"),"dados inseridos em IA; ","") &amp; IF(O170="Acima de 10.000 titulares por mês","volume crítico de titulares; ","") &amp; IF(O170="De 1.001 a 10.000 titulares por mês","volume moderado de titulares; ","") &amp; IF(AA170="SIM","compartilhamento com terceiros; ","") &amp; IF(R170="SIM","compartilhamento com órgãos governamentais; ","") &amp; IF(AJ170="NÃO","ausência de controle de acesso por perfil; ","")),"DPIA não indicado: Processo de baixa criticidade."))</f>
      </c>
    </row>
    <row x14ac:dyDescent="0.25" r="171" customHeight="1" ht="15.75">
      <c r="A171" s="46"/>
      <c r="B171" s="6"/>
      <c r="C171" s="11"/>
      <c r="D171" s="11"/>
      <c r="E171" s="11"/>
      <c r="F171" s="29"/>
      <c r="G171" s="11"/>
      <c r="H171" s="11"/>
      <c r="I171" s="29"/>
      <c r="J171" s="11"/>
      <c r="K171" s="29"/>
      <c r="L171" s="11"/>
      <c r="M171" s="11"/>
      <c r="N171" s="11"/>
      <c r="O171" s="29"/>
      <c r="P171" s="29"/>
      <c r="Q171" s="11"/>
      <c r="R171" s="29"/>
      <c r="S171" s="11"/>
      <c r="T171" s="6"/>
      <c r="U171" s="29"/>
      <c r="V171" s="11"/>
      <c r="W171" s="11"/>
      <c r="X171" s="29"/>
      <c r="Y171" s="11"/>
      <c r="Z171" s="29"/>
      <c r="AA171" s="29"/>
      <c r="AB171" s="11"/>
      <c r="AC171" s="11"/>
      <c r="AD171" s="29"/>
      <c r="AE171" s="11"/>
      <c r="AF171" s="29"/>
      <c r="AG171" s="11"/>
      <c r="AH171" s="29"/>
      <c r="AI171" s="11"/>
      <c r="AJ171" s="29"/>
      <c r="AK171" s="29"/>
      <c r="AL171" s="29"/>
      <c r="AM171" s="11"/>
      <c r="AN171" s="29"/>
      <c r="AO171" s="29"/>
      <c r="AP171" s="6"/>
      <c r="AQ171" s="113">
        <f>IF(AND(I171="",K171="",AF171="",AL171="",AN171="",O171=""),"",IF(OR(I171="SIM",K171="SIM",AF171="SIM",AL171="SIM",AN171="Dados pessoais",AN171="Dados sensíveis",AN171="Dados pessoais e sensíveis",O171="Acima de 10.000 titulares por mês"),"SIM - Alta criticidade",IF((IF(I171="SIM",2,0)+IF(K171="SIM",2,0)+IF(AF171="SIM",2,0)+IF(OR(AN171="Dados pessoais",AN171="Dados sensíveis",AN171="Dados pessoais e sensíveis"),2,0)+IF(O171="De 1.001 a 10.000 titulares por mês",1,0)+IF(AA171="SIM",1,0)+IF(R171="SIM",1,0)+IF(AL171="SIM",1,0)+IF(AJ171="NÃO",1,0))&gt;=5,"SIM - Alta criticidade",IF((IF(I171="SIM",2,0)+IF(K171="SIM",2,0)+IF(AF171="SIM",2,0)+IF(OR(AN171="Dados pessoais",AN171="Dados sensíveis",AN171="Dados pessoais e sensíveis"),2,0)+IF(O171="De 1.001 a 10.000 titulares por mês",1,0)+IF(AA171="SIM",1,0)+IF(R171="SIM",1,0)+IF(AL171="SIM",1,0)+IF(AJ171="NÃO",1,0))&gt;=3,"Avaliação necessária","NÃO"))))</f>
      </c>
      <c r="AR171" s="11"/>
      <c r="AS171" s="113">
        <f>IF(AND(I171="",K171="",AF171="",AL171="",AN171="",O171=""),"",IF(OR(I171="SIM",K171="SIM",AF171="SIM",AL171="SIM",OR(AN171="Dados pessoais",AN171="Dados sensíveis",AN171="Dados pessoais e sensíveis"),O171="Acima de 10.000 titulares por mês",(IF(I171="SIM",2,0)+IF(K171="SIM",2,0)+IF(AF171="SIM",2,0)+IF(OR(AN171="Dados pessoais",AN171="Dados sensíveis",AN171="Dados pessoais e sensíveis"),2,0)+IF(O171="De 1.001 a 10.000 titulares por mês",1,0)+IF(AA171="SIM",1,0)+IF(R171="SIM",1,0)+IF(AL171="SIM",1,0)+IF(AJ171="NÃO",1,0))&gt;=3),"DPIA indicado ou em avaliação em razão de: " &amp; TRIM(IF(I171="SIM","tratamento de dados sensíveis; ","") &amp; IF(K171="SIM","utilização de dados de menores; ","") &amp; IF(AF171="SIM","transferência internacional de dados; ","") &amp; IF(AL171="SIM","utilização de inteligência artificial; ","") &amp; IF(OR(AN171="Dados pessoais",AN171="Dados sensíveis",AN171="Dados pessoais e sensíveis"),"dados inseridos em IA; ","") &amp; IF(O171="Acima de 10.000 titulares por mês","volume crítico de titulares; ","") &amp; IF(O171="De 1.001 a 10.000 titulares por mês","volume moderado de titulares; ","") &amp; IF(AA171="SIM","compartilhamento com terceiros; ","") &amp; IF(R171="SIM","compartilhamento com órgãos governamentais; ","") &amp; IF(AJ171="NÃO","ausência de controle de acesso por perfil; ","")),"DPIA não indicado: Processo de baixa criticidade."))</f>
      </c>
    </row>
    <row x14ac:dyDescent="0.25" r="172" customHeight="1" ht="15.75">
      <c r="A172" s="46"/>
      <c r="B172" s="6"/>
      <c r="C172" s="11"/>
      <c r="D172" s="11"/>
      <c r="E172" s="11"/>
      <c r="F172" s="29"/>
      <c r="G172" s="11"/>
      <c r="H172" s="11"/>
      <c r="I172" s="29"/>
      <c r="J172" s="11"/>
      <c r="K172" s="29"/>
      <c r="L172" s="11"/>
      <c r="M172" s="11"/>
      <c r="N172" s="11"/>
      <c r="O172" s="29"/>
      <c r="P172" s="29"/>
      <c r="Q172" s="11"/>
      <c r="R172" s="29"/>
      <c r="S172" s="11"/>
      <c r="T172" s="6"/>
      <c r="U172" s="29"/>
      <c r="V172" s="11"/>
      <c r="W172" s="11"/>
      <c r="X172" s="29"/>
      <c r="Y172" s="11"/>
      <c r="Z172" s="29"/>
      <c r="AA172" s="29"/>
      <c r="AB172" s="11"/>
      <c r="AC172" s="11"/>
      <c r="AD172" s="29"/>
      <c r="AE172" s="11"/>
      <c r="AF172" s="29"/>
      <c r="AG172" s="11"/>
      <c r="AH172" s="29"/>
      <c r="AI172" s="11"/>
      <c r="AJ172" s="29"/>
      <c r="AK172" s="29"/>
      <c r="AL172" s="29"/>
      <c r="AM172" s="11"/>
      <c r="AN172" s="29"/>
      <c r="AO172" s="29"/>
      <c r="AP172" s="6"/>
      <c r="AQ172" s="113">
        <f>IF(AND(I172="",K172="",AF172="",AL172="",AN172="",O172=""),"",IF(OR(I172="SIM",K172="SIM",AF172="SIM",AL172="SIM",AN172="Dados pessoais",AN172="Dados sensíveis",AN172="Dados pessoais e sensíveis",O172="Acima de 10.000 titulares por mês"),"SIM - Alta criticidade",IF((IF(I172="SIM",2,0)+IF(K172="SIM",2,0)+IF(AF172="SIM",2,0)+IF(OR(AN172="Dados pessoais",AN172="Dados sensíveis",AN172="Dados pessoais e sensíveis"),2,0)+IF(O172="De 1.001 a 10.000 titulares por mês",1,0)+IF(AA172="SIM",1,0)+IF(R172="SIM",1,0)+IF(AL172="SIM",1,0)+IF(AJ172="NÃO",1,0))&gt;=5,"SIM - Alta criticidade",IF((IF(I172="SIM",2,0)+IF(K172="SIM",2,0)+IF(AF172="SIM",2,0)+IF(OR(AN172="Dados pessoais",AN172="Dados sensíveis",AN172="Dados pessoais e sensíveis"),2,0)+IF(O172="De 1.001 a 10.000 titulares por mês",1,0)+IF(AA172="SIM",1,0)+IF(R172="SIM",1,0)+IF(AL172="SIM",1,0)+IF(AJ172="NÃO",1,0))&gt;=3,"Avaliação necessária","NÃO"))))</f>
      </c>
      <c r="AR172" s="11"/>
      <c r="AS172" s="113">
        <f>IF(AND(I172="",K172="",AF172="",AL172="",AN172="",O172=""),"",IF(OR(I172="SIM",K172="SIM",AF172="SIM",AL172="SIM",OR(AN172="Dados pessoais",AN172="Dados sensíveis",AN172="Dados pessoais e sensíveis"),O172="Acima de 10.000 titulares por mês",(IF(I172="SIM",2,0)+IF(K172="SIM",2,0)+IF(AF172="SIM",2,0)+IF(OR(AN172="Dados pessoais",AN172="Dados sensíveis",AN172="Dados pessoais e sensíveis"),2,0)+IF(O172="De 1.001 a 10.000 titulares por mês",1,0)+IF(AA172="SIM",1,0)+IF(R172="SIM",1,0)+IF(AL172="SIM",1,0)+IF(AJ172="NÃO",1,0))&gt;=3),"DPIA indicado ou em avaliação em razão de: " &amp; TRIM(IF(I172="SIM","tratamento de dados sensíveis; ","") &amp; IF(K172="SIM","utilização de dados de menores; ","") &amp; IF(AF172="SIM","transferência internacional de dados; ","") &amp; IF(AL172="SIM","utilização de inteligência artificial; ","") &amp; IF(OR(AN172="Dados pessoais",AN172="Dados sensíveis",AN172="Dados pessoais e sensíveis"),"dados inseridos em IA; ","") &amp; IF(O172="Acima de 10.000 titulares por mês","volume crítico de titulares; ","") &amp; IF(O172="De 1.001 a 10.000 titulares por mês","volume moderado de titulares; ","") &amp; IF(AA172="SIM","compartilhamento com terceiros; ","") &amp; IF(R172="SIM","compartilhamento com órgãos governamentais; ","") &amp; IF(AJ172="NÃO","ausência de controle de acesso por perfil; ","")),"DPIA não indicado: Processo de baixa criticidade."))</f>
      </c>
    </row>
    <row x14ac:dyDescent="0.25" r="173" customHeight="1" ht="15.75">
      <c r="A173" s="46"/>
      <c r="B173" s="6"/>
      <c r="C173" s="11"/>
      <c r="D173" s="11"/>
      <c r="E173" s="11"/>
      <c r="F173" s="29"/>
      <c r="G173" s="11"/>
      <c r="H173" s="11"/>
      <c r="I173" s="29"/>
      <c r="J173" s="11"/>
      <c r="K173" s="29"/>
      <c r="L173" s="11"/>
      <c r="M173" s="11"/>
      <c r="N173" s="11"/>
      <c r="O173" s="29"/>
      <c r="P173" s="29"/>
      <c r="Q173" s="11"/>
      <c r="R173" s="29"/>
      <c r="S173" s="11"/>
      <c r="T173" s="6"/>
      <c r="U173" s="29"/>
      <c r="V173" s="11"/>
      <c r="W173" s="11"/>
      <c r="X173" s="29"/>
      <c r="Y173" s="11"/>
      <c r="Z173" s="29"/>
      <c r="AA173" s="29"/>
      <c r="AB173" s="11"/>
      <c r="AC173" s="11"/>
      <c r="AD173" s="29"/>
      <c r="AE173" s="11"/>
      <c r="AF173" s="29"/>
      <c r="AG173" s="11"/>
      <c r="AH173" s="29"/>
      <c r="AI173" s="11"/>
      <c r="AJ173" s="29"/>
      <c r="AK173" s="29"/>
      <c r="AL173" s="29"/>
      <c r="AM173" s="11"/>
      <c r="AN173" s="29"/>
      <c r="AO173" s="29"/>
      <c r="AP173" s="6"/>
      <c r="AQ173" s="113">
        <f>IF(AND(I173="",K173="",AF173="",AL173="",AN173="",O173=""),"",IF(OR(I173="SIM",K173="SIM",AF173="SIM",AL173="SIM",AN173="Dados pessoais",AN173="Dados sensíveis",AN173="Dados pessoais e sensíveis",O173="Acima de 10.000 titulares por mês"),"SIM - Alta criticidade",IF((IF(I173="SIM",2,0)+IF(K173="SIM",2,0)+IF(AF173="SIM",2,0)+IF(OR(AN173="Dados pessoais",AN173="Dados sensíveis",AN173="Dados pessoais e sensíveis"),2,0)+IF(O173="De 1.001 a 10.000 titulares por mês",1,0)+IF(AA173="SIM",1,0)+IF(R173="SIM",1,0)+IF(AL173="SIM",1,0)+IF(AJ173="NÃO",1,0))&gt;=5,"SIM - Alta criticidade",IF((IF(I173="SIM",2,0)+IF(K173="SIM",2,0)+IF(AF173="SIM",2,0)+IF(OR(AN173="Dados pessoais",AN173="Dados sensíveis",AN173="Dados pessoais e sensíveis"),2,0)+IF(O173="De 1.001 a 10.000 titulares por mês",1,0)+IF(AA173="SIM",1,0)+IF(R173="SIM",1,0)+IF(AL173="SIM",1,0)+IF(AJ173="NÃO",1,0))&gt;=3,"Avaliação necessária","NÃO"))))</f>
      </c>
      <c r="AR173" s="11"/>
      <c r="AS173" s="113">
        <f>IF(AND(I173="",K173="",AF173="",AL173="",AN173="",O173=""),"",IF(OR(I173="SIM",K173="SIM",AF173="SIM",AL173="SIM",OR(AN173="Dados pessoais",AN173="Dados sensíveis",AN173="Dados pessoais e sensíveis"),O173="Acima de 10.000 titulares por mês",(IF(I173="SIM",2,0)+IF(K173="SIM",2,0)+IF(AF173="SIM",2,0)+IF(OR(AN173="Dados pessoais",AN173="Dados sensíveis",AN173="Dados pessoais e sensíveis"),2,0)+IF(O173="De 1.001 a 10.000 titulares por mês",1,0)+IF(AA173="SIM",1,0)+IF(R173="SIM",1,0)+IF(AL173="SIM",1,0)+IF(AJ173="NÃO",1,0))&gt;=3),"DPIA indicado ou em avaliação em razão de: " &amp; TRIM(IF(I173="SIM","tratamento de dados sensíveis; ","") &amp; IF(K173="SIM","utilização de dados de menores; ","") &amp; IF(AF173="SIM","transferência internacional de dados; ","") &amp; IF(AL173="SIM","utilização de inteligência artificial; ","") &amp; IF(OR(AN173="Dados pessoais",AN173="Dados sensíveis",AN173="Dados pessoais e sensíveis"),"dados inseridos em IA; ","") &amp; IF(O173="Acima de 10.000 titulares por mês","volume crítico de titulares; ","") &amp; IF(O173="De 1.001 a 10.000 titulares por mês","volume moderado de titulares; ","") &amp; IF(AA173="SIM","compartilhamento com terceiros; ","") &amp; IF(R173="SIM","compartilhamento com órgãos governamentais; ","") &amp; IF(AJ173="NÃO","ausência de controle de acesso por perfil; ","")),"DPIA não indicado: Processo de baixa criticidade."))</f>
      </c>
    </row>
    <row x14ac:dyDescent="0.25" r="174" customHeight="1" ht="15.75">
      <c r="A174" s="46"/>
      <c r="B174" s="6"/>
      <c r="C174" s="11"/>
      <c r="D174" s="11"/>
      <c r="E174" s="11"/>
      <c r="F174" s="29"/>
      <c r="G174" s="11"/>
      <c r="H174" s="11"/>
      <c r="I174" s="29"/>
      <c r="J174" s="11"/>
      <c r="K174" s="29"/>
      <c r="L174" s="11"/>
      <c r="M174" s="11"/>
      <c r="N174" s="11"/>
      <c r="O174" s="29"/>
      <c r="P174" s="29"/>
      <c r="Q174" s="11"/>
      <c r="R174" s="29"/>
      <c r="S174" s="11"/>
      <c r="T174" s="6"/>
      <c r="U174" s="29"/>
      <c r="V174" s="11"/>
      <c r="W174" s="11"/>
      <c r="X174" s="29"/>
      <c r="Y174" s="11"/>
      <c r="Z174" s="29"/>
      <c r="AA174" s="29"/>
      <c r="AB174" s="11"/>
      <c r="AC174" s="11"/>
      <c r="AD174" s="29"/>
      <c r="AE174" s="11"/>
      <c r="AF174" s="29"/>
      <c r="AG174" s="11"/>
      <c r="AH174" s="29"/>
      <c r="AI174" s="11"/>
      <c r="AJ174" s="29"/>
      <c r="AK174" s="29"/>
      <c r="AL174" s="29"/>
      <c r="AM174" s="11"/>
      <c r="AN174" s="29"/>
      <c r="AO174" s="29"/>
      <c r="AP174" s="6"/>
      <c r="AQ174" s="113">
        <f>IF(AND(I174="",K174="",AF174="",AL174="",AN174="",O174=""),"",IF(OR(I174="SIM",K174="SIM",AF174="SIM",AL174="SIM",AN174="Dados pessoais",AN174="Dados sensíveis",AN174="Dados pessoais e sensíveis",O174="Acima de 10.000 titulares por mês"),"SIM - Alta criticidade",IF((IF(I174="SIM",2,0)+IF(K174="SIM",2,0)+IF(AF174="SIM",2,0)+IF(OR(AN174="Dados pessoais",AN174="Dados sensíveis",AN174="Dados pessoais e sensíveis"),2,0)+IF(O174="De 1.001 a 10.000 titulares por mês",1,0)+IF(AA174="SIM",1,0)+IF(R174="SIM",1,0)+IF(AL174="SIM",1,0)+IF(AJ174="NÃO",1,0))&gt;=5,"SIM - Alta criticidade",IF((IF(I174="SIM",2,0)+IF(K174="SIM",2,0)+IF(AF174="SIM",2,0)+IF(OR(AN174="Dados pessoais",AN174="Dados sensíveis",AN174="Dados pessoais e sensíveis"),2,0)+IF(O174="De 1.001 a 10.000 titulares por mês",1,0)+IF(AA174="SIM",1,0)+IF(R174="SIM",1,0)+IF(AL174="SIM",1,0)+IF(AJ174="NÃO",1,0))&gt;=3,"Avaliação necessária","NÃO"))))</f>
      </c>
      <c r="AR174" s="11"/>
      <c r="AS174" s="113">
        <f>IF(AND(I174="",K174="",AF174="",AL174="",AN174="",O174=""),"",IF(OR(I174="SIM",K174="SIM",AF174="SIM",AL174="SIM",OR(AN174="Dados pessoais",AN174="Dados sensíveis",AN174="Dados pessoais e sensíveis"),O174="Acima de 10.000 titulares por mês",(IF(I174="SIM",2,0)+IF(K174="SIM",2,0)+IF(AF174="SIM",2,0)+IF(OR(AN174="Dados pessoais",AN174="Dados sensíveis",AN174="Dados pessoais e sensíveis"),2,0)+IF(O174="De 1.001 a 10.000 titulares por mês",1,0)+IF(AA174="SIM",1,0)+IF(R174="SIM",1,0)+IF(AL174="SIM",1,0)+IF(AJ174="NÃO",1,0))&gt;=3),"DPIA indicado ou em avaliação em razão de: " &amp; TRIM(IF(I174="SIM","tratamento de dados sensíveis; ","") &amp; IF(K174="SIM","utilização de dados de menores; ","") &amp; IF(AF174="SIM","transferência internacional de dados; ","") &amp; IF(AL174="SIM","utilização de inteligência artificial; ","") &amp; IF(OR(AN174="Dados pessoais",AN174="Dados sensíveis",AN174="Dados pessoais e sensíveis"),"dados inseridos em IA; ","") &amp; IF(O174="Acima de 10.000 titulares por mês","volume crítico de titulares; ","") &amp; IF(O174="De 1.001 a 10.000 titulares por mês","volume moderado de titulares; ","") &amp; IF(AA174="SIM","compartilhamento com terceiros; ","") &amp; IF(R174="SIM","compartilhamento com órgãos governamentais; ","") &amp; IF(AJ174="NÃO","ausência de controle de acesso por perfil; ","")),"DPIA não indicado: Processo de baixa criticidade."))</f>
      </c>
    </row>
    <row x14ac:dyDescent="0.25" r="175" customHeight="1" ht="15.75">
      <c r="A175" s="46"/>
      <c r="B175" s="6"/>
      <c r="C175" s="11"/>
      <c r="D175" s="11"/>
      <c r="E175" s="11"/>
      <c r="F175" s="29"/>
      <c r="G175" s="11"/>
      <c r="H175" s="11"/>
      <c r="I175" s="29"/>
      <c r="J175" s="11"/>
      <c r="K175" s="29"/>
      <c r="L175" s="11"/>
      <c r="M175" s="11"/>
      <c r="N175" s="11"/>
      <c r="O175" s="29"/>
      <c r="P175" s="29"/>
      <c r="Q175" s="11"/>
      <c r="R175" s="29"/>
      <c r="S175" s="11"/>
      <c r="T175" s="6"/>
      <c r="U175" s="29"/>
      <c r="V175" s="11"/>
      <c r="W175" s="11"/>
      <c r="X175" s="29"/>
      <c r="Y175" s="11"/>
      <c r="Z175" s="29"/>
      <c r="AA175" s="29"/>
      <c r="AB175" s="11"/>
      <c r="AC175" s="11"/>
      <c r="AD175" s="29"/>
      <c r="AE175" s="11"/>
      <c r="AF175" s="29"/>
      <c r="AG175" s="11"/>
      <c r="AH175" s="29"/>
      <c r="AI175" s="11"/>
      <c r="AJ175" s="29"/>
      <c r="AK175" s="29"/>
      <c r="AL175" s="29"/>
      <c r="AM175" s="11"/>
      <c r="AN175" s="29"/>
      <c r="AO175" s="29"/>
      <c r="AP175" s="6"/>
      <c r="AQ175" s="113">
        <f>IF(AND(I175="",K175="",AF175="",AL175="",AN175="",O175=""),"",IF(OR(I175="SIM",K175="SIM",AF175="SIM",AL175="SIM",AN175="Dados pessoais",AN175="Dados sensíveis",AN175="Dados pessoais e sensíveis",O175="Acima de 10.000 titulares por mês"),"SIM - Alta criticidade",IF((IF(I175="SIM",2,0)+IF(K175="SIM",2,0)+IF(AF175="SIM",2,0)+IF(OR(AN175="Dados pessoais",AN175="Dados sensíveis",AN175="Dados pessoais e sensíveis"),2,0)+IF(O175="De 1.001 a 10.000 titulares por mês",1,0)+IF(AA175="SIM",1,0)+IF(R175="SIM",1,0)+IF(AL175="SIM",1,0)+IF(AJ175="NÃO",1,0))&gt;=5,"SIM - Alta criticidade",IF((IF(I175="SIM",2,0)+IF(K175="SIM",2,0)+IF(AF175="SIM",2,0)+IF(OR(AN175="Dados pessoais",AN175="Dados sensíveis",AN175="Dados pessoais e sensíveis"),2,0)+IF(O175="De 1.001 a 10.000 titulares por mês",1,0)+IF(AA175="SIM",1,0)+IF(R175="SIM",1,0)+IF(AL175="SIM",1,0)+IF(AJ175="NÃO",1,0))&gt;=3,"Avaliação necessária","NÃO"))))</f>
      </c>
      <c r="AR175" s="11"/>
      <c r="AS175" s="113">
        <f>IF(AND(I175="",K175="",AF175="",AL175="",AN175="",O175=""),"",IF(OR(I175="SIM",K175="SIM",AF175="SIM",AL175="SIM",OR(AN175="Dados pessoais",AN175="Dados sensíveis",AN175="Dados pessoais e sensíveis"),O175="Acima de 10.000 titulares por mês",(IF(I175="SIM",2,0)+IF(K175="SIM",2,0)+IF(AF175="SIM",2,0)+IF(OR(AN175="Dados pessoais",AN175="Dados sensíveis",AN175="Dados pessoais e sensíveis"),2,0)+IF(O175="De 1.001 a 10.000 titulares por mês",1,0)+IF(AA175="SIM",1,0)+IF(R175="SIM",1,0)+IF(AL175="SIM",1,0)+IF(AJ175="NÃO",1,0))&gt;=3),"DPIA indicado ou em avaliação em razão de: " &amp; TRIM(IF(I175="SIM","tratamento de dados sensíveis; ","") &amp; IF(K175="SIM","utilização de dados de menores; ","") &amp; IF(AF175="SIM","transferência internacional de dados; ","") &amp; IF(AL175="SIM","utilização de inteligência artificial; ","") &amp; IF(OR(AN175="Dados pessoais",AN175="Dados sensíveis",AN175="Dados pessoais e sensíveis"),"dados inseridos em IA; ","") &amp; IF(O175="Acima de 10.000 titulares por mês","volume crítico de titulares; ","") &amp; IF(O175="De 1.001 a 10.000 titulares por mês","volume moderado de titulares; ","") &amp; IF(AA175="SIM","compartilhamento com terceiros; ","") &amp; IF(R175="SIM","compartilhamento com órgãos governamentais; ","") &amp; IF(AJ175="NÃO","ausência de controle de acesso por perfil; ","")),"DPIA não indicado: Processo de baixa criticidade."))</f>
      </c>
    </row>
    <row x14ac:dyDescent="0.25" r="176" customHeight="1" ht="15.75">
      <c r="A176" s="46"/>
      <c r="B176" s="6"/>
      <c r="C176" s="11"/>
      <c r="D176" s="11"/>
      <c r="E176" s="11"/>
      <c r="F176" s="29"/>
      <c r="G176" s="11"/>
      <c r="H176" s="11"/>
      <c r="I176" s="29"/>
      <c r="J176" s="11"/>
      <c r="K176" s="29"/>
      <c r="L176" s="11"/>
      <c r="M176" s="11"/>
      <c r="N176" s="11"/>
      <c r="O176" s="29"/>
      <c r="P176" s="29"/>
      <c r="Q176" s="11"/>
      <c r="R176" s="29"/>
      <c r="S176" s="11"/>
      <c r="T176" s="6"/>
      <c r="U176" s="29"/>
      <c r="V176" s="11"/>
      <c r="W176" s="11"/>
      <c r="X176" s="29"/>
      <c r="Y176" s="11"/>
      <c r="Z176" s="29"/>
      <c r="AA176" s="29"/>
      <c r="AB176" s="11"/>
      <c r="AC176" s="11"/>
      <c r="AD176" s="29"/>
      <c r="AE176" s="11"/>
      <c r="AF176" s="29"/>
      <c r="AG176" s="11"/>
      <c r="AH176" s="29"/>
      <c r="AI176" s="11"/>
      <c r="AJ176" s="29"/>
      <c r="AK176" s="29"/>
      <c r="AL176" s="29"/>
      <c r="AM176" s="11"/>
      <c r="AN176" s="29"/>
      <c r="AO176" s="29"/>
      <c r="AP176" s="6"/>
      <c r="AQ176" s="113">
        <f>IF(AND(I176="",K176="",AF176="",AL176="",AN176="",O176=""),"",IF(OR(I176="SIM",K176="SIM",AF176="SIM",AL176="SIM",AN176="Dados pessoais",AN176="Dados sensíveis",AN176="Dados pessoais e sensíveis",O176="Acima de 10.000 titulares por mês"),"SIM - Alta criticidade",IF((IF(I176="SIM",2,0)+IF(K176="SIM",2,0)+IF(AF176="SIM",2,0)+IF(OR(AN176="Dados pessoais",AN176="Dados sensíveis",AN176="Dados pessoais e sensíveis"),2,0)+IF(O176="De 1.001 a 10.000 titulares por mês",1,0)+IF(AA176="SIM",1,0)+IF(R176="SIM",1,0)+IF(AL176="SIM",1,0)+IF(AJ176="NÃO",1,0))&gt;=5,"SIM - Alta criticidade",IF((IF(I176="SIM",2,0)+IF(K176="SIM",2,0)+IF(AF176="SIM",2,0)+IF(OR(AN176="Dados pessoais",AN176="Dados sensíveis",AN176="Dados pessoais e sensíveis"),2,0)+IF(O176="De 1.001 a 10.000 titulares por mês",1,0)+IF(AA176="SIM",1,0)+IF(R176="SIM",1,0)+IF(AL176="SIM",1,0)+IF(AJ176="NÃO",1,0))&gt;=3,"Avaliação necessária","NÃO"))))</f>
      </c>
      <c r="AR176" s="11"/>
      <c r="AS176" s="113">
        <f>IF(AND(I176="",K176="",AF176="",AL176="",AN176="",O176=""),"",IF(OR(I176="SIM",K176="SIM",AF176="SIM",AL176="SIM",OR(AN176="Dados pessoais",AN176="Dados sensíveis",AN176="Dados pessoais e sensíveis"),O176="Acima de 10.000 titulares por mês",(IF(I176="SIM",2,0)+IF(K176="SIM",2,0)+IF(AF176="SIM",2,0)+IF(OR(AN176="Dados pessoais",AN176="Dados sensíveis",AN176="Dados pessoais e sensíveis"),2,0)+IF(O176="De 1.001 a 10.000 titulares por mês",1,0)+IF(AA176="SIM",1,0)+IF(R176="SIM",1,0)+IF(AL176="SIM",1,0)+IF(AJ176="NÃO",1,0))&gt;=3),"DPIA indicado ou em avaliação em razão de: " &amp; TRIM(IF(I176="SIM","tratamento de dados sensíveis; ","") &amp; IF(K176="SIM","utilização de dados de menores; ","") &amp; IF(AF176="SIM","transferência internacional de dados; ","") &amp; IF(AL176="SIM","utilização de inteligência artificial; ","") &amp; IF(OR(AN176="Dados pessoais",AN176="Dados sensíveis",AN176="Dados pessoais e sensíveis"),"dados inseridos em IA; ","") &amp; IF(O176="Acima de 10.000 titulares por mês","volume crítico de titulares; ","") &amp; IF(O176="De 1.001 a 10.000 titulares por mês","volume moderado de titulares; ","") &amp; IF(AA176="SIM","compartilhamento com terceiros; ","") &amp; IF(R176="SIM","compartilhamento com órgãos governamentais; ","") &amp; IF(AJ176="NÃO","ausência de controle de acesso por perfil; ","")),"DPIA não indicado: Processo de baixa criticidade."))</f>
      </c>
    </row>
    <row x14ac:dyDescent="0.25" r="177" customHeight="1" ht="15.75">
      <c r="A177" s="46"/>
      <c r="B177" s="6"/>
      <c r="C177" s="11"/>
      <c r="D177" s="11"/>
      <c r="E177" s="11"/>
      <c r="F177" s="29"/>
      <c r="G177" s="11"/>
      <c r="H177" s="11"/>
      <c r="I177" s="29"/>
      <c r="J177" s="11"/>
      <c r="K177" s="29"/>
      <c r="L177" s="11"/>
      <c r="M177" s="11"/>
      <c r="N177" s="11"/>
      <c r="O177" s="29"/>
      <c r="P177" s="29"/>
      <c r="Q177" s="11"/>
      <c r="R177" s="29"/>
      <c r="S177" s="11"/>
      <c r="T177" s="6"/>
      <c r="U177" s="29"/>
      <c r="V177" s="11"/>
      <c r="W177" s="11"/>
      <c r="X177" s="29"/>
      <c r="Y177" s="11"/>
      <c r="Z177" s="29"/>
      <c r="AA177" s="29"/>
      <c r="AB177" s="11"/>
      <c r="AC177" s="11"/>
      <c r="AD177" s="29"/>
      <c r="AE177" s="11"/>
      <c r="AF177" s="29"/>
      <c r="AG177" s="11"/>
      <c r="AH177" s="29"/>
      <c r="AI177" s="11"/>
      <c r="AJ177" s="29"/>
      <c r="AK177" s="29"/>
      <c r="AL177" s="29"/>
      <c r="AM177" s="11"/>
      <c r="AN177" s="29"/>
      <c r="AO177" s="29"/>
      <c r="AP177" s="6"/>
      <c r="AQ177" s="113">
        <f>IF(AND(I177="",K177="",AF177="",AL177="",AN177="",O177=""),"",IF(OR(I177="SIM",K177="SIM",AF177="SIM",AL177="SIM",AN177="Dados pessoais",AN177="Dados sensíveis",AN177="Dados pessoais e sensíveis",O177="Acima de 10.000 titulares por mês"),"SIM - Alta criticidade",IF((IF(I177="SIM",2,0)+IF(K177="SIM",2,0)+IF(AF177="SIM",2,0)+IF(OR(AN177="Dados pessoais",AN177="Dados sensíveis",AN177="Dados pessoais e sensíveis"),2,0)+IF(O177="De 1.001 a 10.000 titulares por mês",1,0)+IF(AA177="SIM",1,0)+IF(R177="SIM",1,0)+IF(AL177="SIM",1,0)+IF(AJ177="NÃO",1,0))&gt;=5,"SIM - Alta criticidade",IF((IF(I177="SIM",2,0)+IF(K177="SIM",2,0)+IF(AF177="SIM",2,0)+IF(OR(AN177="Dados pessoais",AN177="Dados sensíveis",AN177="Dados pessoais e sensíveis"),2,0)+IF(O177="De 1.001 a 10.000 titulares por mês",1,0)+IF(AA177="SIM",1,0)+IF(R177="SIM",1,0)+IF(AL177="SIM",1,0)+IF(AJ177="NÃO",1,0))&gt;=3,"Avaliação necessária","NÃO"))))</f>
      </c>
      <c r="AR177" s="11"/>
      <c r="AS177" s="113">
        <f>IF(AND(I177="",K177="",AF177="",AL177="",AN177="",O177=""),"",IF(OR(I177="SIM",K177="SIM",AF177="SIM",AL177="SIM",OR(AN177="Dados pessoais",AN177="Dados sensíveis",AN177="Dados pessoais e sensíveis"),O177="Acima de 10.000 titulares por mês",(IF(I177="SIM",2,0)+IF(K177="SIM",2,0)+IF(AF177="SIM",2,0)+IF(OR(AN177="Dados pessoais",AN177="Dados sensíveis",AN177="Dados pessoais e sensíveis"),2,0)+IF(O177="De 1.001 a 10.000 titulares por mês",1,0)+IF(AA177="SIM",1,0)+IF(R177="SIM",1,0)+IF(AL177="SIM",1,0)+IF(AJ177="NÃO",1,0))&gt;=3),"DPIA indicado ou em avaliação em razão de: " &amp; TRIM(IF(I177="SIM","tratamento de dados sensíveis; ","") &amp; IF(K177="SIM","utilização de dados de menores; ","") &amp; IF(AF177="SIM","transferência internacional de dados; ","") &amp; IF(AL177="SIM","utilização de inteligência artificial; ","") &amp; IF(OR(AN177="Dados pessoais",AN177="Dados sensíveis",AN177="Dados pessoais e sensíveis"),"dados inseridos em IA; ","") &amp; IF(O177="Acima de 10.000 titulares por mês","volume crítico de titulares; ","") &amp; IF(O177="De 1.001 a 10.000 titulares por mês","volume moderado de titulares; ","") &amp; IF(AA177="SIM","compartilhamento com terceiros; ","") &amp; IF(R177="SIM","compartilhamento com órgãos governamentais; ","") &amp; IF(AJ177="NÃO","ausência de controle de acesso por perfil; ","")),"DPIA não indicado: Processo de baixa criticidade."))</f>
      </c>
    </row>
    <row x14ac:dyDescent="0.25" r="178" customHeight="1" ht="15.75">
      <c r="A178" s="46"/>
      <c r="B178" s="6"/>
      <c r="C178" s="11"/>
      <c r="D178" s="11"/>
      <c r="E178" s="11"/>
      <c r="F178" s="29"/>
      <c r="G178" s="11"/>
      <c r="H178" s="11"/>
      <c r="I178" s="29"/>
      <c r="J178" s="11"/>
      <c r="K178" s="29"/>
      <c r="L178" s="11"/>
      <c r="M178" s="11"/>
      <c r="N178" s="11"/>
      <c r="O178" s="29"/>
      <c r="P178" s="29"/>
      <c r="Q178" s="11"/>
      <c r="R178" s="29"/>
      <c r="S178" s="11"/>
      <c r="T178" s="6"/>
      <c r="U178" s="29"/>
      <c r="V178" s="11"/>
      <c r="W178" s="11"/>
      <c r="X178" s="29"/>
      <c r="Y178" s="11"/>
      <c r="Z178" s="29"/>
      <c r="AA178" s="29"/>
      <c r="AB178" s="11"/>
      <c r="AC178" s="11"/>
      <c r="AD178" s="29"/>
      <c r="AE178" s="11"/>
      <c r="AF178" s="29"/>
      <c r="AG178" s="11"/>
      <c r="AH178" s="29"/>
      <c r="AI178" s="11"/>
      <c r="AJ178" s="29"/>
      <c r="AK178" s="29"/>
      <c r="AL178" s="29"/>
      <c r="AM178" s="11"/>
      <c r="AN178" s="29"/>
      <c r="AO178" s="29"/>
      <c r="AP178" s="6"/>
      <c r="AQ178" s="113">
        <f>IF(AND(I178="",K178="",AF178="",AL178="",AN178="",O178=""),"",IF(OR(I178="SIM",K178="SIM",AF178="SIM",AL178="SIM",AN178="Dados pessoais",AN178="Dados sensíveis",AN178="Dados pessoais e sensíveis",O178="Acima de 10.000 titulares por mês"),"SIM - Alta criticidade",IF((IF(I178="SIM",2,0)+IF(K178="SIM",2,0)+IF(AF178="SIM",2,0)+IF(OR(AN178="Dados pessoais",AN178="Dados sensíveis",AN178="Dados pessoais e sensíveis"),2,0)+IF(O178="De 1.001 a 10.000 titulares por mês",1,0)+IF(AA178="SIM",1,0)+IF(R178="SIM",1,0)+IF(AL178="SIM",1,0)+IF(AJ178="NÃO",1,0))&gt;=5,"SIM - Alta criticidade",IF((IF(I178="SIM",2,0)+IF(K178="SIM",2,0)+IF(AF178="SIM",2,0)+IF(OR(AN178="Dados pessoais",AN178="Dados sensíveis",AN178="Dados pessoais e sensíveis"),2,0)+IF(O178="De 1.001 a 10.000 titulares por mês",1,0)+IF(AA178="SIM",1,0)+IF(R178="SIM",1,0)+IF(AL178="SIM",1,0)+IF(AJ178="NÃO",1,0))&gt;=3,"Avaliação necessária","NÃO"))))</f>
      </c>
      <c r="AR178" s="11"/>
      <c r="AS178" s="113">
        <f>IF(AND(I178="",K178="",AF178="",AL178="",AN178="",O178=""),"",IF(OR(I178="SIM",K178="SIM",AF178="SIM",AL178="SIM",OR(AN178="Dados pessoais",AN178="Dados sensíveis",AN178="Dados pessoais e sensíveis"),O178="Acima de 10.000 titulares por mês",(IF(I178="SIM",2,0)+IF(K178="SIM",2,0)+IF(AF178="SIM",2,0)+IF(OR(AN178="Dados pessoais",AN178="Dados sensíveis",AN178="Dados pessoais e sensíveis"),2,0)+IF(O178="De 1.001 a 10.000 titulares por mês",1,0)+IF(AA178="SIM",1,0)+IF(R178="SIM",1,0)+IF(AL178="SIM",1,0)+IF(AJ178="NÃO",1,0))&gt;=3),"DPIA indicado ou em avaliação em razão de: " &amp; TRIM(IF(I178="SIM","tratamento de dados sensíveis; ","") &amp; IF(K178="SIM","utilização de dados de menores; ","") &amp; IF(AF178="SIM","transferência internacional de dados; ","") &amp; IF(AL178="SIM","utilização de inteligência artificial; ","") &amp; IF(OR(AN178="Dados pessoais",AN178="Dados sensíveis",AN178="Dados pessoais e sensíveis"),"dados inseridos em IA; ","") &amp; IF(O178="Acima de 10.000 titulares por mês","volume crítico de titulares; ","") &amp; IF(O178="De 1.001 a 10.000 titulares por mês","volume moderado de titulares; ","") &amp; IF(AA178="SIM","compartilhamento com terceiros; ","") &amp; IF(R178="SIM","compartilhamento com órgãos governamentais; ","") &amp; IF(AJ178="NÃO","ausência de controle de acesso por perfil; ","")),"DPIA não indicado: Processo de baixa criticidade."))</f>
      </c>
    </row>
    <row x14ac:dyDescent="0.25" r="179" customHeight="1" ht="15.75">
      <c r="A179" s="46"/>
      <c r="B179" s="6"/>
      <c r="C179" s="11"/>
      <c r="D179" s="11"/>
      <c r="E179" s="11"/>
      <c r="F179" s="29"/>
      <c r="G179" s="11"/>
      <c r="H179" s="11"/>
      <c r="I179" s="29"/>
      <c r="J179" s="11"/>
      <c r="K179" s="29"/>
      <c r="L179" s="11"/>
      <c r="M179" s="11"/>
      <c r="N179" s="11"/>
      <c r="O179" s="29"/>
      <c r="P179" s="29"/>
      <c r="Q179" s="11"/>
      <c r="R179" s="29"/>
      <c r="S179" s="11"/>
      <c r="T179" s="6"/>
      <c r="U179" s="29"/>
      <c r="V179" s="11"/>
      <c r="W179" s="11"/>
      <c r="X179" s="29"/>
      <c r="Y179" s="11"/>
      <c r="Z179" s="29"/>
      <c r="AA179" s="29"/>
      <c r="AB179" s="11"/>
      <c r="AC179" s="11"/>
      <c r="AD179" s="29"/>
      <c r="AE179" s="11"/>
      <c r="AF179" s="29"/>
      <c r="AG179" s="11"/>
      <c r="AH179" s="29"/>
      <c r="AI179" s="11"/>
      <c r="AJ179" s="29"/>
      <c r="AK179" s="29"/>
      <c r="AL179" s="29"/>
      <c r="AM179" s="11"/>
      <c r="AN179" s="29"/>
      <c r="AO179" s="29"/>
      <c r="AP179" s="6"/>
      <c r="AQ179" s="113">
        <f>IF(AND(I179="",K179="",AF179="",AL179="",AN179="",O179=""),"",IF(OR(I179="SIM",K179="SIM",AF179="SIM",AL179="SIM",AN179="Dados pessoais",AN179="Dados sensíveis",AN179="Dados pessoais e sensíveis",O179="Acima de 10.000 titulares por mês"),"SIM - Alta criticidade",IF((IF(I179="SIM",2,0)+IF(K179="SIM",2,0)+IF(AF179="SIM",2,0)+IF(OR(AN179="Dados pessoais",AN179="Dados sensíveis",AN179="Dados pessoais e sensíveis"),2,0)+IF(O179="De 1.001 a 10.000 titulares por mês",1,0)+IF(AA179="SIM",1,0)+IF(R179="SIM",1,0)+IF(AL179="SIM",1,0)+IF(AJ179="NÃO",1,0))&gt;=5,"SIM - Alta criticidade",IF((IF(I179="SIM",2,0)+IF(K179="SIM",2,0)+IF(AF179="SIM",2,0)+IF(OR(AN179="Dados pessoais",AN179="Dados sensíveis",AN179="Dados pessoais e sensíveis"),2,0)+IF(O179="De 1.001 a 10.000 titulares por mês",1,0)+IF(AA179="SIM",1,0)+IF(R179="SIM",1,0)+IF(AL179="SIM",1,0)+IF(AJ179="NÃO",1,0))&gt;=3,"Avaliação necessária","NÃO"))))</f>
      </c>
      <c r="AR179" s="11"/>
      <c r="AS179" s="113">
        <f>IF(AND(I179="",K179="",AF179="",AL179="",AN179="",O179=""),"",IF(OR(I179="SIM",K179="SIM",AF179="SIM",AL179="SIM",OR(AN179="Dados pessoais",AN179="Dados sensíveis",AN179="Dados pessoais e sensíveis"),O179="Acima de 10.000 titulares por mês",(IF(I179="SIM",2,0)+IF(K179="SIM",2,0)+IF(AF179="SIM",2,0)+IF(OR(AN179="Dados pessoais",AN179="Dados sensíveis",AN179="Dados pessoais e sensíveis"),2,0)+IF(O179="De 1.001 a 10.000 titulares por mês",1,0)+IF(AA179="SIM",1,0)+IF(R179="SIM",1,0)+IF(AL179="SIM",1,0)+IF(AJ179="NÃO",1,0))&gt;=3),"DPIA indicado ou em avaliação em razão de: " &amp; TRIM(IF(I179="SIM","tratamento de dados sensíveis; ","") &amp; IF(K179="SIM","utilização de dados de menores; ","") &amp; IF(AF179="SIM","transferência internacional de dados; ","") &amp; IF(AL179="SIM","utilização de inteligência artificial; ","") &amp; IF(OR(AN179="Dados pessoais",AN179="Dados sensíveis",AN179="Dados pessoais e sensíveis"),"dados inseridos em IA; ","") &amp; IF(O179="Acima de 10.000 titulares por mês","volume crítico de titulares; ","") &amp; IF(O179="De 1.001 a 10.000 titulares por mês","volume moderado de titulares; ","") &amp; IF(AA179="SIM","compartilhamento com terceiros; ","") &amp; IF(R179="SIM","compartilhamento com órgãos governamentais; ","") &amp; IF(AJ179="NÃO","ausência de controle de acesso por perfil; ","")),"DPIA não indicado: Processo de baixa criticidade."))</f>
      </c>
    </row>
    <row x14ac:dyDescent="0.25" r="180" customHeight="1" ht="15.75">
      <c r="A180" s="46"/>
      <c r="B180" s="6"/>
      <c r="C180" s="11"/>
      <c r="D180" s="11"/>
      <c r="E180" s="11"/>
      <c r="F180" s="29"/>
      <c r="G180" s="11"/>
      <c r="H180" s="11"/>
      <c r="I180" s="29"/>
      <c r="J180" s="11"/>
      <c r="K180" s="29"/>
      <c r="L180" s="11"/>
      <c r="M180" s="11"/>
      <c r="N180" s="11"/>
      <c r="O180" s="29"/>
      <c r="P180" s="29"/>
      <c r="Q180" s="11"/>
      <c r="R180" s="29"/>
      <c r="S180" s="11"/>
      <c r="T180" s="6"/>
      <c r="U180" s="29"/>
      <c r="V180" s="11"/>
      <c r="W180" s="11"/>
      <c r="X180" s="29"/>
      <c r="Y180" s="11"/>
      <c r="Z180" s="29"/>
      <c r="AA180" s="29"/>
      <c r="AB180" s="11"/>
      <c r="AC180" s="11"/>
      <c r="AD180" s="29"/>
      <c r="AE180" s="11"/>
      <c r="AF180" s="29"/>
      <c r="AG180" s="11"/>
      <c r="AH180" s="29"/>
      <c r="AI180" s="11"/>
      <c r="AJ180" s="29"/>
      <c r="AK180" s="29"/>
      <c r="AL180" s="29"/>
      <c r="AM180" s="11"/>
      <c r="AN180" s="29"/>
      <c r="AO180" s="29"/>
      <c r="AP180" s="6"/>
      <c r="AQ180" s="113">
        <f>IF(AND(I180="",K180="",AF180="",AL180="",AN180="",O180=""),"",IF(OR(I180="SIM",K180="SIM",AF180="SIM",AL180="SIM",AN180="Dados pessoais",AN180="Dados sensíveis",AN180="Dados pessoais e sensíveis",O180="Acima de 10.000 titulares por mês"),"SIM - Alta criticidade",IF((IF(I180="SIM",2,0)+IF(K180="SIM",2,0)+IF(AF180="SIM",2,0)+IF(OR(AN180="Dados pessoais",AN180="Dados sensíveis",AN180="Dados pessoais e sensíveis"),2,0)+IF(O180="De 1.001 a 10.000 titulares por mês",1,0)+IF(AA180="SIM",1,0)+IF(R180="SIM",1,0)+IF(AL180="SIM",1,0)+IF(AJ180="NÃO",1,0))&gt;=5,"SIM - Alta criticidade",IF((IF(I180="SIM",2,0)+IF(K180="SIM",2,0)+IF(AF180="SIM",2,0)+IF(OR(AN180="Dados pessoais",AN180="Dados sensíveis",AN180="Dados pessoais e sensíveis"),2,0)+IF(O180="De 1.001 a 10.000 titulares por mês",1,0)+IF(AA180="SIM",1,0)+IF(R180="SIM",1,0)+IF(AL180="SIM",1,0)+IF(AJ180="NÃO",1,0))&gt;=3,"Avaliação necessária","NÃO"))))</f>
      </c>
      <c r="AR180" s="11"/>
      <c r="AS180" s="113">
        <f>IF(AND(I180="",K180="",AF180="",AL180="",AN180="",O180=""),"",IF(OR(I180="SIM",K180="SIM",AF180="SIM",AL180="SIM",OR(AN180="Dados pessoais",AN180="Dados sensíveis",AN180="Dados pessoais e sensíveis"),O180="Acima de 10.000 titulares por mês",(IF(I180="SIM",2,0)+IF(K180="SIM",2,0)+IF(AF180="SIM",2,0)+IF(OR(AN180="Dados pessoais",AN180="Dados sensíveis",AN180="Dados pessoais e sensíveis"),2,0)+IF(O180="De 1.001 a 10.000 titulares por mês",1,0)+IF(AA180="SIM",1,0)+IF(R180="SIM",1,0)+IF(AL180="SIM",1,0)+IF(AJ180="NÃO",1,0))&gt;=3),"DPIA indicado ou em avaliação em razão de: " &amp; TRIM(IF(I180="SIM","tratamento de dados sensíveis; ","") &amp; IF(K180="SIM","utilização de dados de menores; ","") &amp; IF(AF180="SIM","transferência internacional de dados; ","") &amp; IF(AL180="SIM","utilização de inteligência artificial; ","") &amp; IF(OR(AN180="Dados pessoais",AN180="Dados sensíveis",AN180="Dados pessoais e sensíveis"),"dados inseridos em IA; ","") &amp; IF(O180="Acima de 10.000 titulares por mês","volume crítico de titulares; ","") &amp; IF(O180="De 1.001 a 10.000 titulares por mês","volume moderado de titulares; ","") &amp; IF(AA180="SIM","compartilhamento com terceiros; ","") &amp; IF(R180="SIM","compartilhamento com órgãos governamentais; ","") &amp; IF(AJ180="NÃO","ausência de controle de acesso por perfil; ","")),"DPIA não indicado: Processo de baixa criticidade."))</f>
      </c>
    </row>
    <row x14ac:dyDescent="0.25" r="181" customHeight="1" ht="15.75">
      <c r="A181" s="46"/>
      <c r="B181" s="6"/>
      <c r="C181" s="11"/>
      <c r="D181" s="11"/>
      <c r="E181" s="11"/>
      <c r="F181" s="29"/>
      <c r="G181" s="11"/>
      <c r="H181" s="11"/>
      <c r="I181" s="29"/>
      <c r="J181" s="11"/>
      <c r="K181" s="29"/>
      <c r="L181" s="11"/>
      <c r="M181" s="11"/>
      <c r="N181" s="11"/>
      <c r="O181" s="29"/>
      <c r="P181" s="29"/>
      <c r="Q181" s="11"/>
      <c r="R181" s="29"/>
      <c r="S181" s="11"/>
      <c r="T181" s="6"/>
      <c r="U181" s="29"/>
      <c r="V181" s="11"/>
      <c r="W181" s="11"/>
      <c r="X181" s="29"/>
      <c r="Y181" s="11"/>
      <c r="Z181" s="29"/>
      <c r="AA181" s="29"/>
      <c r="AB181" s="11"/>
      <c r="AC181" s="11"/>
      <c r="AD181" s="29"/>
      <c r="AE181" s="11"/>
      <c r="AF181" s="29"/>
      <c r="AG181" s="11"/>
      <c r="AH181" s="29"/>
      <c r="AI181" s="11"/>
      <c r="AJ181" s="29"/>
      <c r="AK181" s="29"/>
      <c r="AL181" s="29"/>
      <c r="AM181" s="11"/>
      <c r="AN181" s="29"/>
      <c r="AO181" s="29"/>
      <c r="AP181" s="6"/>
      <c r="AQ181" s="113">
        <f>IF(AND(I181="",K181="",AF181="",AL181="",AN181="",O181=""),"",IF(OR(I181="SIM",K181="SIM",AF181="SIM",AL181="SIM",AN181="Dados pessoais",AN181="Dados sensíveis",AN181="Dados pessoais e sensíveis",O181="Acima de 10.000 titulares por mês"),"SIM - Alta criticidade",IF((IF(I181="SIM",2,0)+IF(K181="SIM",2,0)+IF(AF181="SIM",2,0)+IF(OR(AN181="Dados pessoais",AN181="Dados sensíveis",AN181="Dados pessoais e sensíveis"),2,0)+IF(O181="De 1.001 a 10.000 titulares por mês",1,0)+IF(AA181="SIM",1,0)+IF(R181="SIM",1,0)+IF(AL181="SIM",1,0)+IF(AJ181="NÃO",1,0))&gt;=5,"SIM - Alta criticidade",IF((IF(I181="SIM",2,0)+IF(K181="SIM",2,0)+IF(AF181="SIM",2,0)+IF(OR(AN181="Dados pessoais",AN181="Dados sensíveis",AN181="Dados pessoais e sensíveis"),2,0)+IF(O181="De 1.001 a 10.000 titulares por mês",1,0)+IF(AA181="SIM",1,0)+IF(R181="SIM",1,0)+IF(AL181="SIM",1,0)+IF(AJ181="NÃO",1,0))&gt;=3,"Avaliação necessária","NÃO"))))</f>
      </c>
      <c r="AR181" s="11"/>
      <c r="AS181" s="113">
        <f>IF(AND(I181="",K181="",AF181="",AL181="",AN181="",O181=""),"",IF(OR(I181="SIM",K181="SIM",AF181="SIM",AL181="SIM",OR(AN181="Dados pessoais",AN181="Dados sensíveis",AN181="Dados pessoais e sensíveis"),O181="Acima de 10.000 titulares por mês",(IF(I181="SIM",2,0)+IF(K181="SIM",2,0)+IF(AF181="SIM",2,0)+IF(OR(AN181="Dados pessoais",AN181="Dados sensíveis",AN181="Dados pessoais e sensíveis"),2,0)+IF(O181="De 1.001 a 10.000 titulares por mês",1,0)+IF(AA181="SIM",1,0)+IF(R181="SIM",1,0)+IF(AL181="SIM",1,0)+IF(AJ181="NÃO",1,0))&gt;=3),"DPIA indicado ou em avaliação em razão de: " &amp; TRIM(IF(I181="SIM","tratamento de dados sensíveis; ","") &amp; IF(K181="SIM","utilização de dados de menores; ","") &amp; IF(AF181="SIM","transferência internacional de dados; ","") &amp; IF(AL181="SIM","utilização de inteligência artificial; ","") &amp; IF(OR(AN181="Dados pessoais",AN181="Dados sensíveis",AN181="Dados pessoais e sensíveis"),"dados inseridos em IA; ","") &amp; IF(O181="Acima de 10.000 titulares por mês","volume crítico de titulares; ","") &amp; IF(O181="De 1.001 a 10.000 titulares por mês","volume moderado de titulares; ","") &amp; IF(AA181="SIM","compartilhamento com terceiros; ","") &amp; IF(R181="SIM","compartilhamento com órgãos governamentais; ","") &amp; IF(AJ181="NÃO","ausência de controle de acesso por perfil; ","")),"DPIA não indicado: Processo de baixa criticidade."))</f>
      </c>
    </row>
    <row x14ac:dyDescent="0.25" r="182" customHeight="1" ht="15.75">
      <c r="A182" s="46"/>
      <c r="B182" s="6"/>
      <c r="C182" s="11"/>
      <c r="D182" s="11"/>
      <c r="E182" s="11"/>
      <c r="F182" s="29"/>
      <c r="G182" s="11"/>
      <c r="H182" s="11"/>
      <c r="I182" s="29"/>
      <c r="J182" s="11"/>
      <c r="K182" s="29"/>
      <c r="L182" s="11"/>
      <c r="M182" s="11"/>
      <c r="N182" s="11"/>
      <c r="O182" s="29"/>
      <c r="P182" s="29"/>
      <c r="Q182" s="11"/>
      <c r="R182" s="29"/>
      <c r="S182" s="11"/>
      <c r="T182" s="6"/>
      <c r="U182" s="29"/>
      <c r="V182" s="11"/>
      <c r="W182" s="11"/>
      <c r="X182" s="29"/>
      <c r="Y182" s="11"/>
      <c r="Z182" s="29"/>
      <c r="AA182" s="29"/>
      <c r="AB182" s="11"/>
      <c r="AC182" s="11"/>
      <c r="AD182" s="29"/>
      <c r="AE182" s="11"/>
      <c r="AF182" s="29"/>
      <c r="AG182" s="11"/>
      <c r="AH182" s="29"/>
      <c r="AI182" s="11"/>
      <c r="AJ182" s="29"/>
      <c r="AK182" s="29"/>
      <c r="AL182" s="29"/>
      <c r="AM182" s="11"/>
      <c r="AN182" s="29"/>
      <c r="AO182" s="29"/>
      <c r="AP182" s="6"/>
      <c r="AQ182" s="113">
        <f>IF(AND(I182="",K182="",AF182="",AL182="",AN182="",O182=""),"",IF(OR(I182="SIM",K182="SIM",AF182="SIM",AL182="SIM",AN182="Dados pessoais",AN182="Dados sensíveis",AN182="Dados pessoais e sensíveis",O182="Acima de 10.000 titulares por mês"),"SIM - Alta criticidade",IF((IF(I182="SIM",2,0)+IF(K182="SIM",2,0)+IF(AF182="SIM",2,0)+IF(OR(AN182="Dados pessoais",AN182="Dados sensíveis",AN182="Dados pessoais e sensíveis"),2,0)+IF(O182="De 1.001 a 10.000 titulares por mês",1,0)+IF(AA182="SIM",1,0)+IF(R182="SIM",1,0)+IF(AL182="SIM",1,0)+IF(AJ182="NÃO",1,0))&gt;=5,"SIM - Alta criticidade",IF((IF(I182="SIM",2,0)+IF(K182="SIM",2,0)+IF(AF182="SIM",2,0)+IF(OR(AN182="Dados pessoais",AN182="Dados sensíveis",AN182="Dados pessoais e sensíveis"),2,0)+IF(O182="De 1.001 a 10.000 titulares por mês",1,0)+IF(AA182="SIM",1,0)+IF(R182="SIM",1,0)+IF(AL182="SIM",1,0)+IF(AJ182="NÃO",1,0))&gt;=3,"Avaliação necessária","NÃO"))))</f>
      </c>
      <c r="AR182" s="11"/>
      <c r="AS182" s="113">
        <f>IF(AND(I182="",K182="",AF182="",AL182="",AN182="",O182=""),"",IF(OR(I182="SIM",K182="SIM",AF182="SIM",AL182="SIM",OR(AN182="Dados pessoais",AN182="Dados sensíveis",AN182="Dados pessoais e sensíveis"),O182="Acima de 10.000 titulares por mês",(IF(I182="SIM",2,0)+IF(K182="SIM",2,0)+IF(AF182="SIM",2,0)+IF(OR(AN182="Dados pessoais",AN182="Dados sensíveis",AN182="Dados pessoais e sensíveis"),2,0)+IF(O182="De 1.001 a 10.000 titulares por mês",1,0)+IF(AA182="SIM",1,0)+IF(R182="SIM",1,0)+IF(AL182="SIM",1,0)+IF(AJ182="NÃO",1,0))&gt;=3),"DPIA indicado ou em avaliação em razão de: " &amp; TRIM(IF(I182="SIM","tratamento de dados sensíveis; ","") &amp; IF(K182="SIM","utilização de dados de menores; ","") &amp; IF(AF182="SIM","transferência internacional de dados; ","") &amp; IF(AL182="SIM","utilização de inteligência artificial; ","") &amp; IF(OR(AN182="Dados pessoais",AN182="Dados sensíveis",AN182="Dados pessoais e sensíveis"),"dados inseridos em IA; ","") &amp; IF(O182="Acima de 10.000 titulares por mês","volume crítico de titulares; ","") &amp; IF(O182="De 1.001 a 10.000 titulares por mês","volume moderado de titulares; ","") &amp; IF(AA182="SIM","compartilhamento com terceiros; ","") &amp; IF(R182="SIM","compartilhamento com órgãos governamentais; ","") &amp; IF(AJ182="NÃO","ausência de controle de acesso por perfil; ","")),"DPIA não indicado: Processo de baixa criticidade."))</f>
      </c>
    </row>
    <row x14ac:dyDescent="0.25" r="183" customHeight="1" ht="15.75">
      <c r="A183" s="46"/>
      <c r="B183" s="6"/>
      <c r="C183" s="11"/>
      <c r="D183" s="11"/>
      <c r="E183" s="11"/>
      <c r="F183" s="29"/>
      <c r="G183" s="11"/>
      <c r="H183" s="11"/>
      <c r="I183" s="29"/>
      <c r="J183" s="11"/>
      <c r="K183" s="29"/>
      <c r="L183" s="11"/>
      <c r="M183" s="11"/>
      <c r="N183" s="11"/>
      <c r="O183" s="29"/>
      <c r="P183" s="29"/>
      <c r="Q183" s="11"/>
      <c r="R183" s="29"/>
      <c r="S183" s="11"/>
      <c r="T183" s="6"/>
      <c r="U183" s="29"/>
      <c r="V183" s="11"/>
      <c r="W183" s="11"/>
      <c r="X183" s="29"/>
      <c r="Y183" s="11"/>
      <c r="Z183" s="29"/>
      <c r="AA183" s="29"/>
      <c r="AB183" s="11"/>
      <c r="AC183" s="11"/>
      <c r="AD183" s="29"/>
      <c r="AE183" s="11"/>
      <c r="AF183" s="29"/>
      <c r="AG183" s="11"/>
      <c r="AH183" s="29"/>
      <c r="AI183" s="11"/>
      <c r="AJ183" s="29"/>
      <c r="AK183" s="29"/>
      <c r="AL183" s="29"/>
      <c r="AM183" s="11"/>
      <c r="AN183" s="29"/>
      <c r="AO183" s="29"/>
      <c r="AP183" s="6"/>
      <c r="AQ183" s="113">
        <f>IF(AND(I183="",K183="",AF183="",AL183="",AN183="",O183=""),"",IF(OR(I183="SIM",K183="SIM",AF183="SIM",AL183="SIM",AN183="Dados pessoais",AN183="Dados sensíveis",AN183="Dados pessoais e sensíveis",O183="Acima de 10.000 titulares por mês"),"SIM - Alta criticidade",IF((IF(I183="SIM",2,0)+IF(K183="SIM",2,0)+IF(AF183="SIM",2,0)+IF(OR(AN183="Dados pessoais",AN183="Dados sensíveis",AN183="Dados pessoais e sensíveis"),2,0)+IF(O183="De 1.001 a 10.000 titulares por mês",1,0)+IF(AA183="SIM",1,0)+IF(R183="SIM",1,0)+IF(AL183="SIM",1,0)+IF(AJ183="NÃO",1,0))&gt;=5,"SIM - Alta criticidade",IF((IF(I183="SIM",2,0)+IF(K183="SIM",2,0)+IF(AF183="SIM",2,0)+IF(OR(AN183="Dados pessoais",AN183="Dados sensíveis",AN183="Dados pessoais e sensíveis"),2,0)+IF(O183="De 1.001 a 10.000 titulares por mês",1,0)+IF(AA183="SIM",1,0)+IF(R183="SIM",1,0)+IF(AL183="SIM",1,0)+IF(AJ183="NÃO",1,0))&gt;=3,"Avaliação necessária","NÃO"))))</f>
      </c>
      <c r="AR183" s="11"/>
      <c r="AS183" s="113">
        <f>IF(AND(I183="",K183="",AF183="",AL183="",AN183="",O183=""),"",IF(OR(I183="SIM",K183="SIM",AF183="SIM",AL183="SIM",OR(AN183="Dados pessoais",AN183="Dados sensíveis",AN183="Dados pessoais e sensíveis"),O183="Acima de 10.000 titulares por mês",(IF(I183="SIM",2,0)+IF(K183="SIM",2,0)+IF(AF183="SIM",2,0)+IF(OR(AN183="Dados pessoais",AN183="Dados sensíveis",AN183="Dados pessoais e sensíveis"),2,0)+IF(O183="De 1.001 a 10.000 titulares por mês",1,0)+IF(AA183="SIM",1,0)+IF(R183="SIM",1,0)+IF(AL183="SIM",1,0)+IF(AJ183="NÃO",1,0))&gt;=3),"DPIA indicado ou em avaliação em razão de: " &amp; TRIM(IF(I183="SIM","tratamento de dados sensíveis; ","") &amp; IF(K183="SIM","utilização de dados de menores; ","") &amp; IF(AF183="SIM","transferência internacional de dados; ","") &amp; IF(AL183="SIM","utilização de inteligência artificial; ","") &amp; IF(OR(AN183="Dados pessoais",AN183="Dados sensíveis",AN183="Dados pessoais e sensíveis"),"dados inseridos em IA; ","") &amp; IF(O183="Acima de 10.000 titulares por mês","volume crítico de titulares; ","") &amp; IF(O183="De 1.001 a 10.000 titulares por mês","volume moderado de titulares; ","") &amp; IF(AA183="SIM","compartilhamento com terceiros; ","") &amp; IF(R183="SIM","compartilhamento com órgãos governamentais; ","") &amp; IF(AJ183="NÃO","ausência de controle de acesso por perfil; ","")),"DPIA não indicado: Processo de baixa criticidade."))</f>
      </c>
    </row>
    <row x14ac:dyDescent="0.25" r="184" customHeight="1" ht="15.75">
      <c r="A184" s="46"/>
      <c r="B184" s="6"/>
      <c r="C184" s="11"/>
      <c r="D184" s="11"/>
      <c r="E184" s="11"/>
      <c r="F184" s="29"/>
      <c r="G184" s="11"/>
      <c r="H184" s="11"/>
      <c r="I184" s="29"/>
      <c r="J184" s="11"/>
      <c r="K184" s="29"/>
      <c r="L184" s="11"/>
      <c r="M184" s="11"/>
      <c r="N184" s="11"/>
      <c r="O184" s="29"/>
      <c r="P184" s="29"/>
      <c r="Q184" s="11"/>
      <c r="R184" s="29"/>
      <c r="S184" s="11"/>
      <c r="T184" s="6"/>
      <c r="U184" s="29"/>
      <c r="V184" s="11"/>
      <c r="W184" s="11"/>
      <c r="X184" s="29"/>
      <c r="Y184" s="11"/>
      <c r="Z184" s="29"/>
      <c r="AA184" s="29"/>
      <c r="AB184" s="11"/>
      <c r="AC184" s="11"/>
      <c r="AD184" s="29"/>
      <c r="AE184" s="11"/>
      <c r="AF184" s="29"/>
      <c r="AG184" s="11"/>
      <c r="AH184" s="29"/>
      <c r="AI184" s="11"/>
      <c r="AJ184" s="29"/>
      <c r="AK184" s="29"/>
      <c r="AL184" s="29"/>
      <c r="AM184" s="11"/>
      <c r="AN184" s="29"/>
      <c r="AO184" s="29"/>
      <c r="AP184" s="6"/>
      <c r="AQ184" s="113">
        <f>IF(AND(I184="",K184="",AF184="",AL184="",AN184="",O184=""),"",IF(OR(I184="SIM",K184="SIM",AF184="SIM",AL184="SIM",AN184="Dados pessoais",AN184="Dados sensíveis",AN184="Dados pessoais e sensíveis",O184="Acima de 10.000 titulares por mês"),"SIM - Alta criticidade",IF((IF(I184="SIM",2,0)+IF(K184="SIM",2,0)+IF(AF184="SIM",2,0)+IF(OR(AN184="Dados pessoais",AN184="Dados sensíveis",AN184="Dados pessoais e sensíveis"),2,0)+IF(O184="De 1.001 a 10.000 titulares por mês",1,0)+IF(AA184="SIM",1,0)+IF(R184="SIM",1,0)+IF(AL184="SIM",1,0)+IF(AJ184="NÃO",1,0))&gt;=5,"SIM - Alta criticidade",IF((IF(I184="SIM",2,0)+IF(K184="SIM",2,0)+IF(AF184="SIM",2,0)+IF(OR(AN184="Dados pessoais",AN184="Dados sensíveis",AN184="Dados pessoais e sensíveis"),2,0)+IF(O184="De 1.001 a 10.000 titulares por mês",1,0)+IF(AA184="SIM",1,0)+IF(R184="SIM",1,0)+IF(AL184="SIM",1,0)+IF(AJ184="NÃO",1,0))&gt;=3,"Avaliação necessária","NÃO"))))</f>
      </c>
      <c r="AR184" s="11"/>
      <c r="AS184" s="113">
        <f>IF(AND(I184="",K184="",AF184="",AL184="",AN184="",O184=""),"",IF(OR(I184="SIM",K184="SIM",AF184="SIM",AL184="SIM",OR(AN184="Dados pessoais",AN184="Dados sensíveis",AN184="Dados pessoais e sensíveis"),O184="Acima de 10.000 titulares por mês",(IF(I184="SIM",2,0)+IF(K184="SIM",2,0)+IF(AF184="SIM",2,0)+IF(OR(AN184="Dados pessoais",AN184="Dados sensíveis",AN184="Dados pessoais e sensíveis"),2,0)+IF(O184="De 1.001 a 10.000 titulares por mês",1,0)+IF(AA184="SIM",1,0)+IF(R184="SIM",1,0)+IF(AL184="SIM",1,0)+IF(AJ184="NÃO",1,0))&gt;=3),"DPIA indicado ou em avaliação em razão de: " &amp; TRIM(IF(I184="SIM","tratamento de dados sensíveis; ","") &amp; IF(K184="SIM","utilização de dados de menores; ","") &amp; IF(AF184="SIM","transferência internacional de dados; ","") &amp; IF(AL184="SIM","utilização de inteligência artificial; ","") &amp; IF(OR(AN184="Dados pessoais",AN184="Dados sensíveis",AN184="Dados pessoais e sensíveis"),"dados inseridos em IA; ","") &amp; IF(O184="Acima de 10.000 titulares por mês","volume crítico de titulares; ","") &amp; IF(O184="De 1.001 a 10.000 titulares por mês","volume moderado de titulares; ","") &amp; IF(AA184="SIM","compartilhamento com terceiros; ","") &amp; IF(R184="SIM","compartilhamento com órgãos governamentais; ","") &amp; IF(AJ184="NÃO","ausência de controle de acesso por perfil; ","")),"DPIA não indicado: Processo de baixa criticidade."))</f>
      </c>
    </row>
    <row x14ac:dyDescent="0.25" r="185" customHeight="1" ht="15.75">
      <c r="A185" s="46"/>
      <c r="B185" s="6"/>
      <c r="C185" s="11"/>
      <c r="D185" s="11"/>
      <c r="E185" s="11"/>
      <c r="F185" s="29"/>
      <c r="G185" s="11"/>
      <c r="H185" s="11"/>
      <c r="I185" s="29"/>
      <c r="J185" s="11"/>
      <c r="K185" s="29"/>
      <c r="L185" s="11"/>
      <c r="M185" s="11"/>
      <c r="N185" s="11"/>
      <c r="O185" s="29"/>
      <c r="P185" s="29"/>
      <c r="Q185" s="11"/>
      <c r="R185" s="29"/>
      <c r="S185" s="11"/>
      <c r="T185" s="6"/>
      <c r="U185" s="29"/>
      <c r="V185" s="11"/>
      <c r="W185" s="11"/>
      <c r="X185" s="29"/>
      <c r="Y185" s="11"/>
      <c r="Z185" s="29"/>
      <c r="AA185" s="29"/>
      <c r="AB185" s="11"/>
      <c r="AC185" s="11"/>
      <c r="AD185" s="29"/>
      <c r="AE185" s="11"/>
      <c r="AF185" s="29"/>
      <c r="AG185" s="11"/>
      <c r="AH185" s="29"/>
      <c r="AI185" s="11"/>
      <c r="AJ185" s="29"/>
      <c r="AK185" s="29"/>
      <c r="AL185" s="29"/>
      <c r="AM185" s="11"/>
      <c r="AN185" s="29"/>
      <c r="AO185" s="29"/>
      <c r="AP185" s="6"/>
      <c r="AQ185" s="113">
        <f>IF(AND(I185="",K185="",AF185="",AL185="",AN185="",O185=""),"",IF(OR(I185="SIM",K185="SIM",AF185="SIM",AL185="SIM",AN185="Dados pessoais",AN185="Dados sensíveis",AN185="Dados pessoais e sensíveis",O185="Acima de 10.000 titulares por mês"),"SIM - Alta criticidade",IF((IF(I185="SIM",2,0)+IF(K185="SIM",2,0)+IF(AF185="SIM",2,0)+IF(OR(AN185="Dados pessoais",AN185="Dados sensíveis",AN185="Dados pessoais e sensíveis"),2,0)+IF(O185="De 1.001 a 10.000 titulares por mês",1,0)+IF(AA185="SIM",1,0)+IF(R185="SIM",1,0)+IF(AL185="SIM",1,0)+IF(AJ185="NÃO",1,0))&gt;=5,"SIM - Alta criticidade",IF((IF(I185="SIM",2,0)+IF(K185="SIM",2,0)+IF(AF185="SIM",2,0)+IF(OR(AN185="Dados pessoais",AN185="Dados sensíveis",AN185="Dados pessoais e sensíveis"),2,0)+IF(O185="De 1.001 a 10.000 titulares por mês",1,0)+IF(AA185="SIM",1,0)+IF(R185="SIM",1,0)+IF(AL185="SIM",1,0)+IF(AJ185="NÃO",1,0))&gt;=3,"Avaliação necessária","NÃO"))))</f>
      </c>
      <c r="AR185" s="11"/>
      <c r="AS185" s="113">
        <f>IF(AND(I185="",K185="",AF185="",AL185="",AN185="",O185=""),"",IF(OR(I185="SIM",K185="SIM",AF185="SIM",AL185="SIM",OR(AN185="Dados pessoais",AN185="Dados sensíveis",AN185="Dados pessoais e sensíveis"),O185="Acima de 10.000 titulares por mês",(IF(I185="SIM",2,0)+IF(K185="SIM",2,0)+IF(AF185="SIM",2,0)+IF(OR(AN185="Dados pessoais",AN185="Dados sensíveis",AN185="Dados pessoais e sensíveis"),2,0)+IF(O185="De 1.001 a 10.000 titulares por mês",1,0)+IF(AA185="SIM",1,0)+IF(R185="SIM",1,0)+IF(AL185="SIM",1,0)+IF(AJ185="NÃO",1,0))&gt;=3),"DPIA indicado ou em avaliação em razão de: " &amp; TRIM(IF(I185="SIM","tratamento de dados sensíveis; ","") &amp; IF(K185="SIM","utilização de dados de menores; ","") &amp; IF(AF185="SIM","transferência internacional de dados; ","") &amp; IF(AL185="SIM","utilização de inteligência artificial; ","") &amp; IF(OR(AN185="Dados pessoais",AN185="Dados sensíveis",AN185="Dados pessoais e sensíveis"),"dados inseridos em IA; ","") &amp; IF(O185="Acima de 10.000 titulares por mês","volume crítico de titulares; ","") &amp; IF(O185="De 1.001 a 10.000 titulares por mês","volume moderado de titulares; ","") &amp; IF(AA185="SIM","compartilhamento com terceiros; ","") &amp; IF(R185="SIM","compartilhamento com órgãos governamentais; ","") &amp; IF(AJ185="NÃO","ausência de controle de acesso por perfil; ","")),"DPIA não indicado: Processo de baixa criticidade."))</f>
      </c>
    </row>
    <row x14ac:dyDescent="0.25" r="186" customHeight="1" ht="15.75">
      <c r="A186" s="46"/>
      <c r="B186" s="6"/>
      <c r="C186" s="11"/>
      <c r="D186" s="11"/>
      <c r="E186" s="11"/>
      <c r="F186" s="29"/>
      <c r="G186" s="11"/>
      <c r="H186" s="11"/>
      <c r="I186" s="29"/>
      <c r="J186" s="11"/>
      <c r="K186" s="29"/>
      <c r="L186" s="11"/>
      <c r="M186" s="11"/>
      <c r="N186" s="11"/>
      <c r="O186" s="29"/>
      <c r="P186" s="29"/>
      <c r="Q186" s="11"/>
      <c r="R186" s="29"/>
      <c r="S186" s="11"/>
      <c r="T186" s="6"/>
      <c r="U186" s="29"/>
      <c r="V186" s="11"/>
      <c r="W186" s="11"/>
      <c r="X186" s="29"/>
      <c r="Y186" s="11"/>
      <c r="Z186" s="29"/>
      <c r="AA186" s="29"/>
      <c r="AB186" s="11"/>
      <c r="AC186" s="11"/>
      <c r="AD186" s="29"/>
      <c r="AE186" s="11"/>
      <c r="AF186" s="29"/>
      <c r="AG186" s="11"/>
      <c r="AH186" s="29"/>
      <c r="AI186" s="11"/>
      <c r="AJ186" s="29"/>
      <c r="AK186" s="29"/>
      <c r="AL186" s="29"/>
      <c r="AM186" s="11"/>
      <c r="AN186" s="29"/>
      <c r="AO186" s="29"/>
      <c r="AP186" s="6"/>
      <c r="AQ186" s="113">
        <f>IF(AND(I186="",K186="",AF186="",AL186="",AN186="",O186=""),"",IF(OR(I186="SIM",K186="SIM",AF186="SIM",AL186="SIM",AN186="Dados pessoais",AN186="Dados sensíveis",AN186="Dados pessoais e sensíveis",O186="Acima de 10.000 titulares por mês"),"SIM - Alta criticidade",IF((IF(I186="SIM",2,0)+IF(K186="SIM",2,0)+IF(AF186="SIM",2,0)+IF(OR(AN186="Dados pessoais",AN186="Dados sensíveis",AN186="Dados pessoais e sensíveis"),2,0)+IF(O186="De 1.001 a 10.000 titulares por mês",1,0)+IF(AA186="SIM",1,0)+IF(R186="SIM",1,0)+IF(AL186="SIM",1,0)+IF(AJ186="NÃO",1,0))&gt;=5,"SIM - Alta criticidade",IF((IF(I186="SIM",2,0)+IF(K186="SIM",2,0)+IF(AF186="SIM",2,0)+IF(OR(AN186="Dados pessoais",AN186="Dados sensíveis",AN186="Dados pessoais e sensíveis"),2,0)+IF(O186="De 1.001 a 10.000 titulares por mês",1,0)+IF(AA186="SIM",1,0)+IF(R186="SIM",1,0)+IF(AL186="SIM",1,0)+IF(AJ186="NÃO",1,0))&gt;=3,"Avaliação necessária","NÃO"))))</f>
      </c>
      <c r="AR186" s="11"/>
      <c r="AS186" s="113">
        <f>IF(AND(I186="",K186="",AF186="",AL186="",AN186="",O186=""),"",IF(OR(I186="SIM",K186="SIM",AF186="SIM",AL186="SIM",OR(AN186="Dados pessoais",AN186="Dados sensíveis",AN186="Dados pessoais e sensíveis"),O186="Acima de 10.000 titulares por mês",(IF(I186="SIM",2,0)+IF(K186="SIM",2,0)+IF(AF186="SIM",2,0)+IF(OR(AN186="Dados pessoais",AN186="Dados sensíveis",AN186="Dados pessoais e sensíveis"),2,0)+IF(O186="De 1.001 a 10.000 titulares por mês",1,0)+IF(AA186="SIM",1,0)+IF(R186="SIM",1,0)+IF(AL186="SIM",1,0)+IF(AJ186="NÃO",1,0))&gt;=3),"DPIA indicado ou em avaliação em razão de: " &amp; TRIM(IF(I186="SIM","tratamento de dados sensíveis; ","") &amp; IF(K186="SIM","utilização de dados de menores; ","") &amp; IF(AF186="SIM","transferência internacional de dados; ","") &amp; IF(AL186="SIM","utilização de inteligência artificial; ","") &amp; IF(OR(AN186="Dados pessoais",AN186="Dados sensíveis",AN186="Dados pessoais e sensíveis"),"dados inseridos em IA; ","") &amp; IF(O186="Acima de 10.000 titulares por mês","volume crítico de titulares; ","") &amp; IF(O186="De 1.001 a 10.000 titulares por mês","volume moderado de titulares; ","") &amp; IF(AA186="SIM","compartilhamento com terceiros; ","") &amp; IF(R186="SIM","compartilhamento com órgãos governamentais; ","") &amp; IF(AJ186="NÃO","ausência de controle de acesso por perfil; ","")),"DPIA não indicado: Processo de baixa criticidade."))</f>
      </c>
    </row>
    <row x14ac:dyDescent="0.25" r="187" customHeight="1" ht="15.75">
      <c r="A187" s="46"/>
      <c r="B187" s="6"/>
      <c r="C187" s="11"/>
      <c r="D187" s="11"/>
      <c r="E187" s="11"/>
      <c r="F187" s="29"/>
      <c r="G187" s="11"/>
      <c r="H187" s="11"/>
      <c r="I187" s="29"/>
      <c r="J187" s="11"/>
      <c r="K187" s="29"/>
      <c r="L187" s="11"/>
      <c r="M187" s="11"/>
      <c r="N187" s="11"/>
      <c r="O187" s="29"/>
      <c r="P187" s="29"/>
      <c r="Q187" s="11"/>
      <c r="R187" s="29"/>
      <c r="S187" s="11"/>
      <c r="T187" s="6"/>
      <c r="U187" s="29"/>
      <c r="V187" s="11"/>
      <c r="W187" s="11"/>
      <c r="X187" s="29"/>
      <c r="Y187" s="11"/>
      <c r="Z187" s="29"/>
      <c r="AA187" s="29"/>
      <c r="AB187" s="11"/>
      <c r="AC187" s="11"/>
      <c r="AD187" s="29"/>
      <c r="AE187" s="11"/>
      <c r="AF187" s="29"/>
      <c r="AG187" s="11"/>
      <c r="AH187" s="29"/>
      <c r="AI187" s="11"/>
      <c r="AJ187" s="29"/>
      <c r="AK187" s="29"/>
      <c r="AL187" s="29"/>
      <c r="AM187" s="11"/>
      <c r="AN187" s="29"/>
      <c r="AO187" s="29"/>
      <c r="AP187" s="6"/>
      <c r="AQ187" s="113">
        <f>IF(AND(I187="",K187="",AF187="",AL187="",AN187="",O187=""),"",IF(OR(I187="SIM",K187="SIM",AF187="SIM",AL187="SIM",AN187="Dados pessoais",AN187="Dados sensíveis",AN187="Dados pessoais e sensíveis",O187="Acima de 10.000 titulares por mês"),"SIM - Alta criticidade",IF((IF(I187="SIM",2,0)+IF(K187="SIM",2,0)+IF(AF187="SIM",2,0)+IF(OR(AN187="Dados pessoais",AN187="Dados sensíveis",AN187="Dados pessoais e sensíveis"),2,0)+IF(O187="De 1.001 a 10.000 titulares por mês",1,0)+IF(AA187="SIM",1,0)+IF(R187="SIM",1,0)+IF(AL187="SIM",1,0)+IF(AJ187="NÃO",1,0))&gt;=5,"SIM - Alta criticidade",IF((IF(I187="SIM",2,0)+IF(K187="SIM",2,0)+IF(AF187="SIM",2,0)+IF(OR(AN187="Dados pessoais",AN187="Dados sensíveis",AN187="Dados pessoais e sensíveis"),2,0)+IF(O187="De 1.001 a 10.000 titulares por mês",1,0)+IF(AA187="SIM",1,0)+IF(R187="SIM",1,0)+IF(AL187="SIM",1,0)+IF(AJ187="NÃO",1,0))&gt;=3,"Avaliação necessária","NÃO"))))</f>
      </c>
      <c r="AR187" s="11"/>
      <c r="AS187" s="113">
        <f>IF(AND(I187="",K187="",AF187="",AL187="",AN187="",O187=""),"",IF(OR(I187="SIM",K187="SIM",AF187="SIM",AL187="SIM",OR(AN187="Dados pessoais",AN187="Dados sensíveis",AN187="Dados pessoais e sensíveis"),O187="Acima de 10.000 titulares por mês",(IF(I187="SIM",2,0)+IF(K187="SIM",2,0)+IF(AF187="SIM",2,0)+IF(OR(AN187="Dados pessoais",AN187="Dados sensíveis",AN187="Dados pessoais e sensíveis"),2,0)+IF(O187="De 1.001 a 10.000 titulares por mês",1,0)+IF(AA187="SIM",1,0)+IF(R187="SIM",1,0)+IF(AL187="SIM",1,0)+IF(AJ187="NÃO",1,0))&gt;=3),"DPIA indicado ou em avaliação em razão de: " &amp; TRIM(IF(I187="SIM","tratamento de dados sensíveis; ","") &amp; IF(K187="SIM","utilização de dados de menores; ","") &amp; IF(AF187="SIM","transferência internacional de dados; ","") &amp; IF(AL187="SIM","utilização de inteligência artificial; ","") &amp; IF(OR(AN187="Dados pessoais",AN187="Dados sensíveis",AN187="Dados pessoais e sensíveis"),"dados inseridos em IA; ","") &amp; IF(O187="Acima de 10.000 titulares por mês","volume crítico de titulares; ","") &amp; IF(O187="De 1.001 a 10.000 titulares por mês","volume moderado de titulares; ","") &amp; IF(AA187="SIM","compartilhamento com terceiros; ","") &amp; IF(R187="SIM","compartilhamento com órgãos governamentais; ","") &amp; IF(AJ187="NÃO","ausência de controle de acesso por perfil; ","")),"DPIA não indicado: Processo de baixa criticidade."))</f>
      </c>
    </row>
    <row x14ac:dyDescent="0.25" r="188" customHeight="1" ht="15.75">
      <c r="A188" s="46"/>
      <c r="B188" s="6"/>
      <c r="C188" s="11"/>
      <c r="D188" s="11"/>
      <c r="E188" s="11"/>
      <c r="F188" s="29"/>
      <c r="G188" s="11"/>
      <c r="H188" s="11"/>
      <c r="I188" s="29"/>
      <c r="J188" s="11"/>
      <c r="K188" s="29"/>
      <c r="L188" s="11"/>
      <c r="M188" s="11"/>
      <c r="N188" s="11"/>
      <c r="O188" s="29"/>
      <c r="P188" s="29"/>
      <c r="Q188" s="11"/>
      <c r="R188" s="29"/>
      <c r="S188" s="11"/>
      <c r="T188" s="6"/>
      <c r="U188" s="29"/>
      <c r="V188" s="11"/>
      <c r="W188" s="11"/>
      <c r="X188" s="29"/>
      <c r="Y188" s="11"/>
      <c r="Z188" s="29"/>
      <c r="AA188" s="29"/>
      <c r="AB188" s="11"/>
      <c r="AC188" s="11"/>
      <c r="AD188" s="29"/>
      <c r="AE188" s="11"/>
      <c r="AF188" s="29"/>
      <c r="AG188" s="11"/>
      <c r="AH188" s="29"/>
      <c r="AI188" s="11"/>
      <c r="AJ188" s="29"/>
      <c r="AK188" s="29"/>
      <c r="AL188" s="29"/>
      <c r="AM188" s="11"/>
      <c r="AN188" s="29"/>
      <c r="AO188" s="29"/>
      <c r="AP188" s="6"/>
      <c r="AQ188" s="113">
        <f>IF(AND(I188="",K188="",AF188="",AL188="",AN188="",O188=""),"",IF(OR(I188="SIM",K188="SIM",AF188="SIM",AL188="SIM",AN188="Dados pessoais",AN188="Dados sensíveis",AN188="Dados pessoais e sensíveis",O188="Acima de 10.000 titulares por mês"),"SIM - Alta criticidade",IF((IF(I188="SIM",2,0)+IF(K188="SIM",2,0)+IF(AF188="SIM",2,0)+IF(OR(AN188="Dados pessoais",AN188="Dados sensíveis",AN188="Dados pessoais e sensíveis"),2,0)+IF(O188="De 1.001 a 10.000 titulares por mês",1,0)+IF(AA188="SIM",1,0)+IF(R188="SIM",1,0)+IF(AL188="SIM",1,0)+IF(AJ188="NÃO",1,0))&gt;=5,"SIM - Alta criticidade",IF((IF(I188="SIM",2,0)+IF(K188="SIM",2,0)+IF(AF188="SIM",2,0)+IF(OR(AN188="Dados pessoais",AN188="Dados sensíveis",AN188="Dados pessoais e sensíveis"),2,0)+IF(O188="De 1.001 a 10.000 titulares por mês",1,0)+IF(AA188="SIM",1,0)+IF(R188="SIM",1,0)+IF(AL188="SIM",1,0)+IF(AJ188="NÃO",1,0))&gt;=3,"Avaliação necessária","NÃO"))))</f>
      </c>
      <c r="AR188" s="11"/>
      <c r="AS188" s="113">
        <f>IF(AND(I188="",K188="",AF188="",AL188="",AN188="",O188=""),"",IF(OR(I188="SIM",K188="SIM",AF188="SIM",AL188="SIM",OR(AN188="Dados pessoais",AN188="Dados sensíveis",AN188="Dados pessoais e sensíveis"),O188="Acima de 10.000 titulares por mês",(IF(I188="SIM",2,0)+IF(K188="SIM",2,0)+IF(AF188="SIM",2,0)+IF(OR(AN188="Dados pessoais",AN188="Dados sensíveis",AN188="Dados pessoais e sensíveis"),2,0)+IF(O188="De 1.001 a 10.000 titulares por mês",1,0)+IF(AA188="SIM",1,0)+IF(R188="SIM",1,0)+IF(AL188="SIM",1,0)+IF(AJ188="NÃO",1,0))&gt;=3),"DPIA indicado ou em avaliação em razão de: " &amp; TRIM(IF(I188="SIM","tratamento de dados sensíveis; ","") &amp; IF(K188="SIM","utilização de dados de menores; ","") &amp; IF(AF188="SIM","transferência internacional de dados; ","") &amp; IF(AL188="SIM","utilização de inteligência artificial; ","") &amp; IF(OR(AN188="Dados pessoais",AN188="Dados sensíveis",AN188="Dados pessoais e sensíveis"),"dados inseridos em IA; ","") &amp; IF(O188="Acima de 10.000 titulares por mês","volume crítico de titulares; ","") &amp; IF(O188="De 1.001 a 10.000 titulares por mês","volume moderado de titulares; ","") &amp; IF(AA188="SIM","compartilhamento com terceiros; ","") &amp; IF(R188="SIM","compartilhamento com órgãos governamentais; ","") &amp; IF(AJ188="NÃO","ausência de controle de acesso por perfil; ","")),"DPIA não indicado: Processo de baixa criticidade."))</f>
      </c>
    </row>
    <row x14ac:dyDescent="0.25" r="189" customHeight="1" ht="15.75">
      <c r="A189" s="46"/>
      <c r="B189" s="6"/>
      <c r="C189" s="11"/>
      <c r="D189" s="11"/>
      <c r="E189" s="11"/>
      <c r="F189" s="29"/>
      <c r="G189" s="11"/>
      <c r="H189" s="11"/>
      <c r="I189" s="29"/>
      <c r="J189" s="11"/>
      <c r="K189" s="29"/>
      <c r="L189" s="11"/>
      <c r="M189" s="11"/>
      <c r="N189" s="11"/>
      <c r="O189" s="29"/>
      <c r="P189" s="29"/>
      <c r="Q189" s="11"/>
      <c r="R189" s="29"/>
      <c r="S189" s="11"/>
      <c r="T189" s="6"/>
      <c r="U189" s="29"/>
      <c r="V189" s="11"/>
      <c r="W189" s="11"/>
      <c r="X189" s="29"/>
      <c r="Y189" s="11"/>
      <c r="Z189" s="29"/>
      <c r="AA189" s="29"/>
      <c r="AB189" s="11"/>
      <c r="AC189" s="11"/>
      <c r="AD189" s="29"/>
      <c r="AE189" s="11"/>
      <c r="AF189" s="29"/>
      <c r="AG189" s="11"/>
      <c r="AH189" s="29"/>
      <c r="AI189" s="11"/>
      <c r="AJ189" s="29"/>
      <c r="AK189" s="29"/>
      <c r="AL189" s="29"/>
      <c r="AM189" s="11"/>
      <c r="AN189" s="29"/>
      <c r="AO189" s="29"/>
      <c r="AP189" s="6"/>
      <c r="AQ189" s="113">
        <f>IF(AND(I189="",K189="",AF189="",AL189="",AN189="",O189=""),"",IF(OR(I189="SIM",K189="SIM",AF189="SIM",AL189="SIM",AN189="Dados pessoais",AN189="Dados sensíveis",AN189="Dados pessoais e sensíveis",O189="Acima de 10.000 titulares por mês"),"SIM - Alta criticidade",IF((IF(I189="SIM",2,0)+IF(K189="SIM",2,0)+IF(AF189="SIM",2,0)+IF(OR(AN189="Dados pessoais",AN189="Dados sensíveis",AN189="Dados pessoais e sensíveis"),2,0)+IF(O189="De 1.001 a 10.000 titulares por mês",1,0)+IF(AA189="SIM",1,0)+IF(R189="SIM",1,0)+IF(AL189="SIM",1,0)+IF(AJ189="NÃO",1,0))&gt;=5,"SIM - Alta criticidade",IF((IF(I189="SIM",2,0)+IF(K189="SIM",2,0)+IF(AF189="SIM",2,0)+IF(OR(AN189="Dados pessoais",AN189="Dados sensíveis",AN189="Dados pessoais e sensíveis"),2,0)+IF(O189="De 1.001 a 10.000 titulares por mês",1,0)+IF(AA189="SIM",1,0)+IF(R189="SIM",1,0)+IF(AL189="SIM",1,0)+IF(AJ189="NÃO",1,0))&gt;=3,"Avaliação necessária","NÃO"))))</f>
      </c>
      <c r="AR189" s="11"/>
      <c r="AS189" s="113">
        <f>IF(AND(I189="",K189="",AF189="",AL189="",AN189="",O189=""),"",IF(OR(I189="SIM",K189="SIM",AF189="SIM",AL189="SIM",OR(AN189="Dados pessoais",AN189="Dados sensíveis",AN189="Dados pessoais e sensíveis"),O189="Acima de 10.000 titulares por mês",(IF(I189="SIM",2,0)+IF(K189="SIM",2,0)+IF(AF189="SIM",2,0)+IF(OR(AN189="Dados pessoais",AN189="Dados sensíveis",AN189="Dados pessoais e sensíveis"),2,0)+IF(O189="De 1.001 a 10.000 titulares por mês",1,0)+IF(AA189="SIM",1,0)+IF(R189="SIM",1,0)+IF(AL189="SIM",1,0)+IF(AJ189="NÃO",1,0))&gt;=3),"DPIA indicado ou em avaliação em razão de: " &amp; TRIM(IF(I189="SIM","tratamento de dados sensíveis; ","") &amp; IF(K189="SIM","utilização de dados de menores; ","") &amp; IF(AF189="SIM","transferência internacional de dados; ","") &amp; IF(AL189="SIM","utilização de inteligência artificial; ","") &amp; IF(OR(AN189="Dados pessoais",AN189="Dados sensíveis",AN189="Dados pessoais e sensíveis"),"dados inseridos em IA; ","") &amp; IF(O189="Acima de 10.000 titulares por mês","volume crítico de titulares; ","") &amp; IF(O189="De 1.001 a 10.000 titulares por mês","volume moderado de titulares; ","") &amp; IF(AA189="SIM","compartilhamento com terceiros; ","") &amp; IF(R189="SIM","compartilhamento com órgãos governamentais; ","") &amp; IF(AJ189="NÃO","ausência de controle de acesso por perfil; ","")),"DPIA não indicado: Processo de baixa criticidade."))</f>
      </c>
    </row>
    <row x14ac:dyDescent="0.25" r="190" customHeight="1" ht="15.75">
      <c r="A190" s="46"/>
      <c r="B190" s="6"/>
      <c r="C190" s="11"/>
      <c r="D190" s="11"/>
      <c r="E190" s="11"/>
      <c r="F190" s="29"/>
      <c r="G190" s="11"/>
      <c r="H190" s="11"/>
      <c r="I190" s="29"/>
      <c r="J190" s="11"/>
      <c r="K190" s="29"/>
      <c r="L190" s="11"/>
      <c r="M190" s="11"/>
      <c r="N190" s="11"/>
      <c r="O190" s="29"/>
      <c r="P190" s="29"/>
      <c r="Q190" s="11"/>
      <c r="R190" s="29"/>
      <c r="S190" s="11"/>
      <c r="T190" s="6"/>
      <c r="U190" s="29"/>
      <c r="V190" s="11"/>
      <c r="W190" s="11"/>
      <c r="X190" s="29"/>
      <c r="Y190" s="11"/>
      <c r="Z190" s="29"/>
      <c r="AA190" s="29"/>
      <c r="AB190" s="11"/>
      <c r="AC190" s="11"/>
      <c r="AD190" s="29"/>
      <c r="AE190" s="11"/>
      <c r="AF190" s="29"/>
      <c r="AG190" s="11"/>
      <c r="AH190" s="29"/>
      <c r="AI190" s="11"/>
      <c r="AJ190" s="29"/>
      <c r="AK190" s="29"/>
      <c r="AL190" s="29"/>
      <c r="AM190" s="11"/>
      <c r="AN190" s="29"/>
      <c r="AO190" s="29"/>
      <c r="AP190" s="6"/>
      <c r="AQ190" s="113">
        <f>IF(AND(I190="",K190="",AF190="",AL190="",AN190="",O190=""),"",IF(OR(I190="SIM",K190="SIM",AF190="SIM",AL190="SIM",AN190="Dados pessoais",AN190="Dados sensíveis",AN190="Dados pessoais e sensíveis",O190="Acima de 10.000 titulares por mês"),"SIM - Alta criticidade",IF((IF(I190="SIM",2,0)+IF(K190="SIM",2,0)+IF(AF190="SIM",2,0)+IF(OR(AN190="Dados pessoais",AN190="Dados sensíveis",AN190="Dados pessoais e sensíveis"),2,0)+IF(O190="De 1.001 a 10.000 titulares por mês",1,0)+IF(AA190="SIM",1,0)+IF(R190="SIM",1,0)+IF(AL190="SIM",1,0)+IF(AJ190="NÃO",1,0))&gt;=5,"SIM - Alta criticidade",IF((IF(I190="SIM",2,0)+IF(K190="SIM",2,0)+IF(AF190="SIM",2,0)+IF(OR(AN190="Dados pessoais",AN190="Dados sensíveis",AN190="Dados pessoais e sensíveis"),2,0)+IF(O190="De 1.001 a 10.000 titulares por mês",1,0)+IF(AA190="SIM",1,0)+IF(R190="SIM",1,0)+IF(AL190="SIM",1,0)+IF(AJ190="NÃO",1,0))&gt;=3,"Avaliação necessária","NÃO"))))</f>
      </c>
      <c r="AR190" s="11"/>
      <c r="AS190" s="113">
        <f>IF(AND(I190="",K190="",AF190="",AL190="",AN190="",O190=""),"",IF(OR(I190="SIM",K190="SIM",AF190="SIM",AL190="SIM",OR(AN190="Dados pessoais",AN190="Dados sensíveis",AN190="Dados pessoais e sensíveis"),O190="Acima de 10.000 titulares por mês",(IF(I190="SIM",2,0)+IF(K190="SIM",2,0)+IF(AF190="SIM",2,0)+IF(OR(AN190="Dados pessoais",AN190="Dados sensíveis",AN190="Dados pessoais e sensíveis"),2,0)+IF(O190="De 1.001 a 10.000 titulares por mês",1,0)+IF(AA190="SIM",1,0)+IF(R190="SIM",1,0)+IF(AL190="SIM",1,0)+IF(AJ190="NÃO",1,0))&gt;=3),"DPIA indicado ou em avaliação em razão de: " &amp; TRIM(IF(I190="SIM","tratamento de dados sensíveis; ","") &amp; IF(K190="SIM","utilização de dados de menores; ","") &amp; IF(AF190="SIM","transferência internacional de dados; ","") &amp; IF(AL190="SIM","utilização de inteligência artificial; ","") &amp; IF(OR(AN190="Dados pessoais",AN190="Dados sensíveis",AN190="Dados pessoais e sensíveis"),"dados inseridos em IA; ","") &amp; IF(O190="Acima de 10.000 titulares por mês","volume crítico de titulares; ","") &amp; IF(O190="De 1.001 a 10.000 titulares por mês","volume moderado de titulares; ","") &amp; IF(AA190="SIM","compartilhamento com terceiros; ","") &amp; IF(R190="SIM","compartilhamento com órgãos governamentais; ","") &amp; IF(AJ190="NÃO","ausência de controle de acesso por perfil; ","")),"DPIA não indicado: Processo de baixa criticidade."))</f>
      </c>
    </row>
    <row x14ac:dyDescent="0.25" r="191" customHeight="1" ht="15.75">
      <c r="A191" s="46"/>
      <c r="B191" s="6"/>
      <c r="C191" s="11"/>
      <c r="D191" s="11"/>
      <c r="E191" s="11"/>
      <c r="F191" s="29"/>
      <c r="G191" s="11"/>
      <c r="H191" s="11"/>
      <c r="I191" s="29"/>
      <c r="J191" s="11"/>
      <c r="K191" s="29"/>
      <c r="L191" s="11"/>
      <c r="M191" s="11"/>
      <c r="N191" s="11"/>
      <c r="O191" s="29"/>
      <c r="P191" s="29"/>
      <c r="Q191" s="11"/>
      <c r="R191" s="29"/>
      <c r="S191" s="11"/>
      <c r="T191" s="6"/>
      <c r="U191" s="29"/>
      <c r="V191" s="11"/>
      <c r="W191" s="11"/>
      <c r="X191" s="29"/>
      <c r="Y191" s="11"/>
      <c r="Z191" s="29"/>
      <c r="AA191" s="29"/>
      <c r="AB191" s="11"/>
      <c r="AC191" s="11"/>
      <c r="AD191" s="29"/>
      <c r="AE191" s="11"/>
      <c r="AF191" s="29"/>
      <c r="AG191" s="11"/>
      <c r="AH191" s="29"/>
      <c r="AI191" s="11"/>
      <c r="AJ191" s="29"/>
      <c r="AK191" s="29"/>
      <c r="AL191" s="29"/>
      <c r="AM191" s="11"/>
      <c r="AN191" s="29"/>
      <c r="AO191" s="29"/>
      <c r="AP191" s="6"/>
      <c r="AQ191" s="113">
        <f>IF(AND(I191="",K191="",AF191="",AL191="",AN191="",O191=""),"",IF(OR(I191="SIM",K191="SIM",AF191="SIM",AL191="SIM",AN191="Dados pessoais",AN191="Dados sensíveis",AN191="Dados pessoais e sensíveis",O191="Acima de 10.000 titulares por mês"),"SIM - Alta criticidade",IF((IF(I191="SIM",2,0)+IF(K191="SIM",2,0)+IF(AF191="SIM",2,0)+IF(OR(AN191="Dados pessoais",AN191="Dados sensíveis",AN191="Dados pessoais e sensíveis"),2,0)+IF(O191="De 1.001 a 10.000 titulares por mês",1,0)+IF(AA191="SIM",1,0)+IF(R191="SIM",1,0)+IF(AL191="SIM",1,0)+IF(AJ191="NÃO",1,0))&gt;=5,"SIM - Alta criticidade",IF((IF(I191="SIM",2,0)+IF(K191="SIM",2,0)+IF(AF191="SIM",2,0)+IF(OR(AN191="Dados pessoais",AN191="Dados sensíveis",AN191="Dados pessoais e sensíveis"),2,0)+IF(O191="De 1.001 a 10.000 titulares por mês",1,0)+IF(AA191="SIM",1,0)+IF(R191="SIM",1,0)+IF(AL191="SIM",1,0)+IF(AJ191="NÃO",1,0))&gt;=3,"Avaliação necessária","NÃO"))))</f>
      </c>
      <c r="AR191" s="11"/>
      <c r="AS191" s="113">
        <f>IF(AND(I191="",K191="",AF191="",AL191="",AN191="",O191=""),"",IF(OR(I191="SIM",K191="SIM",AF191="SIM",AL191="SIM",OR(AN191="Dados pessoais",AN191="Dados sensíveis",AN191="Dados pessoais e sensíveis"),O191="Acima de 10.000 titulares por mês",(IF(I191="SIM",2,0)+IF(K191="SIM",2,0)+IF(AF191="SIM",2,0)+IF(OR(AN191="Dados pessoais",AN191="Dados sensíveis",AN191="Dados pessoais e sensíveis"),2,0)+IF(O191="De 1.001 a 10.000 titulares por mês",1,0)+IF(AA191="SIM",1,0)+IF(R191="SIM",1,0)+IF(AL191="SIM",1,0)+IF(AJ191="NÃO",1,0))&gt;=3),"DPIA indicado ou em avaliação em razão de: " &amp; TRIM(IF(I191="SIM","tratamento de dados sensíveis; ","") &amp; IF(K191="SIM","utilização de dados de menores; ","") &amp; IF(AF191="SIM","transferência internacional de dados; ","") &amp; IF(AL191="SIM","utilização de inteligência artificial; ","") &amp; IF(OR(AN191="Dados pessoais",AN191="Dados sensíveis",AN191="Dados pessoais e sensíveis"),"dados inseridos em IA; ","") &amp; IF(O191="Acima de 10.000 titulares por mês","volume crítico de titulares; ","") &amp; IF(O191="De 1.001 a 10.000 titulares por mês","volume moderado de titulares; ","") &amp; IF(AA191="SIM","compartilhamento com terceiros; ","") &amp; IF(R191="SIM","compartilhamento com órgãos governamentais; ","") &amp; IF(AJ191="NÃO","ausência de controle de acesso por perfil; ","")),"DPIA não indicado: Processo de baixa criticidade."))</f>
      </c>
    </row>
    <row x14ac:dyDescent="0.25" r="192" customHeight="1" ht="15.75">
      <c r="A192" s="46"/>
      <c r="B192" s="6"/>
      <c r="C192" s="11"/>
      <c r="D192" s="11"/>
      <c r="E192" s="11"/>
      <c r="F192" s="29"/>
      <c r="G192" s="11"/>
      <c r="H192" s="11"/>
      <c r="I192" s="29"/>
      <c r="J192" s="11"/>
      <c r="K192" s="29"/>
      <c r="L192" s="11"/>
      <c r="M192" s="11"/>
      <c r="N192" s="11"/>
      <c r="O192" s="29"/>
      <c r="P192" s="29"/>
      <c r="Q192" s="11"/>
      <c r="R192" s="29"/>
      <c r="S192" s="11"/>
      <c r="T192" s="6"/>
      <c r="U192" s="29"/>
      <c r="V192" s="11"/>
      <c r="W192" s="11"/>
      <c r="X192" s="29"/>
      <c r="Y192" s="11"/>
      <c r="Z192" s="29"/>
      <c r="AA192" s="29"/>
      <c r="AB192" s="11"/>
      <c r="AC192" s="11"/>
      <c r="AD192" s="29"/>
      <c r="AE192" s="11"/>
      <c r="AF192" s="29"/>
      <c r="AG192" s="11"/>
      <c r="AH192" s="29"/>
      <c r="AI192" s="11"/>
      <c r="AJ192" s="29"/>
      <c r="AK192" s="29"/>
      <c r="AL192" s="29"/>
      <c r="AM192" s="11"/>
      <c r="AN192" s="29"/>
      <c r="AO192" s="29"/>
      <c r="AP192" s="6"/>
      <c r="AQ192" s="113">
        <f>IF(AND(I192="",K192="",AF192="",AL192="",AN192="",O192=""),"",IF(OR(I192="SIM",K192="SIM",AF192="SIM",AL192="SIM",AN192="Dados pessoais",AN192="Dados sensíveis",AN192="Dados pessoais e sensíveis",O192="Acima de 10.000 titulares por mês"),"SIM - Alta criticidade",IF((IF(I192="SIM",2,0)+IF(K192="SIM",2,0)+IF(AF192="SIM",2,0)+IF(OR(AN192="Dados pessoais",AN192="Dados sensíveis",AN192="Dados pessoais e sensíveis"),2,0)+IF(O192="De 1.001 a 10.000 titulares por mês",1,0)+IF(AA192="SIM",1,0)+IF(R192="SIM",1,0)+IF(AL192="SIM",1,0)+IF(AJ192="NÃO",1,0))&gt;=5,"SIM - Alta criticidade",IF((IF(I192="SIM",2,0)+IF(K192="SIM",2,0)+IF(AF192="SIM",2,0)+IF(OR(AN192="Dados pessoais",AN192="Dados sensíveis",AN192="Dados pessoais e sensíveis"),2,0)+IF(O192="De 1.001 a 10.000 titulares por mês",1,0)+IF(AA192="SIM",1,0)+IF(R192="SIM",1,0)+IF(AL192="SIM",1,0)+IF(AJ192="NÃO",1,0))&gt;=3,"Avaliação necessária","NÃO"))))</f>
      </c>
      <c r="AR192" s="11"/>
      <c r="AS192" s="113">
        <f>IF(AND(I192="",K192="",AF192="",AL192="",AN192="",O192=""),"",IF(OR(I192="SIM",K192="SIM",AF192="SIM",AL192="SIM",OR(AN192="Dados pessoais",AN192="Dados sensíveis",AN192="Dados pessoais e sensíveis"),O192="Acima de 10.000 titulares por mês",(IF(I192="SIM",2,0)+IF(K192="SIM",2,0)+IF(AF192="SIM",2,0)+IF(OR(AN192="Dados pessoais",AN192="Dados sensíveis",AN192="Dados pessoais e sensíveis"),2,0)+IF(O192="De 1.001 a 10.000 titulares por mês",1,0)+IF(AA192="SIM",1,0)+IF(R192="SIM",1,0)+IF(AL192="SIM",1,0)+IF(AJ192="NÃO",1,0))&gt;=3),"DPIA indicado ou em avaliação em razão de: " &amp; TRIM(IF(I192="SIM","tratamento de dados sensíveis; ","") &amp; IF(K192="SIM","utilização de dados de menores; ","") &amp; IF(AF192="SIM","transferência internacional de dados; ","") &amp; IF(AL192="SIM","utilização de inteligência artificial; ","") &amp; IF(OR(AN192="Dados pessoais",AN192="Dados sensíveis",AN192="Dados pessoais e sensíveis"),"dados inseridos em IA; ","") &amp; IF(O192="Acima de 10.000 titulares por mês","volume crítico de titulares; ","") &amp; IF(O192="De 1.001 a 10.000 titulares por mês","volume moderado de titulares; ","") &amp; IF(AA192="SIM","compartilhamento com terceiros; ","") &amp; IF(R192="SIM","compartilhamento com órgãos governamentais; ","") &amp; IF(AJ192="NÃO","ausência de controle de acesso por perfil; ","")),"DPIA não indicado: Processo de baixa criticidade."))</f>
      </c>
    </row>
    <row x14ac:dyDescent="0.25" r="193" customHeight="1" ht="15.75">
      <c r="A193" s="46"/>
      <c r="B193" s="6"/>
      <c r="C193" s="11"/>
      <c r="D193" s="11"/>
      <c r="E193" s="11"/>
      <c r="F193" s="29"/>
      <c r="G193" s="11"/>
      <c r="H193" s="11"/>
      <c r="I193" s="29"/>
      <c r="J193" s="11"/>
      <c r="K193" s="29"/>
      <c r="L193" s="11"/>
      <c r="M193" s="11"/>
      <c r="N193" s="11"/>
      <c r="O193" s="29"/>
      <c r="P193" s="29"/>
      <c r="Q193" s="11"/>
      <c r="R193" s="29"/>
      <c r="S193" s="11"/>
      <c r="T193" s="6"/>
      <c r="U193" s="29"/>
      <c r="V193" s="11"/>
      <c r="W193" s="11"/>
      <c r="X193" s="29"/>
      <c r="Y193" s="11"/>
      <c r="Z193" s="29"/>
      <c r="AA193" s="29"/>
      <c r="AB193" s="11"/>
      <c r="AC193" s="11"/>
      <c r="AD193" s="29"/>
      <c r="AE193" s="11"/>
      <c r="AF193" s="29"/>
      <c r="AG193" s="11"/>
      <c r="AH193" s="29"/>
      <c r="AI193" s="11"/>
      <c r="AJ193" s="29"/>
      <c r="AK193" s="29"/>
      <c r="AL193" s="29"/>
      <c r="AM193" s="11"/>
      <c r="AN193" s="29"/>
      <c r="AO193" s="29"/>
      <c r="AP193" s="6"/>
      <c r="AQ193" s="113">
        <f>IF(AND(I193="",K193="",AF193="",AL193="",AN193="",O193=""),"",IF(OR(I193="SIM",K193="SIM",AF193="SIM",AL193="SIM",AN193="Dados pessoais",AN193="Dados sensíveis",AN193="Dados pessoais e sensíveis",O193="Acima de 10.000 titulares por mês"),"SIM - Alta criticidade",IF((IF(I193="SIM",2,0)+IF(K193="SIM",2,0)+IF(AF193="SIM",2,0)+IF(OR(AN193="Dados pessoais",AN193="Dados sensíveis",AN193="Dados pessoais e sensíveis"),2,0)+IF(O193="De 1.001 a 10.000 titulares por mês",1,0)+IF(AA193="SIM",1,0)+IF(R193="SIM",1,0)+IF(AL193="SIM",1,0)+IF(AJ193="NÃO",1,0))&gt;=5,"SIM - Alta criticidade",IF((IF(I193="SIM",2,0)+IF(K193="SIM",2,0)+IF(AF193="SIM",2,0)+IF(OR(AN193="Dados pessoais",AN193="Dados sensíveis",AN193="Dados pessoais e sensíveis"),2,0)+IF(O193="De 1.001 a 10.000 titulares por mês",1,0)+IF(AA193="SIM",1,0)+IF(R193="SIM",1,0)+IF(AL193="SIM",1,0)+IF(AJ193="NÃO",1,0))&gt;=3,"Avaliação necessária","NÃO"))))</f>
      </c>
      <c r="AR193" s="11"/>
      <c r="AS193" s="113">
        <f>IF(AND(I193="",K193="",AF193="",AL193="",AN193="",O193=""),"",IF(OR(I193="SIM",K193="SIM",AF193="SIM",AL193="SIM",OR(AN193="Dados pessoais",AN193="Dados sensíveis",AN193="Dados pessoais e sensíveis"),O193="Acima de 10.000 titulares por mês",(IF(I193="SIM",2,0)+IF(K193="SIM",2,0)+IF(AF193="SIM",2,0)+IF(OR(AN193="Dados pessoais",AN193="Dados sensíveis",AN193="Dados pessoais e sensíveis"),2,0)+IF(O193="De 1.001 a 10.000 titulares por mês",1,0)+IF(AA193="SIM",1,0)+IF(R193="SIM",1,0)+IF(AL193="SIM",1,0)+IF(AJ193="NÃO",1,0))&gt;=3),"DPIA indicado ou em avaliação em razão de: " &amp; TRIM(IF(I193="SIM","tratamento de dados sensíveis; ","") &amp; IF(K193="SIM","utilização de dados de menores; ","") &amp; IF(AF193="SIM","transferência internacional de dados; ","") &amp; IF(AL193="SIM","utilização de inteligência artificial; ","") &amp; IF(OR(AN193="Dados pessoais",AN193="Dados sensíveis",AN193="Dados pessoais e sensíveis"),"dados inseridos em IA; ","") &amp; IF(O193="Acima de 10.000 titulares por mês","volume crítico de titulares; ","") &amp; IF(O193="De 1.001 a 10.000 titulares por mês","volume moderado de titulares; ","") &amp; IF(AA193="SIM","compartilhamento com terceiros; ","") &amp; IF(R193="SIM","compartilhamento com órgãos governamentais; ","") &amp; IF(AJ193="NÃO","ausência de controle de acesso por perfil; ","")),"DPIA não indicado: Processo de baixa criticidade."))</f>
      </c>
    </row>
    <row x14ac:dyDescent="0.25" r="194" customHeight="1" ht="15.75">
      <c r="A194" s="46"/>
      <c r="B194" s="6"/>
      <c r="C194" s="11"/>
      <c r="D194" s="11"/>
      <c r="E194" s="11"/>
      <c r="F194" s="29"/>
      <c r="G194" s="11"/>
      <c r="H194" s="11"/>
      <c r="I194" s="29"/>
      <c r="J194" s="11"/>
      <c r="K194" s="29"/>
      <c r="L194" s="11"/>
      <c r="M194" s="11"/>
      <c r="N194" s="11"/>
      <c r="O194" s="29"/>
      <c r="P194" s="29"/>
      <c r="Q194" s="11"/>
      <c r="R194" s="29"/>
      <c r="S194" s="11"/>
      <c r="T194" s="6"/>
      <c r="U194" s="29"/>
      <c r="V194" s="11"/>
      <c r="W194" s="11"/>
      <c r="X194" s="29"/>
      <c r="Y194" s="11"/>
      <c r="Z194" s="29"/>
      <c r="AA194" s="29"/>
      <c r="AB194" s="11"/>
      <c r="AC194" s="11"/>
      <c r="AD194" s="29"/>
      <c r="AE194" s="11"/>
      <c r="AF194" s="29"/>
      <c r="AG194" s="11"/>
      <c r="AH194" s="29"/>
      <c r="AI194" s="11"/>
      <c r="AJ194" s="29"/>
      <c r="AK194" s="29"/>
      <c r="AL194" s="29"/>
      <c r="AM194" s="11"/>
      <c r="AN194" s="29"/>
      <c r="AO194" s="29"/>
      <c r="AP194" s="6"/>
      <c r="AQ194" s="113">
        <f>IF(AND(I194="",K194="",AF194="",AL194="",AN194="",O194=""),"",IF(OR(I194="SIM",K194="SIM",AF194="SIM",AL194="SIM",AN194="Dados pessoais",AN194="Dados sensíveis",AN194="Dados pessoais e sensíveis",O194="Acima de 10.000 titulares por mês"),"SIM - Alta criticidade",IF((IF(I194="SIM",2,0)+IF(K194="SIM",2,0)+IF(AF194="SIM",2,0)+IF(OR(AN194="Dados pessoais",AN194="Dados sensíveis",AN194="Dados pessoais e sensíveis"),2,0)+IF(O194="De 1.001 a 10.000 titulares por mês",1,0)+IF(AA194="SIM",1,0)+IF(R194="SIM",1,0)+IF(AL194="SIM",1,0)+IF(AJ194="NÃO",1,0))&gt;=5,"SIM - Alta criticidade",IF((IF(I194="SIM",2,0)+IF(K194="SIM",2,0)+IF(AF194="SIM",2,0)+IF(OR(AN194="Dados pessoais",AN194="Dados sensíveis",AN194="Dados pessoais e sensíveis"),2,0)+IF(O194="De 1.001 a 10.000 titulares por mês",1,0)+IF(AA194="SIM",1,0)+IF(R194="SIM",1,0)+IF(AL194="SIM",1,0)+IF(AJ194="NÃO",1,0))&gt;=3,"Avaliação necessária","NÃO"))))</f>
      </c>
      <c r="AR194" s="11"/>
      <c r="AS194" s="113">
        <f>IF(AND(I194="",K194="",AF194="",AL194="",AN194="",O194=""),"",IF(OR(I194="SIM",K194="SIM",AF194="SIM",AL194="SIM",OR(AN194="Dados pessoais",AN194="Dados sensíveis",AN194="Dados pessoais e sensíveis"),O194="Acima de 10.000 titulares por mês",(IF(I194="SIM",2,0)+IF(K194="SIM",2,0)+IF(AF194="SIM",2,0)+IF(OR(AN194="Dados pessoais",AN194="Dados sensíveis",AN194="Dados pessoais e sensíveis"),2,0)+IF(O194="De 1.001 a 10.000 titulares por mês",1,0)+IF(AA194="SIM",1,0)+IF(R194="SIM",1,0)+IF(AL194="SIM",1,0)+IF(AJ194="NÃO",1,0))&gt;=3),"DPIA indicado ou em avaliação em razão de: " &amp; TRIM(IF(I194="SIM","tratamento de dados sensíveis; ","") &amp; IF(K194="SIM","utilização de dados de menores; ","") &amp; IF(AF194="SIM","transferência internacional de dados; ","") &amp; IF(AL194="SIM","utilização de inteligência artificial; ","") &amp; IF(OR(AN194="Dados pessoais",AN194="Dados sensíveis",AN194="Dados pessoais e sensíveis"),"dados inseridos em IA; ","") &amp; IF(O194="Acima de 10.000 titulares por mês","volume crítico de titulares; ","") &amp; IF(O194="De 1.001 a 10.000 titulares por mês","volume moderado de titulares; ","") &amp; IF(AA194="SIM","compartilhamento com terceiros; ","") &amp; IF(R194="SIM","compartilhamento com órgãos governamentais; ","") &amp; IF(AJ194="NÃO","ausência de controle de acesso por perfil; ","")),"DPIA não indicado: Processo de baixa criticidade."))</f>
      </c>
    </row>
    <row x14ac:dyDescent="0.25" r="195" customHeight="1" ht="15.75">
      <c r="A195" s="46"/>
      <c r="B195" s="6"/>
      <c r="C195" s="11"/>
      <c r="D195" s="11"/>
      <c r="E195" s="11"/>
      <c r="F195" s="29"/>
      <c r="G195" s="11"/>
      <c r="H195" s="11"/>
      <c r="I195" s="29"/>
      <c r="J195" s="11"/>
      <c r="K195" s="29"/>
      <c r="L195" s="11"/>
      <c r="M195" s="11"/>
      <c r="N195" s="11"/>
      <c r="O195" s="29"/>
      <c r="P195" s="29"/>
      <c r="Q195" s="11"/>
      <c r="R195" s="29"/>
      <c r="S195" s="11"/>
      <c r="T195" s="6"/>
      <c r="U195" s="29"/>
      <c r="V195" s="11"/>
      <c r="W195" s="11"/>
      <c r="X195" s="29"/>
      <c r="Y195" s="11"/>
      <c r="Z195" s="29"/>
      <c r="AA195" s="29"/>
      <c r="AB195" s="11"/>
      <c r="AC195" s="11"/>
      <c r="AD195" s="29"/>
      <c r="AE195" s="11"/>
      <c r="AF195" s="29"/>
      <c r="AG195" s="11"/>
      <c r="AH195" s="29"/>
      <c r="AI195" s="11"/>
      <c r="AJ195" s="29"/>
      <c r="AK195" s="29"/>
      <c r="AL195" s="29"/>
      <c r="AM195" s="11"/>
      <c r="AN195" s="29"/>
      <c r="AO195" s="29"/>
      <c r="AP195" s="6"/>
      <c r="AQ195" s="113">
        <f>IF(AND(I195="",K195="",AF195="",AL195="",AN195="",O195=""),"",IF(OR(I195="SIM",K195="SIM",AF195="SIM",AL195="SIM",AN195="Dados pessoais",AN195="Dados sensíveis",AN195="Dados pessoais e sensíveis",O195="Acima de 10.000 titulares por mês"),"SIM - Alta criticidade",IF((IF(I195="SIM",2,0)+IF(K195="SIM",2,0)+IF(AF195="SIM",2,0)+IF(OR(AN195="Dados pessoais",AN195="Dados sensíveis",AN195="Dados pessoais e sensíveis"),2,0)+IF(O195="De 1.001 a 10.000 titulares por mês",1,0)+IF(AA195="SIM",1,0)+IF(R195="SIM",1,0)+IF(AL195="SIM",1,0)+IF(AJ195="NÃO",1,0))&gt;=5,"SIM - Alta criticidade",IF((IF(I195="SIM",2,0)+IF(K195="SIM",2,0)+IF(AF195="SIM",2,0)+IF(OR(AN195="Dados pessoais",AN195="Dados sensíveis",AN195="Dados pessoais e sensíveis"),2,0)+IF(O195="De 1.001 a 10.000 titulares por mês",1,0)+IF(AA195="SIM",1,0)+IF(R195="SIM",1,0)+IF(AL195="SIM",1,0)+IF(AJ195="NÃO",1,0))&gt;=3,"Avaliação necessária","NÃO"))))</f>
      </c>
      <c r="AR195" s="11"/>
      <c r="AS195" s="113">
        <f>IF(AND(I195="",K195="",AF195="",AL195="",AN195="",O195=""),"",IF(OR(I195="SIM",K195="SIM",AF195="SIM",AL195="SIM",OR(AN195="Dados pessoais",AN195="Dados sensíveis",AN195="Dados pessoais e sensíveis"),O195="Acima de 10.000 titulares por mês",(IF(I195="SIM",2,0)+IF(K195="SIM",2,0)+IF(AF195="SIM",2,0)+IF(OR(AN195="Dados pessoais",AN195="Dados sensíveis",AN195="Dados pessoais e sensíveis"),2,0)+IF(O195="De 1.001 a 10.000 titulares por mês",1,0)+IF(AA195="SIM",1,0)+IF(R195="SIM",1,0)+IF(AL195="SIM",1,0)+IF(AJ195="NÃO",1,0))&gt;=3),"DPIA indicado ou em avaliação em razão de: " &amp; TRIM(IF(I195="SIM","tratamento de dados sensíveis; ","") &amp; IF(K195="SIM","utilização de dados de menores; ","") &amp; IF(AF195="SIM","transferência internacional de dados; ","") &amp; IF(AL195="SIM","utilização de inteligência artificial; ","") &amp; IF(OR(AN195="Dados pessoais",AN195="Dados sensíveis",AN195="Dados pessoais e sensíveis"),"dados inseridos em IA; ","") &amp; IF(O195="Acima de 10.000 titulares por mês","volume crítico de titulares; ","") &amp; IF(O195="De 1.001 a 10.000 titulares por mês","volume moderado de titulares; ","") &amp; IF(AA195="SIM","compartilhamento com terceiros; ","") &amp; IF(R195="SIM","compartilhamento com órgãos governamentais; ","") &amp; IF(AJ195="NÃO","ausência de controle de acesso por perfil; ","")),"DPIA não indicado: Processo de baixa criticidade."))</f>
      </c>
    </row>
    <row x14ac:dyDescent="0.25" r="196" customHeight="1" ht="15.75">
      <c r="A196" s="46"/>
      <c r="B196" s="6"/>
      <c r="C196" s="11"/>
      <c r="D196" s="11"/>
      <c r="E196" s="11"/>
      <c r="F196" s="29"/>
      <c r="G196" s="11"/>
      <c r="H196" s="11"/>
      <c r="I196" s="29"/>
      <c r="J196" s="11"/>
      <c r="K196" s="29"/>
      <c r="L196" s="11"/>
      <c r="M196" s="11"/>
      <c r="N196" s="11"/>
      <c r="O196" s="29"/>
      <c r="P196" s="29"/>
      <c r="Q196" s="11"/>
      <c r="R196" s="29"/>
      <c r="S196" s="11"/>
      <c r="T196" s="6"/>
      <c r="U196" s="29"/>
      <c r="V196" s="11"/>
      <c r="W196" s="11"/>
      <c r="X196" s="29"/>
      <c r="Y196" s="11"/>
      <c r="Z196" s="29"/>
      <c r="AA196" s="29"/>
      <c r="AB196" s="11"/>
      <c r="AC196" s="11"/>
      <c r="AD196" s="29"/>
      <c r="AE196" s="11"/>
      <c r="AF196" s="29"/>
      <c r="AG196" s="11"/>
      <c r="AH196" s="29"/>
      <c r="AI196" s="11"/>
      <c r="AJ196" s="29"/>
      <c r="AK196" s="29"/>
      <c r="AL196" s="29"/>
      <c r="AM196" s="11"/>
      <c r="AN196" s="29"/>
      <c r="AO196" s="29"/>
      <c r="AP196" s="6"/>
      <c r="AQ196" s="113">
        <f>IF(AND(I196="",K196="",AF196="",AL196="",AN196="",O196=""),"",IF(OR(I196="SIM",K196="SIM",AF196="SIM",AL196="SIM",AN196="Dados pessoais",AN196="Dados sensíveis",AN196="Dados pessoais e sensíveis",O196="Acima de 10.000 titulares por mês"),"SIM - Alta criticidade",IF((IF(I196="SIM",2,0)+IF(K196="SIM",2,0)+IF(AF196="SIM",2,0)+IF(OR(AN196="Dados pessoais",AN196="Dados sensíveis",AN196="Dados pessoais e sensíveis"),2,0)+IF(O196="De 1.001 a 10.000 titulares por mês",1,0)+IF(AA196="SIM",1,0)+IF(R196="SIM",1,0)+IF(AL196="SIM",1,0)+IF(AJ196="NÃO",1,0))&gt;=5,"SIM - Alta criticidade",IF((IF(I196="SIM",2,0)+IF(K196="SIM",2,0)+IF(AF196="SIM",2,0)+IF(OR(AN196="Dados pessoais",AN196="Dados sensíveis",AN196="Dados pessoais e sensíveis"),2,0)+IF(O196="De 1.001 a 10.000 titulares por mês",1,0)+IF(AA196="SIM",1,0)+IF(R196="SIM",1,0)+IF(AL196="SIM",1,0)+IF(AJ196="NÃO",1,0))&gt;=3,"Avaliação necessária","NÃO"))))</f>
      </c>
      <c r="AR196" s="11"/>
      <c r="AS196" s="113">
        <f>IF(AND(I196="",K196="",AF196="",AL196="",AN196="",O196=""),"",IF(OR(I196="SIM",K196="SIM",AF196="SIM",AL196="SIM",OR(AN196="Dados pessoais",AN196="Dados sensíveis",AN196="Dados pessoais e sensíveis"),O196="Acima de 10.000 titulares por mês",(IF(I196="SIM",2,0)+IF(K196="SIM",2,0)+IF(AF196="SIM",2,0)+IF(OR(AN196="Dados pessoais",AN196="Dados sensíveis",AN196="Dados pessoais e sensíveis"),2,0)+IF(O196="De 1.001 a 10.000 titulares por mês",1,0)+IF(AA196="SIM",1,0)+IF(R196="SIM",1,0)+IF(AL196="SIM",1,0)+IF(AJ196="NÃO",1,0))&gt;=3),"DPIA indicado ou em avaliação em razão de: " &amp; TRIM(IF(I196="SIM","tratamento de dados sensíveis; ","") &amp; IF(K196="SIM","utilização de dados de menores; ","") &amp; IF(AF196="SIM","transferência internacional de dados; ","") &amp; IF(AL196="SIM","utilização de inteligência artificial; ","") &amp; IF(OR(AN196="Dados pessoais",AN196="Dados sensíveis",AN196="Dados pessoais e sensíveis"),"dados inseridos em IA; ","") &amp; IF(O196="Acima de 10.000 titulares por mês","volume crítico de titulares; ","") &amp; IF(O196="De 1.001 a 10.000 titulares por mês","volume moderado de titulares; ","") &amp; IF(AA196="SIM","compartilhamento com terceiros; ","") &amp; IF(R196="SIM","compartilhamento com órgãos governamentais; ","") &amp; IF(AJ196="NÃO","ausência de controle de acesso por perfil; ","")),"DPIA não indicado: Processo de baixa criticidade."))</f>
      </c>
    </row>
    <row x14ac:dyDescent="0.25" r="197" customHeight="1" ht="15.75">
      <c r="A197" s="46"/>
      <c r="B197" s="6"/>
      <c r="C197" s="11"/>
      <c r="D197" s="11"/>
      <c r="E197" s="11"/>
      <c r="F197" s="29"/>
      <c r="G197" s="11"/>
      <c r="H197" s="11"/>
      <c r="I197" s="29"/>
      <c r="J197" s="11"/>
      <c r="K197" s="29"/>
      <c r="L197" s="11"/>
      <c r="M197" s="11"/>
      <c r="N197" s="11"/>
      <c r="O197" s="29"/>
      <c r="P197" s="29"/>
      <c r="Q197" s="11"/>
      <c r="R197" s="29"/>
      <c r="S197" s="11"/>
      <c r="T197" s="6"/>
      <c r="U197" s="29"/>
      <c r="V197" s="11"/>
      <c r="W197" s="11"/>
      <c r="X197" s="29"/>
      <c r="Y197" s="11"/>
      <c r="Z197" s="29"/>
      <c r="AA197" s="29"/>
      <c r="AB197" s="11"/>
      <c r="AC197" s="11"/>
      <c r="AD197" s="29"/>
      <c r="AE197" s="11"/>
      <c r="AF197" s="29"/>
      <c r="AG197" s="11"/>
      <c r="AH197" s="29"/>
      <c r="AI197" s="11"/>
      <c r="AJ197" s="29"/>
      <c r="AK197" s="29"/>
      <c r="AL197" s="29"/>
      <c r="AM197" s="11"/>
      <c r="AN197" s="29"/>
      <c r="AO197" s="29"/>
      <c r="AP197" s="6"/>
      <c r="AQ197" s="113">
        <f>IF(AND(I197="",K197="",AF197="",AL197="",AN197="",O197=""),"",IF(OR(I197="SIM",K197="SIM",AF197="SIM",AL197="SIM",AN197="Dados pessoais",AN197="Dados sensíveis",AN197="Dados pessoais e sensíveis",O197="Acima de 10.000 titulares por mês"),"SIM - Alta criticidade",IF((IF(I197="SIM",2,0)+IF(K197="SIM",2,0)+IF(AF197="SIM",2,0)+IF(OR(AN197="Dados pessoais",AN197="Dados sensíveis",AN197="Dados pessoais e sensíveis"),2,0)+IF(O197="De 1.001 a 10.000 titulares por mês",1,0)+IF(AA197="SIM",1,0)+IF(R197="SIM",1,0)+IF(AL197="SIM",1,0)+IF(AJ197="NÃO",1,0))&gt;=5,"SIM - Alta criticidade",IF((IF(I197="SIM",2,0)+IF(K197="SIM",2,0)+IF(AF197="SIM",2,0)+IF(OR(AN197="Dados pessoais",AN197="Dados sensíveis",AN197="Dados pessoais e sensíveis"),2,0)+IF(O197="De 1.001 a 10.000 titulares por mês",1,0)+IF(AA197="SIM",1,0)+IF(R197="SIM",1,0)+IF(AL197="SIM",1,0)+IF(AJ197="NÃO",1,0))&gt;=3,"Avaliação necessária","NÃO"))))</f>
      </c>
      <c r="AR197" s="11"/>
      <c r="AS197" s="113">
        <f>IF(AND(I197="",K197="",AF197="",AL197="",AN197="",O197=""),"",IF(OR(I197="SIM",K197="SIM",AF197="SIM",AL197="SIM",OR(AN197="Dados pessoais",AN197="Dados sensíveis",AN197="Dados pessoais e sensíveis"),O197="Acima de 10.000 titulares por mês",(IF(I197="SIM",2,0)+IF(K197="SIM",2,0)+IF(AF197="SIM",2,0)+IF(OR(AN197="Dados pessoais",AN197="Dados sensíveis",AN197="Dados pessoais e sensíveis"),2,0)+IF(O197="De 1.001 a 10.000 titulares por mês",1,0)+IF(AA197="SIM",1,0)+IF(R197="SIM",1,0)+IF(AL197="SIM",1,0)+IF(AJ197="NÃO",1,0))&gt;=3),"DPIA indicado ou em avaliação em razão de: " &amp; TRIM(IF(I197="SIM","tratamento de dados sensíveis; ","") &amp; IF(K197="SIM","utilização de dados de menores; ","") &amp; IF(AF197="SIM","transferência internacional de dados; ","") &amp; IF(AL197="SIM","utilização de inteligência artificial; ","") &amp; IF(OR(AN197="Dados pessoais",AN197="Dados sensíveis",AN197="Dados pessoais e sensíveis"),"dados inseridos em IA; ","") &amp; IF(O197="Acima de 10.000 titulares por mês","volume crítico de titulares; ","") &amp; IF(O197="De 1.001 a 10.000 titulares por mês","volume moderado de titulares; ","") &amp; IF(AA197="SIM","compartilhamento com terceiros; ","") &amp; IF(R197="SIM","compartilhamento com órgãos governamentais; ","") &amp; IF(AJ197="NÃO","ausência de controle de acesso por perfil; ","")),"DPIA não indicado: Processo de baixa criticidade."))</f>
      </c>
    </row>
    <row x14ac:dyDescent="0.25" r="198" customHeight="1" ht="15.75">
      <c r="A198" s="46"/>
      <c r="B198" s="6"/>
      <c r="C198" s="11"/>
      <c r="D198" s="11"/>
      <c r="E198" s="11"/>
      <c r="F198" s="29"/>
      <c r="G198" s="11"/>
      <c r="H198" s="11"/>
      <c r="I198" s="29"/>
      <c r="J198" s="11"/>
      <c r="K198" s="29"/>
      <c r="L198" s="11"/>
      <c r="M198" s="11"/>
      <c r="N198" s="11"/>
      <c r="O198" s="29"/>
      <c r="P198" s="29"/>
      <c r="Q198" s="11"/>
      <c r="R198" s="29"/>
      <c r="S198" s="11"/>
      <c r="T198" s="6"/>
      <c r="U198" s="29"/>
      <c r="V198" s="11"/>
      <c r="W198" s="11"/>
      <c r="X198" s="29"/>
      <c r="Y198" s="11"/>
      <c r="Z198" s="29"/>
      <c r="AA198" s="29"/>
      <c r="AB198" s="11"/>
      <c r="AC198" s="11"/>
      <c r="AD198" s="29"/>
      <c r="AE198" s="11"/>
      <c r="AF198" s="29"/>
      <c r="AG198" s="11"/>
      <c r="AH198" s="29"/>
      <c r="AI198" s="11"/>
      <c r="AJ198" s="29"/>
      <c r="AK198" s="29"/>
      <c r="AL198" s="29"/>
      <c r="AM198" s="11"/>
      <c r="AN198" s="29"/>
      <c r="AO198" s="29"/>
      <c r="AP198" s="6"/>
      <c r="AQ198" s="113">
        <f>IF(AND(I198="",K198="",AF198="",AL198="",AN198="",O198=""),"",IF(OR(I198="SIM",K198="SIM",AF198="SIM",AL198="SIM",AN198="Dados pessoais",AN198="Dados sensíveis",AN198="Dados pessoais e sensíveis",O198="Acima de 10.000 titulares por mês"),"SIM - Alta criticidade",IF((IF(I198="SIM",2,0)+IF(K198="SIM",2,0)+IF(AF198="SIM",2,0)+IF(OR(AN198="Dados pessoais",AN198="Dados sensíveis",AN198="Dados pessoais e sensíveis"),2,0)+IF(O198="De 1.001 a 10.000 titulares por mês",1,0)+IF(AA198="SIM",1,0)+IF(R198="SIM",1,0)+IF(AL198="SIM",1,0)+IF(AJ198="NÃO",1,0))&gt;=5,"SIM - Alta criticidade",IF((IF(I198="SIM",2,0)+IF(K198="SIM",2,0)+IF(AF198="SIM",2,0)+IF(OR(AN198="Dados pessoais",AN198="Dados sensíveis",AN198="Dados pessoais e sensíveis"),2,0)+IF(O198="De 1.001 a 10.000 titulares por mês",1,0)+IF(AA198="SIM",1,0)+IF(R198="SIM",1,0)+IF(AL198="SIM",1,0)+IF(AJ198="NÃO",1,0))&gt;=3,"Avaliação necessária","NÃO"))))</f>
      </c>
      <c r="AR198" s="11"/>
      <c r="AS198" s="113">
        <f>IF(AND(I198="",K198="",AF198="",AL198="",AN198="",O198=""),"",IF(OR(I198="SIM",K198="SIM",AF198="SIM",AL198="SIM",OR(AN198="Dados pessoais",AN198="Dados sensíveis",AN198="Dados pessoais e sensíveis"),O198="Acima de 10.000 titulares por mês",(IF(I198="SIM",2,0)+IF(K198="SIM",2,0)+IF(AF198="SIM",2,0)+IF(OR(AN198="Dados pessoais",AN198="Dados sensíveis",AN198="Dados pessoais e sensíveis"),2,0)+IF(O198="De 1.001 a 10.000 titulares por mês",1,0)+IF(AA198="SIM",1,0)+IF(R198="SIM",1,0)+IF(AL198="SIM",1,0)+IF(AJ198="NÃO",1,0))&gt;=3),"DPIA indicado ou em avaliação em razão de: " &amp; TRIM(IF(I198="SIM","tratamento de dados sensíveis; ","") &amp; IF(K198="SIM","utilização de dados de menores; ","") &amp; IF(AF198="SIM","transferência internacional de dados; ","") &amp; IF(AL198="SIM","utilização de inteligência artificial; ","") &amp; IF(OR(AN198="Dados pessoais",AN198="Dados sensíveis",AN198="Dados pessoais e sensíveis"),"dados inseridos em IA; ","") &amp; IF(O198="Acima de 10.000 titulares por mês","volume crítico de titulares; ","") &amp; IF(O198="De 1.001 a 10.000 titulares por mês","volume moderado de titulares; ","") &amp; IF(AA198="SIM","compartilhamento com terceiros; ","") &amp; IF(R198="SIM","compartilhamento com órgãos governamentais; ","") &amp; IF(AJ198="NÃO","ausência de controle de acesso por perfil; ","")),"DPIA não indicado: Processo de baixa criticidade."))</f>
      </c>
    </row>
    <row x14ac:dyDescent="0.25" r="199" customHeight="1" ht="15.75">
      <c r="A199" s="46"/>
      <c r="B199" s="6"/>
      <c r="C199" s="11"/>
      <c r="D199" s="11"/>
      <c r="E199" s="11"/>
      <c r="F199" s="29"/>
      <c r="G199" s="11"/>
      <c r="H199" s="11"/>
      <c r="I199" s="29"/>
      <c r="J199" s="11"/>
      <c r="K199" s="29"/>
      <c r="L199" s="11"/>
      <c r="M199" s="11"/>
      <c r="N199" s="11"/>
      <c r="O199" s="29"/>
      <c r="P199" s="29"/>
      <c r="Q199" s="11"/>
      <c r="R199" s="29"/>
      <c r="S199" s="11"/>
      <c r="T199" s="6"/>
      <c r="U199" s="29"/>
      <c r="V199" s="11"/>
      <c r="W199" s="11"/>
      <c r="X199" s="29"/>
      <c r="Y199" s="11"/>
      <c r="Z199" s="29"/>
      <c r="AA199" s="29"/>
      <c r="AB199" s="11"/>
      <c r="AC199" s="11"/>
      <c r="AD199" s="29"/>
      <c r="AE199" s="11"/>
      <c r="AF199" s="29"/>
      <c r="AG199" s="11"/>
      <c r="AH199" s="29"/>
      <c r="AI199" s="11"/>
      <c r="AJ199" s="29"/>
      <c r="AK199" s="29"/>
      <c r="AL199" s="29"/>
      <c r="AM199" s="11"/>
      <c r="AN199" s="29"/>
      <c r="AO199" s="29"/>
      <c r="AP199" s="6"/>
      <c r="AQ199" s="113">
        <f>IF(AND(I199="",K199="",AF199="",AL199="",AN199="",O199=""),"",IF(OR(I199="SIM",K199="SIM",AF199="SIM",AL199="SIM",AN199="Dados pessoais",AN199="Dados sensíveis",AN199="Dados pessoais e sensíveis",O199="Acima de 10.000 titulares por mês"),"SIM - Alta criticidade",IF((IF(I199="SIM",2,0)+IF(K199="SIM",2,0)+IF(AF199="SIM",2,0)+IF(OR(AN199="Dados pessoais",AN199="Dados sensíveis",AN199="Dados pessoais e sensíveis"),2,0)+IF(O199="De 1.001 a 10.000 titulares por mês",1,0)+IF(AA199="SIM",1,0)+IF(R199="SIM",1,0)+IF(AL199="SIM",1,0)+IF(AJ199="NÃO",1,0))&gt;=5,"SIM - Alta criticidade",IF((IF(I199="SIM",2,0)+IF(K199="SIM",2,0)+IF(AF199="SIM",2,0)+IF(OR(AN199="Dados pessoais",AN199="Dados sensíveis",AN199="Dados pessoais e sensíveis"),2,0)+IF(O199="De 1.001 a 10.000 titulares por mês",1,0)+IF(AA199="SIM",1,0)+IF(R199="SIM",1,0)+IF(AL199="SIM",1,0)+IF(AJ199="NÃO",1,0))&gt;=3,"Avaliação necessária","NÃO"))))</f>
      </c>
      <c r="AR199" s="11"/>
      <c r="AS199" s="113">
        <f>IF(AND(I199="",K199="",AF199="",AL199="",AN199="",O199=""),"",IF(OR(I199="SIM",K199="SIM",AF199="SIM",AL199="SIM",OR(AN199="Dados pessoais",AN199="Dados sensíveis",AN199="Dados pessoais e sensíveis"),O199="Acima de 10.000 titulares por mês",(IF(I199="SIM",2,0)+IF(K199="SIM",2,0)+IF(AF199="SIM",2,0)+IF(OR(AN199="Dados pessoais",AN199="Dados sensíveis",AN199="Dados pessoais e sensíveis"),2,0)+IF(O199="De 1.001 a 10.000 titulares por mês",1,0)+IF(AA199="SIM",1,0)+IF(R199="SIM",1,0)+IF(AL199="SIM",1,0)+IF(AJ199="NÃO",1,0))&gt;=3),"DPIA indicado ou em avaliação em razão de: " &amp; TRIM(IF(I199="SIM","tratamento de dados sensíveis; ","") &amp; IF(K199="SIM","utilização de dados de menores; ","") &amp; IF(AF199="SIM","transferência internacional de dados; ","") &amp; IF(AL199="SIM","utilização de inteligência artificial; ","") &amp; IF(OR(AN199="Dados pessoais",AN199="Dados sensíveis",AN199="Dados pessoais e sensíveis"),"dados inseridos em IA; ","") &amp; IF(O199="Acima de 10.000 titulares por mês","volume crítico de titulares; ","") &amp; IF(O199="De 1.001 a 10.000 titulares por mês","volume moderado de titulares; ","") &amp; IF(AA199="SIM","compartilhamento com terceiros; ","") &amp; IF(R199="SIM","compartilhamento com órgãos governamentais; ","") &amp; IF(AJ199="NÃO","ausência de controle de acesso por perfil; ","")),"DPIA não indicado: Processo de baixa criticidade."))</f>
      </c>
    </row>
    <row x14ac:dyDescent="0.25" r="200" customHeight="1" ht="15.75">
      <c r="A200" s="46"/>
      <c r="B200" s="6"/>
      <c r="C200" s="11"/>
      <c r="D200" s="11"/>
      <c r="E200" s="11"/>
      <c r="F200" s="29"/>
      <c r="G200" s="11"/>
      <c r="H200" s="11"/>
      <c r="I200" s="29"/>
      <c r="J200" s="11"/>
      <c r="K200" s="29"/>
      <c r="L200" s="11"/>
      <c r="M200" s="11"/>
      <c r="N200" s="11"/>
      <c r="O200" s="29"/>
      <c r="P200" s="29"/>
      <c r="Q200" s="11"/>
      <c r="R200" s="29"/>
      <c r="S200" s="11"/>
      <c r="T200" s="6"/>
      <c r="U200" s="29"/>
      <c r="V200" s="11"/>
      <c r="W200" s="11"/>
      <c r="X200" s="29"/>
      <c r="Y200" s="11"/>
      <c r="Z200" s="29"/>
      <c r="AA200" s="29"/>
      <c r="AB200" s="11"/>
      <c r="AC200" s="11"/>
      <c r="AD200" s="29"/>
      <c r="AE200" s="11"/>
      <c r="AF200" s="29"/>
      <c r="AG200" s="11"/>
      <c r="AH200" s="29"/>
      <c r="AI200" s="11"/>
      <c r="AJ200" s="29"/>
      <c r="AK200" s="29"/>
      <c r="AL200" s="29"/>
      <c r="AM200" s="11"/>
      <c r="AN200" s="29"/>
      <c r="AO200" s="29"/>
      <c r="AP200" s="6"/>
      <c r="AQ200" s="113">
        <f>IF(AND(I200="",K200="",AF200="",AL200="",AN200="",O200=""),"",IF(OR(I200="SIM",K200="SIM",AF200="SIM",AL200="SIM",AN200="Dados pessoais",AN200="Dados sensíveis",AN200="Dados pessoais e sensíveis",O200="Acima de 10.000 titulares por mês"),"SIM - Alta criticidade",IF((IF(I200="SIM",2,0)+IF(K200="SIM",2,0)+IF(AF200="SIM",2,0)+IF(OR(AN200="Dados pessoais",AN200="Dados sensíveis",AN200="Dados pessoais e sensíveis"),2,0)+IF(O200="De 1.001 a 10.000 titulares por mês",1,0)+IF(AA200="SIM",1,0)+IF(R200="SIM",1,0)+IF(AL200="SIM",1,0)+IF(AJ200="NÃO",1,0))&gt;=5,"SIM - Alta criticidade",IF((IF(I200="SIM",2,0)+IF(K200="SIM",2,0)+IF(AF200="SIM",2,0)+IF(OR(AN200="Dados pessoais",AN200="Dados sensíveis",AN200="Dados pessoais e sensíveis"),2,0)+IF(O200="De 1.001 a 10.000 titulares por mês",1,0)+IF(AA200="SIM",1,0)+IF(R200="SIM",1,0)+IF(AL200="SIM",1,0)+IF(AJ200="NÃO",1,0))&gt;=3,"Avaliação necessária","NÃO"))))</f>
      </c>
      <c r="AR200" s="11"/>
      <c r="AS200" s="113">
        <f>IF(AND(I200="",K200="",AF200="",AL200="",AN200="",O200=""),"",IF(OR(I200="SIM",K200="SIM",AF200="SIM",AL200="SIM",OR(AN200="Dados pessoais",AN200="Dados sensíveis",AN200="Dados pessoais e sensíveis"),O200="Acima de 10.000 titulares por mês",(IF(I200="SIM",2,0)+IF(K200="SIM",2,0)+IF(AF200="SIM",2,0)+IF(OR(AN200="Dados pessoais",AN200="Dados sensíveis",AN200="Dados pessoais e sensíveis"),2,0)+IF(O200="De 1.001 a 10.000 titulares por mês",1,0)+IF(AA200="SIM",1,0)+IF(R200="SIM",1,0)+IF(AL200="SIM",1,0)+IF(AJ200="NÃO",1,0))&gt;=3),"DPIA indicado ou em avaliação em razão de: " &amp; TRIM(IF(I200="SIM","tratamento de dados sensíveis; ","") &amp; IF(K200="SIM","utilização de dados de menores; ","") &amp; IF(AF200="SIM","transferência internacional de dados; ","") &amp; IF(AL200="SIM","utilização de inteligência artificial; ","") &amp; IF(OR(AN200="Dados pessoais",AN200="Dados sensíveis",AN200="Dados pessoais e sensíveis"),"dados inseridos em IA; ","") &amp; IF(O200="Acima de 10.000 titulares por mês","volume crítico de titulares; ","") &amp; IF(O200="De 1.001 a 10.000 titulares por mês","volume moderado de titulares; ","") &amp; IF(AA200="SIM","compartilhamento com terceiros; ","") &amp; IF(R200="SIM","compartilhamento com órgãos governamentais; ","") &amp; IF(AJ200="NÃO","ausência de controle de acesso por perfil; ","")),"DPIA não indicado: Processo de baixa criticidade."))</f>
      </c>
    </row>
    <row x14ac:dyDescent="0.25" r="201" customHeight="1" ht="15.75">
      <c r="A201" s="46"/>
      <c r="B201" s="6"/>
      <c r="C201" s="11"/>
      <c r="D201" s="11"/>
      <c r="E201" s="11"/>
      <c r="F201" s="29"/>
      <c r="G201" s="11"/>
      <c r="H201" s="11"/>
      <c r="I201" s="29"/>
      <c r="J201" s="11"/>
      <c r="K201" s="29"/>
      <c r="L201" s="11"/>
      <c r="M201" s="11"/>
      <c r="N201" s="11"/>
      <c r="O201" s="29"/>
      <c r="P201" s="29"/>
      <c r="Q201" s="11"/>
      <c r="R201" s="29"/>
      <c r="S201" s="11"/>
      <c r="T201" s="6"/>
      <c r="U201" s="29"/>
      <c r="V201" s="11"/>
      <c r="W201" s="11"/>
      <c r="X201" s="29"/>
      <c r="Y201" s="11"/>
      <c r="Z201" s="29"/>
      <c r="AA201" s="29"/>
      <c r="AB201" s="11"/>
      <c r="AC201" s="11"/>
      <c r="AD201" s="29"/>
      <c r="AE201" s="11"/>
      <c r="AF201" s="29"/>
      <c r="AG201" s="11"/>
      <c r="AH201" s="29"/>
      <c r="AI201" s="11"/>
      <c r="AJ201" s="29"/>
      <c r="AK201" s="29"/>
      <c r="AL201" s="29"/>
      <c r="AM201" s="11"/>
      <c r="AN201" s="29"/>
      <c r="AO201" s="29"/>
      <c r="AP201" s="6"/>
      <c r="AQ201" s="113">
        <f>IF(AND(I201="",K201="",AF201="",AL201="",AN201="",O201=""),"",IF(OR(I201="SIM",K201="SIM",AF201="SIM",AL201="SIM",AN201="Dados pessoais",AN201="Dados sensíveis",AN201="Dados pessoais e sensíveis",O201="Acima de 10.000 titulares por mês"),"SIM - Alta criticidade",IF((IF(I201="SIM",2,0)+IF(K201="SIM",2,0)+IF(AF201="SIM",2,0)+IF(OR(AN201="Dados pessoais",AN201="Dados sensíveis",AN201="Dados pessoais e sensíveis"),2,0)+IF(O201="De 1.001 a 10.000 titulares por mês",1,0)+IF(AA201="SIM",1,0)+IF(R201="SIM",1,0)+IF(AL201="SIM",1,0)+IF(AJ201="NÃO",1,0))&gt;=5,"SIM - Alta criticidade",IF((IF(I201="SIM",2,0)+IF(K201="SIM",2,0)+IF(AF201="SIM",2,0)+IF(OR(AN201="Dados pessoais",AN201="Dados sensíveis",AN201="Dados pessoais e sensíveis"),2,0)+IF(O201="De 1.001 a 10.000 titulares por mês",1,0)+IF(AA201="SIM",1,0)+IF(R201="SIM",1,0)+IF(AL201="SIM",1,0)+IF(AJ201="NÃO",1,0))&gt;=3,"Avaliação necessária","NÃO"))))</f>
      </c>
      <c r="AR201" s="11"/>
      <c r="AS201" s="113">
        <f>IF(AND(I201="",K201="",AF201="",AL201="",AN201="",O201=""),"",IF(OR(I201="SIM",K201="SIM",AF201="SIM",AL201="SIM",OR(AN201="Dados pessoais",AN201="Dados sensíveis",AN201="Dados pessoais e sensíveis"),O201="Acima de 10.000 titulares por mês",(IF(I201="SIM",2,0)+IF(K201="SIM",2,0)+IF(AF201="SIM",2,0)+IF(OR(AN201="Dados pessoais",AN201="Dados sensíveis",AN201="Dados pessoais e sensíveis"),2,0)+IF(O201="De 1.001 a 10.000 titulares por mês",1,0)+IF(AA201="SIM",1,0)+IF(R201="SIM",1,0)+IF(AL201="SIM",1,0)+IF(AJ201="NÃO",1,0))&gt;=3),"DPIA indicado ou em avaliação em razão de: " &amp; TRIM(IF(I201="SIM","tratamento de dados sensíveis; ","") &amp; IF(K201="SIM","utilização de dados de menores; ","") &amp; IF(AF201="SIM","transferência internacional de dados; ","") &amp; IF(AL201="SIM","utilização de inteligência artificial; ","") &amp; IF(OR(AN201="Dados pessoais",AN201="Dados sensíveis",AN201="Dados pessoais e sensíveis"),"dados inseridos em IA; ","") &amp; IF(O201="Acima de 10.000 titulares por mês","volume crítico de titulares; ","") &amp; IF(O201="De 1.001 a 10.000 titulares por mês","volume moderado de titulares; ","") &amp; IF(AA201="SIM","compartilhamento com terceiros; ","") &amp; IF(R201="SIM","compartilhamento com órgãos governamentais; ","") &amp; IF(AJ201="NÃO","ausência de controle de acesso por perfil; ","")),"DPIA não indicado: Processo de baixa criticidade."))</f>
      </c>
    </row>
    <row x14ac:dyDescent="0.25" r="202" customHeight="1" ht="15.75">
      <c r="A202" s="46"/>
      <c r="B202" s="6"/>
      <c r="C202" s="11"/>
      <c r="D202" s="11"/>
      <c r="E202" s="11"/>
      <c r="F202" s="29"/>
      <c r="G202" s="11"/>
      <c r="H202" s="11"/>
      <c r="I202" s="29"/>
      <c r="J202" s="11"/>
      <c r="K202" s="29"/>
      <c r="L202" s="11"/>
      <c r="M202" s="11"/>
      <c r="N202" s="11"/>
      <c r="O202" s="29"/>
      <c r="P202" s="29"/>
      <c r="Q202" s="11"/>
      <c r="R202" s="29"/>
      <c r="S202" s="11"/>
      <c r="T202" s="6"/>
      <c r="U202" s="29"/>
      <c r="V202" s="11"/>
      <c r="W202" s="11"/>
      <c r="X202" s="29"/>
      <c r="Y202" s="11"/>
      <c r="Z202" s="29"/>
      <c r="AA202" s="29"/>
      <c r="AB202" s="11"/>
      <c r="AC202" s="11"/>
      <c r="AD202" s="29"/>
      <c r="AE202" s="11"/>
      <c r="AF202" s="29"/>
      <c r="AG202" s="11"/>
      <c r="AH202" s="29"/>
      <c r="AI202" s="11"/>
      <c r="AJ202" s="29"/>
      <c r="AK202" s="29"/>
      <c r="AL202" s="29"/>
      <c r="AM202" s="11"/>
      <c r="AN202" s="29"/>
      <c r="AO202" s="29"/>
      <c r="AP202" s="6"/>
      <c r="AQ202" s="113">
        <f>IF(AND(I202="",K202="",AF202="",AL202="",AN202="",O202=""),"",IF(OR(I202="SIM",K202="SIM",AF202="SIM",AL202="SIM",AN202="Dados pessoais",AN202="Dados sensíveis",AN202="Dados pessoais e sensíveis",O202="Acima de 10.000 titulares por mês"),"SIM - Alta criticidade",IF((IF(I202="SIM",2,0)+IF(K202="SIM",2,0)+IF(AF202="SIM",2,0)+IF(OR(AN202="Dados pessoais",AN202="Dados sensíveis",AN202="Dados pessoais e sensíveis"),2,0)+IF(O202="De 1.001 a 10.000 titulares por mês",1,0)+IF(AA202="SIM",1,0)+IF(R202="SIM",1,0)+IF(AL202="SIM",1,0)+IF(AJ202="NÃO",1,0))&gt;=5,"SIM - Alta criticidade",IF((IF(I202="SIM",2,0)+IF(K202="SIM",2,0)+IF(AF202="SIM",2,0)+IF(OR(AN202="Dados pessoais",AN202="Dados sensíveis",AN202="Dados pessoais e sensíveis"),2,0)+IF(O202="De 1.001 a 10.000 titulares por mês",1,0)+IF(AA202="SIM",1,0)+IF(R202="SIM",1,0)+IF(AL202="SIM",1,0)+IF(AJ202="NÃO",1,0))&gt;=3,"Avaliação necessária","NÃO"))))</f>
      </c>
      <c r="AR202" s="11"/>
      <c r="AS202" s="113">
        <f>IF(AND(I202="",K202="",AF202="",AL202="",AN202="",O202=""),"",IF(OR(I202="SIM",K202="SIM",AF202="SIM",AL202="SIM",OR(AN202="Dados pessoais",AN202="Dados sensíveis",AN202="Dados pessoais e sensíveis"),O202="Acima de 10.000 titulares por mês",(IF(I202="SIM",2,0)+IF(K202="SIM",2,0)+IF(AF202="SIM",2,0)+IF(OR(AN202="Dados pessoais",AN202="Dados sensíveis",AN202="Dados pessoais e sensíveis"),2,0)+IF(O202="De 1.001 a 10.000 titulares por mês",1,0)+IF(AA202="SIM",1,0)+IF(R202="SIM",1,0)+IF(AL202="SIM",1,0)+IF(AJ202="NÃO",1,0))&gt;=3),"DPIA indicado ou em avaliação em razão de: " &amp; TRIM(IF(I202="SIM","tratamento de dados sensíveis; ","") &amp; IF(K202="SIM","utilização de dados de menores; ","") &amp; IF(AF202="SIM","transferência internacional de dados; ","") &amp; IF(AL202="SIM","utilização de inteligência artificial; ","") &amp; IF(OR(AN202="Dados pessoais",AN202="Dados sensíveis",AN202="Dados pessoais e sensíveis"),"dados inseridos em IA; ","") &amp; IF(O202="Acima de 10.000 titulares por mês","volume crítico de titulares; ","") &amp; IF(O202="De 1.001 a 10.000 titulares por mês","volume moderado de titulares; ","") &amp; IF(AA202="SIM","compartilhamento com terceiros; ","") &amp; IF(R202="SIM","compartilhamento com órgãos governamentais; ","") &amp; IF(AJ202="NÃO","ausência de controle de acesso por perfil; ","")),"DPIA não indicado: Processo de baixa criticidade."))</f>
      </c>
    </row>
    <row x14ac:dyDescent="0.25" r="203" customHeight="1" ht="15.75">
      <c r="A203" s="46"/>
      <c r="B203" s="6"/>
      <c r="C203" s="11"/>
      <c r="D203" s="11"/>
      <c r="E203" s="11"/>
      <c r="F203" s="29"/>
      <c r="G203" s="11"/>
      <c r="H203" s="11"/>
      <c r="I203" s="29"/>
      <c r="J203" s="11"/>
      <c r="K203" s="29"/>
      <c r="L203" s="11"/>
      <c r="M203" s="11"/>
      <c r="N203" s="11"/>
      <c r="O203" s="29"/>
      <c r="P203" s="29"/>
      <c r="Q203" s="11"/>
      <c r="R203" s="29"/>
      <c r="S203" s="11"/>
      <c r="T203" s="6"/>
      <c r="U203" s="29"/>
      <c r="V203" s="11"/>
      <c r="W203" s="11"/>
      <c r="X203" s="29"/>
      <c r="Y203" s="11"/>
      <c r="Z203" s="29"/>
      <c r="AA203" s="29"/>
      <c r="AB203" s="11"/>
      <c r="AC203" s="11"/>
      <c r="AD203" s="29"/>
      <c r="AE203" s="11"/>
      <c r="AF203" s="29"/>
      <c r="AG203" s="11"/>
      <c r="AH203" s="29"/>
      <c r="AI203" s="11"/>
      <c r="AJ203" s="29"/>
      <c r="AK203" s="29"/>
      <c r="AL203" s="29"/>
      <c r="AM203" s="11"/>
      <c r="AN203" s="29"/>
      <c r="AO203" s="29"/>
      <c r="AP203" s="6"/>
      <c r="AQ203" s="113">
        <f>IF(AND(I203="",K203="",AF203="",AL203="",AN203="",O203=""),"",IF(OR(I203="SIM",K203="SIM",AF203="SIM",AL203="SIM",AN203="Dados pessoais",AN203="Dados sensíveis",AN203="Dados pessoais e sensíveis",O203="Acima de 10.000 titulares por mês"),"SIM - Alta criticidade",IF((IF(I203="SIM",2,0)+IF(K203="SIM",2,0)+IF(AF203="SIM",2,0)+IF(OR(AN203="Dados pessoais",AN203="Dados sensíveis",AN203="Dados pessoais e sensíveis"),2,0)+IF(O203="De 1.001 a 10.000 titulares por mês",1,0)+IF(AA203="SIM",1,0)+IF(R203="SIM",1,0)+IF(AL203="SIM",1,0)+IF(AJ203="NÃO",1,0))&gt;=5,"SIM - Alta criticidade",IF((IF(I203="SIM",2,0)+IF(K203="SIM",2,0)+IF(AF203="SIM",2,0)+IF(OR(AN203="Dados pessoais",AN203="Dados sensíveis",AN203="Dados pessoais e sensíveis"),2,0)+IF(O203="De 1.001 a 10.000 titulares por mês",1,0)+IF(AA203="SIM",1,0)+IF(R203="SIM",1,0)+IF(AL203="SIM",1,0)+IF(AJ203="NÃO",1,0))&gt;=3,"Avaliação necessária","NÃO"))))</f>
      </c>
      <c r="AR203" s="11"/>
      <c r="AS203" s="113">
        <f>IF(AND(I203="",K203="",AF203="",AL203="",AN203="",O203=""),"",IF(OR(I203="SIM",K203="SIM",AF203="SIM",AL203="SIM",OR(AN203="Dados pessoais",AN203="Dados sensíveis",AN203="Dados pessoais e sensíveis"),O203="Acima de 10.000 titulares por mês",(IF(I203="SIM",2,0)+IF(K203="SIM",2,0)+IF(AF203="SIM",2,0)+IF(OR(AN203="Dados pessoais",AN203="Dados sensíveis",AN203="Dados pessoais e sensíveis"),2,0)+IF(O203="De 1.001 a 10.000 titulares por mês",1,0)+IF(AA203="SIM",1,0)+IF(R203="SIM",1,0)+IF(AL203="SIM",1,0)+IF(AJ203="NÃO",1,0))&gt;=3),"DPIA indicado ou em avaliação em razão de: " &amp; TRIM(IF(I203="SIM","tratamento de dados sensíveis; ","") &amp; IF(K203="SIM","utilização de dados de menores; ","") &amp; IF(AF203="SIM","transferência internacional de dados; ","") &amp; IF(AL203="SIM","utilização de inteligência artificial; ","") &amp; IF(OR(AN203="Dados pessoais",AN203="Dados sensíveis",AN203="Dados pessoais e sensíveis"),"dados inseridos em IA; ","") &amp; IF(O203="Acima de 10.000 titulares por mês","volume crítico de titulares; ","") &amp; IF(O203="De 1.001 a 10.000 titulares por mês","volume moderado de titulares; ","") &amp; IF(AA203="SIM","compartilhamento com terceiros; ","") &amp; IF(R203="SIM","compartilhamento com órgãos governamentais; ","") &amp; IF(AJ203="NÃO","ausência de controle de acesso por perfil; ","")),"DPIA não indicado: Processo de baixa criticidade."))</f>
      </c>
    </row>
    <row x14ac:dyDescent="0.25" r="204" customHeight="1" ht="15.75">
      <c r="A204" s="46"/>
      <c r="B204" s="6"/>
      <c r="C204" s="11"/>
      <c r="D204" s="11"/>
      <c r="E204" s="11"/>
      <c r="F204" s="29"/>
      <c r="G204" s="11"/>
      <c r="H204" s="11"/>
      <c r="I204" s="29"/>
      <c r="J204" s="11"/>
      <c r="K204" s="29"/>
      <c r="L204" s="11"/>
      <c r="M204" s="11"/>
      <c r="N204" s="11"/>
      <c r="O204" s="29"/>
      <c r="P204" s="29"/>
      <c r="Q204" s="11"/>
      <c r="R204" s="29"/>
      <c r="S204" s="11"/>
      <c r="T204" s="6"/>
      <c r="U204" s="29"/>
      <c r="V204" s="11"/>
      <c r="W204" s="11"/>
      <c r="X204" s="29"/>
      <c r="Y204" s="11"/>
      <c r="Z204" s="29"/>
      <c r="AA204" s="29"/>
      <c r="AB204" s="11"/>
      <c r="AC204" s="11"/>
      <c r="AD204" s="29"/>
      <c r="AE204" s="11"/>
      <c r="AF204" s="29"/>
      <c r="AG204" s="11"/>
      <c r="AH204" s="29"/>
      <c r="AI204" s="11"/>
      <c r="AJ204" s="29"/>
      <c r="AK204" s="29"/>
      <c r="AL204" s="29"/>
      <c r="AM204" s="11"/>
      <c r="AN204" s="29"/>
      <c r="AO204" s="29"/>
      <c r="AP204" s="6"/>
      <c r="AQ204" s="113">
        <f>IF(AND(I204="",K204="",AF204="",AL204="",AN204="",O204=""),"",IF(OR(I204="SIM",K204="SIM",AF204="SIM",AL204="SIM",AN204="Dados pessoais",AN204="Dados sensíveis",AN204="Dados pessoais e sensíveis",O204="Acima de 10.000 titulares por mês"),"SIM - Alta criticidade",IF((IF(I204="SIM",2,0)+IF(K204="SIM",2,0)+IF(AF204="SIM",2,0)+IF(OR(AN204="Dados pessoais",AN204="Dados sensíveis",AN204="Dados pessoais e sensíveis"),2,0)+IF(O204="De 1.001 a 10.000 titulares por mês",1,0)+IF(AA204="SIM",1,0)+IF(R204="SIM",1,0)+IF(AL204="SIM",1,0)+IF(AJ204="NÃO",1,0))&gt;=5,"SIM - Alta criticidade",IF((IF(I204="SIM",2,0)+IF(K204="SIM",2,0)+IF(AF204="SIM",2,0)+IF(OR(AN204="Dados pessoais",AN204="Dados sensíveis",AN204="Dados pessoais e sensíveis"),2,0)+IF(O204="De 1.001 a 10.000 titulares por mês",1,0)+IF(AA204="SIM",1,0)+IF(R204="SIM",1,0)+IF(AL204="SIM",1,0)+IF(AJ204="NÃO",1,0))&gt;=3,"Avaliação necessária","NÃO"))))</f>
      </c>
      <c r="AR204" s="11"/>
      <c r="AS204" s="113">
        <f>IF(AND(I204="",K204="",AF204="",AL204="",AN204="",O204=""),"",IF(OR(I204="SIM",K204="SIM",AF204="SIM",AL204="SIM",OR(AN204="Dados pessoais",AN204="Dados sensíveis",AN204="Dados pessoais e sensíveis"),O204="Acima de 10.000 titulares por mês",(IF(I204="SIM",2,0)+IF(K204="SIM",2,0)+IF(AF204="SIM",2,0)+IF(OR(AN204="Dados pessoais",AN204="Dados sensíveis",AN204="Dados pessoais e sensíveis"),2,0)+IF(O204="De 1.001 a 10.000 titulares por mês",1,0)+IF(AA204="SIM",1,0)+IF(R204="SIM",1,0)+IF(AL204="SIM",1,0)+IF(AJ204="NÃO",1,0))&gt;=3),"DPIA indicado ou em avaliação em razão de: " &amp; TRIM(IF(I204="SIM","tratamento de dados sensíveis; ","") &amp; IF(K204="SIM","utilização de dados de menores; ","") &amp; IF(AF204="SIM","transferência internacional de dados; ","") &amp; IF(AL204="SIM","utilização de inteligência artificial; ","") &amp; IF(OR(AN204="Dados pessoais",AN204="Dados sensíveis",AN204="Dados pessoais e sensíveis"),"dados inseridos em IA; ","") &amp; IF(O204="Acima de 10.000 titulares por mês","volume crítico de titulares; ","") &amp; IF(O204="De 1.001 a 10.000 titulares por mês","volume moderado de titulares; ","") &amp; IF(AA204="SIM","compartilhamento com terceiros; ","") &amp; IF(R204="SIM","compartilhamento com órgãos governamentais; ","") &amp; IF(AJ204="NÃO","ausência de controle de acesso por perfil; ","")),"DPIA não indicado: Processo de baixa criticidade."))</f>
      </c>
    </row>
    <row x14ac:dyDescent="0.25" r="205" customHeight="1" ht="15.75">
      <c r="A205" s="46"/>
      <c r="B205" s="6"/>
      <c r="C205" s="11"/>
      <c r="D205" s="11"/>
      <c r="E205" s="11"/>
      <c r="F205" s="29"/>
      <c r="G205" s="11"/>
      <c r="H205" s="11"/>
      <c r="I205" s="29"/>
      <c r="J205" s="11"/>
      <c r="K205" s="29"/>
      <c r="L205" s="11"/>
      <c r="M205" s="11"/>
      <c r="N205" s="11"/>
      <c r="O205" s="29"/>
      <c r="P205" s="29"/>
      <c r="Q205" s="11"/>
      <c r="R205" s="29"/>
      <c r="S205" s="11"/>
      <c r="T205" s="6"/>
      <c r="U205" s="29"/>
      <c r="V205" s="11"/>
      <c r="W205" s="11"/>
      <c r="X205" s="29"/>
      <c r="Y205" s="11"/>
      <c r="Z205" s="29"/>
      <c r="AA205" s="29"/>
      <c r="AB205" s="11"/>
      <c r="AC205" s="11"/>
      <c r="AD205" s="29"/>
      <c r="AE205" s="11"/>
      <c r="AF205" s="29"/>
      <c r="AG205" s="11"/>
      <c r="AH205" s="29"/>
      <c r="AI205" s="11"/>
      <c r="AJ205" s="29"/>
      <c r="AK205" s="29"/>
      <c r="AL205" s="29"/>
      <c r="AM205" s="11"/>
      <c r="AN205" s="29"/>
      <c r="AO205" s="29"/>
      <c r="AP205" s="6"/>
      <c r="AQ205" s="113">
        <f>IF(AND(I205="",K205="",AF205="",AL205="",AN205="",O205=""),"",IF(OR(I205="SIM",K205="SIM",AF205="SIM",AL205="SIM",AN205="Dados pessoais",AN205="Dados sensíveis",AN205="Dados pessoais e sensíveis",O205="Acima de 10.000 titulares por mês"),"SIM - Alta criticidade",IF((IF(I205="SIM",2,0)+IF(K205="SIM",2,0)+IF(AF205="SIM",2,0)+IF(OR(AN205="Dados pessoais",AN205="Dados sensíveis",AN205="Dados pessoais e sensíveis"),2,0)+IF(O205="De 1.001 a 10.000 titulares por mês",1,0)+IF(AA205="SIM",1,0)+IF(R205="SIM",1,0)+IF(AL205="SIM",1,0)+IF(AJ205="NÃO",1,0))&gt;=5,"SIM - Alta criticidade",IF((IF(I205="SIM",2,0)+IF(K205="SIM",2,0)+IF(AF205="SIM",2,0)+IF(OR(AN205="Dados pessoais",AN205="Dados sensíveis",AN205="Dados pessoais e sensíveis"),2,0)+IF(O205="De 1.001 a 10.000 titulares por mês",1,0)+IF(AA205="SIM",1,0)+IF(R205="SIM",1,0)+IF(AL205="SIM",1,0)+IF(AJ205="NÃO",1,0))&gt;=3,"Avaliação necessária","NÃO"))))</f>
      </c>
      <c r="AR205" s="11"/>
      <c r="AS205" s="113">
        <f>IF(AND(I205="",K205="",AF205="",AL205="",AN205="",O205=""),"",IF(OR(I205="SIM",K205="SIM",AF205="SIM",AL205="SIM",OR(AN205="Dados pessoais",AN205="Dados sensíveis",AN205="Dados pessoais e sensíveis"),O205="Acima de 10.000 titulares por mês",(IF(I205="SIM",2,0)+IF(K205="SIM",2,0)+IF(AF205="SIM",2,0)+IF(OR(AN205="Dados pessoais",AN205="Dados sensíveis",AN205="Dados pessoais e sensíveis"),2,0)+IF(O205="De 1.001 a 10.000 titulares por mês",1,0)+IF(AA205="SIM",1,0)+IF(R205="SIM",1,0)+IF(AL205="SIM",1,0)+IF(AJ205="NÃO",1,0))&gt;=3),"DPIA indicado ou em avaliação em razão de: " &amp; TRIM(IF(I205="SIM","tratamento de dados sensíveis; ","") &amp; IF(K205="SIM","utilização de dados de menores; ","") &amp; IF(AF205="SIM","transferência internacional de dados; ","") &amp; IF(AL205="SIM","utilização de inteligência artificial; ","") &amp; IF(OR(AN205="Dados pessoais",AN205="Dados sensíveis",AN205="Dados pessoais e sensíveis"),"dados inseridos em IA; ","") &amp; IF(O205="Acima de 10.000 titulares por mês","volume crítico de titulares; ","") &amp; IF(O205="De 1.001 a 10.000 titulares por mês","volume moderado de titulares; ","") &amp; IF(AA205="SIM","compartilhamento com terceiros; ","") &amp; IF(R205="SIM","compartilhamento com órgãos governamentais; ","") &amp; IF(AJ205="NÃO","ausência de controle de acesso por perfil; ","")),"DPIA não indicado: Processo de baixa criticidade."))</f>
      </c>
    </row>
    <row x14ac:dyDescent="0.25" r="206" customHeight="1" ht="15.75">
      <c r="A206" s="46"/>
      <c r="B206" s="6"/>
      <c r="C206" s="11"/>
      <c r="D206" s="11"/>
      <c r="E206" s="11"/>
      <c r="F206" s="29"/>
      <c r="G206" s="11"/>
      <c r="H206" s="11"/>
      <c r="I206" s="29"/>
      <c r="J206" s="11"/>
      <c r="K206" s="29"/>
      <c r="L206" s="11"/>
      <c r="M206" s="11"/>
      <c r="N206" s="11"/>
      <c r="O206" s="29"/>
      <c r="P206" s="29"/>
      <c r="Q206" s="11"/>
      <c r="R206" s="29"/>
      <c r="S206" s="11"/>
      <c r="T206" s="6"/>
      <c r="U206" s="29"/>
      <c r="V206" s="11"/>
      <c r="W206" s="11"/>
      <c r="X206" s="29"/>
      <c r="Y206" s="11"/>
      <c r="Z206" s="29"/>
      <c r="AA206" s="29"/>
      <c r="AB206" s="11"/>
      <c r="AC206" s="11"/>
      <c r="AD206" s="29"/>
      <c r="AE206" s="11"/>
      <c r="AF206" s="29"/>
      <c r="AG206" s="11"/>
      <c r="AH206" s="29"/>
      <c r="AI206" s="11"/>
      <c r="AJ206" s="29"/>
      <c r="AK206" s="29"/>
      <c r="AL206" s="29"/>
      <c r="AM206" s="11"/>
      <c r="AN206" s="29"/>
      <c r="AO206" s="29"/>
      <c r="AP206" s="6"/>
      <c r="AQ206" s="113">
        <f>IF(AND(I206="",K206="",AF206="",AL206="",AN206="",O206=""),"",IF(OR(I206="SIM",K206="SIM",AF206="SIM",AL206="SIM",AN206="Dados pessoais",AN206="Dados sensíveis",AN206="Dados pessoais e sensíveis",O206="Acima de 10.000 titulares por mês"),"SIM - Alta criticidade",IF((IF(I206="SIM",2,0)+IF(K206="SIM",2,0)+IF(AF206="SIM",2,0)+IF(OR(AN206="Dados pessoais",AN206="Dados sensíveis",AN206="Dados pessoais e sensíveis"),2,0)+IF(O206="De 1.001 a 10.000 titulares por mês",1,0)+IF(AA206="SIM",1,0)+IF(R206="SIM",1,0)+IF(AL206="SIM",1,0)+IF(AJ206="NÃO",1,0))&gt;=5,"SIM - Alta criticidade",IF((IF(I206="SIM",2,0)+IF(K206="SIM",2,0)+IF(AF206="SIM",2,0)+IF(OR(AN206="Dados pessoais",AN206="Dados sensíveis",AN206="Dados pessoais e sensíveis"),2,0)+IF(O206="De 1.001 a 10.000 titulares por mês",1,0)+IF(AA206="SIM",1,0)+IF(R206="SIM",1,0)+IF(AL206="SIM",1,0)+IF(AJ206="NÃO",1,0))&gt;=3,"Avaliação necessária","NÃO"))))</f>
      </c>
      <c r="AR206" s="11"/>
      <c r="AS206" s="113">
        <f>IF(AND(I206="",K206="",AF206="",AL206="",AN206="",O206=""),"",IF(OR(I206="SIM",K206="SIM",AF206="SIM",AL206="SIM",OR(AN206="Dados pessoais",AN206="Dados sensíveis",AN206="Dados pessoais e sensíveis"),O206="Acima de 10.000 titulares por mês",(IF(I206="SIM",2,0)+IF(K206="SIM",2,0)+IF(AF206="SIM",2,0)+IF(OR(AN206="Dados pessoais",AN206="Dados sensíveis",AN206="Dados pessoais e sensíveis"),2,0)+IF(O206="De 1.001 a 10.000 titulares por mês",1,0)+IF(AA206="SIM",1,0)+IF(R206="SIM",1,0)+IF(AL206="SIM",1,0)+IF(AJ206="NÃO",1,0))&gt;=3),"DPIA indicado ou em avaliação em razão de: " &amp; TRIM(IF(I206="SIM","tratamento de dados sensíveis; ","") &amp; IF(K206="SIM","utilização de dados de menores; ","") &amp; IF(AF206="SIM","transferência internacional de dados; ","") &amp; IF(AL206="SIM","utilização de inteligência artificial; ","") &amp; IF(OR(AN206="Dados pessoais",AN206="Dados sensíveis",AN206="Dados pessoais e sensíveis"),"dados inseridos em IA; ","") &amp; IF(O206="Acima de 10.000 titulares por mês","volume crítico de titulares; ","") &amp; IF(O206="De 1.001 a 10.000 titulares por mês","volume moderado de titulares; ","") &amp; IF(AA206="SIM","compartilhamento com terceiros; ","") &amp; IF(R206="SIM","compartilhamento com órgãos governamentais; ","") &amp; IF(AJ206="NÃO","ausência de controle de acesso por perfil; ","")),"DPIA não indicado: Processo de baixa criticidade."))</f>
      </c>
    </row>
    <row x14ac:dyDescent="0.25" r="207" customHeight="1" ht="15.75">
      <c r="A207" s="46"/>
      <c r="B207" s="6"/>
      <c r="C207" s="11"/>
      <c r="D207" s="11"/>
      <c r="E207" s="11"/>
      <c r="F207" s="29"/>
      <c r="G207" s="11"/>
      <c r="H207" s="11"/>
      <c r="I207" s="29"/>
      <c r="J207" s="11"/>
      <c r="K207" s="29"/>
      <c r="L207" s="11"/>
      <c r="M207" s="11"/>
      <c r="N207" s="11"/>
      <c r="O207" s="29"/>
      <c r="P207" s="29"/>
      <c r="Q207" s="11"/>
      <c r="R207" s="29"/>
      <c r="S207" s="11"/>
      <c r="T207" s="6"/>
      <c r="U207" s="29"/>
      <c r="V207" s="11"/>
      <c r="W207" s="11"/>
      <c r="X207" s="29"/>
      <c r="Y207" s="11"/>
      <c r="Z207" s="29"/>
      <c r="AA207" s="29"/>
      <c r="AB207" s="11"/>
      <c r="AC207" s="11"/>
      <c r="AD207" s="29"/>
      <c r="AE207" s="11"/>
      <c r="AF207" s="29"/>
      <c r="AG207" s="11"/>
      <c r="AH207" s="29"/>
      <c r="AI207" s="11"/>
      <c r="AJ207" s="29"/>
      <c r="AK207" s="29"/>
      <c r="AL207" s="29"/>
      <c r="AM207" s="11"/>
      <c r="AN207" s="29"/>
      <c r="AO207" s="29"/>
      <c r="AP207" s="6"/>
      <c r="AQ207" s="113">
        <f>IF(AND(I207="",K207="",AF207="",AL207="",AN207="",O207=""),"",IF(OR(I207="SIM",K207="SIM",AF207="SIM",AL207="SIM",AN207="Dados pessoais",AN207="Dados sensíveis",AN207="Dados pessoais e sensíveis",O207="Acima de 10.000 titulares por mês"),"SIM - Alta criticidade",IF((IF(I207="SIM",2,0)+IF(K207="SIM",2,0)+IF(AF207="SIM",2,0)+IF(OR(AN207="Dados pessoais",AN207="Dados sensíveis",AN207="Dados pessoais e sensíveis"),2,0)+IF(O207="De 1.001 a 10.000 titulares por mês",1,0)+IF(AA207="SIM",1,0)+IF(R207="SIM",1,0)+IF(AL207="SIM",1,0)+IF(AJ207="NÃO",1,0))&gt;=5,"SIM - Alta criticidade",IF((IF(I207="SIM",2,0)+IF(K207="SIM",2,0)+IF(AF207="SIM",2,0)+IF(OR(AN207="Dados pessoais",AN207="Dados sensíveis",AN207="Dados pessoais e sensíveis"),2,0)+IF(O207="De 1.001 a 10.000 titulares por mês",1,0)+IF(AA207="SIM",1,0)+IF(R207="SIM",1,0)+IF(AL207="SIM",1,0)+IF(AJ207="NÃO",1,0))&gt;=3,"Avaliação necessária","NÃO"))))</f>
      </c>
      <c r="AR207" s="11"/>
      <c r="AS207" s="113">
        <f>IF(AND(I207="",K207="",AF207="",AL207="",AN207="",O207=""),"",IF(OR(I207="SIM",K207="SIM",AF207="SIM",AL207="SIM",OR(AN207="Dados pessoais",AN207="Dados sensíveis",AN207="Dados pessoais e sensíveis"),O207="Acima de 10.000 titulares por mês",(IF(I207="SIM",2,0)+IF(K207="SIM",2,0)+IF(AF207="SIM",2,0)+IF(OR(AN207="Dados pessoais",AN207="Dados sensíveis",AN207="Dados pessoais e sensíveis"),2,0)+IF(O207="De 1.001 a 10.000 titulares por mês",1,0)+IF(AA207="SIM",1,0)+IF(R207="SIM",1,0)+IF(AL207="SIM",1,0)+IF(AJ207="NÃO",1,0))&gt;=3),"DPIA indicado ou em avaliação em razão de: " &amp; TRIM(IF(I207="SIM","tratamento de dados sensíveis; ","") &amp; IF(K207="SIM","utilização de dados de menores; ","") &amp; IF(AF207="SIM","transferência internacional de dados; ","") &amp; IF(AL207="SIM","utilização de inteligência artificial; ","") &amp; IF(OR(AN207="Dados pessoais",AN207="Dados sensíveis",AN207="Dados pessoais e sensíveis"),"dados inseridos em IA; ","") &amp; IF(O207="Acima de 10.000 titulares por mês","volume crítico de titulares; ","") &amp; IF(O207="De 1.001 a 10.000 titulares por mês","volume moderado de titulares; ","") &amp; IF(AA207="SIM","compartilhamento com terceiros; ","") &amp; IF(R207="SIM","compartilhamento com órgãos governamentais; ","") &amp; IF(AJ207="NÃO","ausência de controle de acesso por perfil; ","")),"DPIA não indicado: Processo de baixa criticidade."))</f>
      </c>
    </row>
    <row x14ac:dyDescent="0.25" r="208" customHeight="1" ht="15.75">
      <c r="A208" s="46"/>
      <c r="B208" s="6"/>
      <c r="C208" s="11"/>
      <c r="D208" s="11"/>
      <c r="E208" s="11"/>
      <c r="F208" s="29"/>
      <c r="G208" s="11"/>
      <c r="H208" s="11"/>
      <c r="I208" s="29"/>
      <c r="J208" s="11"/>
      <c r="K208" s="29"/>
      <c r="L208" s="11"/>
      <c r="M208" s="11"/>
      <c r="N208" s="11"/>
      <c r="O208" s="29"/>
      <c r="P208" s="29"/>
      <c r="Q208" s="11"/>
      <c r="R208" s="29"/>
      <c r="S208" s="11"/>
      <c r="T208" s="6"/>
      <c r="U208" s="29"/>
      <c r="V208" s="11"/>
      <c r="W208" s="11"/>
      <c r="X208" s="29"/>
      <c r="Y208" s="11"/>
      <c r="Z208" s="29"/>
      <c r="AA208" s="29"/>
      <c r="AB208" s="11"/>
      <c r="AC208" s="11"/>
      <c r="AD208" s="29"/>
      <c r="AE208" s="11"/>
      <c r="AF208" s="29"/>
      <c r="AG208" s="11"/>
      <c r="AH208" s="29"/>
      <c r="AI208" s="11"/>
      <c r="AJ208" s="29"/>
      <c r="AK208" s="29"/>
      <c r="AL208" s="29"/>
      <c r="AM208" s="11"/>
      <c r="AN208" s="29"/>
      <c r="AO208" s="29"/>
      <c r="AP208" s="6"/>
      <c r="AQ208" s="113">
        <f>IF(AND(I208="",K208="",AF208="",AL208="",AN208="",O208=""),"",IF(OR(I208="SIM",K208="SIM",AF208="SIM",AL208="SIM",AN208="Dados pessoais",AN208="Dados sensíveis",AN208="Dados pessoais e sensíveis",O208="Acima de 10.000 titulares por mês"),"SIM - Alta criticidade",IF((IF(I208="SIM",2,0)+IF(K208="SIM",2,0)+IF(AF208="SIM",2,0)+IF(OR(AN208="Dados pessoais",AN208="Dados sensíveis",AN208="Dados pessoais e sensíveis"),2,0)+IF(O208="De 1.001 a 10.000 titulares por mês",1,0)+IF(AA208="SIM",1,0)+IF(R208="SIM",1,0)+IF(AL208="SIM",1,0)+IF(AJ208="NÃO",1,0))&gt;=5,"SIM - Alta criticidade",IF((IF(I208="SIM",2,0)+IF(K208="SIM",2,0)+IF(AF208="SIM",2,0)+IF(OR(AN208="Dados pessoais",AN208="Dados sensíveis",AN208="Dados pessoais e sensíveis"),2,0)+IF(O208="De 1.001 a 10.000 titulares por mês",1,0)+IF(AA208="SIM",1,0)+IF(R208="SIM",1,0)+IF(AL208="SIM",1,0)+IF(AJ208="NÃO",1,0))&gt;=3,"Avaliação necessária","NÃO"))))</f>
      </c>
      <c r="AR208" s="11"/>
      <c r="AS208" s="113">
        <f>IF(AND(I208="",K208="",AF208="",AL208="",AN208="",O208=""),"",IF(OR(I208="SIM",K208="SIM",AF208="SIM",AL208="SIM",OR(AN208="Dados pessoais",AN208="Dados sensíveis",AN208="Dados pessoais e sensíveis"),O208="Acima de 10.000 titulares por mês",(IF(I208="SIM",2,0)+IF(K208="SIM",2,0)+IF(AF208="SIM",2,0)+IF(OR(AN208="Dados pessoais",AN208="Dados sensíveis",AN208="Dados pessoais e sensíveis"),2,0)+IF(O208="De 1.001 a 10.000 titulares por mês",1,0)+IF(AA208="SIM",1,0)+IF(R208="SIM",1,0)+IF(AL208="SIM",1,0)+IF(AJ208="NÃO",1,0))&gt;=3),"DPIA indicado ou em avaliação em razão de: " &amp; TRIM(IF(I208="SIM","tratamento de dados sensíveis; ","") &amp; IF(K208="SIM","utilização de dados de menores; ","") &amp; IF(AF208="SIM","transferência internacional de dados; ","") &amp; IF(AL208="SIM","utilização de inteligência artificial; ","") &amp; IF(OR(AN208="Dados pessoais",AN208="Dados sensíveis",AN208="Dados pessoais e sensíveis"),"dados inseridos em IA; ","") &amp; IF(O208="Acima de 10.000 titulares por mês","volume crítico de titulares; ","") &amp; IF(O208="De 1.001 a 10.000 titulares por mês","volume moderado de titulares; ","") &amp; IF(AA208="SIM","compartilhamento com terceiros; ","") &amp; IF(R208="SIM","compartilhamento com órgãos governamentais; ","") &amp; IF(AJ208="NÃO","ausência de controle de acesso por perfil; ","")),"DPIA não indicado: Processo de baixa criticidade."))</f>
      </c>
    </row>
    <row x14ac:dyDescent="0.25" r="209" customHeight="1" ht="15.75">
      <c r="A209" s="46"/>
      <c r="B209" s="6"/>
      <c r="C209" s="11"/>
      <c r="D209" s="11"/>
      <c r="E209" s="11"/>
      <c r="F209" s="29"/>
      <c r="G209" s="11"/>
      <c r="H209" s="11"/>
      <c r="I209" s="29"/>
      <c r="J209" s="11"/>
      <c r="K209" s="29"/>
      <c r="L209" s="11"/>
      <c r="M209" s="11"/>
      <c r="N209" s="11"/>
      <c r="O209" s="29"/>
      <c r="P209" s="29"/>
      <c r="Q209" s="11"/>
      <c r="R209" s="29"/>
      <c r="S209" s="11"/>
      <c r="T209" s="6"/>
      <c r="U209" s="29"/>
      <c r="V209" s="11"/>
      <c r="W209" s="11"/>
      <c r="X209" s="29"/>
      <c r="Y209" s="11"/>
      <c r="Z209" s="29"/>
      <c r="AA209" s="29"/>
      <c r="AB209" s="11"/>
      <c r="AC209" s="11"/>
      <c r="AD209" s="29"/>
      <c r="AE209" s="11"/>
      <c r="AF209" s="29"/>
      <c r="AG209" s="11"/>
      <c r="AH209" s="29"/>
      <c r="AI209" s="11"/>
      <c r="AJ209" s="29"/>
      <c r="AK209" s="29"/>
      <c r="AL209" s="29"/>
      <c r="AM209" s="11"/>
      <c r="AN209" s="29"/>
      <c r="AO209" s="29"/>
      <c r="AP209" s="6"/>
      <c r="AQ209" s="113">
        <f>IF(AND(I209="",K209="",AF209="",AL209="",AN209="",O209=""),"",IF(OR(I209="SIM",K209="SIM",AF209="SIM",AL209="SIM",AN209="Dados pessoais",AN209="Dados sensíveis",AN209="Dados pessoais e sensíveis",O209="Acima de 10.000 titulares por mês"),"SIM - Alta criticidade",IF((IF(I209="SIM",2,0)+IF(K209="SIM",2,0)+IF(AF209="SIM",2,0)+IF(OR(AN209="Dados pessoais",AN209="Dados sensíveis",AN209="Dados pessoais e sensíveis"),2,0)+IF(O209="De 1.001 a 10.000 titulares por mês",1,0)+IF(AA209="SIM",1,0)+IF(R209="SIM",1,0)+IF(AL209="SIM",1,0)+IF(AJ209="NÃO",1,0))&gt;=5,"SIM - Alta criticidade",IF((IF(I209="SIM",2,0)+IF(K209="SIM",2,0)+IF(AF209="SIM",2,0)+IF(OR(AN209="Dados pessoais",AN209="Dados sensíveis",AN209="Dados pessoais e sensíveis"),2,0)+IF(O209="De 1.001 a 10.000 titulares por mês",1,0)+IF(AA209="SIM",1,0)+IF(R209="SIM",1,0)+IF(AL209="SIM",1,0)+IF(AJ209="NÃO",1,0))&gt;=3,"Avaliação necessária","NÃO"))))</f>
      </c>
      <c r="AR209" s="11"/>
      <c r="AS209" s="113">
        <f>IF(AND(I209="",K209="",AF209="",AL209="",AN209="",O209=""),"",IF(OR(I209="SIM",K209="SIM",AF209="SIM",AL209="SIM",OR(AN209="Dados pessoais",AN209="Dados sensíveis",AN209="Dados pessoais e sensíveis"),O209="Acima de 10.000 titulares por mês",(IF(I209="SIM",2,0)+IF(K209="SIM",2,0)+IF(AF209="SIM",2,0)+IF(OR(AN209="Dados pessoais",AN209="Dados sensíveis",AN209="Dados pessoais e sensíveis"),2,0)+IF(O209="De 1.001 a 10.000 titulares por mês",1,0)+IF(AA209="SIM",1,0)+IF(R209="SIM",1,0)+IF(AL209="SIM",1,0)+IF(AJ209="NÃO",1,0))&gt;=3),"DPIA indicado ou em avaliação em razão de: " &amp; TRIM(IF(I209="SIM","tratamento de dados sensíveis; ","") &amp; IF(K209="SIM","utilização de dados de menores; ","") &amp; IF(AF209="SIM","transferência internacional de dados; ","") &amp; IF(AL209="SIM","utilização de inteligência artificial; ","") &amp; IF(OR(AN209="Dados pessoais",AN209="Dados sensíveis",AN209="Dados pessoais e sensíveis"),"dados inseridos em IA; ","") &amp; IF(O209="Acima de 10.000 titulares por mês","volume crítico de titulares; ","") &amp; IF(O209="De 1.001 a 10.000 titulares por mês","volume moderado de titulares; ","") &amp; IF(AA209="SIM","compartilhamento com terceiros; ","") &amp; IF(R209="SIM","compartilhamento com órgãos governamentais; ","") &amp; IF(AJ209="NÃO","ausência de controle de acesso por perfil; ","")),"DPIA não indicado: Processo de baixa criticidade."))</f>
      </c>
    </row>
    <row x14ac:dyDescent="0.25" r="210" customHeight="1" ht="15.75">
      <c r="A210" s="46"/>
      <c r="B210" s="6"/>
      <c r="C210" s="11"/>
      <c r="D210" s="11"/>
      <c r="E210" s="11"/>
      <c r="F210" s="29"/>
      <c r="G210" s="11"/>
      <c r="H210" s="11"/>
      <c r="I210" s="29"/>
      <c r="J210" s="11"/>
      <c r="K210" s="29"/>
      <c r="L210" s="11"/>
      <c r="M210" s="11"/>
      <c r="N210" s="11"/>
      <c r="O210" s="29"/>
      <c r="P210" s="29"/>
      <c r="Q210" s="11"/>
      <c r="R210" s="29"/>
      <c r="S210" s="11"/>
      <c r="T210" s="6"/>
      <c r="U210" s="29"/>
      <c r="V210" s="11"/>
      <c r="W210" s="11"/>
      <c r="X210" s="29"/>
      <c r="Y210" s="11"/>
      <c r="Z210" s="29"/>
      <c r="AA210" s="29"/>
      <c r="AB210" s="11"/>
      <c r="AC210" s="11"/>
      <c r="AD210" s="29"/>
      <c r="AE210" s="11"/>
      <c r="AF210" s="29"/>
      <c r="AG210" s="11"/>
      <c r="AH210" s="29"/>
      <c r="AI210" s="11"/>
      <c r="AJ210" s="29"/>
      <c r="AK210" s="29"/>
      <c r="AL210" s="29"/>
      <c r="AM210" s="11"/>
      <c r="AN210" s="29"/>
      <c r="AO210" s="29"/>
      <c r="AP210" s="6"/>
      <c r="AQ210" s="113">
        <f>IF(AND(I210="",K210="",AF210="",AL210="",AN210="",O210=""),"",IF(OR(I210="SIM",K210="SIM",AF210="SIM",AL210="SIM",AN210="Dados pessoais",AN210="Dados sensíveis",AN210="Dados pessoais e sensíveis",O210="Acima de 10.000 titulares por mês"),"SIM - Alta criticidade",IF((IF(I210="SIM",2,0)+IF(K210="SIM",2,0)+IF(AF210="SIM",2,0)+IF(OR(AN210="Dados pessoais",AN210="Dados sensíveis",AN210="Dados pessoais e sensíveis"),2,0)+IF(O210="De 1.001 a 10.000 titulares por mês",1,0)+IF(AA210="SIM",1,0)+IF(R210="SIM",1,0)+IF(AL210="SIM",1,0)+IF(AJ210="NÃO",1,0))&gt;=5,"SIM - Alta criticidade",IF((IF(I210="SIM",2,0)+IF(K210="SIM",2,0)+IF(AF210="SIM",2,0)+IF(OR(AN210="Dados pessoais",AN210="Dados sensíveis",AN210="Dados pessoais e sensíveis"),2,0)+IF(O210="De 1.001 a 10.000 titulares por mês",1,0)+IF(AA210="SIM",1,0)+IF(R210="SIM",1,0)+IF(AL210="SIM",1,0)+IF(AJ210="NÃO",1,0))&gt;=3,"Avaliação necessária","NÃO"))))</f>
      </c>
      <c r="AR210" s="11"/>
      <c r="AS210" s="113">
        <f>IF(AND(I210="",K210="",AF210="",AL210="",AN210="",O210=""),"",IF(OR(I210="SIM",K210="SIM",AF210="SIM",AL210="SIM",OR(AN210="Dados pessoais",AN210="Dados sensíveis",AN210="Dados pessoais e sensíveis"),O210="Acima de 10.000 titulares por mês",(IF(I210="SIM",2,0)+IF(K210="SIM",2,0)+IF(AF210="SIM",2,0)+IF(OR(AN210="Dados pessoais",AN210="Dados sensíveis",AN210="Dados pessoais e sensíveis"),2,0)+IF(O210="De 1.001 a 10.000 titulares por mês",1,0)+IF(AA210="SIM",1,0)+IF(R210="SIM",1,0)+IF(AL210="SIM",1,0)+IF(AJ210="NÃO",1,0))&gt;=3),"DPIA indicado ou em avaliação em razão de: " &amp; TRIM(IF(I210="SIM","tratamento de dados sensíveis; ","") &amp; IF(K210="SIM","utilização de dados de menores; ","") &amp; IF(AF210="SIM","transferência internacional de dados; ","") &amp; IF(AL210="SIM","utilização de inteligência artificial; ","") &amp; IF(OR(AN210="Dados pessoais",AN210="Dados sensíveis",AN210="Dados pessoais e sensíveis"),"dados inseridos em IA; ","") &amp; IF(O210="Acima de 10.000 titulares por mês","volume crítico de titulares; ","") &amp; IF(O210="De 1.001 a 10.000 titulares por mês","volume moderado de titulares; ","") &amp; IF(AA210="SIM","compartilhamento com terceiros; ","") &amp; IF(R210="SIM","compartilhamento com órgãos governamentais; ","") &amp; IF(AJ210="NÃO","ausência de controle de acesso por perfil; ","")),"DPIA não indicado: Processo de baixa criticidade."))</f>
      </c>
    </row>
    <row x14ac:dyDescent="0.25" r="211" customHeight="1" ht="15.75">
      <c r="A211" s="46"/>
      <c r="B211" s="6"/>
      <c r="C211" s="11"/>
      <c r="D211" s="11"/>
      <c r="E211" s="11"/>
      <c r="F211" s="29"/>
      <c r="G211" s="11"/>
      <c r="H211" s="11"/>
      <c r="I211" s="29"/>
      <c r="J211" s="11"/>
      <c r="K211" s="29"/>
      <c r="L211" s="11"/>
      <c r="M211" s="11"/>
      <c r="N211" s="11"/>
      <c r="O211" s="29"/>
      <c r="P211" s="29"/>
      <c r="Q211" s="11"/>
      <c r="R211" s="29"/>
      <c r="S211" s="11"/>
      <c r="T211" s="6"/>
      <c r="U211" s="29"/>
      <c r="V211" s="11"/>
      <c r="W211" s="11"/>
      <c r="X211" s="29"/>
      <c r="Y211" s="11"/>
      <c r="Z211" s="29"/>
      <c r="AA211" s="29"/>
      <c r="AB211" s="11"/>
      <c r="AC211" s="11"/>
      <c r="AD211" s="29"/>
      <c r="AE211" s="11"/>
      <c r="AF211" s="29"/>
      <c r="AG211" s="11"/>
      <c r="AH211" s="29"/>
      <c r="AI211" s="11"/>
      <c r="AJ211" s="29"/>
      <c r="AK211" s="29"/>
      <c r="AL211" s="29"/>
      <c r="AM211" s="11"/>
      <c r="AN211" s="29"/>
      <c r="AO211" s="29"/>
      <c r="AP211" s="6"/>
      <c r="AQ211" s="113">
        <f>IF(AND(I211="",K211="",AF211="",AL211="",AN211="",O211=""),"",IF(OR(I211="SIM",K211="SIM",AF211="SIM",AL211="SIM",AN211="Dados pessoais",AN211="Dados sensíveis",AN211="Dados pessoais e sensíveis",O211="Acima de 10.000 titulares por mês"),"SIM - Alta criticidade",IF((IF(I211="SIM",2,0)+IF(K211="SIM",2,0)+IF(AF211="SIM",2,0)+IF(OR(AN211="Dados pessoais",AN211="Dados sensíveis",AN211="Dados pessoais e sensíveis"),2,0)+IF(O211="De 1.001 a 10.000 titulares por mês",1,0)+IF(AA211="SIM",1,0)+IF(R211="SIM",1,0)+IF(AL211="SIM",1,0)+IF(AJ211="NÃO",1,0))&gt;=5,"SIM - Alta criticidade",IF((IF(I211="SIM",2,0)+IF(K211="SIM",2,0)+IF(AF211="SIM",2,0)+IF(OR(AN211="Dados pessoais",AN211="Dados sensíveis",AN211="Dados pessoais e sensíveis"),2,0)+IF(O211="De 1.001 a 10.000 titulares por mês",1,0)+IF(AA211="SIM",1,0)+IF(R211="SIM",1,0)+IF(AL211="SIM",1,0)+IF(AJ211="NÃO",1,0))&gt;=3,"Avaliação necessária","NÃO"))))</f>
      </c>
      <c r="AR211" s="11"/>
      <c r="AS211" s="113">
        <f>IF(AND(I211="",K211="",AF211="",AL211="",AN211="",O211=""),"",IF(OR(I211="SIM",K211="SIM",AF211="SIM",AL211="SIM",OR(AN211="Dados pessoais",AN211="Dados sensíveis",AN211="Dados pessoais e sensíveis"),O211="Acima de 10.000 titulares por mês",(IF(I211="SIM",2,0)+IF(K211="SIM",2,0)+IF(AF211="SIM",2,0)+IF(OR(AN211="Dados pessoais",AN211="Dados sensíveis",AN211="Dados pessoais e sensíveis"),2,0)+IF(O211="De 1.001 a 10.000 titulares por mês",1,0)+IF(AA211="SIM",1,0)+IF(R211="SIM",1,0)+IF(AL211="SIM",1,0)+IF(AJ211="NÃO",1,0))&gt;=3),"DPIA indicado ou em avaliação em razão de: " &amp; TRIM(IF(I211="SIM","tratamento de dados sensíveis; ","") &amp; IF(K211="SIM","utilização de dados de menores; ","") &amp; IF(AF211="SIM","transferência internacional de dados; ","") &amp; IF(AL211="SIM","utilização de inteligência artificial; ","") &amp; IF(OR(AN211="Dados pessoais",AN211="Dados sensíveis",AN211="Dados pessoais e sensíveis"),"dados inseridos em IA; ","") &amp; IF(O211="Acima de 10.000 titulares por mês","volume crítico de titulares; ","") &amp; IF(O211="De 1.001 a 10.000 titulares por mês","volume moderado de titulares; ","") &amp; IF(AA211="SIM","compartilhamento com terceiros; ","") &amp; IF(R211="SIM","compartilhamento com órgãos governamentais; ","") &amp; IF(AJ211="NÃO","ausência de controle de acesso por perfil; ","")),"DPIA não indicado: Processo de baixa criticidade."))</f>
      </c>
    </row>
    <row x14ac:dyDescent="0.25" r="212" customHeight="1" ht="15.75">
      <c r="A212" s="46"/>
      <c r="B212" s="6"/>
      <c r="C212" s="11"/>
      <c r="D212" s="11"/>
      <c r="E212" s="11"/>
      <c r="F212" s="29"/>
      <c r="G212" s="11"/>
      <c r="H212" s="11"/>
      <c r="I212" s="29"/>
      <c r="J212" s="11"/>
      <c r="K212" s="29"/>
      <c r="L212" s="11"/>
      <c r="M212" s="11"/>
      <c r="N212" s="11"/>
      <c r="O212" s="29"/>
      <c r="P212" s="29"/>
      <c r="Q212" s="11"/>
      <c r="R212" s="29"/>
      <c r="S212" s="11"/>
      <c r="T212" s="6"/>
      <c r="U212" s="29"/>
      <c r="V212" s="11"/>
      <c r="W212" s="11"/>
      <c r="X212" s="29"/>
      <c r="Y212" s="11"/>
      <c r="Z212" s="29"/>
      <c r="AA212" s="29"/>
      <c r="AB212" s="11"/>
      <c r="AC212" s="11"/>
      <c r="AD212" s="29"/>
      <c r="AE212" s="11"/>
      <c r="AF212" s="29"/>
      <c r="AG212" s="11"/>
      <c r="AH212" s="29"/>
      <c r="AI212" s="11"/>
      <c r="AJ212" s="29"/>
      <c r="AK212" s="29"/>
      <c r="AL212" s="29"/>
      <c r="AM212" s="11"/>
      <c r="AN212" s="29"/>
      <c r="AO212" s="29"/>
      <c r="AP212" s="6"/>
      <c r="AQ212" s="113">
        <f>IF(AND(I212="",K212="",AF212="",AL212="",AN212="",O212=""),"",IF(OR(I212="SIM",K212="SIM",AF212="SIM",AL212="SIM",AN212="Dados pessoais",AN212="Dados sensíveis",AN212="Dados pessoais e sensíveis",O212="Acima de 10.000 titulares por mês"),"SIM - Alta criticidade",IF((IF(I212="SIM",2,0)+IF(K212="SIM",2,0)+IF(AF212="SIM",2,0)+IF(OR(AN212="Dados pessoais",AN212="Dados sensíveis",AN212="Dados pessoais e sensíveis"),2,0)+IF(O212="De 1.001 a 10.000 titulares por mês",1,0)+IF(AA212="SIM",1,0)+IF(R212="SIM",1,0)+IF(AL212="SIM",1,0)+IF(AJ212="NÃO",1,0))&gt;=5,"SIM - Alta criticidade",IF((IF(I212="SIM",2,0)+IF(K212="SIM",2,0)+IF(AF212="SIM",2,0)+IF(OR(AN212="Dados pessoais",AN212="Dados sensíveis",AN212="Dados pessoais e sensíveis"),2,0)+IF(O212="De 1.001 a 10.000 titulares por mês",1,0)+IF(AA212="SIM",1,0)+IF(R212="SIM",1,0)+IF(AL212="SIM",1,0)+IF(AJ212="NÃO",1,0))&gt;=3,"Avaliação necessária","NÃO"))))</f>
      </c>
      <c r="AR212" s="11"/>
      <c r="AS212" s="113">
        <f>IF(AND(I212="",K212="",AF212="",AL212="",AN212="",O212=""),"",IF(OR(I212="SIM",K212="SIM",AF212="SIM",AL212="SIM",OR(AN212="Dados pessoais",AN212="Dados sensíveis",AN212="Dados pessoais e sensíveis"),O212="Acima de 10.000 titulares por mês",(IF(I212="SIM",2,0)+IF(K212="SIM",2,0)+IF(AF212="SIM",2,0)+IF(OR(AN212="Dados pessoais",AN212="Dados sensíveis",AN212="Dados pessoais e sensíveis"),2,0)+IF(O212="De 1.001 a 10.000 titulares por mês",1,0)+IF(AA212="SIM",1,0)+IF(R212="SIM",1,0)+IF(AL212="SIM",1,0)+IF(AJ212="NÃO",1,0))&gt;=3),"DPIA indicado ou em avaliação em razão de: " &amp; TRIM(IF(I212="SIM","tratamento de dados sensíveis; ","") &amp; IF(K212="SIM","utilização de dados de menores; ","") &amp; IF(AF212="SIM","transferência internacional de dados; ","") &amp; IF(AL212="SIM","utilização de inteligência artificial; ","") &amp; IF(OR(AN212="Dados pessoais",AN212="Dados sensíveis",AN212="Dados pessoais e sensíveis"),"dados inseridos em IA; ","") &amp; IF(O212="Acima de 10.000 titulares por mês","volume crítico de titulares; ","") &amp; IF(O212="De 1.001 a 10.000 titulares por mês","volume moderado de titulares; ","") &amp; IF(AA212="SIM","compartilhamento com terceiros; ","") &amp; IF(R212="SIM","compartilhamento com órgãos governamentais; ","") &amp; IF(AJ212="NÃO","ausência de controle de acesso por perfil; ","")),"DPIA não indicado: Processo de baixa criticidade."))</f>
      </c>
    </row>
    <row x14ac:dyDescent="0.25" r="213" customHeight="1" ht="15.75">
      <c r="A213" s="46"/>
      <c r="B213" s="6"/>
      <c r="C213" s="11"/>
      <c r="D213" s="11"/>
      <c r="E213" s="11"/>
      <c r="F213" s="29"/>
      <c r="G213" s="11"/>
      <c r="H213" s="11"/>
      <c r="I213" s="29"/>
      <c r="J213" s="11"/>
      <c r="K213" s="29"/>
      <c r="L213" s="11"/>
      <c r="M213" s="11"/>
      <c r="N213" s="11"/>
      <c r="O213" s="29"/>
      <c r="P213" s="29"/>
      <c r="Q213" s="11"/>
      <c r="R213" s="29"/>
      <c r="S213" s="11"/>
      <c r="T213" s="6"/>
      <c r="U213" s="29"/>
      <c r="V213" s="11"/>
      <c r="W213" s="11"/>
      <c r="X213" s="29"/>
      <c r="Y213" s="11"/>
      <c r="Z213" s="29"/>
      <c r="AA213" s="29"/>
      <c r="AB213" s="11"/>
      <c r="AC213" s="11"/>
      <c r="AD213" s="29"/>
      <c r="AE213" s="11"/>
      <c r="AF213" s="29"/>
      <c r="AG213" s="11"/>
      <c r="AH213" s="29"/>
      <c r="AI213" s="11"/>
      <c r="AJ213" s="29"/>
      <c r="AK213" s="29"/>
      <c r="AL213" s="29"/>
      <c r="AM213" s="11"/>
      <c r="AN213" s="29"/>
      <c r="AO213" s="29"/>
      <c r="AP213" s="6"/>
      <c r="AQ213" s="113">
        <f>IF(AND(I213="",K213="",AF213="",AL213="",AN213="",O213=""),"",IF(OR(I213="SIM",K213="SIM",AF213="SIM",AL213="SIM",AN213="Dados pessoais",AN213="Dados sensíveis",AN213="Dados pessoais e sensíveis",O213="Acima de 10.000 titulares por mês"),"SIM - Alta criticidade",IF((IF(I213="SIM",2,0)+IF(K213="SIM",2,0)+IF(AF213="SIM",2,0)+IF(OR(AN213="Dados pessoais",AN213="Dados sensíveis",AN213="Dados pessoais e sensíveis"),2,0)+IF(O213="De 1.001 a 10.000 titulares por mês",1,0)+IF(AA213="SIM",1,0)+IF(R213="SIM",1,0)+IF(AL213="SIM",1,0)+IF(AJ213="NÃO",1,0))&gt;=5,"SIM - Alta criticidade",IF((IF(I213="SIM",2,0)+IF(K213="SIM",2,0)+IF(AF213="SIM",2,0)+IF(OR(AN213="Dados pessoais",AN213="Dados sensíveis",AN213="Dados pessoais e sensíveis"),2,0)+IF(O213="De 1.001 a 10.000 titulares por mês",1,0)+IF(AA213="SIM",1,0)+IF(R213="SIM",1,0)+IF(AL213="SIM",1,0)+IF(AJ213="NÃO",1,0))&gt;=3,"Avaliação necessária","NÃO"))))</f>
      </c>
      <c r="AR213" s="11"/>
      <c r="AS213" s="113">
        <f>IF(AND(I213="",K213="",AF213="",AL213="",AN213="",O213=""),"",IF(OR(I213="SIM",K213="SIM",AF213="SIM",AL213="SIM",OR(AN213="Dados pessoais",AN213="Dados sensíveis",AN213="Dados pessoais e sensíveis"),O213="Acima de 10.000 titulares por mês",(IF(I213="SIM",2,0)+IF(K213="SIM",2,0)+IF(AF213="SIM",2,0)+IF(OR(AN213="Dados pessoais",AN213="Dados sensíveis",AN213="Dados pessoais e sensíveis"),2,0)+IF(O213="De 1.001 a 10.000 titulares por mês",1,0)+IF(AA213="SIM",1,0)+IF(R213="SIM",1,0)+IF(AL213="SIM",1,0)+IF(AJ213="NÃO",1,0))&gt;=3),"DPIA indicado ou em avaliação em razão de: " &amp; TRIM(IF(I213="SIM","tratamento de dados sensíveis; ","") &amp; IF(K213="SIM","utilização de dados de menores; ","") &amp; IF(AF213="SIM","transferência internacional de dados; ","") &amp; IF(AL213="SIM","utilização de inteligência artificial; ","") &amp; IF(OR(AN213="Dados pessoais",AN213="Dados sensíveis",AN213="Dados pessoais e sensíveis"),"dados inseridos em IA; ","") &amp; IF(O213="Acima de 10.000 titulares por mês","volume crítico de titulares; ","") &amp; IF(O213="De 1.001 a 10.000 titulares por mês","volume moderado de titulares; ","") &amp; IF(AA213="SIM","compartilhamento com terceiros; ","") &amp; IF(R213="SIM","compartilhamento com órgãos governamentais; ","") &amp; IF(AJ213="NÃO","ausência de controle de acesso por perfil; ","")),"DPIA não indicado: Processo de baixa criticidade."))</f>
      </c>
    </row>
    <row x14ac:dyDescent="0.25" r="214" customHeight="1" ht="15.75">
      <c r="A214" s="46"/>
      <c r="B214" s="6"/>
      <c r="C214" s="11"/>
      <c r="D214" s="11"/>
      <c r="E214" s="11"/>
      <c r="F214" s="29"/>
      <c r="G214" s="11"/>
      <c r="H214" s="11"/>
      <c r="I214" s="29"/>
      <c r="J214" s="11"/>
      <c r="K214" s="29"/>
      <c r="L214" s="11"/>
      <c r="M214" s="11"/>
      <c r="N214" s="11"/>
      <c r="O214" s="29"/>
      <c r="P214" s="29"/>
      <c r="Q214" s="11"/>
      <c r="R214" s="29"/>
      <c r="S214" s="11"/>
      <c r="T214" s="6"/>
      <c r="U214" s="29"/>
      <c r="V214" s="11"/>
      <c r="W214" s="11"/>
      <c r="X214" s="29"/>
      <c r="Y214" s="11"/>
      <c r="Z214" s="29"/>
      <c r="AA214" s="29"/>
      <c r="AB214" s="11"/>
      <c r="AC214" s="11"/>
      <c r="AD214" s="29"/>
      <c r="AE214" s="11"/>
      <c r="AF214" s="29"/>
      <c r="AG214" s="11"/>
      <c r="AH214" s="29"/>
      <c r="AI214" s="11"/>
      <c r="AJ214" s="29"/>
      <c r="AK214" s="29"/>
      <c r="AL214" s="29"/>
      <c r="AM214" s="11"/>
      <c r="AN214" s="29"/>
      <c r="AO214" s="29"/>
      <c r="AP214" s="6"/>
      <c r="AQ214" s="113">
        <f>IF(AND(I214="",K214="",AF214="",AL214="",AN214="",O214=""),"",IF(OR(I214="SIM",K214="SIM",AF214="SIM",AL214="SIM",AN214="Dados pessoais",AN214="Dados sensíveis",AN214="Dados pessoais e sensíveis",O214="Acima de 10.000 titulares por mês"),"SIM - Alta criticidade",IF((IF(I214="SIM",2,0)+IF(K214="SIM",2,0)+IF(AF214="SIM",2,0)+IF(OR(AN214="Dados pessoais",AN214="Dados sensíveis",AN214="Dados pessoais e sensíveis"),2,0)+IF(O214="De 1.001 a 10.000 titulares por mês",1,0)+IF(AA214="SIM",1,0)+IF(R214="SIM",1,0)+IF(AL214="SIM",1,0)+IF(AJ214="NÃO",1,0))&gt;=5,"SIM - Alta criticidade",IF((IF(I214="SIM",2,0)+IF(K214="SIM",2,0)+IF(AF214="SIM",2,0)+IF(OR(AN214="Dados pessoais",AN214="Dados sensíveis",AN214="Dados pessoais e sensíveis"),2,0)+IF(O214="De 1.001 a 10.000 titulares por mês",1,0)+IF(AA214="SIM",1,0)+IF(R214="SIM",1,0)+IF(AL214="SIM",1,0)+IF(AJ214="NÃO",1,0))&gt;=3,"Avaliação necessária","NÃO"))))</f>
      </c>
      <c r="AR214" s="11"/>
      <c r="AS214" s="113">
        <f>IF(AND(I214="",K214="",AF214="",AL214="",AN214="",O214=""),"",IF(OR(I214="SIM",K214="SIM",AF214="SIM",AL214="SIM",OR(AN214="Dados pessoais",AN214="Dados sensíveis",AN214="Dados pessoais e sensíveis"),O214="Acima de 10.000 titulares por mês",(IF(I214="SIM",2,0)+IF(K214="SIM",2,0)+IF(AF214="SIM",2,0)+IF(OR(AN214="Dados pessoais",AN214="Dados sensíveis",AN214="Dados pessoais e sensíveis"),2,0)+IF(O214="De 1.001 a 10.000 titulares por mês",1,0)+IF(AA214="SIM",1,0)+IF(R214="SIM",1,0)+IF(AL214="SIM",1,0)+IF(AJ214="NÃO",1,0))&gt;=3),"DPIA indicado ou em avaliação em razão de: " &amp; TRIM(IF(I214="SIM","tratamento de dados sensíveis; ","") &amp; IF(K214="SIM","utilização de dados de menores; ","") &amp; IF(AF214="SIM","transferência internacional de dados; ","") &amp; IF(AL214="SIM","utilização de inteligência artificial; ","") &amp; IF(OR(AN214="Dados pessoais",AN214="Dados sensíveis",AN214="Dados pessoais e sensíveis"),"dados inseridos em IA; ","") &amp; IF(O214="Acima de 10.000 titulares por mês","volume crítico de titulares; ","") &amp; IF(O214="De 1.001 a 10.000 titulares por mês","volume moderado de titulares; ","") &amp; IF(AA214="SIM","compartilhamento com terceiros; ","") &amp; IF(R214="SIM","compartilhamento com órgãos governamentais; ","") &amp; IF(AJ214="NÃO","ausência de controle de acesso por perfil; ","")),"DPIA não indicado: Processo de baixa criticidade."))</f>
      </c>
    </row>
    <row x14ac:dyDescent="0.25" r="215" customHeight="1" ht="15.75">
      <c r="A215" s="46"/>
      <c r="B215" s="6"/>
      <c r="C215" s="11"/>
      <c r="D215" s="11"/>
      <c r="E215" s="11"/>
      <c r="F215" s="29"/>
      <c r="G215" s="11"/>
      <c r="H215" s="11"/>
      <c r="I215" s="29"/>
      <c r="J215" s="11"/>
      <c r="K215" s="29"/>
      <c r="L215" s="11"/>
      <c r="M215" s="11"/>
      <c r="N215" s="11"/>
      <c r="O215" s="29"/>
      <c r="P215" s="29"/>
      <c r="Q215" s="11"/>
      <c r="R215" s="29"/>
      <c r="S215" s="11"/>
      <c r="T215" s="6"/>
      <c r="U215" s="29"/>
      <c r="V215" s="11"/>
      <c r="W215" s="11"/>
      <c r="X215" s="29"/>
      <c r="Y215" s="11"/>
      <c r="Z215" s="29"/>
      <c r="AA215" s="29"/>
      <c r="AB215" s="11"/>
      <c r="AC215" s="11"/>
      <c r="AD215" s="29"/>
      <c r="AE215" s="11"/>
      <c r="AF215" s="29"/>
      <c r="AG215" s="11"/>
      <c r="AH215" s="29"/>
      <c r="AI215" s="11"/>
      <c r="AJ215" s="29"/>
      <c r="AK215" s="29"/>
      <c r="AL215" s="29"/>
      <c r="AM215" s="11"/>
      <c r="AN215" s="29"/>
      <c r="AO215" s="29"/>
      <c r="AP215" s="6"/>
      <c r="AQ215" s="113">
        <f>IF(AND(I215="",K215="",AF215="",AL215="",AN215="",O215=""),"",IF(OR(I215="SIM",K215="SIM",AF215="SIM",AL215="SIM",AN215="Dados pessoais",AN215="Dados sensíveis",AN215="Dados pessoais e sensíveis",O215="Acima de 10.000 titulares por mês"),"SIM - Alta criticidade",IF((IF(I215="SIM",2,0)+IF(K215="SIM",2,0)+IF(AF215="SIM",2,0)+IF(OR(AN215="Dados pessoais",AN215="Dados sensíveis",AN215="Dados pessoais e sensíveis"),2,0)+IF(O215="De 1.001 a 10.000 titulares por mês",1,0)+IF(AA215="SIM",1,0)+IF(R215="SIM",1,0)+IF(AL215="SIM",1,0)+IF(AJ215="NÃO",1,0))&gt;=5,"SIM - Alta criticidade",IF((IF(I215="SIM",2,0)+IF(K215="SIM",2,0)+IF(AF215="SIM",2,0)+IF(OR(AN215="Dados pessoais",AN215="Dados sensíveis",AN215="Dados pessoais e sensíveis"),2,0)+IF(O215="De 1.001 a 10.000 titulares por mês",1,0)+IF(AA215="SIM",1,0)+IF(R215="SIM",1,0)+IF(AL215="SIM",1,0)+IF(AJ215="NÃO",1,0))&gt;=3,"Avaliação necessária","NÃO"))))</f>
      </c>
      <c r="AR215" s="11"/>
      <c r="AS215" s="113">
        <f>IF(AND(I215="",K215="",AF215="",AL215="",AN215="",O215=""),"",IF(OR(I215="SIM",K215="SIM",AF215="SIM",AL215="SIM",OR(AN215="Dados pessoais",AN215="Dados sensíveis",AN215="Dados pessoais e sensíveis"),O215="Acima de 10.000 titulares por mês",(IF(I215="SIM",2,0)+IF(K215="SIM",2,0)+IF(AF215="SIM",2,0)+IF(OR(AN215="Dados pessoais",AN215="Dados sensíveis",AN215="Dados pessoais e sensíveis"),2,0)+IF(O215="De 1.001 a 10.000 titulares por mês",1,0)+IF(AA215="SIM",1,0)+IF(R215="SIM",1,0)+IF(AL215="SIM",1,0)+IF(AJ215="NÃO",1,0))&gt;=3),"DPIA indicado ou em avaliação em razão de: " &amp; TRIM(IF(I215="SIM","tratamento de dados sensíveis; ","") &amp; IF(K215="SIM","utilização de dados de menores; ","") &amp; IF(AF215="SIM","transferência internacional de dados; ","") &amp; IF(AL215="SIM","utilização de inteligência artificial; ","") &amp; IF(OR(AN215="Dados pessoais",AN215="Dados sensíveis",AN215="Dados pessoais e sensíveis"),"dados inseridos em IA; ","") &amp; IF(O215="Acima de 10.000 titulares por mês","volume crítico de titulares; ","") &amp; IF(O215="De 1.001 a 10.000 titulares por mês","volume moderado de titulares; ","") &amp; IF(AA215="SIM","compartilhamento com terceiros; ","") &amp; IF(R215="SIM","compartilhamento com órgãos governamentais; ","") &amp; IF(AJ215="NÃO","ausência de controle de acesso por perfil; ","")),"DPIA não indicado: Processo de baixa criticidade."))</f>
      </c>
    </row>
    <row x14ac:dyDescent="0.25" r="216" customHeight="1" ht="15.75">
      <c r="A216" s="46"/>
      <c r="B216" s="6"/>
      <c r="C216" s="11"/>
      <c r="D216" s="11"/>
      <c r="E216" s="11"/>
      <c r="F216" s="29"/>
      <c r="G216" s="11"/>
      <c r="H216" s="11"/>
      <c r="I216" s="29"/>
      <c r="J216" s="11"/>
      <c r="K216" s="29"/>
      <c r="L216" s="11"/>
      <c r="M216" s="11"/>
      <c r="N216" s="11"/>
      <c r="O216" s="29"/>
      <c r="P216" s="29"/>
      <c r="Q216" s="11"/>
      <c r="R216" s="29"/>
      <c r="S216" s="11"/>
      <c r="T216" s="6"/>
      <c r="U216" s="29"/>
      <c r="V216" s="11"/>
      <c r="W216" s="11"/>
      <c r="X216" s="29"/>
      <c r="Y216" s="11"/>
      <c r="Z216" s="29"/>
      <c r="AA216" s="29"/>
      <c r="AB216" s="11"/>
      <c r="AC216" s="11"/>
      <c r="AD216" s="29"/>
      <c r="AE216" s="11"/>
      <c r="AF216" s="29"/>
      <c r="AG216" s="11"/>
      <c r="AH216" s="29"/>
      <c r="AI216" s="11"/>
      <c r="AJ216" s="29"/>
      <c r="AK216" s="29"/>
      <c r="AL216" s="29"/>
      <c r="AM216" s="11"/>
      <c r="AN216" s="29"/>
      <c r="AO216" s="29"/>
      <c r="AP216" s="6"/>
      <c r="AQ216" s="113">
        <f>IF(AND(I216="",K216="",AF216="",AL216="",AN216="",O216=""),"",IF(OR(I216="SIM",K216="SIM",AF216="SIM",AL216="SIM",AN216="Dados pessoais",AN216="Dados sensíveis",AN216="Dados pessoais e sensíveis",O216="Acima de 10.000 titulares por mês"),"SIM - Alta criticidade",IF((IF(I216="SIM",2,0)+IF(K216="SIM",2,0)+IF(AF216="SIM",2,0)+IF(OR(AN216="Dados pessoais",AN216="Dados sensíveis",AN216="Dados pessoais e sensíveis"),2,0)+IF(O216="De 1.001 a 10.000 titulares por mês",1,0)+IF(AA216="SIM",1,0)+IF(R216="SIM",1,0)+IF(AL216="SIM",1,0)+IF(AJ216="NÃO",1,0))&gt;=5,"SIM - Alta criticidade",IF((IF(I216="SIM",2,0)+IF(K216="SIM",2,0)+IF(AF216="SIM",2,0)+IF(OR(AN216="Dados pessoais",AN216="Dados sensíveis",AN216="Dados pessoais e sensíveis"),2,0)+IF(O216="De 1.001 a 10.000 titulares por mês",1,0)+IF(AA216="SIM",1,0)+IF(R216="SIM",1,0)+IF(AL216="SIM",1,0)+IF(AJ216="NÃO",1,0))&gt;=3,"Avaliação necessária","NÃO"))))</f>
      </c>
      <c r="AR216" s="11"/>
      <c r="AS216" s="113">
        <f>IF(AND(I216="",K216="",AF216="",AL216="",AN216="",O216=""),"",IF(OR(I216="SIM",K216="SIM",AF216="SIM",AL216="SIM",OR(AN216="Dados pessoais",AN216="Dados sensíveis",AN216="Dados pessoais e sensíveis"),O216="Acima de 10.000 titulares por mês",(IF(I216="SIM",2,0)+IF(K216="SIM",2,0)+IF(AF216="SIM",2,0)+IF(OR(AN216="Dados pessoais",AN216="Dados sensíveis",AN216="Dados pessoais e sensíveis"),2,0)+IF(O216="De 1.001 a 10.000 titulares por mês",1,0)+IF(AA216="SIM",1,0)+IF(R216="SIM",1,0)+IF(AL216="SIM",1,0)+IF(AJ216="NÃO",1,0))&gt;=3),"DPIA indicado ou em avaliação em razão de: " &amp; TRIM(IF(I216="SIM","tratamento de dados sensíveis; ","") &amp; IF(K216="SIM","utilização de dados de menores; ","") &amp; IF(AF216="SIM","transferência internacional de dados; ","") &amp; IF(AL216="SIM","utilização de inteligência artificial; ","") &amp; IF(OR(AN216="Dados pessoais",AN216="Dados sensíveis",AN216="Dados pessoais e sensíveis"),"dados inseridos em IA; ","") &amp; IF(O216="Acima de 10.000 titulares por mês","volume crítico de titulares; ","") &amp; IF(O216="De 1.001 a 10.000 titulares por mês","volume moderado de titulares; ","") &amp; IF(AA216="SIM","compartilhamento com terceiros; ","") &amp; IF(R216="SIM","compartilhamento com órgãos governamentais; ","") &amp; IF(AJ216="NÃO","ausência de controle de acesso por perfil; ","")),"DPIA não indicado: Processo de baixa criticidade."))</f>
      </c>
    </row>
    <row x14ac:dyDescent="0.25" r="217" customHeight="1" ht="15.75">
      <c r="A217" s="46"/>
      <c r="B217" s="6"/>
      <c r="C217" s="11"/>
      <c r="D217" s="11"/>
      <c r="E217" s="11"/>
      <c r="F217" s="29"/>
      <c r="G217" s="11"/>
      <c r="H217" s="11"/>
      <c r="I217" s="29"/>
      <c r="J217" s="11"/>
      <c r="K217" s="29"/>
      <c r="L217" s="11"/>
      <c r="M217" s="11"/>
      <c r="N217" s="11"/>
      <c r="O217" s="29"/>
      <c r="P217" s="29"/>
      <c r="Q217" s="11"/>
      <c r="R217" s="29"/>
      <c r="S217" s="11"/>
      <c r="T217" s="6"/>
      <c r="U217" s="29"/>
      <c r="V217" s="11"/>
      <c r="W217" s="11"/>
      <c r="X217" s="29"/>
      <c r="Y217" s="11"/>
      <c r="Z217" s="29"/>
      <c r="AA217" s="29"/>
      <c r="AB217" s="11"/>
      <c r="AC217" s="11"/>
      <c r="AD217" s="29"/>
      <c r="AE217" s="11"/>
      <c r="AF217" s="29"/>
      <c r="AG217" s="11"/>
      <c r="AH217" s="29"/>
      <c r="AI217" s="11"/>
      <c r="AJ217" s="29"/>
      <c r="AK217" s="29"/>
      <c r="AL217" s="29"/>
      <c r="AM217" s="11"/>
      <c r="AN217" s="29"/>
      <c r="AO217" s="29"/>
      <c r="AP217" s="6"/>
      <c r="AQ217" s="113">
        <f>IF(AND(I217="",K217="",AF217="",AL217="",AN217="",O217=""),"",IF(OR(I217="SIM",K217="SIM",AF217="SIM",AL217="SIM",AN217="Dados pessoais",AN217="Dados sensíveis",AN217="Dados pessoais e sensíveis",O217="Acima de 10.000 titulares por mês"),"SIM - Alta criticidade",IF((IF(I217="SIM",2,0)+IF(K217="SIM",2,0)+IF(AF217="SIM",2,0)+IF(OR(AN217="Dados pessoais",AN217="Dados sensíveis",AN217="Dados pessoais e sensíveis"),2,0)+IF(O217="De 1.001 a 10.000 titulares por mês",1,0)+IF(AA217="SIM",1,0)+IF(R217="SIM",1,0)+IF(AL217="SIM",1,0)+IF(AJ217="NÃO",1,0))&gt;=5,"SIM - Alta criticidade",IF((IF(I217="SIM",2,0)+IF(K217="SIM",2,0)+IF(AF217="SIM",2,0)+IF(OR(AN217="Dados pessoais",AN217="Dados sensíveis",AN217="Dados pessoais e sensíveis"),2,0)+IF(O217="De 1.001 a 10.000 titulares por mês",1,0)+IF(AA217="SIM",1,0)+IF(R217="SIM",1,0)+IF(AL217="SIM",1,0)+IF(AJ217="NÃO",1,0))&gt;=3,"Avaliação necessária","NÃO"))))</f>
      </c>
      <c r="AR217" s="11"/>
      <c r="AS217" s="113">
        <f>IF(AND(I217="",K217="",AF217="",AL217="",AN217="",O217=""),"",IF(OR(I217="SIM",K217="SIM",AF217="SIM",AL217="SIM",OR(AN217="Dados pessoais",AN217="Dados sensíveis",AN217="Dados pessoais e sensíveis"),O217="Acima de 10.000 titulares por mês",(IF(I217="SIM",2,0)+IF(K217="SIM",2,0)+IF(AF217="SIM",2,0)+IF(OR(AN217="Dados pessoais",AN217="Dados sensíveis",AN217="Dados pessoais e sensíveis"),2,0)+IF(O217="De 1.001 a 10.000 titulares por mês",1,0)+IF(AA217="SIM",1,0)+IF(R217="SIM",1,0)+IF(AL217="SIM",1,0)+IF(AJ217="NÃO",1,0))&gt;=3),"DPIA indicado ou em avaliação em razão de: " &amp; TRIM(IF(I217="SIM","tratamento de dados sensíveis; ","") &amp; IF(K217="SIM","utilização de dados de menores; ","") &amp; IF(AF217="SIM","transferência internacional de dados; ","") &amp; IF(AL217="SIM","utilização de inteligência artificial; ","") &amp; IF(OR(AN217="Dados pessoais",AN217="Dados sensíveis",AN217="Dados pessoais e sensíveis"),"dados inseridos em IA; ","") &amp; IF(O217="Acima de 10.000 titulares por mês","volume crítico de titulares; ","") &amp; IF(O217="De 1.001 a 10.000 titulares por mês","volume moderado de titulares; ","") &amp; IF(AA217="SIM","compartilhamento com terceiros; ","") &amp; IF(R217="SIM","compartilhamento com órgãos governamentais; ","") &amp; IF(AJ217="NÃO","ausência de controle de acesso por perfil; ","")),"DPIA não indicado: Processo de baixa criticidade."))</f>
      </c>
    </row>
    <row x14ac:dyDescent="0.25" r="218" customHeight="1" ht="15.75">
      <c r="A218" s="46"/>
      <c r="B218" s="6"/>
      <c r="C218" s="11"/>
      <c r="D218" s="11"/>
      <c r="E218" s="11"/>
      <c r="F218" s="29"/>
      <c r="G218" s="11"/>
      <c r="H218" s="11"/>
      <c r="I218" s="29"/>
      <c r="J218" s="11"/>
      <c r="K218" s="29"/>
      <c r="L218" s="11"/>
      <c r="M218" s="11"/>
      <c r="N218" s="11"/>
      <c r="O218" s="29"/>
      <c r="P218" s="29"/>
      <c r="Q218" s="11"/>
      <c r="R218" s="29"/>
      <c r="S218" s="11"/>
      <c r="T218" s="6"/>
      <c r="U218" s="29"/>
      <c r="V218" s="11"/>
      <c r="W218" s="11"/>
      <c r="X218" s="29"/>
      <c r="Y218" s="11"/>
      <c r="Z218" s="29"/>
      <c r="AA218" s="29"/>
      <c r="AB218" s="11"/>
      <c r="AC218" s="11"/>
      <c r="AD218" s="29"/>
      <c r="AE218" s="11"/>
      <c r="AF218" s="29"/>
      <c r="AG218" s="11"/>
      <c r="AH218" s="29"/>
      <c r="AI218" s="11"/>
      <c r="AJ218" s="29"/>
      <c r="AK218" s="29"/>
      <c r="AL218" s="29"/>
      <c r="AM218" s="11"/>
      <c r="AN218" s="29"/>
      <c r="AO218" s="29"/>
      <c r="AP218" s="6"/>
      <c r="AQ218" s="113">
        <f>IF(AND(I218="",K218="",AF218="",AL218="",AN218="",O218=""),"",IF(OR(I218="SIM",K218="SIM",AF218="SIM",AL218="SIM",AN218="Dados pessoais",AN218="Dados sensíveis",AN218="Dados pessoais e sensíveis",O218="Acima de 10.000 titulares por mês"),"SIM - Alta criticidade",IF((IF(I218="SIM",2,0)+IF(K218="SIM",2,0)+IF(AF218="SIM",2,0)+IF(OR(AN218="Dados pessoais",AN218="Dados sensíveis",AN218="Dados pessoais e sensíveis"),2,0)+IF(O218="De 1.001 a 10.000 titulares por mês",1,0)+IF(AA218="SIM",1,0)+IF(R218="SIM",1,0)+IF(AL218="SIM",1,0)+IF(AJ218="NÃO",1,0))&gt;=5,"SIM - Alta criticidade",IF((IF(I218="SIM",2,0)+IF(K218="SIM",2,0)+IF(AF218="SIM",2,0)+IF(OR(AN218="Dados pessoais",AN218="Dados sensíveis",AN218="Dados pessoais e sensíveis"),2,0)+IF(O218="De 1.001 a 10.000 titulares por mês",1,0)+IF(AA218="SIM",1,0)+IF(R218="SIM",1,0)+IF(AL218="SIM",1,0)+IF(AJ218="NÃO",1,0))&gt;=3,"Avaliação necessária","NÃO"))))</f>
      </c>
      <c r="AR218" s="11"/>
      <c r="AS218" s="113">
        <f>IF(AND(I218="",K218="",AF218="",AL218="",AN218="",O218=""),"",IF(OR(I218="SIM",K218="SIM",AF218="SIM",AL218="SIM",OR(AN218="Dados pessoais",AN218="Dados sensíveis",AN218="Dados pessoais e sensíveis"),O218="Acima de 10.000 titulares por mês",(IF(I218="SIM",2,0)+IF(K218="SIM",2,0)+IF(AF218="SIM",2,0)+IF(OR(AN218="Dados pessoais",AN218="Dados sensíveis",AN218="Dados pessoais e sensíveis"),2,0)+IF(O218="De 1.001 a 10.000 titulares por mês",1,0)+IF(AA218="SIM",1,0)+IF(R218="SIM",1,0)+IF(AL218="SIM",1,0)+IF(AJ218="NÃO",1,0))&gt;=3),"DPIA indicado ou em avaliação em razão de: " &amp; TRIM(IF(I218="SIM","tratamento de dados sensíveis; ","") &amp; IF(K218="SIM","utilização de dados de menores; ","") &amp; IF(AF218="SIM","transferência internacional de dados; ","") &amp; IF(AL218="SIM","utilização de inteligência artificial; ","") &amp; IF(OR(AN218="Dados pessoais",AN218="Dados sensíveis",AN218="Dados pessoais e sensíveis"),"dados inseridos em IA; ","") &amp; IF(O218="Acima de 10.000 titulares por mês","volume crítico de titulares; ","") &amp; IF(O218="De 1.001 a 10.000 titulares por mês","volume moderado de titulares; ","") &amp; IF(AA218="SIM","compartilhamento com terceiros; ","") &amp; IF(R218="SIM","compartilhamento com órgãos governamentais; ","") &amp; IF(AJ218="NÃO","ausência de controle de acesso por perfil; ","")),"DPIA não indicado: Processo de baixa criticidade."))</f>
      </c>
    </row>
    <row x14ac:dyDescent="0.25" r="219" customHeight="1" ht="15.75">
      <c r="A219" s="46"/>
      <c r="B219" s="6"/>
      <c r="C219" s="11"/>
      <c r="D219" s="11"/>
      <c r="E219" s="11"/>
      <c r="F219" s="29"/>
      <c r="G219" s="11"/>
      <c r="H219" s="11"/>
      <c r="I219" s="29"/>
      <c r="J219" s="11"/>
      <c r="K219" s="29"/>
      <c r="L219" s="11"/>
      <c r="M219" s="11"/>
      <c r="N219" s="11"/>
      <c r="O219" s="29"/>
      <c r="P219" s="29"/>
      <c r="Q219" s="11"/>
      <c r="R219" s="29"/>
      <c r="S219" s="11"/>
      <c r="T219" s="6"/>
      <c r="U219" s="29"/>
      <c r="V219" s="11"/>
      <c r="W219" s="11"/>
      <c r="X219" s="29"/>
      <c r="Y219" s="11"/>
      <c r="Z219" s="29"/>
      <c r="AA219" s="29"/>
      <c r="AB219" s="11"/>
      <c r="AC219" s="11"/>
      <c r="AD219" s="29"/>
      <c r="AE219" s="11"/>
      <c r="AF219" s="29"/>
      <c r="AG219" s="11"/>
      <c r="AH219" s="29"/>
      <c r="AI219" s="11"/>
      <c r="AJ219" s="29"/>
      <c r="AK219" s="29"/>
      <c r="AL219" s="29"/>
      <c r="AM219" s="11"/>
      <c r="AN219" s="29"/>
      <c r="AO219" s="29"/>
      <c r="AP219" s="6"/>
      <c r="AQ219" s="113">
        <f>IF(AND(I219="",K219="",AF219="",AL219="",AN219="",O219=""),"",IF(OR(I219="SIM",K219="SIM",AF219="SIM",AL219="SIM",AN219="Dados pessoais",AN219="Dados sensíveis",AN219="Dados pessoais e sensíveis",O219="Acima de 10.000 titulares por mês"),"SIM - Alta criticidade",IF((IF(I219="SIM",2,0)+IF(K219="SIM",2,0)+IF(AF219="SIM",2,0)+IF(OR(AN219="Dados pessoais",AN219="Dados sensíveis",AN219="Dados pessoais e sensíveis"),2,0)+IF(O219="De 1.001 a 10.000 titulares por mês",1,0)+IF(AA219="SIM",1,0)+IF(R219="SIM",1,0)+IF(AL219="SIM",1,0)+IF(AJ219="NÃO",1,0))&gt;=5,"SIM - Alta criticidade",IF((IF(I219="SIM",2,0)+IF(K219="SIM",2,0)+IF(AF219="SIM",2,0)+IF(OR(AN219="Dados pessoais",AN219="Dados sensíveis",AN219="Dados pessoais e sensíveis"),2,0)+IF(O219="De 1.001 a 10.000 titulares por mês",1,0)+IF(AA219="SIM",1,0)+IF(R219="SIM",1,0)+IF(AL219="SIM",1,0)+IF(AJ219="NÃO",1,0))&gt;=3,"Avaliação necessária","NÃO"))))</f>
      </c>
      <c r="AR219" s="11"/>
      <c r="AS219" s="113">
        <f>IF(AND(I219="",K219="",AF219="",AL219="",AN219="",O219=""),"",IF(OR(I219="SIM",K219="SIM",AF219="SIM",AL219="SIM",OR(AN219="Dados pessoais",AN219="Dados sensíveis",AN219="Dados pessoais e sensíveis"),O219="Acima de 10.000 titulares por mês",(IF(I219="SIM",2,0)+IF(K219="SIM",2,0)+IF(AF219="SIM",2,0)+IF(OR(AN219="Dados pessoais",AN219="Dados sensíveis",AN219="Dados pessoais e sensíveis"),2,0)+IF(O219="De 1.001 a 10.000 titulares por mês",1,0)+IF(AA219="SIM",1,0)+IF(R219="SIM",1,0)+IF(AL219="SIM",1,0)+IF(AJ219="NÃO",1,0))&gt;=3),"DPIA indicado ou em avaliação em razão de: " &amp; TRIM(IF(I219="SIM","tratamento de dados sensíveis; ","") &amp; IF(K219="SIM","utilização de dados de menores; ","") &amp; IF(AF219="SIM","transferência internacional de dados; ","") &amp; IF(AL219="SIM","utilização de inteligência artificial; ","") &amp; IF(OR(AN219="Dados pessoais",AN219="Dados sensíveis",AN219="Dados pessoais e sensíveis"),"dados inseridos em IA; ","") &amp; IF(O219="Acima de 10.000 titulares por mês","volume crítico de titulares; ","") &amp; IF(O219="De 1.001 a 10.000 titulares por mês","volume moderado de titulares; ","") &amp; IF(AA219="SIM","compartilhamento com terceiros; ","") &amp; IF(R219="SIM","compartilhamento com órgãos governamentais; ","") &amp; IF(AJ219="NÃO","ausência de controle de acesso por perfil; ","")),"DPIA não indicado: Processo de baixa criticidade."))</f>
      </c>
    </row>
    <row x14ac:dyDescent="0.25" r="220" customHeight="1" ht="15.75">
      <c r="A220" s="46"/>
      <c r="B220" s="6"/>
      <c r="C220" s="11"/>
      <c r="D220" s="11"/>
      <c r="E220" s="11"/>
      <c r="F220" s="29"/>
      <c r="G220" s="11"/>
      <c r="H220" s="11"/>
      <c r="I220" s="29"/>
      <c r="J220" s="11"/>
      <c r="K220" s="29"/>
      <c r="L220" s="11"/>
      <c r="M220" s="11"/>
      <c r="N220" s="11"/>
      <c r="O220" s="29"/>
      <c r="P220" s="29"/>
      <c r="Q220" s="11"/>
      <c r="R220" s="29"/>
      <c r="S220" s="11"/>
      <c r="T220" s="6"/>
      <c r="U220" s="29"/>
      <c r="V220" s="11"/>
      <c r="W220" s="11"/>
      <c r="X220" s="29"/>
      <c r="Y220" s="11"/>
      <c r="Z220" s="29"/>
      <c r="AA220" s="29"/>
      <c r="AB220" s="11"/>
      <c r="AC220" s="11"/>
      <c r="AD220" s="29"/>
      <c r="AE220" s="11"/>
      <c r="AF220" s="29"/>
      <c r="AG220" s="11"/>
      <c r="AH220" s="29"/>
      <c r="AI220" s="11"/>
      <c r="AJ220" s="29"/>
      <c r="AK220" s="29"/>
      <c r="AL220" s="29"/>
      <c r="AM220" s="11"/>
      <c r="AN220" s="29"/>
      <c r="AO220" s="29"/>
      <c r="AP220" s="6"/>
      <c r="AQ220" s="113">
        <f>IF(AND(I220="",K220="",AF220="",AL220="",AN220="",O220=""),"",IF(OR(I220="SIM",K220="SIM",AF220="SIM",AL220="SIM",AN220="Dados pessoais",AN220="Dados sensíveis",AN220="Dados pessoais e sensíveis",O220="Acima de 10.000 titulares por mês"),"SIM - Alta criticidade",IF((IF(I220="SIM",2,0)+IF(K220="SIM",2,0)+IF(AF220="SIM",2,0)+IF(OR(AN220="Dados pessoais",AN220="Dados sensíveis",AN220="Dados pessoais e sensíveis"),2,0)+IF(O220="De 1.001 a 10.000 titulares por mês",1,0)+IF(AA220="SIM",1,0)+IF(R220="SIM",1,0)+IF(AL220="SIM",1,0)+IF(AJ220="NÃO",1,0))&gt;=5,"SIM - Alta criticidade",IF((IF(I220="SIM",2,0)+IF(K220="SIM",2,0)+IF(AF220="SIM",2,0)+IF(OR(AN220="Dados pessoais",AN220="Dados sensíveis",AN220="Dados pessoais e sensíveis"),2,0)+IF(O220="De 1.001 a 10.000 titulares por mês",1,0)+IF(AA220="SIM",1,0)+IF(R220="SIM",1,0)+IF(AL220="SIM",1,0)+IF(AJ220="NÃO",1,0))&gt;=3,"Avaliação necessária","NÃO"))))</f>
      </c>
      <c r="AR220" s="11"/>
      <c r="AS220" s="113">
        <f>IF(AND(I220="",K220="",AF220="",AL220="",AN220="",O220=""),"",IF(OR(I220="SIM",K220="SIM",AF220="SIM",AL220="SIM",OR(AN220="Dados pessoais",AN220="Dados sensíveis",AN220="Dados pessoais e sensíveis"),O220="Acima de 10.000 titulares por mês",(IF(I220="SIM",2,0)+IF(K220="SIM",2,0)+IF(AF220="SIM",2,0)+IF(OR(AN220="Dados pessoais",AN220="Dados sensíveis",AN220="Dados pessoais e sensíveis"),2,0)+IF(O220="De 1.001 a 10.000 titulares por mês",1,0)+IF(AA220="SIM",1,0)+IF(R220="SIM",1,0)+IF(AL220="SIM",1,0)+IF(AJ220="NÃO",1,0))&gt;=3),"DPIA indicado ou em avaliação em razão de: " &amp; TRIM(IF(I220="SIM","tratamento de dados sensíveis; ","") &amp; IF(K220="SIM","utilização de dados de menores; ","") &amp; IF(AF220="SIM","transferência internacional de dados; ","") &amp; IF(AL220="SIM","utilização de inteligência artificial; ","") &amp; IF(OR(AN220="Dados pessoais",AN220="Dados sensíveis",AN220="Dados pessoais e sensíveis"),"dados inseridos em IA; ","") &amp; IF(O220="Acima de 10.000 titulares por mês","volume crítico de titulares; ","") &amp; IF(O220="De 1.001 a 10.000 titulares por mês","volume moderado de titulares; ","") &amp; IF(AA220="SIM","compartilhamento com terceiros; ","") &amp; IF(R220="SIM","compartilhamento com órgãos governamentais; ","") &amp; IF(AJ220="NÃO","ausência de controle de acesso por perfil; ","")),"DPIA não indicado: Processo de baixa criticidade."))</f>
      </c>
    </row>
    <row x14ac:dyDescent="0.25" r="221" customHeight="1" ht="15.75">
      <c r="A221" s="46"/>
      <c r="B221" s="6"/>
      <c r="C221" s="11"/>
      <c r="D221" s="11"/>
      <c r="E221" s="11"/>
      <c r="F221" s="29"/>
      <c r="G221" s="11"/>
      <c r="H221" s="11"/>
      <c r="I221" s="29"/>
      <c r="J221" s="11"/>
      <c r="K221" s="29"/>
      <c r="L221" s="11"/>
      <c r="M221" s="11"/>
      <c r="N221" s="11"/>
      <c r="O221" s="29"/>
      <c r="P221" s="29"/>
      <c r="Q221" s="11"/>
      <c r="R221" s="29"/>
      <c r="S221" s="11"/>
      <c r="T221" s="6"/>
      <c r="U221" s="29"/>
      <c r="V221" s="11"/>
      <c r="W221" s="11"/>
      <c r="X221" s="29"/>
      <c r="Y221" s="11"/>
      <c r="Z221" s="29"/>
      <c r="AA221" s="29"/>
      <c r="AB221" s="11"/>
      <c r="AC221" s="11"/>
      <c r="AD221" s="29"/>
      <c r="AE221" s="11"/>
      <c r="AF221" s="29"/>
      <c r="AG221" s="11"/>
      <c r="AH221" s="29"/>
      <c r="AI221" s="11"/>
      <c r="AJ221" s="29"/>
      <c r="AK221" s="29"/>
      <c r="AL221" s="29"/>
      <c r="AM221" s="11"/>
      <c r="AN221" s="29"/>
      <c r="AO221" s="29"/>
      <c r="AP221" s="6"/>
      <c r="AQ221" s="113">
        <f>IF(AND(I221="",K221="",AF221="",AL221="",AN221="",O221=""),"",IF(OR(I221="SIM",K221="SIM",AF221="SIM",AL221="SIM",AN221="Dados pessoais",AN221="Dados sensíveis",AN221="Dados pessoais e sensíveis",O221="Acima de 10.000 titulares por mês"),"SIM - Alta criticidade",IF((IF(I221="SIM",2,0)+IF(K221="SIM",2,0)+IF(AF221="SIM",2,0)+IF(OR(AN221="Dados pessoais",AN221="Dados sensíveis",AN221="Dados pessoais e sensíveis"),2,0)+IF(O221="De 1.001 a 10.000 titulares por mês",1,0)+IF(AA221="SIM",1,0)+IF(R221="SIM",1,0)+IF(AL221="SIM",1,0)+IF(AJ221="NÃO",1,0))&gt;=5,"SIM - Alta criticidade",IF((IF(I221="SIM",2,0)+IF(K221="SIM",2,0)+IF(AF221="SIM",2,0)+IF(OR(AN221="Dados pessoais",AN221="Dados sensíveis",AN221="Dados pessoais e sensíveis"),2,0)+IF(O221="De 1.001 a 10.000 titulares por mês",1,0)+IF(AA221="SIM",1,0)+IF(R221="SIM",1,0)+IF(AL221="SIM",1,0)+IF(AJ221="NÃO",1,0))&gt;=3,"Avaliação necessária","NÃO"))))</f>
      </c>
      <c r="AR221" s="11"/>
      <c r="AS221" s="113">
        <f>IF(AND(I221="",K221="",AF221="",AL221="",AN221="",O221=""),"",IF(OR(I221="SIM",K221="SIM",AF221="SIM",AL221="SIM",OR(AN221="Dados pessoais",AN221="Dados sensíveis",AN221="Dados pessoais e sensíveis"),O221="Acima de 10.000 titulares por mês",(IF(I221="SIM",2,0)+IF(K221="SIM",2,0)+IF(AF221="SIM",2,0)+IF(OR(AN221="Dados pessoais",AN221="Dados sensíveis",AN221="Dados pessoais e sensíveis"),2,0)+IF(O221="De 1.001 a 10.000 titulares por mês",1,0)+IF(AA221="SIM",1,0)+IF(R221="SIM",1,0)+IF(AL221="SIM",1,0)+IF(AJ221="NÃO",1,0))&gt;=3),"DPIA indicado ou em avaliação em razão de: " &amp; TRIM(IF(I221="SIM","tratamento de dados sensíveis; ","") &amp; IF(K221="SIM","utilização de dados de menores; ","") &amp; IF(AF221="SIM","transferência internacional de dados; ","") &amp; IF(AL221="SIM","utilização de inteligência artificial; ","") &amp; IF(OR(AN221="Dados pessoais",AN221="Dados sensíveis",AN221="Dados pessoais e sensíveis"),"dados inseridos em IA; ","") &amp; IF(O221="Acima de 10.000 titulares por mês","volume crítico de titulares; ","") &amp; IF(O221="De 1.001 a 10.000 titulares por mês","volume moderado de titulares; ","") &amp; IF(AA221="SIM","compartilhamento com terceiros; ","") &amp; IF(R221="SIM","compartilhamento com órgãos governamentais; ","") &amp; IF(AJ221="NÃO","ausência de controle de acesso por perfil; ","")),"DPIA não indicado: Processo de baixa criticidade."))</f>
      </c>
    </row>
    <row x14ac:dyDescent="0.25" r="222" customHeight="1" ht="15.75">
      <c r="A222" s="46"/>
      <c r="B222" s="6"/>
      <c r="C222" s="11"/>
      <c r="D222" s="11"/>
      <c r="E222" s="11"/>
      <c r="F222" s="29"/>
      <c r="G222" s="11"/>
      <c r="H222" s="11"/>
      <c r="I222" s="29"/>
      <c r="J222" s="11"/>
      <c r="K222" s="29"/>
      <c r="L222" s="11"/>
      <c r="M222" s="11"/>
      <c r="N222" s="11"/>
      <c r="O222" s="29"/>
      <c r="P222" s="29"/>
      <c r="Q222" s="11"/>
      <c r="R222" s="29"/>
      <c r="S222" s="11"/>
      <c r="T222" s="6"/>
      <c r="U222" s="29"/>
      <c r="V222" s="11"/>
      <c r="W222" s="11"/>
      <c r="X222" s="29"/>
      <c r="Y222" s="11"/>
      <c r="Z222" s="29"/>
      <c r="AA222" s="29"/>
      <c r="AB222" s="11"/>
      <c r="AC222" s="11"/>
      <c r="AD222" s="29"/>
      <c r="AE222" s="11"/>
      <c r="AF222" s="29"/>
      <c r="AG222" s="11"/>
      <c r="AH222" s="29"/>
      <c r="AI222" s="11"/>
      <c r="AJ222" s="29"/>
      <c r="AK222" s="29"/>
      <c r="AL222" s="29"/>
      <c r="AM222" s="11"/>
      <c r="AN222" s="29"/>
      <c r="AO222" s="29"/>
      <c r="AP222" s="6"/>
      <c r="AQ222" s="113">
        <f>IF(AND(I222="",K222="",AF222="",AL222="",AN222="",O222=""),"",IF(OR(I222="SIM",K222="SIM",AF222="SIM",AL222="SIM",AN222="Dados pessoais",AN222="Dados sensíveis",AN222="Dados pessoais e sensíveis",O222="Acima de 10.000 titulares por mês"),"SIM - Alta criticidade",IF((IF(I222="SIM",2,0)+IF(K222="SIM",2,0)+IF(AF222="SIM",2,0)+IF(OR(AN222="Dados pessoais",AN222="Dados sensíveis",AN222="Dados pessoais e sensíveis"),2,0)+IF(O222="De 1.001 a 10.000 titulares por mês",1,0)+IF(AA222="SIM",1,0)+IF(R222="SIM",1,0)+IF(AL222="SIM",1,0)+IF(AJ222="NÃO",1,0))&gt;=5,"SIM - Alta criticidade",IF((IF(I222="SIM",2,0)+IF(K222="SIM",2,0)+IF(AF222="SIM",2,0)+IF(OR(AN222="Dados pessoais",AN222="Dados sensíveis",AN222="Dados pessoais e sensíveis"),2,0)+IF(O222="De 1.001 a 10.000 titulares por mês",1,0)+IF(AA222="SIM",1,0)+IF(R222="SIM",1,0)+IF(AL222="SIM",1,0)+IF(AJ222="NÃO",1,0))&gt;=3,"Avaliação necessária","NÃO"))))</f>
      </c>
      <c r="AR222" s="11"/>
      <c r="AS222" s="113">
        <f>IF(AND(I222="",K222="",AF222="",AL222="",AN222="",O222=""),"",IF(OR(I222="SIM",K222="SIM",AF222="SIM",AL222="SIM",OR(AN222="Dados pessoais",AN222="Dados sensíveis",AN222="Dados pessoais e sensíveis"),O222="Acima de 10.000 titulares por mês",(IF(I222="SIM",2,0)+IF(K222="SIM",2,0)+IF(AF222="SIM",2,0)+IF(OR(AN222="Dados pessoais",AN222="Dados sensíveis",AN222="Dados pessoais e sensíveis"),2,0)+IF(O222="De 1.001 a 10.000 titulares por mês",1,0)+IF(AA222="SIM",1,0)+IF(R222="SIM",1,0)+IF(AL222="SIM",1,0)+IF(AJ222="NÃO",1,0))&gt;=3),"DPIA indicado ou em avaliação em razão de: " &amp; TRIM(IF(I222="SIM","tratamento de dados sensíveis; ","") &amp; IF(K222="SIM","utilização de dados de menores; ","") &amp; IF(AF222="SIM","transferência internacional de dados; ","") &amp; IF(AL222="SIM","utilização de inteligência artificial; ","") &amp; IF(OR(AN222="Dados pessoais",AN222="Dados sensíveis",AN222="Dados pessoais e sensíveis"),"dados inseridos em IA; ","") &amp; IF(O222="Acima de 10.000 titulares por mês","volume crítico de titulares; ","") &amp; IF(O222="De 1.001 a 10.000 titulares por mês","volume moderado de titulares; ","") &amp; IF(AA222="SIM","compartilhamento com terceiros; ","") &amp; IF(R222="SIM","compartilhamento com órgãos governamentais; ","") &amp; IF(AJ222="NÃO","ausência de controle de acesso por perfil; ","")),"DPIA não indicado: Processo de baixa criticidade."))</f>
      </c>
    </row>
    <row x14ac:dyDescent="0.25" r="223" customHeight="1" ht="15.75">
      <c r="A223" s="46"/>
      <c r="B223" s="6"/>
      <c r="C223" s="11"/>
      <c r="D223" s="11"/>
      <c r="E223" s="11"/>
      <c r="F223" s="29"/>
      <c r="G223" s="11"/>
      <c r="H223" s="11"/>
      <c r="I223" s="29"/>
      <c r="J223" s="11"/>
      <c r="K223" s="29"/>
      <c r="L223" s="11"/>
      <c r="M223" s="11"/>
      <c r="N223" s="11"/>
      <c r="O223" s="29"/>
      <c r="P223" s="29"/>
      <c r="Q223" s="11"/>
      <c r="R223" s="29"/>
      <c r="S223" s="11"/>
      <c r="T223" s="6"/>
      <c r="U223" s="29"/>
      <c r="V223" s="11"/>
      <c r="W223" s="11"/>
      <c r="X223" s="29"/>
      <c r="Y223" s="11"/>
      <c r="Z223" s="29"/>
      <c r="AA223" s="29"/>
      <c r="AB223" s="11"/>
      <c r="AC223" s="11"/>
      <c r="AD223" s="29"/>
      <c r="AE223" s="11"/>
      <c r="AF223" s="29"/>
      <c r="AG223" s="11"/>
      <c r="AH223" s="29"/>
      <c r="AI223" s="11"/>
      <c r="AJ223" s="29"/>
      <c r="AK223" s="29"/>
      <c r="AL223" s="29"/>
      <c r="AM223" s="11"/>
      <c r="AN223" s="29"/>
      <c r="AO223" s="29"/>
      <c r="AP223" s="6"/>
      <c r="AQ223" s="113">
        <f>IF(AND(I223="",K223="",AF223="",AL223="",AN223="",O223=""),"",IF(OR(I223="SIM",K223="SIM",AF223="SIM",AL223="SIM",AN223="Dados pessoais",AN223="Dados sensíveis",AN223="Dados pessoais e sensíveis",O223="Acima de 10.000 titulares por mês"),"SIM - Alta criticidade",IF((IF(I223="SIM",2,0)+IF(K223="SIM",2,0)+IF(AF223="SIM",2,0)+IF(OR(AN223="Dados pessoais",AN223="Dados sensíveis",AN223="Dados pessoais e sensíveis"),2,0)+IF(O223="De 1.001 a 10.000 titulares por mês",1,0)+IF(AA223="SIM",1,0)+IF(R223="SIM",1,0)+IF(AL223="SIM",1,0)+IF(AJ223="NÃO",1,0))&gt;=5,"SIM - Alta criticidade",IF((IF(I223="SIM",2,0)+IF(K223="SIM",2,0)+IF(AF223="SIM",2,0)+IF(OR(AN223="Dados pessoais",AN223="Dados sensíveis",AN223="Dados pessoais e sensíveis"),2,0)+IF(O223="De 1.001 a 10.000 titulares por mês",1,0)+IF(AA223="SIM",1,0)+IF(R223="SIM",1,0)+IF(AL223="SIM",1,0)+IF(AJ223="NÃO",1,0))&gt;=3,"Avaliação necessária","NÃO"))))</f>
      </c>
      <c r="AR223" s="11"/>
      <c r="AS223" s="113">
        <f>IF(AND(I223="",K223="",AF223="",AL223="",AN223="",O223=""),"",IF(OR(I223="SIM",K223="SIM",AF223="SIM",AL223="SIM",OR(AN223="Dados pessoais",AN223="Dados sensíveis",AN223="Dados pessoais e sensíveis"),O223="Acima de 10.000 titulares por mês",(IF(I223="SIM",2,0)+IF(K223="SIM",2,0)+IF(AF223="SIM",2,0)+IF(OR(AN223="Dados pessoais",AN223="Dados sensíveis",AN223="Dados pessoais e sensíveis"),2,0)+IF(O223="De 1.001 a 10.000 titulares por mês",1,0)+IF(AA223="SIM",1,0)+IF(R223="SIM",1,0)+IF(AL223="SIM",1,0)+IF(AJ223="NÃO",1,0))&gt;=3),"DPIA indicado ou em avaliação em razão de: " &amp; TRIM(IF(I223="SIM","tratamento de dados sensíveis; ","") &amp; IF(K223="SIM","utilização de dados de menores; ","") &amp; IF(AF223="SIM","transferência internacional de dados; ","") &amp; IF(AL223="SIM","utilização de inteligência artificial; ","") &amp; IF(OR(AN223="Dados pessoais",AN223="Dados sensíveis",AN223="Dados pessoais e sensíveis"),"dados inseridos em IA; ","") &amp; IF(O223="Acima de 10.000 titulares por mês","volume crítico de titulares; ","") &amp; IF(O223="De 1.001 a 10.000 titulares por mês","volume moderado de titulares; ","") &amp; IF(AA223="SIM","compartilhamento com terceiros; ","") &amp; IF(R223="SIM","compartilhamento com órgãos governamentais; ","") &amp; IF(AJ223="NÃO","ausência de controle de acesso por perfil; ","")),"DPIA não indicado: Processo de baixa criticidade."))</f>
      </c>
    </row>
    <row x14ac:dyDescent="0.25" r="224" customHeight="1" ht="15.75">
      <c r="A224" s="46"/>
      <c r="B224" s="6"/>
      <c r="C224" s="11"/>
      <c r="D224" s="11"/>
      <c r="E224" s="11"/>
      <c r="F224" s="29"/>
      <c r="G224" s="11"/>
      <c r="H224" s="11"/>
      <c r="I224" s="29"/>
      <c r="J224" s="11"/>
      <c r="K224" s="29"/>
      <c r="L224" s="11"/>
      <c r="M224" s="11"/>
      <c r="N224" s="11"/>
      <c r="O224" s="29"/>
      <c r="P224" s="29"/>
      <c r="Q224" s="11"/>
      <c r="R224" s="29"/>
      <c r="S224" s="11"/>
      <c r="T224" s="6"/>
      <c r="U224" s="29"/>
      <c r="V224" s="11"/>
      <c r="W224" s="11"/>
      <c r="X224" s="29"/>
      <c r="Y224" s="11"/>
      <c r="Z224" s="29"/>
      <c r="AA224" s="29"/>
      <c r="AB224" s="11"/>
      <c r="AC224" s="11"/>
      <c r="AD224" s="29"/>
      <c r="AE224" s="11"/>
      <c r="AF224" s="29"/>
      <c r="AG224" s="11"/>
      <c r="AH224" s="29"/>
      <c r="AI224" s="11"/>
      <c r="AJ224" s="29"/>
      <c r="AK224" s="29"/>
      <c r="AL224" s="29"/>
      <c r="AM224" s="11"/>
      <c r="AN224" s="29"/>
      <c r="AO224" s="29"/>
      <c r="AP224" s="6"/>
      <c r="AQ224" s="113">
        <f>IF(AND(I224="",K224="",AF224="",AL224="",AN224="",O224=""),"",IF(OR(I224="SIM",K224="SIM",AF224="SIM",AL224="SIM",AN224="Dados pessoais",AN224="Dados sensíveis",AN224="Dados pessoais e sensíveis",O224="Acima de 10.000 titulares por mês"),"SIM - Alta criticidade",IF((IF(I224="SIM",2,0)+IF(K224="SIM",2,0)+IF(AF224="SIM",2,0)+IF(OR(AN224="Dados pessoais",AN224="Dados sensíveis",AN224="Dados pessoais e sensíveis"),2,0)+IF(O224="De 1.001 a 10.000 titulares por mês",1,0)+IF(AA224="SIM",1,0)+IF(R224="SIM",1,0)+IF(AL224="SIM",1,0)+IF(AJ224="NÃO",1,0))&gt;=5,"SIM - Alta criticidade",IF((IF(I224="SIM",2,0)+IF(K224="SIM",2,0)+IF(AF224="SIM",2,0)+IF(OR(AN224="Dados pessoais",AN224="Dados sensíveis",AN224="Dados pessoais e sensíveis"),2,0)+IF(O224="De 1.001 a 10.000 titulares por mês",1,0)+IF(AA224="SIM",1,0)+IF(R224="SIM",1,0)+IF(AL224="SIM",1,0)+IF(AJ224="NÃO",1,0))&gt;=3,"Avaliação necessária","NÃO"))))</f>
      </c>
      <c r="AR224" s="11"/>
      <c r="AS224" s="113">
        <f>IF(AND(I224="",K224="",AF224="",AL224="",AN224="",O224=""),"",IF(OR(I224="SIM",K224="SIM",AF224="SIM",AL224="SIM",OR(AN224="Dados pessoais",AN224="Dados sensíveis",AN224="Dados pessoais e sensíveis"),O224="Acima de 10.000 titulares por mês",(IF(I224="SIM",2,0)+IF(K224="SIM",2,0)+IF(AF224="SIM",2,0)+IF(OR(AN224="Dados pessoais",AN224="Dados sensíveis",AN224="Dados pessoais e sensíveis"),2,0)+IF(O224="De 1.001 a 10.000 titulares por mês",1,0)+IF(AA224="SIM",1,0)+IF(R224="SIM",1,0)+IF(AL224="SIM",1,0)+IF(AJ224="NÃO",1,0))&gt;=3),"DPIA indicado ou em avaliação em razão de: " &amp; TRIM(IF(I224="SIM","tratamento de dados sensíveis; ","") &amp; IF(K224="SIM","utilização de dados de menores; ","") &amp; IF(AF224="SIM","transferência internacional de dados; ","") &amp; IF(AL224="SIM","utilização de inteligência artificial; ","") &amp; IF(OR(AN224="Dados pessoais",AN224="Dados sensíveis",AN224="Dados pessoais e sensíveis"),"dados inseridos em IA; ","") &amp; IF(O224="Acima de 10.000 titulares por mês","volume crítico de titulares; ","") &amp; IF(O224="De 1.001 a 10.000 titulares por mês","volume moderado de titulares; ","") &amp; IF(AA224="SIM","compartilhamento com terceiros; ","") &amp; IF(R224="SIM","compartilhamento com órgãos governamentais; ","") &amp; IF(AJ224="NÃO","ausência de controle de acesso por perfil; ","")),"DPIA não indicado: Processo de baixa criticidade."))</f>
      </c>
    </row>
    <row x14ac:dyDescent="0.25" r="225" customHeight="1" ht="15.75">
      <c r="A225" s="46"/>
      <c r="B225" s="6"/>
      <c r="C225" s="11"/>
      <c r="D225" s="11"/>
      <c r="E225" s="11"/>
      <c r="F225" s="29"/>
      <c r="G225" s="11"/>
      <c r="H225" s="11"/>
      <c r="I225" s="29"/>
      <c r="J225" s="11"/>
      <c r="K225" s="29"/>
      <c r="L225" s="11"/>
      <c r="M225" s="11"/>
      <c r="N225" s="11"/>
      <c r="O225" s="29"/>
      <c r="P225" s="29"/>
      <c r="Q225" s="11"/>
      <c r="R225" s="29"/>
      <c r="S225" s="11"/>
      <c r="T225" s="6"/>
      <c r="U225" s="29"/>
      <c r="V225" s="11"/>
      <c r="W225" s="11"/>
      <c r="X225" s="29"/>
      <c r="Y225" s="11"/>
      <c r="Z225" s="29"/>
      <c r="AA225" s="29"/>
      <c r="AB225" s="11"/>
      <c r="AC225" s="11"/>
      <c r="AD225" s="29"/>
      <c r="AE225" s="11"/>
      <c r="AF225" s="29"/>
      <c r="AG225" s="11"/>
      <c r="AH225" s="29"/>
      <c r="AI225" s="11"/>
      <c r="AJ225" s="29"/>
      <c r="AK225" s="29"/>
      <c r="AL225" s="29"/>
      <c r="AM225" s="11"/>
      <c r="AN225" s="29"/>
      <c r="AO225" s="29"/>
      <c r="AP225" s="6"/>
      <c r="AQ225" s="113">
        <f>IF(AND(I225="",K225="",AF225="",AL225="",AN225="",O225=""),"",IF(OR(I225="SIM",K225="SIM",AF225="SIM",AL225="SIM",AN225="Dados pessoais",AN225="Dados sensíveis",AN225="Dados pessoais e sensíveis",O225="Acima de 10.000 titulares por mês"),"SIM - Alta criticidade",IF((IF(I225="SIM",2,0)+IF(K225="SIM",2,0)+IF(AF225="SIM",2,0)+IF(OR(AN225="Dados pessoais",AN225="Dados sensíveis",AN225="Dados pessoais e sensíveis"),2,0)+IF(O225="De 1.001 a 10.000 titulares por mês",1,0)+IF(AA225="SIM",1,0)+IF(R225="SIM",1,0)+IF(AL225="SIM",1,0)+IF(AJ225="NÃO",1,0))&gt;=5,"SIM - Alta criticidade",IF((IF(I225="SIM",2,0)+IF(K225="SIM",2,0)+IF(AF225="SIM",2,0)+IF(OR(AN225="Dados pessoais",AN225="Dados sensíveis",AN225="Dados pessoais e sensíveis"),2,0)+IF(O225="De 1.001 a 10.000 titulares por mês",1,0)+IF(AA225="SIM",1,0)+IF(R225="SIM",1,0)+IF(AL225="SIM",1,0)+IF(AJ225="NÃO",1,0))&gt;=3,"Avaliação necessária","NÃO"))))</f>
      </c>
      <c r="AR225" s="11"/>
      <c r="AS225" s="113">
        <f>IF(AND(I225="",K225="",AF225="",AL225="",AN225="",O225=""),"",IF(OR(I225="SIM",K225="SIM",AF225="SIM",AL225="SIM",OR(AN225="Dados pessoais",AN225="Dados sensíveis",AN225="Dados pessoais e sensíveis"),O225="Acima de 10.000 titulares por mês",(IF(I225="SIM",2,0)+IF(K225="SIM",2,0)+IF(AF225="SIM",2,0)+IF(OR(AN225="Dados pessoais",AN225="Dados sensíveis",AN225="Dados pessoais e sensíveis"),2,0)+IF(O225="De 1.001 a 10.000 titulares por mês",1,0)+IF(AA225="SIM",1,0)+IF(R225="SIM",1,0)+IF(AL225="SIM",1,0)+IF(AJ225="NÃO",1,0))&gt;=3),"DPIA indicado ou em avaliação em razão de: " &amp; TRIM(IF(I225="SIM","tratamento de dados sensíveis; ","") &amp; IF(K225="SIM","utilização de dados de menores; ","") &amp; IF(AF225="SIM","transferência internacional de dados; ","") &amp; IF(AL225="SIM","utilização de inteligência artificial; ","") &amp; IF(OR(AN225="Dados pessoais",AN225="Dados sensíveis",AN225="Dados pessoais e sensíveis"),"dados inseridos em IA; ","") &amp; IF(O225="Acima de 10.000 titulares por mês","volume crítico de titulares; ","") &amp; IF(O225="De 1.001 a 10.000 titulares por mês","volume moderado de titulares; ","") &amp; IF(AA225="SIM","compartilhamento com terceiros; ","") &amp; IF(R225="SIM","compartilhamento com órgãos governamentais; ","") &amp; IF(AJ225="NÃO","ausência de controle de acesso por perfil; ","")),"DPIA não indicado: Processo de baixa criticidade."))</f>
      </c>
    </row>
    <row x14ac:dyDescent="0.25" r="226" customHeight="1" ht="15.75">
      <c r="A226" s="46"/>
      <c r="B226" s="6"/>
      <c r="C226" s="11"/>
      <c r="D226" s="11"/>
      <c r="E226" s="11"/>
      <c r="F226" s="29"/>
      <c r="G226" s="11"/>
      <c r="H226" s="11"/>
      <c r="I226" s="29"/>
      <c r="J226" s="11"/>
      <c r="K226" s="29"/>
      <c r="L226" s="11"/>
      <c r="M226" s="11"/>
      <c r="N226" s="11"/>
      <c r="O226" s="29"/>
      <c r="P226" s="29"/>
      <c r="Q226" s="11"/>
      <c r="R226" s="29"/>
      <c r="S226" s="11"/>
      <c r="T226" s="6"/>
      <c r="U226" s="29"/>
      <c r="V226" s="11"/>
      <c r="W226" s="11"/>
      <c r="X226" s="29"/>
      <c r="Y226" s="11"/>
      <c r="Z226" s="29"/>
      <c r="AA226" s="29"/>
      <c r="AB226" s="11"/>
      <c r="AC226" s="11"/>
      <c r="AD226" s="29"/>
      <c r="AE226" s="11"/>
      <c r="AF226" s="29"/>
      <c r="AG226" s="11"/>
      <c r="AH226" s="29"/>
      <c r="AI226" s="11"/>
      <c r="AJ226" s="29"/>
      <c r="AK226" s="29"/>
      <c r="AL226" s="29"/>
      <c r="AM226" s="11"/>
      <c r="AN226" s="29"/>
      <c r="AO226" s="29"/>
      <c r="AP226" s="6"/>
      <c r="AQ226" s="113">
        <f>IF(AND(I226="",K226="",AF226="",AL226="",AN226="",O226=""),"",IF(OR(I226="SIM",K226="SIM",AF226="SIM",AL226="SIM",AN226="Dados pessoais",AN226="Dados sensíveis",AN226="Dados pessoais e sensíveis",O226="Acima de 10.000 titulares por mês"),"SIM - Alta criticidade",IF((IF(I226="SIM",2,0)+IF(K226="SIM",2,0)+IF(AF226="SIM",2,0)+IF(OR(AN226="Dados pessoais",AN226="Dados sensíveis",AN226="Dados pessoais e sensíveis"),2,0)+IF(O226="De 1.001 a 10.000 titulares por mês",1,0)+IF(AA226="SIM",1,0)+IF(R226="SIM",1,0)+IF(AL226="SIM",1,0)+IF(AJ226="NÃO",1,0))&gt;=5,"SIM - Alta criticidade",IF((IF(I226="SIM",2,0)+IF(K226="SIM",2,0)+IF(AF226="SIM",2,0)+IF(OR(AN226="Dados pessoais",AN226="Dados sensíveis",AN226="Dados pessoais e sensíveis"),2,0)+IF(O226="De 1.001 a 10.000 titulares por mês",1,0)+IF(AA226="SIM",1,0)+IF(R226="SIM",1,0)+IF(AL226="SIM",1,0)+IF(AJ226="NÃO",1,0))&gt;=3,"Avaliação necessária","NÃO"))))</f>
      </c>
      <c r="AR226" s="11"/>
      <c r="AS226" s="113">
        <f>IF(AND(I226="",K226="",AF226="",AL226="",AN226="",O226=""),"",IF(OR(I226="SIM",K226="SIM",AF226="SIM",AL226="SIM",OR(AN226="Dados pessoais",AN226="Dados sensíveis",AN226="Dados pessoais e sensíveis"),O226="Acima de 10.000 titulares por mês",(IF(I226="SIM",2,0)+IF(K226="SIM",2,0)+IF(AF226="SIM",2,0)+IF(OR(AN226="Dados pessoais",AN226="Dados sensíveis",AN226="Dados pessoais e sensíveis"),2,0)+IF(O226="De 1.001 a 10.000 titulares por mês",1,0)+IF(AA226="SIM",1,0)+IF(R226="SIM",1,0)+IF(AL226="SIM",1,0)+IF(AJ226="NÃO",1,0))&gt;=3),"DPIA indicado ou em avaliação em razão de: " &amp; TRIM(IF(I226="SIM","tratamento de dados sensíveis; ","") &amp; IF(K226="SIM","utilização de dados de menores; ","") &amp; IF(AF226="SIM","transferência internacional de dados; ","") &amp; IF(AL226="SIM","utilização de inteligência artificial; ","") &amp; IF(OR(AN226="Dados pessoais",AN226="Dados sensíveis",AN226="Dados pessoais e sensíveis"),"dados inseridos em IA; ","") &amp; IF(O226="Acima de 10.000 titulares por mês","volume crítico de titulares; ","") &amp; IF(O226="De 1.001 a 10.000 titulares por mês","volume moderado de titulares; ","") &amp; IF(AA226="SIM","compartilhamento com terceiros; ","") &amp; IF(R226="SIM","compartilhamento com órgãos governamentais; ","") &amp; IF(AJ226="NÃO","ausência de controle de acesso por perfil; ","")),"DPIA não indicado: Processo de baixa criticidade."))</f>
      </c>
    </row>
    <row x14ac:dyDescent="0.25" r="227" customHeight="1" ht="15.75">
      <c r="A227" s="46"/>
      <c r="B227" s="6"/>
      <c r="C227" s="11"/>
      <c r="D227" s="11"/>
      <c r="E227" s="11"/>
      <c r="F227" s="29"/>
      <c r="G227" s="11"/>
      <c r="H227" s="11"/>
      <c r="I227" s="29"/>
      <c r="J227" s="11"/>
      <c r="K227" s="29"/>
      <c r="L227" s="11"/>
      <c r="M227" s="11"/>
      <c r="N227" s="11"/>
      <c r="O227" s="29"/>
      <c r="P227" s="29"/>
      <c r="Q227" s="11"/>
      <c r="R227" s="29"/>
      <c r="S227" s="11"/>
      <c r="T227" s="6"/>
      <c r="U227" s="29"/>
      <c r="V227" s="11"/>
      <c r="W227" s="11"/>
      <c r="X227" s="29"/>
      <c r="Y227" s="11"/>
      <c r="Z227" s="29"/>
      <c r="AA227" s="29"/>
      <c r="AB227" s="11"/>
      <c r="AC227" s="11"/>
      <c r="AD227" s="29"/>
      <c r="AE227" s="11"/>
      <c r="AF227" s="29"/>
      <c r="AG227" s="11"/>
      <c r="AH227" s="29"/>
      <c r="AI227" s="11"/>
      <c r="AJ227" s="29"/>
      <c r="AK227" s="29"/>
      <c r="AL227" s="29"/>
      <c r="AM227" s="11"/>
      <c r="AN227" s="29"/>
      <c r="AO227" s="29"/>
      <c r="AP227" s="6"/>
      <c r="AQ227" s="113">
        <f>IF(AND(I227="",K227="",AF227="",AL227="",AN227="",O227=""),"",IF(OR(I227="SIM",K227="SIM",AF227="SIM",AL227="SIM",AN227="Dados pessoais",AN227="Dados sensíveis",AN227="Dados pessoais e sensíveis",O227="Acima de 10.000 titulares por mês"),"SIM - Alta criticidade",IF((IF(I227="SIM",2,0)+IF(K227="SIM",2,0)+IF(AF227="SIM",2,0)+IF(OR(AN227="Dados pessoais",AN227="Dados sensíveis",AN227="Dados pessoais e sensíveis"),2,0)+IF(O227="De 1.001 a 10.000 titulares por mês",1,0)+IF(AA227="SIM",1,0)+IF(R227="SIM",1,0)+IF(AL227="SIM",1,0)+IF(AJ227="NÃO",1,0))&gt;=5,"SIM - Alta criticidade",IF((IF(I227="SIM",2,0)+IF(K227="SIM",2,0)+IF(AF227="SIM",2,0)+IF(OR(AN227="Dados pessoais",AN227="Dados sensíveis",AN227="Dados pessoais e sensíveis"),2,0)+IF(O227="De 1.001 a 10.000 titulares por mês",1,0)+IF(AA227="SIM",1,0)+IF(R227="SIM",1,0)+IF(AL227="SIM",1,0)+IF(AJ227="NÃO",1,0))&gt;=3,"Avaliação necessária","NÃO"))))</f>
      </c>
      <c r="AR227" s="11"/>
      <c r="AS227" s="113">
        <f>IF(AND(I227="",K227="",AF227="",AL227="",AN227="",O227=""),"",IF(OR(I227="SIM",K227="SIM",AF227="SIM",AL227="SIM",OR(AN227="Dados pessoais",AN227="Dados sensíveis",AN227="Dados pessoais e sensíveis"),O227="Acima de 10.000 titulares por mês",(IF(I227="SIM",2,0)+IF(K227="SIM",2,0)+IF(AF227="SIM",2,0)+IF(OR(AN227="Dados pessoais",AN227="Dados sensíveis",AN227="Dados pessoais e sensíveis"),2,0)+IF(O227="De 1.001 a 10.000 titulares por mês",1,0)+IF(AA227="SIM",1,0)+IF(R227="SIM",1,0)+IF(AL227="SIM",1,0)+IF(AJ227="NÃO",1,0))&gt;=3),"DPIA indicado ou em avaliação em razão de: " &amp; TRIM(IF(I227="SIM","tratamento de dados sensíveis; ","") &amp; IF(K227="SIM","utilização de dados de menores; ","") &amp; IF(AF227="SIM","transferência internacional de dados; ","") &amp; IF(AL227="SIM","utilização de inteligência artificial; ","") &amp; IF(OR(AN227="Dados pessoais",AN227="Dados sensíveis",AN227="Dados pessoais e sensíveis"),"dados inseridos em IA; ","") &amp; IF(O227="Acima de 10.000 titulares por mês","volume crítico de titulares; ","") &amp; IF(O227="De 1.001 a 10.000 titulares por mês","volume moderado de titulares; ","") &amp; IF(AA227="SIM","compartilhamento com terceiros; ","") &amp; IF(R227="SIM","compartilhamento com órgãos governamentais; ","") &amp; IF(AJ227="NÃO","ausência de controle de acesso por perfil; ","")),"DPIA não indicado: Processo de baixa criticidade."))</f>
      </c>
    </row>
    <row x14ac:dyDescent="0.25" r="228" customHeight="1" ht="15.75">
      <c r="A228" s="46"/>
      <c r="B228" s="6"/>
      <c r="C228" s="11"/>
      <c r="D228" s="11"/>
      <c r="E228" s="11"/>
      <c r="F228" s="29"/>
      <c r="G228" s="11"/>
      <c r="H228" s="11"/>
      <c r="I228" s="29"/>
      <c r="J228" s="11"/>
      <c r="K228" s="29"/>
      <c r="L228" s="11"/>
      <c r="M228" s="11"/>
      <c r="N228" s="11"/>
      <c r="O228" s="29"/>
      <c r="P228" s="29"/>
      <c r="Q228" s="11"/>
      <c r="R228" s="29"/>
      <c r="S228" s="11"/>
      <c r="T228" s="6"/>
      <c r="U228" s="29"/>
      <c r="V228" s="11"/>
      <c r="W228" s="11"/>
      <c r="X228" s="29"/>
      <c r="Y228" s="11"/>
      <c r="Z228" s="29"/>
      <c r="AA228" s="29"/>
      <c r="AB228" s="11"/>
      <c r="AC228" s="11"/>
      <c r="AD228" s="29"/>
      <c r="AE228" s="11"/>
      <c r="AF228" s="29"/>
      <c r="AG228" s="11"/>
      <c r="AH228" s="29"/>
      <c r="AI228" s="11"/>
      <c r="AJ228" s="29"/>
      <c r="AK228" s="29"/>
      <c r="AL228" s="29"/>
      <c r="AM228" s="11"/>
      <c r="AN228" s="29"/>
      <c r="AO228" s="29"/>
      <c r="AP228" s="6"/>
      <c r="AQ228" s="113">
        <f>IF(AND(I228="",K228="",AF228="",AL228="",AN228="",O228=""),"",IF(OR(I228="SIM",K228="SIM",AF228="SIM",AL228="SIM",AN228="Dados pessoais",AN228="Dados sensíveis",AN228="Dados pessoais e sensíveis",O228="Acima de 10.000 titulares por mês"),"SIM - Alta criticidade",IF((IF(I228="SIM",2,0)+IF(K228="SIM",2,0)+IF(AF228="SIM",2,0)+IF(OR(AN228="Dados pessoais",AN228="Dados sensíveis",AN228="Dados pessoais e sensíveis"),2,0)+IF(O228="De 1.001 a 10.000 titulares por mês",1,0)+IF(AA228="SIM",1,0)+IF(R228="SIM",1,0)+IF(AL228="SIM",1,0)+IF(AJ228="NÃO",1,0))&gt;=5,"SIM - Alta criticidade",IF((IF(I228="SIM",2,0)+IF(K228="SIM",2,0)+IF(AF228="SIM",2,0)+IF(OR(AN228="Dados pessoais",AN228="Dados sensíveis",AN228="Dados pessoais e sensíveis"),2,0)+IF(O228="De 1.001 a 10.000 titulares por mês",1,0)+IF(AA228="SIM",1,0)+IF(R228="SIM",1,0)+IF(AL228="SIM",1,0)+IF(AJ228="NÃO",1,0))&gt;=3,"Avaliação necessária","NÃO"))))</f>
      </c>
      <c r="AR228" s="11"/>
      <c r="AS228" s="113">
        <f>IF(AND(I228="",K228="",AF228="",AL228="",AN228="",O228=""),"",IF(OR(I228="SIM",K228="SIM",AF228="SIM",AL228="SIM",OR(AN228="Dados pessoais",AN228="Dados sensíveis",AN228="Dados pessoais e sensíveis"),O228="Acima de 10.000 titulares por mês",(IF(I228="SIM",2,0)+IF(K228="SIM",2,0)+IF(AF228="SIM",2,0)+IF(OR(AN228="Dados pessoais",AN228="Dados sensíveis",AN228="Dados pessoais e sensíveis"),2,0)+IF(O228="De 1.001 a 10.000 titulares por mês",1,0)+IF(AA228="SIM",1,0)+IF(R228="SIM",1,0)+IF(AL228="SIM",1,0)+IF(AJ228="NÃO",1,0))&gt;=3),"DPIA indicado ou em avaliação em razão de: " &amp; TRIM(IF(I228="SIM","tratamento de dados sensíveis; ","") &amp; IF(K228="SIM","utilização de dados de menores; ","") &amp; IF(AF228="SIM","transferência internacional de dados; ","") &amp; IF(AL228="SIM","utilização de inteligência artificial; ","") &amp; IF(OR(AN228="Dados pessoais",AN228="Dados sensíveis",AN228="Dados pessoais e sensíveis"),"dados inseridos em IA; ","") &amp; IF(O228="Acima de 10.000 titulares por mês","volume crítico de titulares; ","") &amp; IF(O228="De 1.001 a 10.000 titulares por mês","volume moderado de titulares; ","") &amp; IF(AA228="SIM","compartilhamento com terceiros; ","") &amp; IF(R228="SIM","compartilhamento com órgãos governamentais; ","") &amp; IF(AJ228="NÃO","ausência de controle de acesso por perfil; ","")),"DPIA não indicado: Processo de baixa criticidade."))</f>
      </c>
    </row>
    <row x14ac:dyDescent="0.25" r="229" customHeight="1" ht="15.75">
      <c r="A229" s="46"/>
      <c r="B229" s="6"/>
      <c r="C229" s="11"/>
      <c r="D229" s="11"/>
      <c r="E229" s="11"/>
      <c r="F229" s="29"/>
      <c r="G229" s="11"/>
      <c r="H229" s="11"/>
      <c r="I229" s="29"/>
      <c r="J229" s="11"/>
      <c r="K229" s="29"/>
      <c r="L229" s="11"/>
      <c r="M229" s="11"/>
      <c r="N229" s="11"/>
      <c r="O229" s="29"/>
      <c r="P229" s="29"/>
      <c r="Q229" s="11"/>
      <c r="R229" s="29"/>
      <c r="S229" s="11"/>
      <c r="T229" s="6"/>
      <c r="U229" s="29"/>
      <c r="V229" s="11"/>
      <c r="W229" s="11"/>
      <c r="X229" s="29"/>
      <c r="Y229" s="11"/>
      <c r="Z229" s="29"/>
      <c r="AA229" s="29"/>
      <c r="AB229" s="11"/>
      <c r="AC229" s="11"/>
      <c r="AD229" s="29"/>
      <c r="AE229" s="11"/>
      <c r="AF229" s="29"/>
      <c r="AG229" s="11"/>
      <c r="AH229" s="29"/>
      <c r="AI229" s="11"/>
      <c r="AJ229" s="29"/>
      <c r="AK229" s="29"/>
      <c r="AL229" s="29"/>
      <c r="AM229" s="11"/>
      <c r="AN229" s="29"/>
      <c r="AO229" s="29"/>
      <c r="AP229" s="6"/>
      <c r="AQ229" s="113">
        <f>IF(AND(I229="",K229="",AF229="",AL229="",AN229="",O229=""),"",IF(OR(I229="SIM",K229="SIM",AF229="SIM",AL229="SIM",AN229="Dados pessoais",AN229="Dados sensíveis",AN229="Dados pessoais e sensíveis",O229="Acima de 10.000 titulares por mês"),"SIM - Alta criticidade",IF((IF(I229="SIM",2,0)+IF(K229="SIM",2,0)+IF(AF229="SIM",2,0)+IF(OR(AN229="Dados pessoais",AN229="Dados sensíveis",AN229="Dados pessoais e sensíveis"),2,0)+IF(O229="De 1.001 a 10.000 titulares por mês",1,0)+IF(AA229="SIM",1,0)+IF(R229="SIM",1,0)+IF(AL229="SIM",1,0)+IF(AJ229="NÃO",1,0))&gt;=5,"SIM - Alta criticidade",IF((IF(I229="SIM",2,0)+IF(K229="SIM",2,0)+IF(AF229="SIM",2,0)+IF(OR(AN229="Dados pessoais",AN229="Dados sensíveis",AN229="Dados pessoais e sensíveis"),2,0)+IF(O229="De 1.001 a 10.000 titulares por mês",1,0)+IF(AA229="SIM",1,0)+IF(R229="SIM",1,0)+IF(AL229="SIM",1,0)+IF(AJ229="NÃO",1,0))&gt;=3,"Avaliação necessária","NÃO"))))</f>
      </c>
      <c r="AR229" s="11"/>
      <c r="AS229" s="113">
        <f>IF(AND(I229="",K229="",AF229="",AL229="",AN229="",O229=""),"",IF(OR(I229="SIM",K229="SIM",AF229="SIM",AL229="SIM",OR(AN229="Dados pessoais",AN229="Dados sensíveis",AN229="Dados pessoais e sensíveis"),O229="Acima de 10.000 titulares por mês",(IF(I229="SIM",2,0)+IF(K229="SIM",2,0)+IF(AF229="SIM",2,0)+IF(OR(AN229="Dados pessoais",AN229="Dados sensíveis",AN229="Dados pessoais e sensíveis"),2,0)+IF(O229="De 1.001 a 10.000 titulares por mês",1,0)+IF(AA229="SIM",1,0)+IF(R229="SIM",1,0)+IF(AL229="SIM",1,0)+IF(AJ229="NÃO",1,0))&gt;=3),"DPIA indicado ou em avaliação em razão de: " &amp; TRIM(IF(I229="SIM","tratamento de dados sensíveis; ","") &amp; IF(K229="SIM","utilização de dados de menores; ","") &amp; IF(AF229="SIM","transferência internacional de dados; ","") &amp; IF(AL229="SIM","utilização de inteligência artificial; ","") &amp; IF(OR(AN229="Dados pessoais",AN229="Dados sensíveis",AN229="Dados pessoais e sensíveis"),"dados inseridos em IA; ","") &amp; IF(O229="Acima de 10.000 titulares por mês","volume crítico de titulares; ","") &amp; IF(O229="De 1.001 a 10.000 titulares por mês","volume moderado de titulares; ","") &amp; IF(AA229="SIM","compartilhamento com terceiros; ","") &amp; IF(R229="SIM","compartilhamento com órgãos governamentais; ","") &amp; IF(AJ229="NÃO","ausência de controle de acesso por perfil; ","")),"DPIA não indicado: Processo de baixa criticidade."))</f>
      </c>
    </row>
    <row x14ac:dyDescent="0.25" r="230" customHeight="1" ht="15.75">
      <c r="A230" s="46"/>
      <c r="B230" s="6"/>
      <c r="C230" s="11"/>
      <c r="D230" s="11"/>
      <c r="E230" s="11"/>
      <c r="F230" s="29"/>
      <c r="G230" s="11"/>
      <c r="H230" s="11"/>
      <c r="I230" s="29"/>
      <c r="J230" s="11"/>
      <c r="K230" s="29"/>
      <c r="L230" s="11"/>
      <c r="M230" s="11"/>
      <c r="N230" s="11"/>
      <c r="O230" s="29"/>
      <c r="P230" s="29"/>
      <c r="Q230" s="11"/>
      <c r="R230" s="29"/>
      <c r="S230" s="11"/>
      <c r="T230" s="6"/>
      <c r="U230" s="29"/>
      <c r="V230" s="11"/>
      <c r="W230" s="11"/>
      <c r="X230" s="29"/>
      <c r="Y230" s="11"/>
      <c r="Z230" s="29"/>
      <c r="AA230" s="29"/>
      <c r="AB230" s="11"/>
      <c r="AC230" s="11"/>
      <c r="AD230" s="29"/>
      <c r="AE230" s="11"/>
      <c r="AF230" s="29"/>
      <c r="AG230" s="11"/>
      <c r="AH230" s="29"/>
      <c r="AI230" s="11"/>
      <c r="AJ230" s="29"/>
      <c r="AK230" s="29"/>
      <c r="AL230" s="29"/>
      <c r="AM230" s="11"/>
      <c r="AN230" s="29"/>
      <c r="AO230" s="29"/>
      <c r="AP230" s="6"/>
      <c r="AQ230" s="113">
        <f>IF(AND(I230="",K230="",AF230="",AL230="",AN230="",O230=""),"",IF(OR(I230="SIM",K230="SIM",AF230="SIM",AL230="SIM",AN230="Dados pessoais",AN230="Dados sensíveis",AN230="Dados pessoais e sensíveis",O230="Acima de 10.000 titulares por mês"),"SIM - Alta criticidade",IF((IF(I230="SIM",2,0)+IF(K230="SIM",2,0)+IF(AF230="SIM",2,0)+IF(OR(AN230="Dados pessoais",AN230="Dados sensíveis",AN230="Dados pessoais e sensíveis"),2,0)+IF(O230="De 1.001 a 10.000 titulares por mês",1,0)+IF(AA230="SIM",1,0)+IF(R230="SIM",1,0)+IF(AL230="SIM",1,0)+IF(AJ230="NÃO",1,0))&gt;=5,"SIM - Alta criticidade",IF((IF(I230="SIM",2,0)+IF(K230="SIM",2,0)+IF(AF230="SIM",2,0)+IF(OR(AN230="Dados pessoais",AN230="Dados sensíveis",AN230="Dados pessoais e sensíveis"),2,0)+IF(O230="De 1.001 a 10.000 titulares por mês",1,0)+IF(AA230="SIM",1,0)+IF(R230="SIM",1,0)+IF(AL230="SIM",1,0)+IF(AJ230="NÃO",1,0))&gt;=3,"Avaliação necessária","NÃO"))))</f>
      </c>
      <c r="AR230" s="11"/>
      <c r="AS230" s="113">
        <f>IF(AND(I230="",K230="",AF230="",AL230="",AN230="",O230=""),"",IF(OR(I230="SIM",K230="SIM",AF230="SIM",AL230="SIM",OR(AN230="Dados pessoais",AN230="Dados sensíveis",AN230="Dados pessoais e sensíveis"),O230="Acima de 10.000 titulares por mês",(IF(I230="SIM",2,0)+IF(K230="SIM",2,0)+IF(AF230="SIM",2,0)+IF(OR(AN230="Dados pessoais",AN230="Dados sensíveis",AN230="Dados pessoais e sensíveis"),2,0)+IF(O230="De 1.001 a 10.000 titulares por mês",1,0)+IF(AA230="SIM",1,0)+IF(R230="SIM",1,0)+IF(AL230="SIM",1,0)+IF(AJ230="NÃO",1,0))&gt;=3),"DPIA indicado ou em avaliação em razão de: " &amp; TRIM(IF(I230="SIM","tratamento de dados sensíveis; ","") &amp; IF(K230="SIM","utilização de dados de menores; ","") &amp; IF(AF230="SIM","transferência internacional de dados; ","") &amp; IF(AL230="SIM","utilização de inteligência artificial; ","") &amp; IF(OR(AN230="Dados pessoais",AN230="Dados sensíveis",AN230="Dados pessoais e sensíveis"),"dados inseridos em IA; ","") &amp; IF(O230="Acima de 10.000 titulares por mês","volume crítico de titulares; ","") &amp; IF(O230="De 1.001 a 10.000 titulares por mês","volume moderado de titulares; ","") &amp; IF(AA230="SIM","compartilhamento com terceiros; ","") &amp; IF(R230="SIM","compartilhamento com órgãos governamentais; ","") &amp; IF(AJ230="NÃO","ausência de controle de acesso por perfil; ","")),"DPIA não indicado: Processo de baixa criticidade."))</f>
      </c>
    </row>
    <row x14ac:dyDescent="0.25" r="231" customHeight="1" ht="15.75">
      <c r="A231" s="46"/>
      <c r="B231" s="6"/>
      <c r="C231" s="11"/>
      <c r="D231" s="11"/>
      <c r="E231" s="11"/>
      <c r="F231" s="29"/>
      <c r="G231" s="11"/>
      <c r="H231" s="11"/>
      <c r="I231" s="29"/>
      <c r="J231" s="11"/>
      <c r="K231" s="29"/>
      <c r="L231" s="11"/>
      <c r="M231" s="11"/>
      <c r="N231" s="11"/>
      <c r="O231" s="29"/>
      <c r="P231" s="29"/>
      <c r="Q231" s="11"/>
      <c r="R231" s="29"/>
      <c r="S231" s="11"/>
      <c r="T231" s="6"/>
      <c r="U231" s="29"/>
      <c r="V231" s="11"/>
      <c r="W231" s="11"/>
      <c r="X231" s="29"/>
      <c r="Y231" s="11"/>
      <c r="Z231" s="29"/>
      <c r="AA231" s="29"/>
      <c r="AB231" s="11"/>
      <c r="AC231" s="11"/>
      <c r="AD231" s="29"/>
      <c r="AE231" s="11"/>
      <c r="AF231" s="29"/>
      <c r="AG231" s="11"/>
      <c r="AH231" s="29"/>
      <c r="AI231" s="11"/>
      <c r="AJ231" s="29"/>
      <c r="AK231" s="29"/>
      <c r="AL231" s="29"/>
      <c r="AM231" s="11"/>
      <c r="AN231" s="29"/>
      <c r="AO231" s="29"/>
      <c r="AP231" s="6"/>
      <c r="AQ231" s="113">
        <f>IF(AND(I231="",K231="",AF231="",AL231="",AN231="",O231=""),"",IF(OR(I231="SIM",K231="SIM",AF231="SIM",AL231="SIM",AN231="Dados pessoais",AN231="Dados sensíveis",AN231="Dados pessoais e sensíveis",O231="Acima de 10.000 titulares por mês"),"SIM - Alta criticidade",IF((IF(I231="SIM",2,0)+IF(K231="SIM",2,0)+IF(AF231="SIM",2,0)+IF(OR(AN231="Dados pessoais",AN231="Dados sensíveis",AN231="Dados pessoais e sensíveis"),2,0)+IF(O231="De 1.001 a 10.000 titulares por mês",1,0)+IF(AA231="SIM",1,0)+IF(R231="SIM",1,0)+IF(AL231="SIM",1,0)+IF(AJ231="NÃO",1,0))&gt;=5,"SIM - Alta criticidade",IF((IF(I231="SIM",2,0)+IF(K231="SIM",2,0)+IF(AF231="SIM",2,0)+IF(OR(AN231="Dados pessoais",AN231="Dados sensíveis",AN231="Dados pessoais e sensíveis"),2,0)+IF(O231="De 1.001 a 10.000 titulares por mês",1,0)+IF(AA231="SIM",1,0)+IF(R231="SIM",1,0)+IF(AL231="SIM",1,0)+IF(AJ231="NÃO",1,0))&gt;=3,"Avaliação necessária","NÃO"))))</f>
      </c>
      <c r="AR231" s="11"/>
      <c r="AS231" s="113">
        <f>IF(AND(I231="",K231="",AF231="",AL231="",AN231="",O231=""),"",IF(OR(I231="SIM",K231="SIM",AF231="SIM",AL231="SIM",OR(AN231="Dados pessoais",AN231="Dados sensíveis",AN231="Dados pessoais e sensíveis"),O231="Acima de 10.000 titulares por mês",(IF(I231="SIM",2,0)+IF(K231="SIM",2,0)+IF(AF231="SIM",2,0)+IF(OR(AN231="Dados pessoais",AN231="Dados sensíveis",AN231="Dados pessoais e sensíveis"),2,0)+IF(O231="De 1.001 a 10.000 titulares por mês",1,0)+IF(AA231="SIM",1,0)+IF(R231="SIM",1,0)+IF(AL231="SIM",1,0)+IF(AJ231="NÃO",1,0))&gt;=3),"DPIA indicado ou em avaliação em razão de: " &amp; TRIM(IF(I231="SIM","tratamento de dados sensíveis; ","") &amp; IF(K231="SIM","utilização de dados de menores; ","") &amp; IF(AF231="SIM","transferência internacional de dados; ","") &amp; IF(AL231="SIM","utilização de inteligência artificial; ","") &amp; IF(OR(AN231="Dados pessoais",AN231="Dados sensíveis",AN231="Dados pessoais e sensíveis"),"dados inseridos em IA; ","") &amp; IF(O231="Acima de 10.000 titulares por mês","volume crítico de titulares; ","") &amp; IF(O231="De 1.001 a 10.000 titulares por mês","volume moderado de titulares; ","") &amp; IF(AA231="SIM","compartilhamento com terceiros; ","") &amp; IF(R231="SIM","compartilhamento com órgãos governamentais; ","") &amp; IF(AJ231="NÃO","ausência de controle de acesso por perfil; ","")),"DPIA não indicado: Processo de baixa criticidade."))</f>
      </c>
    </row>
    <row x14ac:dyDescent="0.25" r="232" customHeight="1" ht="15.75">
      <c r="A232" s="46"/>
      <c r="B232" s="6"/>
      <c r="C232" s="11"/>
      <c r="D232" s="11"/>
      <c r="E232" s="11"/>
      <c r="F232" s="29"/>
      <c r="G232" s="11"/>
      <c r="H232" s="11"/>
      <c r="I232" s="29"/>
      <c r="J232" s="11"/>
      <c r="K232" s="29"/>
      <c r="L232" s="11"/>
      <c r="M232" s="11"/>
      <c r="N232" s="11"/>
      <c r="O232" s="29"/>
      <c r="P232" s="29"/>
      <c r="Q232" s="11"/>
      <c r="R232" s="29"/>
      <c r="S232" s="11"/>
      <c r="T232" s="6"/>
      <c r="U232" s="29"/>
      <c r="V232" s="11"/>
      <c r="W232" s="11"/>
      <c r="X232" s="29"/>
      <c r="Y232" s="11"/>
      <c r="Z232" s="29"/>
      <c r="AA232" s="29"/>
      <c r="AB232" s="11"/>
      <c r="AC232" s="11"/>
      <c r="AD232" s="29"/>
      <c r="AE232" s="11"/>
      <c r="AF232" s="29"/>
      <c r="AG232" s="11"/>
      <c r="AH232" s="29"/>
      <c r="AI232" s="11"/>
      <c r="AJ232" s="29"/>
      <c r="AK232" s="29"/>
      <c r="AL232" s="29"/>
      <c r="AM232" s="11"/>
      <c r="AN232" s="29"/>
      <c r="AO232" s="29"/>
      <c r="AP232" s="6"/>
      <c r="AQ232" s="113">
        <f>IF(AND(I232="",K232="",AF232="",AL232="",AN232="",O232=""),"",IF(OR(I232="SIM",K232="SIM",AF232="SIM",AL232="SIM",AN232="Dados pessoais",AN232="Dados sensíveis",AN232="Dados pessoais e sensíveis",O232="Acima de 10.000 titulares por mês"),"SIM - Alta criticidade",IF((IF(I232="SIM",2,0)+IF(K232="SIM",2,0)+IF(AF232="SIM",2,0)+IF(OR(AN232="Dados pessoais",AN232="Dados sensíveis",AN232="Dados pessoais e sensíveis"),2,0)+IF(O232="De 1.001 a 10.000 titulares por mês",1,0)+IF(AA232="SIM",1,0)+IF(R232="SIM",1,0)+IF(AL232="SIM",1,0)+IF(AJ232="NÃO",1,0))&gt;=5,"SIM - Alta criticidade",IF((IF(I232="SIM",2,0)+IF(K232="SIM",2,0)+IF(AF232="SIM",2,0)+IF(OR(AN232="Dados pessoais",AN232="Dados sensíveis",AN232="Dados pessoais e sensíveis"),2,0)+IF(O232="De 1.001 a 10.000 titulares por mês",1,0)+IF(AA232="SIM",1,0)+IF(R232="SIM",1,0)+IF(AL232="SIM",1,0)+IF(AJ232="NÃO",1,0))&gt;=3,"Avaliação necessária","NÃO"))))</f>
      </c>
      <c r="AR232" s="11"/>
      <c r="AS232" s="113">
        <f>IF(AND(I232="",K232="",AF232="",AL232="",AN232="",O232=""),"",IF(OR(I232="SIM",K232="SIM",AF232="SIM",AL232="SIM",OR(AN232="Dados pessoais",AN232="Dados sensíveis",AN232="Dados pessoais e sensíveis"),O232="Acima de 10.000 titulares por mês",(IF(I232="SIM",2,0)+IF(K232="SIM",2,0)+IF(AF232="SIM",2,0)+IF(OR(AN232="Dados pessoais",AN232="Dados sensíveis",AN232="Dados pessoais e sensíveis"),2,0)+IF(O232="De 1.001 a 10.000 titulares por mês",1,0)+IF(AA232="SIM",1,0)+IF(R232="SIM",1,0)+IF(AL232="SIM",1,0)+IF(AJ232="NÃO",1,0))&gt;=3),"DPIA indicado ou em avaliação em razão de: " &amp; TRIM(IF(I232="SIM","tratamento de dados sensíveis; ","") &amp; IF(K232="SIM","utilização de dados de menores; ","") &amp; IF(AF232="SIM","transferência internacional de dados; ","") &amp; IF(AL232="SIM","utilização de inteligência artificial; ","") &amp; IF(OR(AN232="Dados pessoais",AN232="Dados sensíveis",AN232="Dados pessoais e sensíveis"),"dados inseridos em IA; ","") &amp; IF(O232="Acima de 10.000 titulares por mês","volume crítico de titulares; ","") &amp; IF(O232="De 1.001 a 10.000 titulares por mês","volume moderado de titulares; ","") &amp; IF(AA232="SIM","compartilhamento com terceiros; ","") &amp; IF(R232="SIM","compartilhamento com órgãos governamentais; ","") &amp; IF(AJ232="NÃO","ausência de controle de acesso por perfil; ","")),"DPIA não indicado: Processo de baixa criticidade."))</f>
      </c>
    </row>
    <row x14ac:dyDescent="0.25" r="233" customHeight="1" ht="15.75">
      <c r="A233" s="46"/>
      <c r="B233" s="6"/>
      <c r="C233" s="11"/>
      <c r="D233" s="11"/>
      <c r="E233" s="11"/>
      <c r="F233" s="29"/>
      <c r="G233" s="11"/>
      <c r="H233" s="11"/>
      <c r="I233" s="29"/>
      <c r="J233" s="11"/>
      <c r="K233" s="29"/>
      <c r="L233" s="11"/>
      <c r="M233" s="11"/>
      <c r="N233" s="11"/>
      <c r="O233" s="29"/>
      <c r="P233" s="29"/>
      <c r="Q233" s="11"/>
      <c r="R233" s="29"/>
      <c r="S233" s="11"/>
      <c r="T233" s="6"/>
      <c r="U233" s="29"/>
      <c r="V233" s="11"/>
      <c r="W233" s="11"/>
      <c r="X233" s="29"/>
      <c r="Y233" s="11"/>
      <c r="Z233" s="29"/>
      <c r="AA233" s="29"/>
      <c r="AB233" s="11"/>
      <c r="AC233" s="11"/>
      <c r="AD233" s="29"/>
      <c r="AE233" s="11"/>
      <c r="AF233" s="29"/>
      <c r="AG233" s="11"/>
      <c r="AH233" s="29"/>
      <c r="AI233" s="11"/>
      <c r="AJ233" s="29"/>
      <c r="AK233" s="29"/>
      <c r="AL233" s="29"/>
      <c r="AM233" s="11"/>
      <c r="AN233" s="29"/>
      <c r="AO233" s="29"/>
      <c r="AP233" s="6"/>
      <c r="AQ233" s="113">
        <f>IF(AND(I233="",K233="",AF233="",AL233="",AN233="",O233=""),"",IF(OR(I233="SIM",K233="SIM",AF233="SIM",AL233="SIM",AN233="Dados pessoais",AN233="Dados sensíveis",AN233="Dados pessoais e sensíveis",O233="Acima de 10.000 titulares por mês"),"SIM - Alta criticidade",IF((IF(I233="SIM",2,0)+IF(K233="SIM",2,0)+IF(AF233="SIM",2,0)+IF(OR(AN233="Dados pessoais",AN233="Dados sensíveis",AN233="Dados pessoais e sensíveis"),2,0)+IF(O233="De 1.001 a 10.000 titulares por mês",1,0)+IF(AA233="SIM",1,0)+IF(R233="SIM",1,0)+IF(AL233="SIM",1,0)+IF(AJ233="NÃO",1,0))&gt;=5,"SIM - Alta criticidade",IF((IF(I233="SIM",2,0)+IF(K233="SIM",2,0)+IF(AF233="SIM",2,0)+IF(OR(AN233="Dados pessoais",AN233="Dados sensíveis",AN233="Dados pessoais e sensíveis"),2,0)+IF(O233="De 1.001 a 10.000 titulares por mês",1,0)+IF(AA233="SIM",1,0)+IF(R233="SIM",1,0)+IF(AL233="SIM",1,0)+IF(AJ233="NÃO",1,0))&gt;=3,"Avaliação necessária","NÃO"))))</f>
      </c>
      <c r="AR233" s="11"/>
      <c r="AS233" s="113">
        <f>IF(AND(I233="",K233="",AF233="",AL233="",AN233="",O233=""),"",IF(OR(I233="SIM",K233="SIM",AF233="SIM",AL233="SIM",OR(AN233="Dados pessoais",AN233="Dados sensíveis",AN233="Dados pessoais e sensíveis"),O233="Acima de 10.000 titulares por mês",(IF(I233="SIM",2,0)+IF(K233="SIM",2,0)+IF(AF233="SIM",2,0)+IF(OR(AN233="Dados pessoais",AN233="Dados sensíveis",AN233="Dados pessoais e sensíveis"),2,0)+IF(O233="De 1.001 a 10.000 titulares por mês",1,0)+IF(AA233="SIM",1,0)+IF(R233="SIM",1,0)+IF(AL233="SIM",1,0)+IF(AJ233="NÃO",1,0))&gt;=3),"DPIA indicado ou em avaliação em razão de: " &amp; TRIM(IF(I233="SIM","tratamento de dados sensíveis; ","") &amp; IF(K233="SIM","utilização de dados de menores; ","") &amp; IF(AF233="SIM","transferência internacional de dados; ","") &amp; IF(AL233="SIM","utilização de inteligência artificial; ","") &amp; IF(OR(AN233="Dados pessoais",AN233="Dados sensíveis",AN233="Dados pessoais e sensíveis"),"dados inseridos em IA; ","") &amp; IF(O233="Acima de 10.000 titulares por mês","volume crítico de titulares; ","") &amp; IF(O233="De 1.001 a 10.000 titulares por mês","volume moderado de titulares; ","") &amp; IF(AA233="SIM","compartilhamento com terceiros; ","") &amp; IF(R233="SIM","compartilhamento com órgãos governamentais; ","") &amp; IF(AJ233="NÃO","ausência de controle de acesso por perfil; ","")),"DPIA não indicado: Processo de baixa criticidade."))</f>
      </c>
    </row>
    <row x14ac:dyDescent="0.25" r="234" customHeight="1" ht="15.75">
      <c r="A234" s="46"/>
      <c r="B234" s="6"/>
      <c r="C234" s="11"/>
      <c r="D234" s="11"/>
      <c r="E234" s="11"/>
      <c r="F234" s="29"/>
      <c r="G234" s="11"/>
      <c r="H234" s="11"/>
      <c r="I234" s="29"/>
      <c r="J234" s="11"/>
      <c r="K234" s="29"/>
      <c r="L234" s="11"/>
      <c r="M234" s="11"/>
      <c r="N234" s="11"/>
      <c r="O234" s="29"/>
      <c r="P234" s="29"/>
      <c r="Q234" s="11"/>
      <c r="R234" s="29"/>
      <c r="S234" s="11"/>
      <c r="T234" s="6"/>
      <c r="U234" s="29"/>
      <c r="V234" s="11"/>
      <c r="W234" s="11"/>
      <c r="X234" s="29"/>
      <c r="Y234" s="11"/>
      <c r="Z234" s="29"/>
      <c r="AA234" s="29"/>
      <c r="AB234" s="11"/>
      <c r="AC234" s="11"/>
      <c r="AD234" s="29"/>
      <c r="AE234" s="11"/>
      <c r="AF234" s="29"/>
      <c r="AG234" s="11"/>
      <c r="AH234" s="29"/>
      <c r="AI234" s="11"/>
      <c r="AJ234" s="29"/>
      <c r="AK234" s="29"/>
      <c r="AL234" s="29"/>
      <c r="AM234" s="11"/>
      <c r="AN234" s="29"/>
      <c r="AO234" s="29"/>
      <c r="AP234" s="6"/>
      <c r="AQ234" s="113">
        <f>IF(AND(I234="",K234="",AF234="",AL234="",AN234="",O234=""),"",IF(OR(I234="SIM",K234="SIM",AF234="SIM",AL234="SIM",AN234="Dados pessoais",AN234="Dados sensíveis",AN234="Dados pessoais e sensíveis",O234="Acima de 10.000 titulares por mês"),"SIM - Alta criticidade",IF((IF(I234="SIM",2,0)+IF(K234="SIM",2,0)+IF(AF234="SIM",2,0)+IF(OR(AN234="Dados pessoais",AN234="Dados sensíveis",AN234="Dados pessoais e sensíveis"),2,0)+IF(O234="De 1.001 a 10.000 titulares por mês",1,0)+IF(AA234="SIM",1,0)+IF(R234="SIM",1,0)+IF(AL234="SIM",1,0)+IF(AJ234="NÃO",1,0))&gt;=5,"SIM - Alta criticidade",IF((IF(I234="SIM",2,0)+IF(K234="SIM",2,0)+IF(AF234="SIM",2,0)+IF(OR(AN234="Dados pessoais",AN234="Dados sensíveis",AN234="Dados pessoais e sensíveis"),2,0)+IF(O234="De 1.001 a 10.000 titulares por mês",1,0)+IF(AA234="SIM",1,0)+IF(R234="SIM",1,0)+IF(AL234="SIM",1,0)+IF(AJ234="NÃO",1,0))&gt;=3,"Avaliação necessária","NÃO"))))</f>
      </c>
      <c r="AR234" s="11"/>
      <c r="AS234" s="113">
        <f>IF(AND(I234="",K234="",AF234="",AL234="",AN234="",O234=""),"",IF(OR(I234="SIM",K234="SIM",AF234="SIM",AL234="SIM",OR(AN234="Dados pessoais",AN234="Dados sensíveis",AN234="Dados pessoais e sensíveis"),O234="Acima de 10.000 titulares por mês",(IF(I234="SIM",2,0)+IF(K234="SIM",2,0)+IF(AF234="SIM",2,0)+IF(OR(AN234="Dados pessoais",AN234="Dados sensíveis",AN234="Dados pessoais e sensíveis"),2,0)+IF(O234="De 1.001 a 10.000 titulares por mês",1,0)+IF(AA234="SIM",1,0)+IF(R234="SIM",1,0)+IF(AL234="SIM",1,0)+IF(AJ234="NÃO",1,0))&gt;=3),"DPIA indicado ou em avaliação em razão de: " &amp; TRIM(IF(I234="SIM","tratamento de dados sensíveis; ","") &amp; IF(K234="SIM","utilização de dados de menores; ","") &amp; IF(AF234="SIM","transferência internacional de dados; ","") &amp; IF(AL234="SIM","utilização de inteligência artificial; ","") &amp; IF(OR(AN234="Dados pessoais",AN234="Dados sensíveis",AN234="Dados pessoais e sensíveis"),"dados inseridos em IA; ","") &amp; IF(O234="Acima de 10.000 titulares por mês","volume crítico de titulares; ","") &amp; IF(O234="De 1.001 a 10.000 titulares por mês","volume moderado de titulares; ","") &amp; IF(AA234="SIM","compartilhamento com terceiros; ","") &amp; IF(R234="SIM","compartilhamento com órgãos governamentais; ","") &amp; IF(AJ234="NÃO","ausência de controle de acesso por perfil; ","")),"DPIA não indicado: Processo de baixa criticidade."))</f>
      </c>
    </row>
    <row x14ac:dyDescent="0.25" r="235" customHeight="1" ht="15.75">
      <c r="A235" s="46"/>
      <c r="B235" s="6"/>
      <c r="C235" s="11"/>
      <c r="D235" s="11"/>
      <c r="E235" s="11"/>
      <c r="F235" s="29"/>
      <c r="G235" s="11"/>
      <c r="H235" s="11"/>
      <c r="I235" s="29"/>
      <c r="J235" s="11"/>
      <c r="K235" s="29"/>
      <c r="L235" s="11"/>
      <c r="M235" s="11"/>
      <c r="N235" s="11"/>
      <c r="O235" s="29"/>
      <c r="P235" s="29"/>
      <c r="Q235" s="11"/>
      <c r="R235" s="29"/>
      <c r="S235" s="11"/>
      <c r="T235" s="6"/>
      <c r="U235" s="29"/>
      <c r="V235" s="11"/>
      <c r="W235" s="11"/>
      <c r="X235" s="29"/>
      <c r="Y235" s="11"/>
      <c r="Z235" s="29"/>
      <c r="AA235" s="29"/>
      <c r="AB235" s="11"/>
      <c r="AC235" s="11"/>
      <c r="AD235" s="29"/>
      <c r="AE235" s="11"/>
      <c r="AF235" s="29"/>
      <c r="AG235" s="11"/>
      <c r="AH235" s="29"/>
      <c r="AI235" s="11"/>
      <c r="AJ235" s="29"/>
      <c r="AK235" s="29"/>
      <c r="AL235" s="29"/>
      <c r="AM235" s="11"/>
      <c r="AN235" s="29"/>
      <c r="AO235" s="29"/>
      <c r="AP235" s="6"/>
      <c r="AQ235" s="113">
        <f>IF(AND(I235="",K235="",AF235="",AL235="",AN235="",O235=""),"",IF(OR(I235="SIM",K235="SIM",AF235="SIM",AL235="SIM",AN235="Dados pessoais",AN235="Dados sensíveis",AN235="Dados pessoais e sensíveis",O235="Acima de 10.000 titulares por mês"),"SIM - Alta criticidade",IF((IF(I235="SIM",2,0)+IF(K235="SIM",2,0)+IF(AF235="SIM",2,0)+IF(OR(AN235="Dados pessoais",AN235="Dados sensíveis",AN235="Dados pessoais e sensíveis"),2,0)+IF(O235="De 1.001 a 10.000 titulares por mês",1,0)+IF(AA235="SIM",1,0)+IF(R235="SIM",1,0)+IF(AL235="SIM",1,0)+IF(AJ235="NÃO",1,0))&gt;=5,"SIM - Alta criticidade",IF((IF(I235="SIM",2,0)+IF(K235="SIM",2,0)+IF(AF235="SIM",2,0)+IF(OR(AN235="Dados pessoais",AN235="Dados sensíveis",AN235="Dados pessoais e sensíveis"),2,0)+IF(O235="De 1.001 a 10.000 titulares por mês",1,0)+IF(AA235="SIM",1,0)+IF(R235="SIM",1,0)+IF(AL235="SIM",1,0)+IF(AJ235="NÃO",1,0))&gt;=3,"Avaliação necessária","NÃO"))))</f>
      </c>
      <c r="AR235" s="11"/>
      <c r="AS235" s="113">
        <f>IF(AND(I235="",K235="",AF235="",AL235="",AN235="",O235=""),"",IF(OR(I235="SIM",K235="SIM",AF235="SIM",AL235="SIM",OR(AN235="Dados pessoais",AN235="Dados sensíveis",AN235="Dados pessoais e sensíveis"),O235="Acima de 10.000 titulares por mês",(IF(I235="SIM",2,0)+IF(K235="SIM",2,0)+IF(AF235="SIM",2,0)+IF(OR(AN235="Dados pessoais",AN235="Dados sensíveis",AN235="Dados pessoais e sensíveis"),2,0)+IF(O235="De 1.001 a 10.000 titulares por mês",1,0)+IF(AA235="SIM",1,0)+IF(R235="SIM",1,0)+IF(AL235="SIM",1,0)+IF(AJ235="NÃO",1,0))&gt;=3),"DPIA indicado ou em avaliação em razão de: " &amp; TRIM(IF(I235="SIM","tratamento de dados sensíveis; ","") &amp; IF(K235="SIM","utilização de dados de menores; ","") &amp; IF(AF235="SIM","transferência internacional de dados; ","") &amp; IF(AL235="SIM","utilização de inteligência artificial; ","") &amp; IF(OR(AN235="Dados pessoais",AN235="Dados sensíveis",AN235="Dados pessoais e sensíveis"),"dados inseridos em IA; ","") &amp; IF(O235="Acima de 10.000 titulares por mês","volume crítico de titulares; ","") &amp; IF(O235="De 1.001 a 10.000 titulares por mês","volume moderado de titulares; ","") &amp; IF(AA235="SIM","compartilhamento com terceiros; ","") &amp; IF(R235="SIM","compartilhamento com órgãos governamentais; ","") &amp; IF(AJ235="NÃO","ausência de controle de acesso por perfil; ","")),"DPIA não indicado: Processo de baixa criticidade."))</f>
      </c>
    </row>
    <row x14ac:dyDescent="0.25" r="236" customHeight="1" ht="15.75">
      <c r="A236" s="46"/>
      <c r="B236" s="6"/>
      <c r="C236" s="11"/>
      <c r="D236" s="11"/>
      <c r="E236" s="11"/>
      <c r="F236" s="29"/>
      <c r="G236" s="11"/>
      <c r="H236" s="11"/>
      <c r="I236" s="29"/>
      <c r="J236" s="11"/>
      <c r="K236" s="29"/>
      <c r="L236" s="11"/>
      <c r="M236" s="11"/>
      <c r="N236" s="11"/>
      <c r="O236" s="29"/>
      <c r="P236" s="29"/>
      <c r="Q236" s="11"/>
      <c r="R236" s="29"/>
      <c r="S236" s="11"/>
      <c r="T236" s="6"/>
      <c r="U236" s="29"/>
      <c r="V236" s="11"/>
      <c r="W236" s="11"/>
      <c r="X236" s="29"/>
      <c r="Y236" s="11"/>
      <c r="Z236" s="29"/>
      <c r="AA236" s="29"/>
      <c r="AB236" s="11"/>
      <c r="AC236" s="11"/>
      <c r="AD236" s="29"/>
      <c r="AE236" s="11"/>
      <c r="AF236" s="29"/>
      <c r="AG236" s="11"/>
      <c r="AH236" s="29"/>
      <c r="AI236" s="11"/>
      <c r="AJ236" s="29"/>
      <c r="AK236" s="29"/>
      <c r="AL236" s="29"/>
      <c r="AM236" s="11"/>
      <c r="AN236" s="29"/>
      <c r="AO236" s="29"/>
      <c r="AP236" s="6"/>
      <c r="AQ236" s="113">
        <f>IF(AND(I236="",K236="",AF236="",AL236="",AN236="",O236=""),"",IF(OR(I236="SIM",K236="SIM",AF236="SIM",AL236="SIM",AN236="Dados pessoais",AN236="Dados sensíveis",AN236="Dados pessoais e sensíveis",O236="Acima de 10.000 titulares por mês"),"SIM - Alta criticidade",IF((IF(I236="SIM",2,0)+IF(K236="SIM",2,0)+IF(AF236="SIM",2,0)+IF(OR(AN236="Dados pessoais",AN236="Dados sensíveis",AN236="Dados pessoais e sensíveis"),2,0)+IF(O236="De 1.001 a 10.000 titulares por mês",1,0)+IF(AA236="SIM",1,0)+IF(R236="SIM",1,0)+IF(AL236="SIM",1,0)+IF(AJ236="NÃO",1,0))&gt;=5,"SIM - Alta criticidade",IF((IF(I236="SIM",2,0)+IF(K236="SIM",2,0)+IF(AF236="SIM",2,0)+IF(OR(AN236="Dados pessoais",AN236="Dados sensíveis",AN236="Dados pessoais e sensíveis"),2,0)+IF(O236="De 1.001 a 10.000 titulares por mês",1,0)+IF(AA236="SIM",1,0)+IF(R236="SIM",1,0)+IF(AL236="SIM",1,0)+IF(AJ236="NÃO",1,0))&gt;=3,"Avaliação necessária","NÃO"))))</f>
      </c>
      <c r="AR236" s="11"/>
      <c r="AS236" s="113">
        <f>IF(AND(I236="",K236="",AF236="",AL236="",AN236="",O236=""),"",IF(OR(I236="SIM",K236="SIM",AF236="SIM",AL236="SIM",OR(AN236="Dados pessoais",AN236="Dados sensíveis",AN236="Dados pessoais e sensíveis"),O236="Acima de 10.000 titulares por mês",(IF(I236="SIM",2,0)+IF(K236="SIM",2,0)+IF(AF236="SIM",2,0)+IF(OR(AN236="Dados pessoais",AN236="Dados sensíveis",AN236="Dados pessoais e sensíveis"),2,0)+IF(O236="De 1.001 a 10.000 titulares por mês",1,0)+IF(AA236="SIM",1,0)+IF(R236="SIM",1,0)+IF(AL236="SIM",1,0)+IF(AJ236="NÃO",1,0))&gt;=3),"DPIA indicado ou em avaliação em razão de: " &amp; TRIM(IF(I236="SIM","tratamento de dados sensíveis; ","") &amp; IF(K236="SIM","utilização de dados de menores; ","") &amp; IF(AF236="SIM","transferência internacional de dados; ","") &amp; IF(AL236="SIM","utilização de inteligência artificial; ","") &amp; IF(OR(AN236="Dados pessoais",AN236="Dados sensíveis",AN236="Dados pessoais e sensíveis"),"dados inseridos em IA; ","") &amp; IF(O236="Acima de 10.000 titulares por mês","volume crítico de titulares; ","") &amp; IF(O236="De 1.001 a 10.000 titulares por mês","volume moderado de titulares; ","") &amp; IF(AA236="SIM","compartilhamento com terceiros; ","") &amp; IF(R236="SIM","compartilhamento com órgãos governamentais; ","") &amp; IF(AJ236="NÃO","ausência de controle de acesso por perfil; ","")),"DPIA não indicado: Processo de baixa criticidade."))</f>
      </c>
    </row>
    <row x14ac:dyDescent="0.25" r="237" customHeight="1" ht="15.75">
      <c r="A237" s="46"/>
      <c r="B237" s="6"/>
      <c r="C237" s="11"/>
      <c r="D237" s="11"/>
      <c r="E237" s="11"/>
      <c r="F237" s="29"/>
      <c r="G237" s="11"/>
      <c r="H237" s="11"/>
      <c r="I237" s="29"/>
      <c r="J237" s="11"/>
      <c r="K237" s="29"/>
      <c r="L237" s="11"/>
      <c r="M237" s="11"/>
      <c r="N237" s="11"/>
      <c r="O237" s="29"/>
      <c r="P237" s="29"/>
      <c r="Q237" s="11"/>
      <c r="R237" s="29"/>
      <c r="S237" s="11"/>
      <c r="T237" s="6"/>
      <c r="U237" s="29"/>
      <c r="V237" s="11"/>
      <c r="W237" s="11"/>
      <c r="X237" s="29"/>
      <c r="Y237" s="11"/>
      <c r="Z237" s="29"/>
      <c r="AA237" s="29"/>
      <c r="AB237" s="11"/>
      <c r="AC237" s="11"/>
      <c r="AD237" s="29"/>
      <c r="AE237" s="11"/>
      <c r="AF237" s="29"/>
      <c r="AG237" s="11"/>
      <c r="AH237" s="29"/>
      <c r="AI237" s="11"/>
      <c r="AJ237" s="29"/>
      <c r="AK237" s="29"/>
      <c r="AL237" s="29"/>
      <c r="AM237" s="11"/>
      <c r="AN237" s="29"/>
      <c r="AO237" s="29"/>
      <c r="AP237" s="6"/>
      <c r="AQ237" s="113">
        <f>IF(AND(I237="",K237="",AF237="",AL237="",AN237="",O237=""),"",IF(OR(I237="SIM",K237="SIM",AF237="SIM",AL237="SIM",AN237="Dados pessoais",AN237="Dados sensíveis",AN237="Dados pessoais e sensíveis",O237="Acima de 10.000 titulares por mês"),"SIM - Alta criticidade",IF((IF(I237="SIM",2,0)+IF(K237="SIM",2,0)+IF(AF237="SIM",2,0)+IF(OR(AN237="Dados pessoais",AN237="Dados sensíveis",AN237="Dados pessoais e sensíveis"),2,0)+IF(O237="De 1.001 a 10.000 titulares por mês",1,0)+IF(AA237="SIM",1,0)+IF(R237="SIM",1,0)+IF(AL237="SIM",1,0)+IF(AJ237="NÃO",1,0))&gt;=5,"SIM - Alta criticidade",IF((IF(I237="SIM",2,0)+IF(K237="SIM",2,0)+IF(AF237="SIM",2,0)+IF(OR(AN237="Dados pessoais",AN237="Dados sensíveis",AN237="Dados pessoais e sensíveis"),2,0)+IF(O237="De 1.001 a 10.000 titulares por mês",1,0)+IF(AA237="SIM",1,0)+IF(R237="SIM",1,0)+IF(AL237="SIM",1,0)+IF(AJ237="NÃO",1,0))&gt;=3,"Avaliação necessária","NÃO"))))</f>
      </c>
      <c r="AR237" s="11"/>
      <c r="AS237" s="113">
        <f>IF(AND(I237="",K237="",AF237="",AL237="",AN237="",O237=""),"",IF(OR(I237="SIM",K237="SIM",AF237="SIM",AL237="SIM",OR(AN237="Dados pessoais",AN237="Dados sensíveis",AN237="Dados pessoais e sensíveis"),O237="Acima de 10.000 titulares por mês",(IF(I237="SIM",2,0)+IF(K237="SIM",2,0)+IF(AF237="SIM",2,0)+IF(OR(AN237="Dados pessoais",AN237="Dados sensíveis",AN237="Dados pessoais e sensíveis"),2,0)+IF(O237="De 1.001 a 10.000 titulares por mês",1,0)+IF(AA237="SIM",1,0)+IF(R237="SIM",1,0)+IF(AL237="SIM",1,0)+IF(AJ237="NÃO",1,0))&gt;=3),"DPIA indicado ou em avaliação em razão de: " &amp; TRIM(IF(I237="SIM","tratamento de dados sensíveis; ","") &amp; IF(K237="SIM","utilização de dados de menores; ","") &amp; IF(AF237="SIM","transferência internacional de dados; ","") &amp; IF(AL237="SIM","utilização de inteligência artificial; ","") &amp; IF(OR(AN237="Dados pessoais",AN237="Dados sensíveis",AN237="Dados pessoais e sensíveis"),"dados inseridos em IA; ","") &amp; IF(O237="Acima de 10.000 titulares por mês","volume crítico de titulares; ","") &amp; IF(O237="De 1.001 a 10.000 titulares por mês","volume moderado de titulares; ","") &amp; IF(AA237="SIM","compartilhamento com terceiros; ","") &amp; IF(R237="SIM","compartilhamento com órgãos governamentais; ","") &amp; IF(AJ237="NÃO","ausência de controle de acesso por perfil; ","")),"DPIA não indicado: Processo de baixa criticidade."))</f>
      </c>
    </row>
    <row x14ac:dyDescent="0.25" r="238" customHeight="1" ht="15.75">
      <c r="A238" s="46"/>
      <c r="B238" s="6"/>
      <c r="C238" s="11"/>
      <c r="D238" s="11"/>
      <c r="E238" s="11"/>
      <c r="F238" s="29"/>
      <c r="G238" s="11"/>
      <c r="H238" s="11"/>
      <c r="I238" s="29"/>
      <c r="J238" s="11"/>
      <c r="K238" s="29"/>
      <c r="L238" s="11"/>
      <c r="M238" s="11"/>
      <c r="N238" s="11"/>
      <c r="O238" s="29"/>
      <c r="P238" s="29"/>
      <c r="Q238" s="11"/>
      <c r="R238" s="29"/>
      <c r="S238" s="11"/>
      <c r="T238" s="6"/>
      <c r="U238" s="29"/>
      <c r="V238" s="11"/>
      <c r="W238" s="11"/>
      <c r="X238" s="29"/>
      <c r="Y238" s="11"/>
      <c r="Z238" s="29"/>
      <c r="AA238" s="29"/>
      <c r="AB238" s="11"/>
      <c r="AC238" s="11"/>
      <c r="AD238" s="29"/>
      <c r="AE238" s="11"/>
      <c r="AF238" s="29"/>
      <c r="AG238" s="11"/>
      <c r="AH238" s="29"/>
      <c r="AI238" s="11"/>
      <c r="AJ238" s="29"/>
      <c r="AK238" s="29"/>
      <c r="AL238" s="29"/>
      <c r="AM238" s="11"/>
      <c r="AN238" s="29"/>
      <c r="AO238" s="29"/>
      <c r="AP238" s="6"/>
      <c r="AQ238" s="113">
        <f>IF(AND(I238="",K238="",AF238="",AL238="",AN238="",O238=""),"",IF(OR(I238="SIM",K238="SIM",AF238="SIM",AL238="SIM",AN238="Dados pessoais",AN238="Dados sensíveis",AN238="Dados pessoais e sensíveis",O238="Acima de 10.000 titulares por mês"),"SIM - Alta criticidade",IF((IF(I238="SIM",2,0)+IF(K238="SIM",2,0)+IF(AF238="SIM",2,0)+IF(OR(AN238="Dados pessoais",AN238="Dados sensíveis",AN238="Dados pessoais e sensíveis"),2,0)+IF(O238="De 1.001 a 10.000 titulares por mês",1,0)+IF(AA238="SIM",1,0)+IF(R238="SIM",1,0)+IF(AL238="SIM",1,0)+IF(AJ238="NÃO",1,0))&gt;=5,"SIM - Alta criticidade",IF((IF(I238="SIM",2,0)+IF(K238="SIM",2,0)+IF(AF238="SIM",2,0)+IF(OR(AN238="Dados pessoais",AN238="Dados sensíveis",AN238="Dados pessoais e sensíveis"),2,0)+IF(O238="De 1.001 a 10.000 titulares por mês",1,0)+IF(AA238="SIM",1,0)+IF(R238="SIM",1,0)+IF(AL238="SIM",1,0)+IF(AJ238="NÃO",1,0))&gt;=3,"Avaliação necessária","NÃO"))))</f>
      </c>
      <c r="AR238" s="11"/>
      <c r="AS238" s="113">
        <f>IF(AND(I238="",K238="",AF238="",AL238="",AN238="",O238=""),"",IF(OR(I238="SIM",K238="SIM",AF238="SIM",AL238="SIM",OR(AN238="Dados pessoais",AN238="Dados sensíveis",AN238="Dados pessoais e sensíveis"),O238="Acima de 10.000 titulares por mês",(IF(I238="SIM",2,0)+IF(K238="SIM",2,0)+IF(AF238="SIM",2,0)+IF(OR(AN238="Dados pessoais",AN238="Dados sensíveis",AN238="Dados pessoais e sensíveis"),2,0)+IF(O238="De 1.001 a 10.000 titulares por mês",1,0)+IF(AA238="SIM",1,0)+IF(R238="SIM",1,0)+IF(AL238="SIM",1,0)+IF(AJ238="NÃO",1,0))&gt;=3),"DPIA indicado ou em avaliação em razão de: " &amp; TRIM(IF(I238="SIM","tratamento de dados sensíveis; ","") &amp; IF(K238="SIM","utilização de dados de menores; ","") &amp; IF(AF238="SIM","transferência internacional de dados; ","") &amp; IF(AL238="SIM","utilização de inteligência artificial; ","") &amp; IF(OR(AN238="Dados pessoais",AN238="Dados sensíveis",AN238="Dados pessoais e sensíveis"),"dados inseridos em IA; ","") &amp; IF(O238="Acima de 10.000 titulares por mês","volume crítico de titulares; ","") &amp; IF(O238="De 1.001 a 10.000 titulares por mês","volume moderado de titulares; ","") &amp; IF(AA238="SIM","compartilhamento com terceiros; ","") &amp; IF(R238="SIM","compartilhamento com órgãos governamentais; ","") &amp; IF(AJ238="NÃO","ausência de controle de acesso por perfil; ","")),"DPIA não indicado: Processo de baixa criticidade."))</f>
      </c>
    </row>
    <row x14ac:dyDescent="0.25" r="239" customHeight="1" ht="15.75">
      <c r="A239" s="46"/>
      <c r="B239" s="6"/>
      <c r="C239" s="11"/>
      <c r="D239" s="11"/>
      <c r="E239" s="11"/>
      <c r="F239" s="29"/>
      <c r="G239" s="11"/>
      <c r="H239" s="11"/>
      <c r="I239" s="29"/>
      <c r="J239" s="11"/>
      <c r="K239" s="29"/>
      <c r="L239" s="11"/>
      <c r="M239" s="11"/>
      <c r="N239" s="11"/>
      <c r="O239" s="29"/>
      <c r="P239" s="29"/>
      <c r="Q239" s="11"/>
      <c r="R239" s="29"/>
      <c r="S239" s="11"/>
      <c r="T239" s="6"/>
      <c r="U239" s="29"/>
      <c r="V239" s="11"/>
      <c r="W239" s="11"/>
      <c r="X239" s="29"/>
      <c r="Y239" s="11"/>
      <c r="Z239" s="29"/>
      <c r="AA239" s="29"/>
      <c r="AB239" s="11"/>
      <c r="AC239" s="11"/>
      <c r="AD239" s="29"/>
      <c r="AE239" s="11"/>
      <c r="AF239" s="29"/>
      <c r="AG239" s="11"/>
      <c r="AH239" s="29"/>
      <c r="AI239" s="11"/>
      <c r="AJ239" s="29"/>
      <c r="AK239" s="29"/>
      <c r="AL239" s="29"/>
      <c r="AM239" s="11"/>
      <c r="AN239" s="29"/>
      <c r="AO239" s="29"/>
      <c r="AP239" s="6"/>
      <c r="AQ239" s="113">
        <f>IF(AND(I239="",K239="",AF239="",AL239="",AN239="",O239=""),"",IF(OR(I239="SIM",K239="SIM",AF239="SIM",AL239="SIM",AN239="Dados pessoais",AN239="Dados sensíveis",AN239="Dados pessoais e sensíveis",O239="Acima de 10.000 titulares por mês"),"SIM - Alta criticidade",IF((IF(I239="SIM",2,0)+IF(K239="SIM",2,0)+IF(AF239="SIM",2,0)+IF(OR(AN239="Dados pessoais",AN239="Dados sensíveis",AN239="Dados pessoais e sensíveis"),2,0)+IF(O239="De 1.001 a 10.000 titulares por mês",1,0)+IF(AA239="SIM",1,0)+IF(R239="SIM",1,0)+IF(AL239="SIM",1,0)+IF(AJ239="NÃO",1,0))&gt;=5,"SIM - Alta criticidade",IF((IF(I239="SIM",2,0)+IF(K239="SIM",2,0)+IF(AF239="SIM",2,0)+IF(OR(AN239="Dados pessoais",AN239="Dados sensíveis",AN239="Dados pessoais e sensíveis"),2,0)+IF(O239="De 1.001 a 10.000 titulares por mês",1,0)+IF(AA239="SIM",1,0)+IF(R239="SIM",1,0)+IF(AL239="SIM",1,0)+IF(AJ239="NÃO",1,0))&gt;=3,"Avaliação necessária","NÃO"))))</f>
      </c>
      <c r="AR239" s="11"/>
      <c r="AS239" s="113">
        <f>IF(AND(I239="",K239="",AF239="",AL239="",AN239="",O239=""),"",IF(OR(I239="SIM",K239="SIM",AF239="SIM",AL239="SIM",OR(AN239="Dados pessoais",AN239="Dados sensíveis",AN239="Dados pessoais e sensíveis"),O239="Acima de 10.000 titulares por mês",(IF(I239="SIM",2,0)+IF(K239="SIM",2,0)+IF(AF239="SIM",2,0)+IF(OR(AN239="Dados pessoais",AN239="Dados sensíveis",AN239="Dados pessoais e sensíveis"),2,0)+IF(O239="De 1.001 a 10.000 titulares por mês",1,0)+IF(AA239="SIM",1,0)+IF(R239="SIM",1,0)+IF(AL239="SIM",1,0)+IF(AJ239="NÃO",1,0))&gt;=3),"DPIA indicado ou em avaliação em razão de: " &amp; TRIM(IF(I239="SIM","tratamento de dados sensíveis; ","") &amp; IF(K239="SIM","utilização de dados de menores; ","") &amp; IF(AF239="SIM","transferência internacional de dados; ","") &amp; IF(AL239="SIM","utilização de inteligência artificial; ","") &amp; IF(OR(AN239="Dados pessoais",AN239="Dados sensíveis",AN239="Dados pessoais e sensíveis"),"dados inseridos em IA; ","") &amp; IF(O239="Acima de 10.000 titulares por mês","volume crítico de titulares; ","") &amp; IF(O239="De 1.001 a 10.000 titulares por mês","volume moderado de titulares; ","") &amp; IF(AA239="SIM","compartilhamento com terceiros; ","") &amp; IF(R239="SIM","compartilhamento com órgãos governamentais; ","") &amp; IF(AJ239="NÃO","ausência de controle de acesso por perfil; ","")),"DPIA não indicado: Processo de baixa criticidade."))</f>
      </c>
    </row>
    <row x14ac:dyDescent="0.25" r="240" customHeight="1" ht="15.75">
      <c r="A240" s="46"/>
      <c r="B240" s="6"/>
      <c r="C240" s="11"/>
      <c r="D240" s="11"/>
      <c r="E240" s="11"/>
      <c r="F240" s="29"/>
      <c r="G240" s="11"/>
      <c r="H240" s="11"/>
      <c r="I240" s="29"/>
      <c r="J240" s="11"/>
      <c r="K240" s="29"/>
      <c r="L240" s="11"/>
      <c r="M240" s="11"/>
      <c r="N240" s="11"/>
      <c r="O240" s="29"/>
      <c r="P240" s="29"/>
      <c r="Q240" s="11"/>
      <c r="R240" s="29"/>
      <c r="S240" s="11"/>
      <c r="T240" s="6"/>
      <c r="U240" s="29"/>
      <c r="V240" s="11"/>
      <c r="W240" s="11"/>
      <c r="X240" s="29"/>
      <c r="Y240" s="11"/>
      <c r="Z240" s="29"/>
      <c r="AA240" s="29"/>
      <c r="AB240" s="11"/>
      <c r="AC240" s="11"/>
      <c r="AD240" s="29"/>
      <c r="AE240" s="11"/>
      <c r="AF240" s="29"/>
      <c r="AG240" s="11"/>
      <c r="AH240" s="29"/>
      <c r="AI240" s="11"/>
      <c r="AJ240" s="29"/>
      <c r="AK240" s="29"/>
      <c r="AL240" s="29"/>
      <c r="AM240" s="11"/>
      <c r="AN240" s="29"/>
      <c r="AO240" s="29"/>
      <c r="AP240" s="6"/>
      <c r="AQ240" s="113">
        <f>IF(AND(I240="",K240="",AF240="",AL240="",AN240="",O240=""),"",IF(OR(I240="SIM",K240="SIM",AF240="SIM",AL240="SIM",AN240="Dados pessoais",AN240="Dados sensíveis",AN240="Dados pessoais e sensíveis",O240="Acima de 10.000 titulares por mês"),"SIM - Alta criticidade",IF((IF(I240="SIM",2,0)+IF(K240="SIM",2,0)+IF(AF240="SIM",2,0)+IF(OR(AN240="Dados pessoais",AN240="Dados sensíveis",AN240="Dados pessoais e sensíveis"),2,0)+IF(O240="De 1.001 a 10.000 titulares por mês",1,0)+IF(AA240="SIM",1,0)+IF(R240="SIM",1,0)+IF(AL240="SIM",1,0)+IF(AJ240="NÃO",1,0))&gt;=5,"SIM - Alta criticidade",IF((IF(I240="SIM",2,0)+IF(K240="SIM",2,0)+IF(AF240="SIM",2,0)+IF(OR(AN240="Dados pessoais",AN240="Dados sensíveis",AN240="Dados pessoais e sensíveis"),2,0)+IF(O240="De 1.001 a 10.000 titulares por mês",1,0)+IF(AA240="SIM",1,0)+IF(R240="SIM",1,0)+IF(AL240="SIM",1,0)+IF(AJ240="NÃO",1,0))&gt;=3,"Avaliação necessária","NÃO"))))</f>
      </c>
      <c r="AR240" s="11"/>
      <c r="AS240" s="113">
        <f>IF(AND(I240="",K240="",AF240="",AL240="",AN240="",O240=""),"",IF(OR(I240="SIM",K240="SIM",AF240="SIM",AL240="SIM",OR(AN240="Dados pessoais",AN240="Dados sensíveis",AN240="Dados pessoais e sensíveis"),O240="Acima de 10.000 titulares por mês",(IF(I240="SIM",2,0)+IF(K240="SIM",2,0)+IF(AF240="SIM",2,0)+IF(OR(AN240="Dados pessoais",AN240="Dados sensíveis",AN240="Dados pessoais e sensíveis"),2,0)+IF(O240="De 1.001 a 10.000 titulares por mês",1,0)+IF(AA240="SIM",1,0)+IF(R240="SIM",1,0)+IF(AL240="SIM",1,0)+IF(AJ240="NÃO",1,0))&gt;=3),"DPIA indicado ou em avaliação em razão de: " &amp; TRIM(IF(I240="SIM","tratamento de dados sensíveis; ","") &amp; IF(K240="SIM","utilização de dados de menores; ","") &amp; IF(AF240="SIM","transferência internacional de dados; ","") &amp; IF(AL240="SIM","utilização de inteligência artificial; ","") &amp; IF(OR(AN240="Dados pessoais",AN240="Dados sensíveis",AN240="Dados pessoais e sensíveis"),"dados inseridos em IA; ","") &amp; IF(O240="Acima de 10.000 titulares por mês","volume crítico de titulares; ","") &amp; IF(O240="De 1.001 a 10.000 titulares por mês","volume moderado de titulares; ","") &amp; IF(AA240="SIM","compartilhamento com terceiros; ","") &amp; IF(R240="SIM","compartilhamento com órgãos governamentais; ","") &amp; IF(AJ240="NÃO","ausência de controle de acesso por perfil; ","")),"DPIA não indicado: Processo de baixa criticidade."))</f>
      </c>
    </row>
    <row x14ac:dyDescent="0.25" r="241" customHeight="1" ht="15.75">
      <c r="A241" s="46"/>
      <c r="B241" s="6"/>
      <c r="C241" s="11"/>
      <c r="D241" s="11"/>
      <c r="E241" s="11"/>
      <c r="F241" s="29"/>
      <c r="G241" s="11"/>
      <c r="H241" s="11"/>
      <c r="I241" s="29"/>
      <c r="J241" s="11"/>
      <c r="K241" s="29"/>
      <c r="L241" s="11"/>
      <c r="M241" s="11"/>
      <c r="N241" s="11"/>
      <c r="O241" s="29"/>
      <c r="P241" s="29"/>
      <c r="Q241" s="11"/>
      <c r="R241" s="29"/>
      <c r="S241" s="11"/>
      <c r="T241" s="6"/>
      <c r="U241" s="29"/>
      <c r="V241" s="11"/>
      <c r="W241" s="11"/>
      <c r="X241" s="29"/>
      <c r="Y241" s="11"/>
      <c r="Z241" s="29"/>
      <c r="AA241" s="29"/>
      <c r="AB241" s="11"/>
      <c r="AC241" s="11"/>
      <c r="AD241" s="29"/>
      <c r="AE241" s="11"/>
      <c r="AF241" s="29"/>
      <c r="AG241" s="11"/>
      <c r="AH241" s="29"/>
      <c r="AI241" s="11"/>
      <c r="AJ241" s="29"/>
      <c r="AK241" s="29"/>
      <c r="AL241" s="29"/>
      <c r="AM241" s="11"/>
      <c r="AN241" s="29"/>
      <c r="AO241" s="29"/>
      <c r="AP241" s="6"/>
      <c r="AQ241" s="113">
        <f>IF(AND(I241="",K241="",AF241="",AL241="",AN241="",O241=""),"",IF(OR(I241="SIM",K241="SIM",AF241="SIM",AL241="SIM",AN241="Dados pessoais",AN241="Dados sensíveis",AN241="Dados pessoais e sensíveis",O241="Acima de 10.000 titulares por mês"),"SIM - Alta criticidade",IF((IF(I241="SIM",2,0)+IF(K241="SIM",2,0)+IF(AF241="SIM",2,0)+IF(OR(AN241="Dados pessoais",AN241="Dados sensíveis",AN241="Dados pessoais e sensíveis"),2,0)+IF(O241="De 1.001 a 10.000 titulares por mês",1,0)+IF(AA241="SIM",1,0)+IF(R241="SIM",1,0)+IF(AL241="SIM",1,0)+IF(AJ241="NÃO",1,0))&gt;=5,"SIM - Alta criticidade",IF((IF(I241="SIM",2,0)+IF(K241="SIM",2,0)+IF(AF241="SIM",2,0)+IF(OR(AN241="Dados pessoais",AN241="Dados sensíveis",AN241="Dados pessoais e sensíveis"),2,0)+IF(O241="De 1.001 a 10.000 titulares por mês",1,0)+IF(AA241="SIM",1,0)+IF(R241="SIM",1,0)+IF(AL241="SIM",1,0)+IF(AJ241="NÃO",1,0))&gt;=3,"Avaliação necessária","NÃO"))))</f>
      </c>
      <c r="AR241" s="11"/>
      <c r="AS241" s="113">
        <f>IF(AND(I241="",K241="",AF241="",AL241="",AN241="",O241=""),"",IF(OR(I241="SIM",K241="SIM",AF241="SIM",AL241="SIM",OR(AN241="Dados pessoais",AN241="Dados sensíveis",AN241="Dados pessoais e sensíveis"),O241="Acima de 10.000 titulares por mês",(IF(I241="SIM",2,0)+IF(K241="SIM",2,0)+IF(AF241="SIM",2,0)+IF(OR(AN241="Dados pessoais",AN241="Dados sensíveis",AN241="Dados pessoais e sensíveis"),2,0)+IF(O241="De 1.001 a 10.000 titulares por mês",1,0)+IF(AA241="SIM",1,0)+IF(R241="SIM",1,0)+IF(AL241="SIM",1,0)+IF(AJ241="NÃO",1,0))&gt;=3),"DPIA indicado ou em avaliação em razão de: " &amp; TRIM(IF(I241="SIM","tratamento de dados sensíveis; ","") &amp; IF(K241="SIM","utilização de dados de menores; ","") &amp; IF(AF241="SIM","transferência internacional de dados; ","") &amp; IF(AL241="SIM","utilização de inteligência artificial; ","") &amp; IF(OR(AN241="Dados pessoais",AN241="Dados sensíveis",AN241="Dados pessoais e sensíveis"),"dados inseridos em IA; ","") &amp; IF(O241="Acima de 10.000 titulares por mês","volume crítico de titulares; ","") &amp; IF(O241="De 1.001 a 10.000 titulares por mês","volume moderado de titulares; ","") &amp; IF(AA241="SIM","compartilhamento com terceiros; ","") &amp; IF(R241="SIM","compartilhamento com órgãos governamentais; ","") &amp; IF(AJ241="NÃO","ausência de controle de acesso por perfil; ","")),"DPIA não indicado: Processo de baixa criticidade."))</f>
      </c>
    </row>
    <row x14ac:dyDescent="0.25" r="242" customHeight="1" ht="15.75">
      <c r="A242" s="46"/>
      <c r="B242" s="6"/>
      <c r="C242" s="11"/>
      <c r="D242" s="11"/>
      <c r="E242" s="11"/>
      <c r="F242" s="29"/>
      <c r="G242" s="11"/>
      <c r="H242" s="11"/>
      <c r="I242" s="29"/>
      <c r="J242" s="11"/>
      <c r="K242" s="29"/>
      <c r="L242" s="11"/>
      <c r="M242" s="11"/>
      <c r="N242" s="11"/>
      <c r="O242" s="29"/>
      <c r="P242" s="29"/>
      <c r="Q242" s="11"/>
      <c r="R242" s="29"/>
      <c r="S242" s="11"/>
      <c r="T242" s="6"/>
      <c r="U242" s="29"/>
      <c r="V242" s="11"/>
      <c r="W242" s="11"/>
      <c r="X242" s="29"/>
      <c r="Y242" s="11"/>
      <c r="Z242" s="29"/>
      <c r="AA242" s="29"/>
      <c r="AB242" s="11"/>
      <c r="AC242" s="11"/>
      <c r="AD242" s="29"/>
      <c r="AE242" s="11"/>
      <c r="AF242" s="29"/>
      <c r="AG242" s="11"/>
      <c r="AH242" s="29"/>
      <c r="AI242" s="11"/>
      <c r="AJ242" s="29"/>
      <c r="AK242" s="29"/>
      <c r="AL242" s="29"/>
      <c r="AM242" s="11"/>
      <c r="AN242" s="29"/>
      <c r="AO242" s="29"/>
      <c r="AP242" s="6"/>
      <c r="AQ242" s="113">
        <f>IF(AND(I242="",K242="",AF242="",AL242="",AN242="",O242=""),"",IF(OR(I242="SIM",K242="SIM",AF242="SIM",AL242="SIM",AN242="Dados pessoais",AN242="Dados sensíveis",AN242="Dados pessoais e sensíveis",O242="Acima de 10.000 titulares por mês"),"SIM - Alta criticidade",IF((IF(I242="SIM",2,0)+IF(K242="SIM",2,0)+IF(AF242="SIM",2,0)+IF(OR(AN242="Dados pessoais",AN242="Dados sensíveis",AN242="Dados pessoais e sensíveis"),2,0)+IF(O242="De 1.001 a 10.000 titulares por mês",1,0)+IF(AA242="SIM",1,0)+IF(R242="SIM",1,0)+IF(AL242="SIM",1,0)+IF(AJ242="NÃO",1,0))&gt;=5,"SIM - Alta criticidade",IF((IF(I242="SIM",2,0)+IF(K242="SIM",2,0)+IF(AF242="SIM",2,0)+IF(OR(AN242="Dados pessoais",AN242="Dados sensíveis",AN242="Dados pessoais e sensíveis"),2,0)+IF(O242="De 1.001 a 10.000 titulares por mês",1,0)+IF(AA242="SIM",1,0)+IF(R242="SIM",1,0)+IF(AL242="SIM",1,0)+IF(AJ242="NÃO",1,0))&gt;=3,"Avaliação necessária","NÃO"))))</f>
      </c>
      <c r="AR242" s="11"/>
      <c r="AS242" s="113">
        <f>IF(AND(I242="",K242="",AF242="",AL242="",AN242="",O242=""),"",IF(OR(I242="SIM",K242="SIM",AF242="SIM",AL242="SIM",OR(AN242="Dados pessoais",AN242="Dados sensíveis",AN242="Dados pessoais e sensíveis"),O242="Acima de 10.000 titulares por mês",(IF(I242="SIM",2,0)+IF(K242="SIM",2,0)+IF(AF242="SIM",2,0)+IF(OR(AN242="Dados pessoais",AN242="Dados sensíveis",AN242="Dados pessoais e sensíveis"),2,0)+IF(O242="De 1.001 a 10.000 titulares por mês",1,0)+IF(AA242="SIM",1,0)+IF(R242="SIM",1,0)+IF(AL242="SIM",1,0)+IF(AJ242="NÃO",1,0))&gt;=3),"DPIA indicado ou em avaliação em razão de: " &amp; TRIM(IF(I242="SIM","tratamento de dados sensíveis; ","") &amp; IF(K242="SIM","utilização de dados de menores; ","") &amp; IF(AF242="SIM","transferência internacional de dados; ","") &amp; IF(AL242="SIM","utilização de inteligência artificial; ","") &amp; IF(OR(AN242="Dados pessoais",AN242="Dados sensíveis",AN242="Dados pessoais e sensíveis"),"dados inseridos em IA; ","") &amp; IF(O242="Acima de 10.000 titulares por mês","volume crítico de titulares; ","") &amp; IF(O242="De 1.001 a 10.000 titulares por mês","volume moderado de titulares; ","") &amp; IF(AA242="SIM","compartilhamento com terceiros; ","") &amp; IF(R242="SIM","compartilhamento com órgãos governamentais; ","") &amp; IF(AJ242="NÃO","ausência de controle de acesso por perfil; ","")),"DPIA não indicado: Processo de baixa criticidade."))</f>
      </c>
    </row>
    <row x14ac:dyDescent="0.25" r="243" customHeight="1" ht="15.75">
      <c r="A243" s="46"/>
      <c r="B243" s="6"/>
      <c r="C243" s="11"/>
      <c r="D243" s="11"/>
      <c r="E243" s="11"/>
      <c r="F243" s="29"/>
      <c r="G243" s="11"/>
      <c r="H243" s="11"/>
      <c r="I243" s="29"/>
      <c r="J243" s="11"/>
      <c r="K243" s="29"/>
      <c r="L243" s="11"/>
      <c r="M243" s="11"/>
      <c r="N243" s="11"/>
      <c r="O243" s="29"/>
      <c r="P243" s="29"/>
      <c r="Q243" s="11"/>
      <c r="R243" s="29"/>
      <c r="S243" s="11"/>
      <c r="T243" s="6"/>
      <c r="U243" s="29"/>
      <c r="V243" s="11"/>
      <c r="W243" s="11"/>
      <c r="X243" s="29"/>
      <c r="Y243" s="11"/>
      <c r="Z243" s="29"/>
      <c r="AA243" s="29"/>
      <c r="AB243" s="11"/>
      <c r="AC243" s="11"/>
      <c r="AD243" s="29"/>
      <c r="AE243" s="11"/>
      <c r="AF243" s="29"/>
      <c r="AG243" s="11"/>
      <c r="AH243" s="29"/>
      <c r="AI243" s="11"/>
      <c r="AJ243" s="29"/>
      <c r="AK243" s="29"/>
      <c r="AL243" s="29"/>
      <c r="AM243" s="11"/>
      <c r="AN243" s="29"/>
      <c r="AO243" s="29"/>
      <c r="AP243" s="6"/>
      <c r="AQ243" s="113">
        <f>IF(AND(I243="",K243="",AF243="",AL243="",AN243="",O243=""),"",IF(OR(I243="SIM",K243="SIM",AF243="SIM",AL243="SIM",AN243="Dados pessoais",AN243="Dados sensíveis",AN243="Dados pessoais e sensíveis",O243="Acima de 10.000 titulares por mês"),"SIM - Alta criticidade",IF((IF(I243="SIM",2,0)+IF(K243="SIM",2,0)+IF(AF243="SIM",2,0)+IF(OR(AN243="Dados pessoais",AN243="Dados sensíveis",AN243="Dados pessoais e sensíveis"),2,0)+IF(O243="De 1.001 a 10.000 titulares por mês",1,0)+IF(AA243="SIM",1,0)+IF(R243="SIM",1,0)+IF(AL243="SIM",1,0)+IF(AJ243="NÃO",1,0))&gt;=5,"SIM - Alta criticidade",IF((IF(I243="SIM",2,0)+IF(K243="SIM",2,0)+IF(AF243="SIM",2,0)+IF(OR(AN243="Dados pessoais",AN243="Dados sensíveis",AN243="Dados pessoais e sensíveis"),2,0)+IF(O243="De 1.001 a 10.000 titulares por mês",1,0)+IF(AA243="SIM",1,0)+IF(R243="SIM",1,0)+IF(AL243="SIM",1,0)+IF(AJ243="NÃO",1,0))&gt;=3,"Avaliação necessária","NÃO"))))</f>
      </c>
      <c r="AR243" s="11"/>
      <c r="AS243" s="113">
        <f>IF(AND(I243="",K243="",AF243="",AL243="",AN243="",O243=""),"",IF(OR(I243="SIM",K243="SIM",AF243="SIM",AL243="SIM",OR(AN243="Dados pessoais",AN243="Dados sensíveis",AN243="Dados pessoais e sensíveis"),O243="Acima de 10.000 titulares por mês",(IF(I243="SIM",2,0)+IF(K243="SIM",2,0)+IF(AF243="SIM",2,0)+IF(OR(AN243="Dados pessoais",AN243="Dados sensíveis",AN243="Dados pessoais e sensíveis"),2,0)+IF(O243="De 1.001 a 10.000 titulares por mês",1,0)+IF(AA243="SIM",1,0)+IF(R243="SIM",1,0)+IF(AL243="SIM",1,0)+IF(AJ243="NÃO",1,0))&gt;=3),"DPIA indicado ou em avaliação em razão de: " &amp; TRIM(IF(I243="SIM","tratamento de dados sensíveis; ","") &amp; IF(K243="SIM","utilização de dados de menores; ","") &amp; IF(AF243="SIM","transferência internacional de dados; ","") &amp; IF(AL243="SIM","utilização de inteligência artificial; ","") &amp; IF(OR(AN243="Dados pessoais",AN243="Dados sensíveis",AN243="Dados pessoais e sensíveis"),"dados inseridos em IA; ","") &amp; IF(O243="Acima de 10.000 titulares por mês","volume crítico de titulares; ","") &amp; IF(O243="De 1.001 a 10.000 titulares por mês","volume moderado de titulares; ","") &amp; IF(AA243="SIM","compartilhamento com terceiros; ","") &amp; IF(R243="SIM","compartilhamento com órgãos governamentais; ","") &amp; IF(AJ243="NÃO","ausência de controle de acesso por perfil; ","")),"DPIA não indicado: Processo de baixa criticidade."))</f>
      </c>
    </row>
    <row x14ac:dyDescent="0.25" r="244" customHeight="1" ht="15.75">
      <c r="A244" s="46"/>
      <c r="B244" s="6"/>
      <c r="C244" s="11"/>
      <c r="D244" s="11"/>
      <c r="E244" s="11"/>
      <c r="F244" s="29"/>
      <c r="G244" s="11"/>
      <c r="H244" s="11"/>
      <c r="I244" s="29"/>
      <c r="J244" s="11"/>
      <c r="K244" s="29"/>
      <c r="L244" s="11"/>
      <c r="M244" s="11"/>
      <c r="N244" s="11"/>
      <c r="O244" s="29"/>
      <c r="P244" s="29"/>
      <c r="Q244" s="11"/>
      <c r="R244" s="29"/>
      <c r="S244" s="11"/>
      <c r="T244" s="6"/>
      <c r="U244" s="29"/>
      <c r="V244" s="11"/>
      <c r="W244" s="11"/>
      <c r="X244" s="29"/>
      <c r="Y244" s="11"/>
      <c r="Z244" s="29"/>
      <c r="AA244" s="29"/>
      <c r="AB244" s="11"/>
      <c r="AC244" s="11"/>
      <c r="AD244" s="29"/>
      <c r="AE244" s="11"/>
      <c r="AF244" s="29"/>
      <c r="AG244" s="11"/>
      <c r="AH244" s="29"/>
      <c r="AI244" s="11"/>
      <c r="AJ244" s="29"/>
      <c r="AK244" s="29"/>
      <c r="AL244" s="29"/>
      <c r="AM244" s="11"/>
      <c r="AN244" s="29"/>
      <c r="AO244" s="29"/>
      <c r="AP244" s="6"/>
      <c r="AQ244" s="113">
        <f>IF(AND(I244="",K244="",AF244="",AL244="",AN244="",O244=""),"",IF(OR(I244="SIM",K244="SIM",AF244="SIM",AL244="SIM",AN244="Dados pessoais",AN244="Dados sensíveis",AN244="Dados pessoais e sensíveis",O244="Acima de 10.000 titulares por mês"),"SIM - Alta criticidade",IF((IF(I244="SIM",2,0)+IF(K244="SIM",2,0)+IF(AF244="SIM",2,0)+IF(OR(AN244="Dados pessoais",AN244="Dados sensíveis",AN244="Dados pessoais e sensíveis"),2,0)+IF(O244="De 1.001 a 10.000 titulares por mês",1,0)+IF(AA244="SIM",1,0)+IF(R244="SIM",1,0)+IF(AL244="SIM",1,0)+IF(AJ244="NÃO",1,0))&gt;=5,"SIM - Alta criticidade",IF((IF(I244="SIM",2,0)+IF(K244="SIM",2,0)+IF(AF244="SIM",2,0)+IF(OR(AN244="Dados pessoais",AN244="Dados sensíveis",AN244="Dados pessoais e sensíveis"),2,0)+IF(O244="De 1.001 a 10.000 titulares por mês",1,0)+IF(AA244="SIM",1,0)+IF(R244="SIM",1,0)+IF(AL244="SIM",1,0)+IF(AJ244="NÃO",1,0))&gt;=3,"Avaliação necessária","NÃO"))))</f>
      </c>
      <c r="AR244" s="11"/>
      <c r="AS244" s="113">
        <f>IF(AND(I244="",K244="",AF244="",AL244="",AN244="",O244=""),"",IF(OR(I244="SIM",K244="SIM",AF244="SIM",AL244="SIM",OR(AN244="Dados pessoais",AN244="Dados sensíveis",AN244="Dados pessoais e sensíveis"),O244="Acima de 10.000 titulares por mês",(IF(I244="SIM",2,0)+IF(K244="SIM",2,0)+IF(AF244="SIM",2,0)+IF(OR(AN244="Dados pessoais",AN244="Dados sensíveis",AN244="Dados pessoais e sensíveis"),2,0)+IF(O244="De 1.001 a 10.000 titulares por mês",1,0)+IF(AA244="SIM",1,0)+IF(R244="SIM",1,0)+IF(AL244="SIM",1,0)+IF(AJ244="NÃO",1,0))&gt;=3),"DPIA indicado ou em avaliação em razão de: " &amp; TRIM(IF(I244="SIM","tratamento de dados sensíveis; ","") &amp; IF(K244="SIM","utilização de dados de menores; ","") &amp; IF(AF244="SIM","transferência internacional de dados; ","") &amp; IF(AL244="SIM","utilização de inteligência artificial; ","") &amp; IF(OR(AN244="Dados pessoais",AN244="Dados sensíveis",AN244="Dados pessoais e sensíveis"),"dados inseridos em IA; ","") &amp; IF(O244="Acima de 10.000 titulares por mês","volume crítico de titulares; ","") &amp; IF(O244="De 1.001 a 10.000 titulares por mês","volume moderado de titulares; ","") &amp; IF(AA244="SIM","compartilhamento com terceiros; ","") &amp; IF(R244="SIM","compartilhamento com órgãos governamentais; ","") &amp; IF(AJ244="NÃO","ausência de controle de acesso por perfil; ","")),"DPIA não indicado: Processo de baixa criticidade."))</f>
      </c>
    </row>
    <row x14ac:dyDescent="0.25" r="245" customHeight="1" ht="15.75">
      <c r="A245" s="46"/>
      <c r="B245" s="6"/>
      <c r="C245" s="11"/>
      <c r="D245" s="11"/>
      <c r="E245" s="11"/>
      <c r="F245" s="29"/>
      <c r="G245" s="11"/>
      <c r="H245" s="11"/>
      <c r="I245" s="29"/>
      <c r="J245" s="11"/>
      <c r="K245" s="29"/>
      <c r="L245" s="11"/>
      <c r="M245" s="11"/>
      <c r="N245" s="11"/>
      <c r="O245" s="29"/>
      <c r="P245" s="29"/>
      <c r="Q245" s="11"/>
      <c r="R245" s="29"/>
      <c r="S245" s="11"/>
      <c r="T245" s="6"/>
      <c r="U245" s="29"/>
      <c r="V245" s="11"/>
      <c r="W245" s="11"/>
      <c r="X245" s="29"/>
      <c r="Y245" s="11"/>
      <c r="Z245" s="29"/>
      <c r="AA245" s="29"/>
      <c r="AB245" s="11"/>
      <c r="AC245" s="11"/>
      <c r="AD245" s="29"/>
      <c r="AE245" s="11"/>
      <c r="AF245" s="29"/>
      <c r="AG245" s="11"/>
      <c r="AH245" s="29"/>
      <c r="AI245" s="11"/>
      <c r="AJ245" s="29"/>
      <c r="AK245" s="29"/>
      <c r="AL245" s="29"/>
      <c r="AM245" s="11"/>
      <c r="AN245" s="29"/>
      <c r="AO245" s="29"/>
      <c r="AP245" s="6"/>
      <c r="AQ245" s="113">
        <f>IF(AND(I245="",K245="",AF245="",AL245="",AN245="",O245=""),"",IF(OR(I245="SIM",K245="SIM",AF245="SIM",AL245="SIM",AN245="Dados pessoais",AN245="Dados sensíveis",AN245="Dados pessoais e sensíveis",O245="Acima de 10.000 titulares por mês"),"SIM - Alta criticidade",IF((IF(I245="SIM",2,0)+IF(K245="SIM",2,0)+IF(AF245="SIM",2,0)+IF(OR(AN245="Dados pessoais",AN245="Dados sensíveis",AN245="Dados pessoais e sensíveis"),2,0)+IF(O245="De 1.001 a 10.000 titulares por mês",1,0)+IF(AA245="SIM",1,0)+IF(R245="SIM",1,0)+IF(AL245="SIM",1,0)+IF(AJ245="NÃO",1,0))&gt;=5,"SIM - Alta criticidade",IF((IF(I245="SIM",2,0)+IF(K245="SIM",2,0)+IF(AF245="SIM",2,0)+IF(OR(AN245="Dados pessoais",AN245="Dados sensíveis",AN245="Dados pessoais e sensíveis"),2,0)+IF(O245="De 1.001 a 10.000 titulares por mês",1,0)+IF(AA245="SIM",1,0)+IF(R245="SIM",1,0)+IF(AL245="SIM",1,0)+IF(AJ245="NÃO",1,0))&gt;=3,"Avaliação necessária","NÃO"))))</f>
      </c>
      <c r="AR245" s="11"/>
      <c r="AS245" s="113">
        <f>IF(AND(I245="",K245="",AF245="",AL245="",AN245="",O245=""),"",IF(OR(I245="SIM",K245="SIM",AF245="SIM",AL245="SIM",OR(AN245="Dados pessoais",AN245="Dados sensíveis",AN245="Dados pessoais e sensíveis"),O245="Acima de 10.000 titulares por mês",(IF(I245="SIM",2,0)+IF(K245="SIM",2,0)+IF(AF245="SIM",2,0)+IF(OR(AN245="Dados pessoais",AN245="Dados sensíveis",AN245="Dados pessoais e sensíveis"),2,0)+IF(O245="De 1.001 a 10.000 titulares por mês",1,0)+IF(AA245="SIM",1,0)+IF(R245="SIM",1,0)+IF(AL245="SIM",1,0)+IF(AJ245="NÃO",1,0))&gt;=3),"DPIA indicado ou em avaliação em razão de: " &amp; TRIM(IF(I245="SIM","tratamento de dados sensíveis; ","") &amp; IF(K245="SIM","utilização de dados de menores; ","") &amp; IF(AF245="SIM","transferência internacional de dados; ","") &amp; IF(AL245="SIM","utilização de inteligência artificial; ","") &amp; IF(OR(AN245="Dados pessoais",AN245="Dados sensíveis",AN245="Dados pessoais e sensíveis"),"dados inseridos em IA; ","") &amp; IF(O245="Acima de 10.000 titulares por mês","volume crítico de titulares; ","") &amp; IF(O245="De 1.001 a 10.000 titulares por mês","volume moderado de titulares; ","") &amp; IF(AA245="SIM","compartilhamento com terceiros; ","") &amp; IF(R245="SIM","compartilhamento com órgãos governamentais; ","") &amp; IF(AJ245="NÃO","ausência de controle de acesso por perfil; ","")),"DPIA não indicado: Processo de baixa criticidade."))</f>
      </c>
    </row>
    <row x14ac:dyDescent="0.25" r="246" customHeight="1" ht="15.75">
      <c r="A246" s="46"/>
      <c r="B246" s="6"/>
      <c r="C246" s="11"/>
      <c r="D246" s="11"/>
      <c r="E246" s="11"/>
      <c r="F246" s="29"/>
      <c r="G246" s="11"/>
      <c r="H246" s="11"/>
      <c r="I246" s="29"/>
      <c r="J246" s="11"/>
      <c r="K246" s="29"/>
      <c r="L246" s="11"/>
      <c r="M246" s="11"/>
      <c r="N246" s="11"/>
      <c r="O246" s="29"/>
      <c r="P246" s="29"/>
      <c r="Q246" s="11"/>
      <c r="R246" s="29"/>
      <c r="S246" s="11"/>
      <c r="T246" s="6"/>
      <c r="U246" s="29"/>
      <c r="V246" s="11"/>
      <c r="W246" s="11"/>
      <c r="X246" s="29"/>
      <c r="Y246" s="11"/>
      <c r="Z246" s="29"/>
      <c r="AA246" s="29"/>
      <c r="AB246" s="11"/>
      <c r="AC246" s="11"/>
      <c r="AD246" s="29"/>
      <c r="AE246" s="11"/>
      <c r="AF246" s="29"/>
      <c r="AG246" s="11"/>
      <c r="AH246" s="29"/>
      <c r="AI246" s="11"/>
      <c r="AJ246" s="29"/>
      <c r="AK246" s="29"/>
      <c r="AL246" s="29"/>
      <c r="AM246" s="11"/>
      <c r="AN246" s="29"/>
      <c r="AO246" s="29"/>
      <c r="AP246" s="6"/>
      <c r="AQ246" s="113">
        <f>IF(AND(I246="",K246="",AF246="",AL246="",AN246="",O246=""),"",IF(OR(I246="SIM",K246="SIM",AF246="SIM",AL246="SIM",AN246="Dados pessoais",AN246="Dados sensíveis",AN246="Dados pessoais e sensíveis",O246="Acima de 10.000 titulares por mês"),"SIM - Alta criticidade",IF((IF(I246="SIM",2,0)+IF(K246="SIM",2,0)+IF(AF246="SIM",2,0)+IF(OR(AN246="Dados pessoais",AN246="Dados sensíveis",AN246="Dados pessoais e sensíveis"),2,0)+IF(O246="De 1.001 a 10.000 titulares por mês",1,0)+IF(AA246="SIM",1,0)+IF(R246="SIM",1,0)+IF(AL246="SIM",1,0)+IF(AJ246="NÃO",1,0))&gt;=5,"SIM - Alta criticidade",IF((IF(I246="SIM",2,0)+IF(K246="SIM",2,0)+IF(AF246="SIM",2,0)+IF(OR(AN246="Dados pessoais",AN246="Dados sensíveis",AN246="Dados pessoais e sensíveis"),2,0)+IF(O246="De 1.001 a 10.000 titulares por mês",1,0)+IF(AA246="SIM",1,0)+IF(R246="SIM",1,0)+IF(AL246="SIM",1,0)+IF(AJ246="NÃO",1,0))&gt;=3,"Avaliação necessária","NÃO"))))</f>
      </c>
      <c r="AR246" s="11"/>
      <c r="AS246" s="113">
        <f>IF(AND(I246="",K246="",AF246="",AL246="",AN246="",O246=""),"",IF(OR(I246="SIM",K246="SIM",AF246="SIM",AL246="SIM",OR(AN246="Dados pessoais",AN246="Dados sensíveis",AN246="Dados pessoais e sensíveis"),O246="Acima de 10.000 titulares por mês",(IF(I246="SIM",2,0)+IF(K246="SIM",2,0)+IF(AF246="SIM",2,0)+IF(OR(AN246="Dados pessoais",AN246="Dados sensíveis",AN246="Dados pessoais e sensíveis"),2,0)+IF(O246="De 1.001 a 10.000 titulares por mês",1,0)+IF(AA246="SIM",1,0)+IF(R246="SIM",1,0)+IF(AL246="SIM",1,0)+IF(AJ246="NÃO",1,0))&gt;=3),"DPIA indicado ou em avaliação em razão de: " &amp; TRIM(IF(I246="SIM","tratamento de dados sensíveis; ","") &amp; IF(K246="SIM","utilização de dados de menores; ","") &amp; IF(AF246="SIM","transferência internacional de dados; ","") &amp; IF(AL246="SIM","utilização de inteligência artificial; ","") &amp; IF(OR(AN246="Dados pessoais",AN246="Dados sensíveis",AN246="Dados pessoais e sensíveis"),"dados inseridos em IA; ","") &amp; IF(O246="Acima de 10.000 titulares por mês","volume crítico de titulares; ","") &amp; IF(O246="De 1.001 a 10.000 titulares por mês","volume moderado de titulares; ","") &amp; IF(AA246="SIM","compartilhamento com terceiros; ","") &amp; IF(R246="SIM","compartilhamento com órgãos governamentais; ","") &amp; IF(AJ246="NÃO","ausência de controle de acesso por perfil; ","")),"DPIA não indicado: Processo de baixa criticidade."))</f>
      </c>
    </row>
    <row x14ac:dyDescent="0.25" r="247" customHeight="1" ht="15.75">
      <c r="A247" s="46"/>
      <c r="B247" s="6"/>
      <c r="C247" s="11"/>
      <c r="D247" s="11"/>
      <c r="E247" s="11"/>
      <c r="F247" s="29"/>
      <c r="G247" s="11"/>
      <c r="H247" s="11"/>
      <c r="I247" s="29"/>
      <c r="J247" s="11"/>
      <c r="K247" s="29"/>
      <c r="L247" s="11"/>
      <c r="M247" s="11"/>
      <c r="N247" s="11"/>
      <c r="O247" s="29"/>
      <c r="P247" s="29"/>
      <c r="Q247" s="11"/>
      <c r="R247" s="29"/>
      <c r="S247" s="11"/>
      <c r="T247" s="6"/>
      <c r="U247" s="29"/>
      <c r="V247" s="11"/>
      <c r="W247" s="11"/>
      <c r="X247" s="29"/>
      <c r="Y247" s="11"/>
      <c r="Z247" s="29"/>
      <c r="AA247" s="29"/>
      <c r="AB247" s="11"/>
      <c r="AC247" s="11"/>
      <c r="AD247" s="29"/>
      <c r="AE247" s="11"/>
      <c r="AF247" s="29"/>
      <c r="AG247" s="11"/>
      <c r="AH247" s="29"/>
      <c r="AI247" s="11"/>
      <c r="AJ247" s="29"/>
      <c r="AK247" s="29"/>
      <c r="AL247" s="29"/>
      <c r="AM247" s="11"/>
      <c r="AN247" s="29"/>
      <c r="AO247" s="29"/>
      <c r="AP247" s="6"/>
      <c r="AQ247" s="113">
        <f>IF(AND(I247="",K247="",AF247="",AL247="",AN247="",O247=""),"",IF(OR(I247="SIM",K247="SIM",AF247="SIM",AL247="SIM",AN247="Dados pessoais",AN247="Dados sensíveis",AN247="Dados pessoais e sensíveis",O247="Acima de 10.000 titulares por mês"),"SIM - Alta criticidade",IF((IF(I247="SIM",2,0)+IF(K247="SIM",2,0)+IF(AF247="SIM",2,0)+IF(OR(AN247="Dados pessoais",AN247="Dados sensíveis",AN247="Dados pessoais e sensíveis"),2,0)+IF(O247="De 1.001 a 10.000 titulares por mês",1,0)+IF(AA247="SIM",1,0)+IF(R247="SIM",1,0)+IF(AL247="SIM",1,0)+IF(AJ247="NÃO",1,0))&gt;=5,"SIM - Alta criticidade",IF((IF(I247="SIM",2,0)+IF(K247="SIM",2,0)+IF(AF247="SIM",2,0)+IF(OR(AN247="Dados pessoais",AN247="Dados sensíveis",AN247="Dados pessoais e sensíveis"),2,0)+IF(O247="De 1.001 a 10.000 titulares por mês",1,0)+IF(AA247="SIM",1,0)+IF(R247="SIM",1,0)+IF(AL247="SIM",1,0)+IF(AJ247="NÃO",1,0))&gt;=3,"Avaliação necessária","NÃO"))))</f>
      </c>
      <c r="AR247" s="11"/>
      <c r="AS247" s="113">
        <f>IF(AND(I247="",K247="",AF247="",AL247="",AN247="",O247=""),"",IF(OR(I247="SIM",K247="SIM",AF247="SIM",AL247="SIM",OR(AN247="Dados pessoais",AN247="Dados sensíveis",AN247="Dados pessoais e sensíveis"),O247="Acima de 10.000 titulares por mês",(IF(I247="SIM",2,0)+IF(K247="SIM",2,0)+IF(AF247="SIM",2,0)+IF(OR(AN247="Dados pessoais",AN247="Dados sensíveis",AN247="Dados pessoais e sensíveis"),2,0)+IF(O247="De 1.001 a 10.000 titulares por mês",1,0)+IF(AA247="SIM",1,0)+IF(R247="SIM",1,0)+IF(AL247="SIM",1,0)+IF(AJ247="NÃO",1,0))&gt;=3),"DPIA indicado ou em avaliação em razão de: " &amp; TRIM(IF(I247="SIM","tratamento de dados sensíveis; ","") &amp; IF(K247="SIM","utilização de dados de menores; ","") &amp; IF(AF247="SIM","transferência internacional de dados; ","") &amp; IF(AL247="SIM","utilização de inteligência artificial; ","") &amp; IF(OR(AN247="Dados pessoais",AN247="Dados sensíveis",AN247="Dados pessoais e sensíveis"),"dados inseridos em IA; ","") &amp; IF(O247="Acima de 10.000 titulares por mês","volume crítico de titulares; ","") &amp; IF(O247="De 1.001 a 10.000 titulares por mês","volume moderado de titulares; ","") &amp; IF(AA247="SIM","compartilhamento com terceiros; ","") &amp; IF(R247="SIM","compartilhamento com órgãos governamentais; ","") &amp; IF(AJ247="NÃO","ausência de controle de acesso por perfil; ","")),"DPIA não indicado: Processo de baixa criticidade."))</f>
      </c>
    </row>
    <row x14ac:dyDescent="0.25" r="248" customHeight="1" ht="15.75">
      <c r="A248" s="46"/>
      <c r="B248" s="6"/>
      <c r="C248" s="11"/>
      <c r="D248" s="11"/>
      <c r="E248" s="11"/>
      <c r="F248" s="29"/>
      <c r="G248" s="11"/>
      <c r="H248" s="11"/>
      <c r="I248" s="29"/>
      <c r="J248" s="11"/>
      <c r="K248" s="29"/>
      <c r="L248" s="11"/>
      <c r="M248" s="11"/>
      <c r="N248" s="11"/>
      <c r="O248" s="29"/>
      <c r="P248" s="29"/>
      <c r="Q248" s="11"/>
      <c r="R248" s="29"/>
      <c r="S248" s="11"/>
      <c r="T248" s="6"/>
      <c r="U248" s="29"/>
      <c r="V248" s="11"/>
      <c r="W248" s="11"/>
      <c r="X248" s="29"/>
      <c r="Y248" s="11"/>
      <c r="Z248" s="29"/>
      <c r="AA248" s="29"/>
      <c r="AB248" s="11"/>
      <c r="AC248" s="11"/>
      <c r="AD248" s="29"/>
      <c r="AE248" s="11"/>
      <c r="AF248" s="29"/>
      <c r="AG248" s="11"/>
      <c r="AH248" s="29"/>
      <c r="AI248" s="11"/>
      <c r="AJ248" s="29"/>
      <c r="AK248" s="29"/>
      <c r="AL248" s="29"/>
      <c r="AM248" s="11"/>
      <c r="AN248" s="29"/>
      <c r="AO248" s="29"/>
      <c r="AP248" s="6"/>
      <c r="AQ248" s="113">
        <f>IF(AND(I248="",K248="",AF248="",AL248="",AN248="",O248=""),"",IF(OR(I248="SIM",K248="SIM",AF248="SIM",AL248="SIM",AN248="Dados pessoais",AN248="Dados sensíveis",AN248="Dados pessoais e sensíveis",O248="Acima de 10.000 titulares por mês"),"SIM - Alta criticidade",IF((IF(I248="SIM",2,0)+IF(K248="SIM",2,0)+IF(AF248="SIM",2,0)+IF(OR(AN248="Dados pessoais",AN248="Dados sensíveis",AN248="Dados pessoais e sensíveis"),2,0)+IF(O248="De 1.001 a 10.000 titulares por mês",1,0)+IF(AA248="SIM",1,0)+IF(R248="SIM",1,0)+IF(AL248="SIM",1,0)+IF(AJ248="NÃO",1,0))&gt;=5,"SIM - Alta criticidade",IF((IF(I248="SIM",2,0)+IF(K248="SIM",2,0)+IF(AF248="SIM",2,0)+IF(OR(AN248="Dados pessoais",AN248="Dados sensíveis",AN248="Dados pessoais e sensíveis"),2,0)+IF(O248="De 1.001 a 10.000 titulares por mês",1,0)+IF(AA248="SIM",1,0)+IF(R248="SIM",1,0)+IF(AL248="SIM",1,0)+IF(AJ248="NÃO",1,0))&gt;=3,"Avaliação necessária","NÃO"))))</f>
      </c>
      <c r="AR248" s="11"/>
      <c r="AS248" s="113">
        <f>IF(AND(I248="",K248="",AF248="",AL248="",AN248="",O248=""),"",IF(OR(I248="SIM",K248="SIM",AF248="SIM",AL248="SIM",OR(AN248="Dados pessoais",AN248="Dados sensíveis",AN248="Dados pessoais e sensíveis"),O248="Acima de 10.000 titulares por mês",(IF(I248="SIM",2,0)+IF(K248="SIM",2,0)+IF(AF248="SIM",2,0)+IF(OR(AN248="Dados pessoais",AN248="Dados sensíveis",AN248="Dados pessoais e sensíveis"),2,0)+IF(O248="De 1.001 a 10.000 titulares por mês",1,0)+IF(AA248="SIM",1,0)+IF(R248="SIM",1,0)+IF(AL248="SIM",1,0)+IF(AJ248="NÃO",1,0))&gt;=3),"DPIA indicado ou em avaliação em razão de: " &amp; TRIM(IF(I248="SIM","tratamento de dados sensíveis; ","") &amp; IF(K248="SIM","utilização de dados de menores; ","") &amp; IF(AF248="SIM","transferência internacional de dados; ","") &amp; IF(AL248="SIM","utilização de inteligência artificial; ","") &amp; IF(OR(AN248="Dados pessoais",AN248="Dados sensíveis",AN248="Dados pessoais e sensíveis"),"dados inseridos em IA; ","") &amp; IF(O248="Acima de 10.000 titulares por mês","volume crítico de titulares; ","") &amp; IF(O248="De 1.001 a 10.000 titulares por mês","volume moderado de titulares; ","") &amp; IF(AA248="SIM","compartilhamento com terceiros; ","") &amp; IF(R248="SIM","compartilhamento com órgãos governamentais; ","") &amp; IF(AJ248="NÃO","ausência de controle de acesso por perfil; ","")),"DPIA não indicado: Processo de baixa criticidade."))</f>
      </c>
    </row>
    <row x14ac:dyDescent="0.25" r="249" customHeight="1" ht="15.75">
      <c r="A249" s="46"/>
      <c r="B249" s="6"/>
      <c r="C249" s="11"/>
      <c r="D249" s="11"/>
      <c r="E249" s="11"/>
      <c r="F249" s="29"/>
      <c r="G249" s="11"/>
      <c r="H249" s="11"/>
      <c r="I249" s="29"/>
      <c r="J249" s="11"/>
      <c r="K249" s="29"/>
      <c r="L249" s="11"/>
      <c r="M249" s="11"/>
      <c r="N249" s="11"/>
      <c r="O249" s="29"/>
      <c r="P249" s="29"/>
      <c r="Q249" s="11"/>
      <c r="R249" s="29"/>
      <c r="S249" s="11"/>
      <c r="T249" s="6"/>
      <c r="U249" s="29"/>
      <c r="V249" s="11"/>
      <c r="W249" s="11"/>
      <c r="X249" s="29"/>
      <c r="Y249" s="11"/>
      <c r="Z249" s="29"/>
      <c r="AA249" s="29"/>
      <c r="AB249" s="11"/>
      <c r="AC249" s="11"/>
      <c r="AD249" s="29"/>
      <c r="AE249" s="11"/>
      <c r="AF249" s="29"/>
      <c r="AG249" s="11"/>
      <c r="AH249" s="29"/>
      <c r="AI249" s="11"/>
      <c r="AJ249" s="29"/>
      <c r="AK249" s="29"/>
      <c r="AL249" s="29"/>
      <c r="AM249" s="11"/>
      <c r="AN249" s="29"/>
      <c r="AO249" s="29"/>
      <c r="AP249" s="6"/>
      <c r="AQ249" s="113">
        <f>IF(AND(I249="",K249="",AF249="",AL249="",AN249="",O249=""),"",IF(OR(I249="SIM",K249="SIM",AF249="SIM",AL249="SIM",AN249="Dados pessoais",AN249="Dados sensíveis",AN249="Dados pessoais e sensíveis",O249="Acima de 10.000 titulares por mês"),"SIM - Alta criticidade",IF((IF(I249="SIM",2,0)+IF(K249="SIM",2,0)+IF(AF249="SIM",2,0)+IF(OR(AN249="Dados pessoais",AN249="Dados sensíveis",AN249="Dados pessoais e sensíveis"),2,0)+IF(O249="De 1.001 a 10.000 titulares por mês",1,0)+IF(AA249="SIM",1,0)+IF(R249="SIM",1,0)+IF(AL249="SIM",1,0)+IF(AJ249="NÃO",1,0))&gt;=5,"SIM - Alta criticidade",IF((IF(I249="SIM",2,0)+IF(K249="SIM",2,0)+IF(AF249="SIM",2,0)+IF(OR(AN249="Dados pessoais",AN249="Dados sensíveis",AN249="Dados pessoais e sensíveis"),2,0)+IF(O249="De 1.001 a 10.000 titulares por mês",1,0)+IF(AA249="SIM",1,0)+IF(R249="SIM",1,0)+IF(AL249="SIM",1,0)+IF(AJ249="NÃO",1,0))&gt;=3,"Avaliação necessária","NÃO"))))</f>
      </c>
      <c r="AR249" s="11"/>
      <c r="AS249" s="113">
        <f>IF(AND(I249="",K249="",AF249="",AL249="",AN249="",O249=""),"",IF(OR(I249="SIM",K249="SIM",AF249="SIM",AL249="SIM",OR(AN249="Dados pessoais",AN249="Dados sensíveis",AN249="Dados pessoais e sensíveis"),O249="Acima de 10.000 titulares por mês",(IF(I249="SIM",2,0)+IF(K249="SIM",2,0)+IF(AF249="SIM",2,0)+IF(OR(AN249="Dados pessoais",AN249="Dados sensíveis",AN249="Dados pessoais e sensíveis"),2,0)+IF(O249="De 1.001 a 10.000 titulares por mês",1,0)+IF(AA249="SIM",1,0)+IF(R249="SIM",1,0)+IF(AL249="SIM",1,0)+IF(AJ249="NÃO",1,0))&gt;=3),"DPIA indicado ou em avaliação em razão de: " &amp; TRIM(IF(I249="SIM","tratamento de dados sensíveis; ","") &amp; IF(K249="SIM","utilização de dados de menores; ","") &amp; IF(AF249="SIM","transferência internacional de dados; ","") &amp; IF(AL249="SIM","utilização de inteligência artificial; ","") &amp; IF(OR(AN249="Dados pessoais",AN249="Dados sensíveis",AN249="Dados pessoais e sensíveis"),"dados inseridos em IA; ","") &amp; IF(O249="Acima de 10.000 titulares por mês","volume crítico de titulares; ","") &amp; IF(O249="De 1.001 a 10.000 titulares por mês","volume moderado de titulares; ","") &amp; IF(AA249="SIM","compartilhamento com terceiros; ","") &amp; IF(R249="SIM","compartilhamento com órgãos governamentais; ","") &amp; IF(AJ249="NÃO","ausência de controle de acesso por perfil; ","")),"DPIA não indicado: Processo de baixa criticidade."))</f>
      </c>
    </row>
    <row x14ac:dyDescent="0.25" r="250" customHeight="1" ht="15.75">
      <c r="A250" s="46"/>
      <c r="B250" s="6"/>
      <c r="C250" s="11"/>
      <c r="D250" s="11"/>
      <c r="E250" s="11"/>
      <c r="F250" s="29"/>
      <c r="G250" s="11"/>
      <c r="H250" s="11"/>
      <c r="I250" s="29"/>
      <c r="J250" s="11"/>
      <c r="K250" s="29"/>
      <c r="L250" s="11"/>
      <c r="M250" s="11"/>
      <c r="N250" s="11"/>
      <c r="O250" s="29"/>
      <c r="P250" s="29"/>
      <c r="Q250" s="11"/>
      <c r="R250" s="29"/>
      <c r="S250" s="11"/>
      <c r="T250" s="6"/>
      <c r="U250" s="29"/>
      <c r="V250" s="11"/>
      <c r="W250" s="11"/>
      <c r="X250" s="29"/>
      <c r="Y250" s="11"/>
      <c r="Z250" s="29"/>
      <c r="AA250" s="29"/>
      <c r="AB250" s="11"/>
      <c r="AC250" s="11"/>
      <c r="AD250" s="29"/>
      <c r="AE250" s="11"/>
      <c r="AF250" s="29"/>
      <c r="AG250" s="11"/>
      <c r="AH250" s="29"/>
      <c r="AI250" s="11"/>
      <c r="AJ250" s="29"/>
      <c r="AK250" s="29"/>
      <c r="AL250" s="29"/>
      <c r="AM250" s="11"/>
      <c r="AN250" s="29"/>
      <c r="AO250" s="29"/>
      <c r="AP250" s="6"/>
      <c r="AQ250" s="113">
        <f>IF(AND(I250="",K250="",AF250="",AL250="",AN250="",O250=""),"",IF(OR(I250="SIM",K250="SIM",AF250="SIM",AL250="SIM",AN250="Dados pessoais",AN250="Dados sensíveis",AN250="Dados pessoais e sensíveis",O250="Acima de 10.000 titulares por mês"),"SIM - Alta criticidade",IF((IF(I250="SIM",2,0)+IF(K250="SIM",2,0)+IF(AF250="SIM",2,0)+IF(OR(AN250="Dados pessoais",AN250="Dados sensíveis",AN250="Dados pessoais e sensíveis"),2,0)+IF(O250="De 1.001 a 10.000 titulares por mês",1,0)+IF(AA250="SIM",1,0)+IF(R250="SIM",1,0)+IF(AL250="SIM",1,0)+IF(AJ250="NÃO",1,0))&gt;=5,"SIM - Alta criticidade",IF((IF(I250="SIM",2,0)+IF(K250="SIM",2,0)+IF(AF250="SIM",2,0)+IF(OR(AN250="Dados pessoais",AN250="Dados sensíveis",AN250="Dados pessoais e sensíveis"),2,0)+IF(O250="De 1.001 a 10.000 titulares por mês",1,0)+IF(AA250="SIM",1,0)+IF(R250="SIM",1,0)+IF(AL250="SIM",1,0)+IF(AJ250="NÃO",1,0))&gt;=3,"Avaliação necessária","NÃO"))))</f>
      </c>
      <c r="AR250" s="11"/>
      <c r="AS250" s="113">
        <f>IF(AND(I250="",K250="",AF250="",AL250="",AN250="",O250=""),"",IF(OR(I250="SIM",K250="SIM",AF250="SIM",AL250="SIM",OR(AN250="Dados pessoais",AN250="Dados sensíveis",AN250="Dados pessoais e sensíveis"),O250="Acima de 10.000 titulares por mês",(IF(I250="SIM",2,0)+IF(K250="SIM",2,0)+IF(AF250="SIM",2,0)+IF(OR(AN250="Dados pessoais",AN250="Dados sensíveis",AN250="Dados pessoais e sensíveis"),2,0)+IF(O250="De 1.001 a 10.000 titulares por mês",1,0)+IF(AA250="SIM",1,0)+IF(R250="SIM",1,0)+IF(AL250="SIM",1,0)+IF(AJ250="NÃO",1,0))&gt;=3),"DPIA indicado ou em avaliação em razão de: " &amp; TRIM(IF(I250="SIM","tratamento de dados sensíveis; ","") &amp; IF(K250="SIM","utilização de dados de menores; ","") &amp; IF(AF250="SIM","transferência internacional de dados; ","") &amp; IF(AL250="SIM","utilização de inteligência artificial; ","") &amp; IF(OR(AN250="Dados pessoais",AN250="Dados sensíveis",AN250="Dados pessoais e sensíveis"),"dados inseridos em IA; ","") &amp; IF(O250="Acima de 10.000 titulares por mês","volume crítico de titulares; ","") &amp; IF(O250="De 1.001 a 10.000 titulares por mês","volume moderado de titulares; ","") &amp; IF(AA250="SIM","compartilhamento com terceiros; ","") &amp; IF(R250="SIM","compartilhamento com órgãos governamentais; ","") &amp; IF(AJ250="NÃO","ausência de controle de acesso por perfil; ","")),"DPIA não indicado: Processo de baixa criticidade."))</f>
      </c>
    </row>
    <row x14ac:dyDescent="0.25" r="251" customHeight="1" ht="15.75">
      <c r="A251" s="46"/>
      <c r="B251" s="6"/>
      <c r="C251" s="11"/>
      <c r="D251" s="11"/>
      <c r="E251" s="11"/>
      <c r="F251" s="29"/>
      <c r="G251" s="11"/>
      <c r="H251" s="11"/>
      <c r="I251" s="29"/>
      <c r="J251" s="11"/>
      <c r="K251" s="29"/>
      <c r="L251" s="11"/>
      <c r="M251" s="11"/>
      <c r="N251" s="11"/>
      <c r="O251" s="29"/>
      <c r="P251" s="29"/>
      <c r="Q251" s="11"/>
      <c r="R251" s="29"/>
      <c r="S251" s="11"/>
      <c r="T251" s="6"/>
      <c r="U251" s="29"/>
      <c r="V251" s="11"/>
      <c r="W251" s="11"/>
      <c r="X251" s="29"/>
      <c r="Y251" s="11"/>
      <c r="Z251" s="29"/>
      <c r="AA251" s="29"/>
      <c r="AB251" s="11"/>
      <c r="AC251" s="11"/>
      <c r="AD251" s="29"/>
      <c r="AE251" s="11"/>
      <c r="AF251" s="29"/>
      <c r="AG251" s="11"/>
      <c r="AH251" s="29"/>
      <c r="AI251" s="11"/>
      <c r="AJ251" s="29"/>
      <c r="AK251" s="29"/>
      <c r="AL251" s="29"/>
      <c r="AM251" s="11"/>
      <c r="AN251" s="29"/>
      <c r="AO251" s="29"/>
      <c r="AP251" s="6"/>
      <c r="AQ251" s="113">
        <f>IF(AND(I251="",K251="",AF251="",AL251="",AN251="",O251=""),"",IF(OR(I251="SIM",K251="SIM",AF251="SIM",AL251="SIM",AN251="Dados pessoais",AN251="Dados sensíveis",AN251="Dados pessoais e sensíveis",O251="Acima de 10.000 titulares por mês"),"SIM - Alta criticidade",IF((IF(I251="SIM",2,0)+IF(K251="SIM",2,0)+IF(AF251="SIM",2,0)+IF(OR(AN251="Dados pessoais",AN251="Dados sensíveis",AN251="Dados pessoais e sensíveis"),2,0)+IF(O251="De 1.001 a 10.000 titulares por mês",1,0)+IF(AA251="SIM",1,0)+IF(R251="SIM",1,0)+IF(AL251="SIM",1,0)+IF(AJ251="NÃO",1,0))&gt;=5,"SIM - Alta criticidade",IF((IF(I251="SIM",2,0)+IF(K251="SIM",2,0)+IF(AF251="SIM",2,0)+IF(OR(AN251="Dados pessoais",AN251="Dados sensíveis",AN251="Dados pessoais e sensíveis"),2,0)+IF(O251="De 1.001 a 10.000 titulares por mês",1,0)+IF(AA251="SIM",1,0)+IF(R251="SIM",1,0)+IF(AL251="SIM",1,0)+IF(AJ251="NÃO",1,0))&gt;=3,"Avaliação necessária","NÃO"))))</f>
      </c>
      <c r="AR251" s="11"/>
      <c r="AS251" s="113">
        <f>IF(AND(I251="",K251="",AF251="",AL251="",AN251="",O251=""),"",IF(OR(I251="SIM",K251="SIM",AF251="SIM",AL251="SIM",OR(AN251="Dados pessoais",AN251="Dados sensíveis",AN251="Dados pessoais e sensíveis"),O251="Acima de 10.000 titulares por mês",(IF(I251="SIM",2,0)+IF(K251="SIM",2,0)+IF(AF251="SIM",2,0)+IF(OR(AN251="Dados pessoais",AN251="Dados sensíveis",AN251="Dados pessoais e sensíveis"),2,0)+IF(O251="De 1.001 a 10.000 titulares por mês",1,0)+IF(AA251="SIM",1,0)+IF(R251="SIM",1,0)+IF(AL251="SIM",1,0)+IF(AJ251="NÃO",1,0))&gt;=3),"DPIA indicado ou em avaliação em razão de: " &amp; TRIM(IF(I251="SIM","tratamento de dados sensíveis; ","") &amp; IF(K251="SIM","utilização de dados de menores; ","") &amp; IF(AF251="SIM","transferência internacional de dados; ","") &amp; IF(AL251="SIM","utilização de inteligência artificial; ","") &amp; IF(OR(AN251="Dados pessoais",AN251="Dados sensíveis",AN251="Dados pessoais e sensíveis"),"dados inseridos em IA; ","") &amp; IF(O251="Acima de 10.000 titulares por mês","volume crítico de titulares; ","") &amp; IF(O251="De 1.001 a 10.000 titulares por mês","volume moderado de titulares; ","") &amp; IF(AA251="SIM","compartilhamento com terceiros; ","") &amp; IF(R251="SIM","compartilhamento com órgãos governamentais; ","") &amp; IF(AJ251="NÃO","ausência de controle de acesso por perfil; ","")),"DPIA não indicado: Processo de baixa criticidade."))</f>
      </c>
    </row>
    <row x14ac:dyDescent="0.25" r="252" customHeight="1" ht="15.75">
      <c r="A252" s="46"/>
      <c r="B252" s="6"/>
      <c r="C252" s="11"/>
      <c r="D252" s="11"/>
      <c r="E252" s="11"/>
      <c r="F252" s="29"/>
      <c r="G252" s="11"/>
      <c r="H252" s="11"/>
      <c r="I252" s="29"/>
      <c r="J252" s="11"/>
      <c r="K252" s="29"/>
      <c r="L252" s="11"/>
      <c r="M252" s="11"/>
      <c r="N252" s="11"/>
      <c r="O252" s="29"/>
      <c r="P252" s="29"/>
      <c r="Q252" s="11"/>
      <c r="R252" s="29"/>
      <c r="S252" s="11"/>
      <c r="T252" s="6"/>
      <c r="U252" s="29"/>
      <c r="V252" s="11"/>
      <c r="W252" s="11"/>
      <c r="X252" s="29"/>
      <c r="Y252" s="11"/>
      <c r="Z252" s="29"/>
      <c r="AA252" s="29"/>
      <c r="AB252" s="11"/>
      <c r="AC252" s="11"/>
      <c r="AD252" s="29"/>
      <c r="AE252" s="11"/>
      <c r="AF252" s="29"/>
      <c r="AG252" s="11"/>
      <c r="AH252" s="29"/>
      <c r="AI252" s="11"/>
      <c r="AJ252" s="29"/>
      <c r="AK252" s="29"/>
      <c r="AL252" s="29"/>
      <c r="AM252" s="11"/>
      <c r="AN252" s="29"/>
      <c r="AO252" s="29"/>
      <c r="AP252" s="6"/>
      <c r="AQ252" s="113">
        <f>IF(AND(I252="",K252="",AF252="",AL252="",AN252="",O252=""),"",IF(OR(I252="SIM",K252="SIM",AF252="SIM",AL252="SIM",AN252="Dados pessoais",AN252="Dados sensíveis",AN252="Dados pessoais e sensíveis",O252="Acima de 10.000 titulares por mês"),"SIM - Alta criticidade",IF((IF(I252="SIM",2,0)+IF(K252="SIM",2,0)+IF(AF252="SIM",2,0)+IF(OR(AN252="Dados pessoais",AN252="Dados sensíveis",AN252="Dados pessoais e sensíveis"),2,0)+IF(O252="De 1.001 a 10.000 titulares por mês",1,0)+IF(AA252="SIM",1,0)+IF(R252="SIM",1,0)+IF(AL252="SIM",1,0)+IF(AJ252="NÃO",1,0))&gt;=5,"SIM - Alta criticidade",IF((IF(I252="SIM",2,0)+IF(K252="SIM",2,0)+IF(AF252="SIM",2,0)+IF(OR(AN252="Dados pessoais",AN252="Dados sensíveis",AN252="Dados pessoais e sensíveis"),2,0)+IF(O252="De 1.001 a 10.000 titulares por mês",1,0)+IF(AA252="SIM",1,0)+IF(R252="SIM",1,0)+IF(AL252="SIM",1,0)+IF(AJ252="NÃO",1,0))&gt;=3,"Avaliação necessária","NÃO"))))</f>
      </c>
      <c r="AR252" s="11"/>
      <c r="AS252" s="113">
        <f>IF(AND(I252="",K252="",AF252="",AL252="",AN252="",O252=""),"",IF(OR(I252="SIM",K252="SIM",AF252="SIM",AL252="SIM",OR(AN252="Dados pessoais",AN252="Dados sensíveis",AN252="Dados pessoais e sensíveis"),O252="Acima de 10.000 titulares por mês",(IF(I252="SIM",2,0)+IF(K252="SIM",2,0)+IF(AF252="SIM",2,0)+IF(OR(AN252="Dados pessoais",AN252="Dados sensíveis",AN252="Dados pessoais e sensíveis"),2,0)+IF(O252="De 1.001 a 10.000 titulares por mês",1,0)+IF(AA252="SIM",1,0)+IF(R252="SIM",1,0)+IF(AL252="SIM",1,0)+IF(AJ252="NÃO",1,0))&gt;=3),"DPIA indicado ou em avaliação em razão de: " &amp; TRIM(IF(I252="SIM","tratamento de dados sensíveis; ","") &amp; IF(K252="SIM","utilização de dados de menores; ","") &amp; IF(AF252="SIM","transferência internacional de dados; ","") &amp; IF(AL252="SIM","utilização de inteligência artificial; ","") &amp; IF(OR(AN252="Dados pessoais",AN252="Dados sensíveis",AN252="Dados pessoais e sensíveis"),"dados inseridos em IA; ","") &amp; IF(O252="Acima de 10.000 titulares por mês","volume crítico de titulares; ","") &amp; IF(O252="De 1.001 a 10.000 titulares por mês","volume moderado de titulares; ","") &amp; IF(AA252="SIM","compartilhamento com terceiros; ","") &amp; IF(R252="SIM","compartilhamento com órgãos governamentais; ","") &amp; IF(AJ252="NÃO","ausência de controle de acesso por perfil; ","")),"DPIA não indicado: Processo de baixa criticidade."))</f>
      </c>
    </row>
    <row x14ac:dyDescent="0.25" r="253" customHeight="1" ht="15.75">
      <c r="A253" s="46"/>
      <c r="B253" s="6"/>
      <c r="C253" s="11"/>
      <c r="D253" s="11"/>
      <c r="E253" s="11"/>
      <c r="F253" s="29"/>
      <c r="G253" s="11"/>
      <c r="H253" s="11"/>
      <c r="I253" s="29"/>
      <c r="J253" s="11"/>
      <c r="K253" s="29"/>
      <c r="L253" s="11"/>
      <c r="M253" s="11"/>
      <c r="N253" s="11"/>
      <c r="O253" s="29"/>
      <c r="P253" s="29"/>
      <c r="Q253" s="11"/>
      <c r="R253" s="29"/>
      <c r="S253" s="11"/>
      <c r="T253" s="6"/>
      <c r="U253" s="29"/>
      <c r="V253" s="11"/>
      <c r="W253" s="11"/>
      <c r="X253" s="29"/>
      <c r="Y253" s="11"/>
      <c r="Z253" s="29"/>
      <c r="AA253" s="29"/>
      <c r="AB253" s="11"/>
      <c r="AC253" s="11"/>
      <c r="AD253" s="29"/>
      <c r="AE253" s="11"/>
      <c r="AF253" s="29"/>
      <c r="AG253" s="11"/>
      <c r="AH253" s="29"/>
      <c r="AI253" s="11"/>
      <c r="AJ253" s="29"/>
      <c r="AK253" s="29"/>
      <c r="AL253" s="29"/>
      <c r="AM253" s="11"/>
      <c r="AN253" s="29"/>
      <c r="AO253" s="29"/>
      <c r="AP253" s="6"/>
      <c r="AQ253" s="113">
        <f>IF(AND(I253="",K253="",AF253="",AL253="",AN253="",O253=""),"",IF(OR(I253="SIM",K253="SIM",AF253="SIM",AL253="SIM",AN253="Dados pessoais",AN253="Dados sensíveis",AN253="Dados pessoais e sensíveis",O253="Acima de 10.000 titulares por mês"),"SIM - Alta criticidade",IF((IF(I253="SIM",2,0)+IF(K253="SIM",2,0)+IF(AF253="SIM",2,0)+IF(OR(AN253="Dados pessoais",AN253="Dados sensíveis",AN253="Dados pessoais e sensíveis"),2,0)+IF(O253="De 1.001 a 10.000 titulares por mês",1,0)+IF(AA253="SIM",1,0)+IF(R253="SIM",1,0)+IF(AL253="SIM",1,0)+IF(AJ253="NÃO",1,0))&gt;=5,"SIM - Alta criticidade",IF((IF(I253="SIM",2,0)+IF(K253="SIM",2,0)+IF(AF253="SIM",2,0)+IF(OR(AN253="Dados pessoais",AN253="Dados sensíveis",AN253="Dados pessoais e sensíveis"),2,0)+IF(O253="De 1.001 a 10.000 titulares por mês",1,0)+IF(AA253="SIM",1,0)+IF(R253="SIM",1,0)+IF(AL253="SIM",1,0)+IF(AJ253="NÃO",1,0))&gt;=3,"Avaliação necessária","NÃO"))))</f>
      </c>
      <c r="AR253" s="11"/>
      <c r="AS253" s="113">
        <f>IF(AND(I253="",K253="",AF253="",AL253="",AN253="",O253=""),"",IF(OR(I253="SIM",K253="SIM",AF253="SIM",AL253="SIM",OR(AN253="Dados pessoais",AN253="Dados sensíveis",AN253="Dados pessoais e sensíveis"),O253="Acima de 10.000 titulares por mês",(IF(I253="SIM",2,0)+IF(K253="SIM",2,0)+IF(AF253="SIM",2,0)+IF(OR(AN253="Dados pessoais",AN253="Dados sensíveis",AN253="Dados pessoais e sensíveis"),2,0)+IF(O253="De 1.001 a 10.000 titulares por mês",1,0)+IF(AA253="SIM",1,0)+IF(R253="SIM",1,0)+IF(AL253="SIM",1,0)+IF(AJ253="NÃO",1,0))&gt;=3),"DPIA indicado ou em avaliação em razão de: " &amp; TRIM(IF(I253="SIM","tratamento de dados sensíveis; ","") &amp; IF(K253="SIM","utilização de dados de menores; ","") &amp; IF(AF253="SIM","transferência internacional de dados; ","") &amp; IF(AL253="SIM","utilização de inteligência artificial; ","") &amp; IF(OR(AN253="Dados pessoais",AN253="Dados sensíveis",AN253="Dados pessoais e sensíveis"),"dados inseridos em IA; ","") &amp; IF(O253="Acima de 10.000 titulares por mês","volume crítico de titulares; ","") &amp; IF(O253="De 1.001 a 10.000 titulares por mês","volume moderado de titulares; ","") &amp; IF(AA253="SIM","compartilhamento com terceiros; ","") &amp; IF(R253="SIM","compartilhamento com órgãos governamentais; ","") &amp; IF(AJ253="NÃO","ausência de controle de acesso por perfil; ","")),"DPIA não indicado: Processo de baixa criticidade."))</f>
      </c>
    </row>
    <row x14ac:dyDescent="0.25" r="254" customHeight="1" ht="15.75">
      <c r="A254" s="46"/>
      <c r="B254" s="6"/>
      <c r="C254" s="11"/>
      <c r="D254" s="11"/>
      <c r="E254" s="11"/>
      <c r="F254" s="29"/>
      <c r="G254" s="11"/>
      <c r="H254" s="11"/>
      <c r="I254" s="29"/>
      <c r="J254" s="11"/>
      <c r="K254" s="29"/>
      <c r="L254" s="11"/>
      <c r="M254" s="11"/>
      <c r="N254" s="11"/>
      <c r="O254" s="29"/>
      <c r="P254" s="29"/>
      <c r="Q254" s="11"/>
      <c r="R254" s="29"/>
      <c r="S254" s="11"/>
      <c r="T254" s="6"/>
      <c r="U254" s="29"/>
      <c r="V254" s="11"/>
      <c r="W254" s="11"/>
      <c r="X254" s="29"/>
      <c r="Y254" s="11"/>
      <c r="Z254" s="29"/>
      <c r="AA254" s="29"/>
      <c r="AB254" s="11"/>
      <c r="AC254" s="11"/>
      <c r="AD254" s="29"/>
      <c r="AE254" s="11"/>
      <c r="AF254" s="29"/>
      <c r="AG254" s="11"/>
      <c r="AH254" s="29"/>
      <c r="AI254" s="11"/>
      <c r="AJ254" s="29"/>
      <c r="AK254" s="29"/>
      <c r="AL254" s="29"/>
      <c r="AM254" s="11"/>
      <c r="AN254" s="29"/>
      <c r="AO254" s="29"/>
      <c r="AP254" s="6"/>
      <c r="AQ254" s="113">
        <f>IF(AND(I254="",K254="",AF254="",AL254="",AN254="",O254=""),"",IF(OR(I254="SIM",K254="SIM",AF254="SIM",AL254="SIM",AN254="Dados pessoais",AN254="Dados sensíveis",AN254="Dados pessoais e sensíveis",O254="Acima de 10.000 titulares por mês"),"SIM - Alta criticidade",IF((IF(I254="SIM",2,0)+IF(K254="SIM",2,0)+IF(AF254="SIM",2,0)+IF(OR(AN254="Dados pessoais",AN254="Dados sensíveis",AN254="Dados pessoais e sensíveis"),2,0)+IF(O254="De 1.001 a 10.000 titulares por mês",1,0)+IF(AA254="SIM",1,0)+IF(R254="SIM",1,0)+IF(AL254="SIM",1,0)+IF(AJ254="NÃO",1,0))&gt;=5,"SIM - Alta criticidade",IF((IF(I254="SIM",2,0)+IF(K254="SIM",2,0)+IF(AF254="SIM",2,0)+IF(OR(AN254="Dados pessoais",AN254="Dados sensíveis",AN254="Dados pessoais e sensíveis"),2,0)+IF(O254="De 1.001 a 10.000 titulares por mês",1,0)+IF(AA254="SIM",1,0)+IF(R254="SIM",1,0)+IF(AL254="SIM",1,0)+IF(AJ254="NÃO",1,0))&gt;=3,"Avaliação necessária","NÃO"))))</f>
      </c>
      <c r="AR254" s="11"/>
      <c r="AS254" s="113">
        <f>IF(AND(I254="",K254="",AF254="",AL254="",AN254="",O254=""),"",IF(OR(I254="SIM",K254="SIM",AF254="SIM",AL254="SIM",OR(AN254="Dados pessoais",AN254="Dados sensíveis",AN254="Dados pessoais e sensíveis"),O254="Acima de 10.000 titulares por mês",(IF(I254="SIM",2,0)+IF(K254="SIM",2,0)+IF(AF254="SIM",2,0)+IF(OR(AN254="Dados pessoais",AN254="Dados sensíveis",AN254="Dados pessoais e sensíveis"),2,0)+IF(O254="De 1.001 a 10.000 titulares por mês",1,0)+IF(AA254="SIM",1,0)+IF(R254="SIM",1,0)+IF(AL254="SIM",1,0)+IF(AJ254="NÃO",1,0))&gt;=3),"DPIA indicado ou em avaliação em razão de: " &amp; TRIM(IF(I254="SIM","tratamento de dados sensíveis; ","") &amp; IF(K254="SIM","utilização de dados de menores; ","") &amp; IF(AF254="SIM","transferência internacional de dados; ","") &amp; IF(AL254="SIM","utilização de inteligência artificial; ","") &amp; IF(OR(AN254="Dados pessoais",AN254="Dados sensíveis",AN254="Dados pessoais e sensíveis"),"dados inseridos em IA; ","") &amp; IF(O254="Acima de 10.000 titulares por mês","volume crítico de titulares; ","") &amp; IF(O254="De 1.001 a 10.000 titulares por mês","volume moderado de titulares; ","") &amp; IF(AA254="SIM","compartilhamento com terceiros; ","") &amp; IF(R254="SIM","compartilhamento com órgãos governamentais; ","") &amp; IF(AJ254="NÃO","ausência de controle de acesso por perfil; ","")),"DPIA não indicado: Processo de baixa criticidade."))</f>
      </c>
    </row>
    <row x14ac:dyDescent="0.25" r="255" customHeight="1" ht="15.75">
      <c r="A255" s="46"/>
      <c r="B255" s="6"/>
      <c r="C255" s="11"/>
      <c r="D255" s="11"/>
      <c r="E255" s="11"/>
      <c r="F255" s="29"/>
      <c r="G255" s="11"/>
      <c r="H255" s="11"/>
      <c r="I255" s="29"/>
      <c r="J255" s="11"/>
      <c r="K255" s="29"/>
      <c r="L255" s="11"/>
      <c r="M255" s="11"/>
      <c r="N255" s="11"/>
      <c r="O255" s="29"/>
      <c r="P255" s="29"/>
      <c r="Q255" s="11"/>
      <c r="R255" s="29"/>
      <c r="S255" s="11"/>
      <c r="T255" s="6"/>
      <c r="U255" s="29"/>
      <c r="V255" s="11"/>
      <c r="W255" s="11"/>
      <c r="X255" s="29"/>
      <c r="Y255" s="11"/>
      <c r="Z255" s="29"/>
      <c r="AA255" s="29"/>
      <c r="AB255" s="11"/>
      <c r="AC255" s="11"/>
      <c r="AD255" s="29"/>
      <c r="AE255" s="11"/>
      <c r="AF255" s="29"/>
      <c r="AG255" s="11"/>
      <c r="AH255" s="29"/>
      <c r="AI255" s="11"/>
      <c r="AJ255" s="29"/>
      <c r="AK255" s="29"/>
      <c r="AL255" s="29"/>
      <c r="AM255" s="11"/>
      <c r="AN255" s="29"/>
      <c r="AO255" s="29"/>
      <c r="AP255" s="6"/>
      <c r="AQ255" s="113">
        <f>IF(AND(I255="",K255="",AF255="",AL255="",AN255="",O255=""),"",IF(OR(I255="SIM",K255="SIM",AF255="SIM",AL255="SIM",AN255="Dados pessoais",AN255="Dados sensíveis",AN255="Dados pessoais e sensíveis",O255="Acima de 10.000 titulares por mês"),"SIM - Alta criticidade",IF((IF(I255="SIM",2,0)+IF(K255="SIM",2,0)+IF(AF255="SIM",2,0)+IF(OR(AN255="Dados pessoais",AN255="Dados sensíveis",AN255="Dados pessoais e sensíveis"),2,0)+IF(O255="De 1.001 a 10.000 titulares por mês",1,0)+IF(AA255="SIM",1,0)+IF(R255="SIM",1,0)+IF(AL255="SIM",1,0)+IF(AJ255="NÃO",1,0))&gt;=5,"SIM - Alta criticidade",IF((IF(I255="SIM",2,0)+IF(K255="SIM",2,0)+IF(AF255="SIM",2,0)+IF(OR(AN255="Dados pessoais",AN255="Dados sensíveis",AN255="Dados pessoais e sensíveis"),2,0)+IF(O255="De 1.001 a 10.000 titulares por mês",1,0)+IF(AA255="SIM",1,0)+IF(R255="SIM",1,0)+IF(AL255="SIM",1,0)+IF(AJ255="NÃO",1,0))&gt;=3,"Avaliação necessária","NÃO"))))</f>
      </c>
      <c r="AR255" s="11"/>
      <c r="AS255" s="113">
        <f>IF(AND(I255="",K255="",AF255="",AL255="",AN255="",O255=""),"",IF(OR(I255="SIM",K255="SIM",AF255="SIM",AL255="SIM",OR(AN255="Dados pessoais",AN255="Dados sensíveis",AN255="Dados pessoais e sensíveis"),O255="Acima de 10.000 titulares por mês",(IF(I255="SIM",2,0)+IF(K255="SIM",2,0)+IF(AF255="SIM",2,0)+IF(OR(AN255="Dados pessoais",AN255="Dados sensíveis",AN255="Dados pessoais e sensíveis"),2,0)+IF(O255="De 1.001 a 10.000 titulares por mês",1,0)+IF(AA255="SIM",1,0)+IF(R255="SIM",1,0)+IF(AL255="SIM",1,0)+IF(AJ255="NÃO",1,0))&gt;=3),"DPIA indicado ou em avaliação em razão de: " &amp; TRIM(IF(I255="SIM","tratamento de dados sensíveis; ","") &amp; IF(K255="SIM","utilização de dados de menores; ","") &amp; IF(AF255="SIM","transferência internacional de dados; ","") &amp; IF(AL255="SIM","utilização de inteligência artificial; ","") &amp; IF(OR(AN255="Dados pessoais",AN255="Dados sensíveis",AN255="Dados pessoais e sensíveis"),"dados inseridos em IA; ","") &amp; IF(O255="Acima de 10.000 titulares por mês","volume crítico de titulares; ","") &amp; IF(O255="De 1.001 a 10.000 titulares por mês","volume moderado de titulares; ","") &amp; IF(AA255="SIM","compartilhamento com terceiros; ","") &amp; IF(R255="SIM","compartilhamento com órgãos governamentais; ","") &amp; IF(AJ255="NÃO","ausência de controle de acesso por perfil; ","")),"DPIA não indicado: Processo de baixa criticidade."))</f>
      </c>
    </row>
    <row x14ac:dyDescent="0.25" r="256" customHeight="1" ht="15.75">
      <c r="A256" s="46"/>
      <c r="B256" s="6"/>
      <c r="C256" s="11"/>
      <c r="D256" s="11"/>
      <c r="E256" s="11"/>
      <c r="F256" s="29"/>
      <c r="G256" s="11"/>
      <c r="H256" s="11"/>
      <c r="I256" s="29"/>
      <c r="J256" s="11"/>
      <c r="K256" s="29"/>
      <c r="L256" s="11"/>
      <c r="M256" s="11"/>
      <c r="N256" s="11"/>
      <c r="O256" s="29"/>
      <c r="P256" s="29"/>
      <c r="Q256" s="11"/>
      <c r="R256" s="29"/>
      <c r="S256" s="11"/>
      <c r="T256" s="6"/>
      <c r="U256" s="29"/>
      <c r="V256" s="11"/>
      <c r="W256" s="11"/>
      <c r="X256" s="29"/>
      <c r="Y256" s="11"/>
      <c r="Z256" s="29"/>
      <c r="AA256" s="29"/>
      <c r="AB256" s="11"/>
      <c r="AC256" s="11"/>
      <c r="AD256" s="29"/>
      <c r="AE256" s="11"/>
      <c r="AF256" s="29"/>
      <c r="AG256" s="11"/>
      <c r="AH256" s="29"/>
      <c r="AI256" s="11"/>
      <c r="AJ256" s="29"/>
      <c r="AK256" s="29"/>
      <c r="AL256" s="29"/>
      <c r="AM256" s="11"/>
      <c r="AN256" s="29"/>
      <c r="AO256" s="29"/>
      <c r="AP256" s="6"/>
      <c r="AQ256" s="113">
        <f>IF(AND(I256="",K256="",AF256="",AL256="",AN256="",O256=""),"",IF(OR(I256="SIM",K256="SIM",AF256="SIM",AL256="SIM",AN256="Dados pessoais",AN256="Dados sensíveis",AN256="Dados pessoais e sensíveis",O256="Acima de 10.000 titulares por mês"),"SIM - Alta criticidade",IF((IF(I256="SIM",2,0)+IF(K256="SIM",2,0)+IF(AF256="SIM",2,0)+IF(OR(AN256="Dados pessoais",AN256="Dados sensíveis",AN256="Dados pessoais e sensíveis"),2,0)+IF(O256="De 1.001 a 10.000 titulares por mês",1,0)+IF(AA256="SIM",1,0)+IF(R256="SIM",1,0)+IF(AL256="SIM",1,0)+IF(AJ256="NÃO",1,0))&gt;=5,"SIM - Alta criticidade",IF((IF(I256="SIM",2,0)+IF(K256="SIM",2,0)+IF(AF256="SIM",2,0)+IF(OR(AN256="Dados pessoais",AN256="Dados sensíveis",AN256="Dados pessoais e sensíveis"),2,0)+IF(O256="De 1.001 a 10.000 titulares por mês",1,0)+IF(AA256="SIM",1,0)+IF(R256="SIM",1,0)+IF(AL256="SIM",1,0)+IF(AJ256="NÃO",1,0))&gt;=3,"Avaliação necessária","NÃO"))))</f>
      </c>
      <c r="AR256" s="11"/>
      <c r="AS256" s="113">
        <f>IF(AND(I256="",K256="",AF256="",AL256="",AN256="",O256=""),"",IF(OR(I256="SIM",K256="SIM",AF256="SIM",AL256="SIM",OR(AN256="Dados pessoais",AN256="Dados sensíveis",AN256="Dados pessoais e sensíveis"),O256="Acima de 10.000 titulares por mês",(IF(I256="SIM",2,0)+IF(K256="SIM",2,0)+IF(AF256="SIM",2,0)+IF(OR(AN256="Dados pessoais",AN256="Dados sensíveis",AN256="Dados pessoais e sensíveis"),2,0)+IF(O256="De 1.001 a 10.000 titulares por mês",1,0)+IF(AA256="SIM",1,0)+IF(R256="SIM",1,0)+IF(AL256="SIM",1,0)+IF(AJ256="NÃO",1,0))&gt;=3),"DPIA indicado ou em avaliação em razão de: " &amp; TRIM(IF(I256="SIM","tratamento de dados sensíveis; ","") &amp; IF(K256="SIM","utilização de dados de menores; ","") &amp; IF(AF256="SIM","transferência internacional de dados; ","") &amp; IF(AL256="SIM","utilização de inteligência artificial; ","") &amp; IF(OR(AN256="Dados pessoais",AN256="Dados sensíveis",AN256="Dados pessoais e sensíveis"),"dados inseridos em IA; ","") &amp; IF(O256="Acima de 10.000 titulares por mês","volume crítico de titulares; ","") &amp; IF(O256="De 1.001 a 10.000 titulares por mês","volume moderado de titulares; ","") &amp; IF(AA256="SIM","compartilhamento com terceiros; ","") &amp; IF(R256="SIM","compartilhamento com órgãos governamentais; ","") &amp; IF(AJ256="NÃO","ausência de controle de acesso por perfil; ","")),"DPIA não indicado: Processo de baixa criticidade."))</f>
      </c>
    </row>
    <row x14ac:dyDescent="0.25" r="257" customHeight="1" ht="15.75">
      <c r="A257" s="46"/>
      <c r="B257" s="6"/>
      <c r="C257" s="11"/>
      <c r="D257" s="11"/>
      <c r="E257" s="11"/>
      <c r="F257" s="29"/>
      <c r="G257" s="11"/>
      <c r="H257" s="11"/>
      <c r="I257" s="29"/>
      <c r="J257" s="11"/>
      <c r="K257" s="29"/>
      <c r="L257" s="11"/>
      <c r="M257" s="11"/>
      <c r="N257" s="11"/>
      <c r="O257" s="29"/>
      <c r="P257" s="29"/>
      <c r="Q257" s="11"/>
      <c r="R257" s="29"/>
      <c r="S257" s="11"/>
      <c r="T257" s="6"/>
      <c r="U257" s="29"/>
      <c r="V257" s="11"/>
      <c r="W257" s="11"/>
      <c r="X257" s="29"/>
      <c r="Y257" s="11"/>
      <c r="Z257" s="29"/>
      <c r="AA257" s="29"/>
      <c r="AB257" s="11"/>
      <c r="AC257" s="11"/>
      <c r="AD257" s="29"/>
      <c r="AE257" s="11"/>
      <c r="AF257" s="29"/>
      <c r="AG257" s="11"/>
      <c r="AH257" s="29"/>
      <c r="AI257" s="11"/>
      <c r="AJ257" s="29"/>
      <c r="AK257" s="29"/>
      <c r="AL257" s="29"/>
      <c r="AM257" s="11"/>
      <c r="AN257" s="29"/>
      <c r="AO257" s="29"/>
      <c r="AP257" s="6"/>
      <c r="AQ257" s="113">
        <f>IF(AND(I257="",K257="",AF257="",AL257="",AN257="",O257=""),"",IF(OR(I257="SIM",K257="SIM",AF257="SIM",AL257="SIM",AN257="Dados pessoais",AN257="Dados sensíveis",AN257="Dados pessoais e sensíveis",O257="Acima de 10.000 titulares por mês"),"SIM - Alta criticidade",IF((IF(I257="SIM",2,0)+IF(K257="SIM",2,0)+IF(AF257="SIM",2,0)+IF(OR(AN257="Dados pessoais",AN257="Dados sensíveis",AN257="Dados pessoais e sensíveis"),2,0)+IF(O257="De 1.001 a 10.000 titulares por mês",1,0)+IF(AA257="SIM",1,0)+IF(R257="SIM",1,0)+IF(AL257="SIM",1,0)+IF(AJ257="NÃO",1,0))&gt;=5,"SIM - Alta criticidade",IF((IF(I257="SIM",2,0)+IF(K257="SIM",2,0)+IF(AF257="SIM",2,0)+IF(OR(AN257="Dados pessoais",AN257="Dados sensíveis",AN257="Dados pessoais e sensíveis"),2,0)+IF(O257="De 1.001 a 10.000 titulares por mês",1,0)+IF(AA257="SIM",1,0)+IF(R257="SIM",1,0)+IF(AL257="SIM",1,0)+IF(AJ257="NÃO",1,0))&gt;=3,"Avaliação necessária","NÃO"))))</f>
      </c>
      <c r="AR257" s="11"/>
      <c r="AS257" s="113">
        <f>IF(AND(I257="",K257="",AF257="",AL257="",AN257="",O257=""),"",IF(OR(I257="SIM",K257="SIM",AF257="SIM",AL257="SIM",OR(AN257="Dados pessoais",AN257="Dados sensíveis",AN257="Dados pessoais e sensíveis"),O257="Acima de 10.000 titulares por mês",(IF(I257="SIM",2,0)+IF(K257="SIM",2,0)+IF(AF257="SIM",2,0)+IF(OR(AN257="Dados pessoais",AN257="Dados sensíveis",AN257="Dados pessoais e sensíveis"),2,0)+IF(O257="De 1.001 a 10.000 titulares por mês",1,0)+IF(AA257="SIM",1,0)+IF(R257="SIM",1,0)+IF(AL257="SIM",1,0)+IF(AJ257="NÃO",1,0))&gt;=3),"DPIA indicado ou em avaliação em razão de: " &amp; TRIM(IF(I257="SIM","tratamento de dados sensíveis; ","") &amp; IF(K257="SIM","utilização de dados de menores; ","") &amp; IF(AF257="SIM","transferência internacional de dados; ","") &amp; IF(AL257="SIM","utilização de inteligência artificial; ","") &amp; IF(OR(AN257="Dados pessoais",AN257="Dados sensíveis",AN257="Dados pessoais e sensíveis"),"dados inseridos em IA; ","") &amp; IF(O257="Acima de 10.000 titulares por mês","volume crítico de titulares; ","") &amp; IF(O257="De 1.001 a 10.000 titulares por mês","volume moderado de titulares; ","") &amp; IF(AA257="SIM","compartilhamento com terceiros; ","") &amp; IF(R257="SIM","compartilhamento com órgãos governamentais; ","") &amp; IF(AJ257="NÃO","ausência de controle de acesso por perfil; ","")),"DPIA não indicado: Processo de baixa criticidade."))</f>
      </c>
    </row>
    <row x14ac:dyDescent="0.25" r="258" customHeight="1" ht="15.75">
      <c r="A258" s="46"/>
      <c r="B258" s="6"/>
      <c r="C258" s="11"/>
      <c r="D258" s="11"/>
      <c r="E258" s="11"/>
      <c r="F258" s="29"/>
      <c r="G258" s="11"/>
      <c r="H258" s="11"/>
      <c r="I258" s="29"/>
      <c r="J258" s="11"/>
      <c r="K258" s="29"/>
      <c r="L258" s="11"/>
      <c r="M258" s="11"/>
      <c r="N258" s="11"/>
      <c r="O258" s="29"/>
      <c r="P258" s="29"/>
      <c r="Q258" s="11"/>
      <c r="R258" s="29"/>
      <c r="S258" s="11"/>
      <c r="T258" s="6"/>
      <c r="U258" s="29"/>
      <c r="V258" s="11"/>
      <c r="W258" s="11"/>
      <c r="X258" s="29"/>
      <c r="Y258" s="11"/>
      <c r="Z258" s="29"/>
      <c r="AA258" s="29"/>
      <c r="AB258" s="11"/>
      <c r="AC258" s="11"/>
      <c r="AD258" s="29"/>
      <c r="AE258" s="11"/>
      <c r="AF258" s="29"/>
      <c r="AG258" s="11"/>
      <c r="AH258" s="29"/>
      <c r="AI258" s="11"/>
      <c r="AJ258" s="29"/>
      <c r="AK258" s="29"/>
      <c r="AL258" s="29"/>
      <c r="AM258" s="11"/>
      <c r="AN258" s="29"/>
      <c r="AO258" s="29"/>
      <c r="AP258" s="6"/>
      <c r="AQ258" s="113">
        <f>IF(AND(I258="",K258="",AF258="",AL258="",AN258="",O258=""),"",IF(OR(I258="SIM",K258="SIM",AF258="SIM",AL258="SIM",AN258="Dados pessoais",AN258="Dados sensíveis",AN258="Dados pessoais e sensíveis",O258="Acima de 10.000 titulares por mês"),"SIM - Alta criticidade",IF((IF(I258="SIM",2,0)+IF(K258="SIM",2,0)+IF(AF258="SIM",2,0)+IF(OR(AN258="Dados pessoais",AN258="Dados sensíveis",AN258="Dados pessoais e sensíveis"),2,0)+IF(O258="De 1.001 a 10.000 titulares por mês",1,0)+IF(AA258="SIM",1,0)+IF(R258="SIM",1,0)+IF(AL258="SIM",1,0)+IF(AJ258="NÃO",1,0))&gt;=5,"SIM - Alta criticidade",IF((IF(I258="SIM",2,0)+IF(K258="SIM",2,0)+IF(AF258="SIM",2,0)+IF(OR(AN258="Dados pessoais",AN258="Dados sensíveis",AN258="Dados pessoais e sensíveis"),2,0)+IF(O258="De 1.001 a 10.000 titulares por mês",1,0)+IF(AA258="SIM",1,0)+IF(R258="SIM",1,0)+IF(AL258="SIM",1,0)+IF(AJ258="NÃO",1,0))&gt;=3,"Avaliação necessária","NÃO"))))</f>
      </c>
      <c r="AR258" s="11"/>
      <c r="AS258" s="113">
        <f>IF(AND(I258="",K258="",AF258="",AL258="",AN258="",O258=""),"",IF(OR(I258="SIM",K258="SIM",AF258="SIM",AL258="SIM",OR(AN258="Dados pessoais",AN258="Dados sensíveis",AN258="Dados pessoais e sensíveis"),O258="Acima de 10.000 titulares por mês",(IF(I258="SIM",2,0)+IF(K258="SIM",2,0)+IF(AF258="SIM",2,0)+IF(OR(AN258="Dados pessoais",AN258="Dados sensíveis",AN258="Dados pessoais e sensíveis"),2,0)+IF(O258="De 1.001 a 10.000 titulares por mês",1,0)+IF(AA258="SIM",1,0)+IF(R258="SIM",1,0)+IF(AL258="SIM",1,0)+IF(AJ258="NÃO",1,0))&gt;=3),"DPIA indicado ou em avaliação em razão de: " &amp; TRIM(IF(I258="SIM","tratamento de dados sensíveis; ","") &amp; IF(K258="SIM","utilização de dados de menores; ","") &amp; IF(AF258="SIM","transferência internacional de dados; ","") &amp; IF(AL258="SIM","utilização de inteligência artificial; ","") &amp; IF(OR(AN258="Dados pessoais",AN258="Dados sensíveis",AN258="Dados pessoais e sensíveis"),"dados inseridos em IA; ","") &amp; IF(O258="Acima de 10.000 titulares por mês","volume crítico de titulares; ","") &amp; IF(O258="De 1.001 a 10.000 titulares por mês","volume moderado de titulares; ","") &amp; IF(AA258="SIM","compartilhamento com terceiros; ","") &amp; IF(R258="SIM","compartilhamento com órgãos governamentais; ","") &amp; IF(AJ258="NÃO","ausência de controle de acesso por perfil; ","")),"DPIA não indicado: Processo de baixa criticidade."))</f>
      </c>
    </row>
    <row x14ac:dyDescent="0.25" r="259" customHeight="1" ht="15.75">
      <c r="A259" s="46"/>
      <c r="B259" s="6"/>
      <c r="C259" s="11"/>
      <c r="D259" s="11"/>
      <c r="E259" s="11"/>
      <c r="F259" s="29"/>
      <c r="G259" s="11"/>
      <c r="H259" s="11"/>
      <c r="I259" s="29"/>
      <c r="J259" s="11"/>
      <c r="K259" s="29"/>
      <c r="L259" s="11"/>
      <c r="M259" s="11"/>
      <c r="N259" s="11"/>
      <c r="O259" s="29"/>
      <c r="P259" s="29"/>
      <c r="Q259" s="11"/>
      <c r="R259" s="29"/>
      <c r="S259" s="11"/>
      <c r="T259" s="6"/>
      <c r="U259" s="29"/>
      <c r="V259" s="11"/>
      <c r="W259" s="11"/>
      <c r="X259" s="29"/>
      <c r="Y259" s="11"/>
      <c r="Z259" s="29"/>
      <c r="AA259" s="29"/>
      <c r="AB259" s="11"/>
      <c r="AC259" s="11"/>
      <c r="AD259" s="29"/>
      <c r="AE259" s="11"/>
      <c r="AF259" s="29"/>
      <c r="AG259" s="11"/>
      <c r="AH259" s="29"/>
      <c r="AI259" s="11"/>
      <c r="AJ259" s="29"/>
      <c r="AK259" s="29"/>
      <c r="AL259" s="29"/>
      <c r="AM259" s="11"/>
      <c r="AN259" s="29"/>
      <c r="AO259" s="29"/>
      <c r="AP259" s="6"/>
      <c r="AQ259" s="113">
        <f>IF(AND(I259="",K259="",AF259="",AL259="",AN259="",O259=""),"",IF(OR(I259="SIM",K259="SIM",AF259="SIM",AL259="SIM",AN259="Dados pessoais",AN259="Dados sensíveis",AN259="Dados pessoais e sensíveis",O259="Acima de 10.000 titulares por mês"),"SIM - Alta criticidade",IF((IF(I259="SIM",2,0)+IF(K259="SIM",2,0)+IF(AF259="SIM",2,0)+IF(OR(AN259="Dados pessoais",AN259="Dados sensíveis",AN259="Dados pessoais e sensíveis"),2,0)+IF(O259="De 1.001 a 10.000 titulares por mês",1,0)+IF(AA259="SIM",1,0)+IF(R259="SIM",1,0)+IF(AL259="SIM",1,0)+IF(AJ259="NÃO",1,0))&gt;=5,"SIM - Alta criticidade",IF((IF(I259="SIM",2,0)+IF(K259="SIM",2,0)+IF(AF259="SIM",2,0)+IF(OR(AN259="Dados pessoais",AN259="Dados sensíveis",AN259="Dados pessoais e sensíveis"),2,0)+IF(O259="De 1.001 a 10.000 titulares por mês",1,0)+IF(AA259="SIM",1,0)+IF(R259="SIM",1,0)+IF(AL259="SIM",1,0)+IF(AJ259="NÃO",1,0))&gt;=3,"Avaliação necessária","NÃO"))))</f>
      </c>
      <c r="AR259" s="11"/>
      <c r="AS259" s="113">
        <f>IF(AND(I259="",K259="",AF259="",AL259="",AN259="",O259=""),"",IF(OR(I259="SIM",K259="SIM",AF259="SIM",AL259="SIM",OR(AN259="Dados pessoais",AN259="Dados sensíveis",AN259="Dados pessoais e sensíveis"),O259="Acima de 10.000 titulares por mês",(IF(I259="SIM",2,0)+IF(K259="SIM",2,0)+IF(AF259="SIM",2,0)+IF(OR(AN259="Dados pessoais",AN259="Dados sensíveis",AN259="Dados pessoais e sensíveis"),2,0)+IF(O259="De 1.001 a 10.000 titulares por mês",1,0)+IF(AA259="SIM",1,0)+IF(R259="SIM",1,0)+IF(AL259="SIM",1,0)+IF(AJ259="NÃO",1,0))&gt;=3),"DPIA indicado ou em avaliação em razão de: " &amp; TRIM(IF(I259="SIM","tratamento de dados sensíveis; ","") &amp; IF(K259="SIM","utilização de dados de menores; ","") &amp; IF(AF259="SIM","transferência internacional de dados; ","") &amp; IF(AL259="SIM","utilização de inteligência artificial; ","") &amp; IF(OR(AN259="Dados pessoais",AN259="Dados sensíveis",AN259="Dados pessoais e sensíveis"),"dados inseridos em IA; ","") &amp; IF(O259="Acima de 10.000 titulares por mês","volume crítico de titulares; ","") &amp; IF(O259="De 1.001 a 10.000 titulares por mês","volume moderado de titulares; ","") &amp; IF(AA259="SIM","compartilhamento com terceiros; ","") &amp; IF(R259="SIM","compartilhamento com órgãos governamentais; ","") &amp; IF(AJ259="NÃO","ausência de controle de acesso por perfil; ","")),"DPIA não indicado: Processo de baixa criticidade."))</f>
      </c>
    </row>
    <row x14ac:dyDescent="0.25" r="260" customHeight="1" ht="15.75">
      <c r="A260" s="46"/>
      <c r="B260" s="6"/>
      <c r="C260" s="11"/>
      <c r="D260" s="11"/>
      <c r="E260" s="11"/>
      <c r="F260" s="29"/>
      <c r="G260" s="11"/>
      <c r="H260" s="11"/>
      <c r="I260" s="29"/>
      <c r="J260" s="11"/>
      <c r="K260" s="29"/>
      <c r="L260" s="11"/>
      <c r="M260" s="11"/>
      <c r="N260" s="11"/>
      <c r="O260" s="29"/>
      <c r="P260" s="29"/>
      <c r="Q260" s="11"/>
      <c r="R260" s="29"/>
      <c r="S260" s="11"/>
      <c r="T260" s="6"/>
      <c r="U260" s="29"/>
      <c r="V260" s="11"/>
      <c r="W260" s="11"/>
      <c r="X260" s="29"/>
      <c r="Y260" s="11"/>
      <c r="Z260" s="29"/>
      <c r="AA260" s="29"/>
      <c r="AB260" s="11"/>
      <c r="AC260" s="11"/>
      <c r="AD260" s="29"/>
      <c r="AE260" s="11"/>
      <c r="AF260" s="29"/>
      <c r="AG260" s="11"/>
      <c r="AH260" s="29"/>
      <c r="AI260" s="11"/>
      <c r="AJ260" s="29"/>
      <c r="AK260" s="29"/>
      <c r="AL260" s="29"/>
      <c r="AM260" s="11"/>
      <c r="AN260" s="29"/>
      <c r="AO260" s="29"/>
      <c r="AP260" s="6"/>
      <c r="AQ260" s="113">
        <f>IF(AND(I260="",K260="",AF260="",AL260="",AN260="",O260=""),"",IF(OR(I260="SIM",K260="SIM",AF260="SIM",AL260="SIM",AN260="Dados pessoais",AN260="Dados sensíveis",AN260="Dados pessoais e sensíveis",O260="Acima de 10.000 titulares por mês"),"SIM - Alta criticidade",IF((IF(I260="SIM",2,0)+IF(K260="SIM",2,0)+IF(AF260="SIM",2,0)+IF(OR(AN260="Dados pessoais",AN260="Dados sensíveis",AN260="Dados pessoais e sensíveis"),2,0)+IF(O260="De 1.001 a 10.000 titulares por mês",1,0)+IF(AA260="SIM",1,0)+IF(R260="SIM",1,0)+IF(AL260="SIM",1,0)+IF(AJ260="NÃO",1,0))&gt;=5,"SIM - Alta criticidade",IF((IF(I260="SIM",2,0)+IF(K260="SIM",2,0)+IF(AF260="SIM",2,0)+IF(OR(AN260="Dados pessoais",AN260="Dados sensíveis",AN260="Dados pessoais e sensíveis"),2,0)+IF(O260="De 1.001 a 10.000 titulares por mês",1,0)+IF(AA260="SIM",1,0)+IF(R260="SIM",1,0)+IF(AL260="SIM",1,0)+IF(AJ260="NÃO",1,0))&gt;=3,"Avaliação necessária","NÃO"))))</f>
      </c>
      <c r="AR260" s="11"/>
      <c r="AS260" s="113">
        <f>IF(AND(I260="",K260="",AF260="",AL260="",AN260="",O260=""),"",IF(OR(I260="SIM",K260="SIM",AF260="SIM",AL260="SIM",OR(AN260="Dados pessoais",AN260="Dados sensíveis",AN260="Dados pessoais e sensíveis"),O260="Acima de 10.000 titulares por mês",(IF(I260="SIM",2,0)+IF(K260="SIM",2,0)+IF(AF260="SIM",2,0)+IF(OR(AN260="Dados pessoais",AN260="Dados sensíveis",AN260="Dados pessoais e sensíveis"),2,0)+IF(O260="De 1.001 a 10.000 titulares por mês",1,0)+IF(AA260="SIM",1,0)+IF(R260="SIM",1,0)+IF(AL260="SIM",1,0)+IF(AJ260="NÃO",1,0))&gt;=3),"DPIA indicado ou em avaliação em razão de: " &amp; TRIM(IF(I260="SIM","tratamento de dados sensíveis; ","") &amp; IF(K260="SIM","utilização de dados de menores; ","") &amp; IF(AF260="SIM","transferência internacional de dados; ","") &amp; IF(AL260="SIM","utilização de inteligência artificial; ","") &amp; IF(OR(AN260="Dados pessoais",AN260="Dados sensíveis",AN260="Dados pessoais e sensíveis"),"dados inseridos em IA; ","") &amp; IF(O260="Acima de 10.000 titulares por mês","volume crítico de titulares; ","") &amp; IF(O260="De 1.001 a 10.000 titulares por mês","volume moderado de titulares; ","") &amp; IF(AA260="SIM","compartilhamento com terceiros; ","") &amp; IF(R260="SIM","compartilhamento com órgãos governamentais; ","") &amp; IF(AJ260="NÃO","ausência de controle de acesso por perfil; ","")),"DPIA não indicado: Processo de baixa criticidade."))</f>
      </c>
    </row>
    <row x14ac:dyDescent="0.25" r="261" customHeight="1" ht="15.75">
      <c r="A261" s="46"/>
      <c r="B261" s="6"/>
      <c r="C261" s="11"/>
      <c r="D261" s="11"/>
      <c r="E261" s="11"/>
      <c r="F261" s="29"/>
      <c r="G261" s="11"/>
      <c r="H261" s="11"/>
      <c r="I261" s="29"/>
      <c r="J261" s="11"/>
      <c r="K261" s="29"/>
      <c r="L261" s="11"/>
      <c r="M261" s="11"/>
      <c r="N261" s="11"/>
      <c r="O261" s="29"/>
      <c r="P261" s="29"/>
      <c r="Q261" s="11"/>
      <c r="R261" s="29"/>
      <c r="S261" s="11"/>
      <c r="T261" s="6"/>
      <c r="U261" s="29"/>
      <c r="V261" s="11"/>
      <c r="W261" s="11"/>
      <c r="X261" s="29"/>
      <c r="Y261" s="11"/>
      <c r="Z261" s="29"/>
      <c r="AA261" s="29"/>
      <c r="AB261" s="11"/>
      <c r="AC261" s="11"/>
      <c r="AD261" s="29"/>
      <c r="AE261" s="11"/>
      <c r="AF261" s="29"/>
      <c r="AG261" s="11"/>
      <c r="AH261" s="29"/>
      <c r="AI261" s="11"/>
      <c r="AJ261" s="29"/>
      <c r="AK261" s="29"/>
      <c r="AL261" s="29"/>
      <c r="AM261" s="11"/>
      <c r="AN261" s="29"/>
      <c r="AO261" s="29"/>
      <c r="AP261" s="6"/>
      <c r="AQ261" s="113">
        <f>IF(AND(I261="",K261="",AF261="",AL261="",AN261="",O261=""),"",IF(OR(I261="SIM",K261="SIM",AF261="SIM",AL261="SIM",AN261="Dados pessoais",AN261="Dados sensíveis",AN261="Dados pessoais e sensíveis",O261="Acima de 10.000 titulares por mês"),"SIM - Alta criticidade",IF((IF(I261="SIM",2,0)+IF(K261="SIM",2,0)+IF(AF261="SIM",2,0)+IF(OR(AN261="Dados pessoais",AN261="Dados sensíveis",AN261="Dados pessoais e sensíveis"),2,0)+IF(O261="De 1.001 a 10.000 titulares por mês",1,0)+IF(AA261="SIM",1,0)+IF(R261="SIM",1,0)+IF(AL261="SIM",1,0)+IF(AJ261="NÃO",1,0))&gt;=5,"SIM - Alta criticidade",IF((IF(I261="SIM",2,0)+IF(K261="SIM",2,0)+IF(AF261="SIM",2,0)+IF(OR(AN261="Dados pessoais",AN261="Dados sensíveis",AN261="Dados pessoais e sensíveis"),2,0)+IF(O261="De 1.001 a 10.000 titulares por mês",1,0)+IF(AA261="SIM",1,0)+IF(R261="SIM",1,0)+IF(AL261="SIM",1,0)+IF(AJ261="NÃO",1,0))&gt;=3,"Avaliação necessária","NÃO"))))</f>
      </c>
      <c r="AR261" s="11"/>
      <c r="AS261" s="113">
        <f>IF(AND(I261="",K261="",AF261="",AL261="",AN261="",O261=""),"",IF(OR(I261="SIM",K261="SIM",AF261="SIM",AL261="SIM",OR(AN261="Dados pessoais",AN261="Dados sensíveis",AN261="Dados pessoais e sensíveis"),O261="Acima de 10.000 titulares por mês",(IF(I261="SIM",2,0)+IF(K261="SIM",2,0)+IF(AF261="SIM",2,0)+IF(OR(AN261="Dados pessoais",AN261="Dados sensíveis",AN261="Dados pessoais e sensíveis"),2,0)+IF(O261="De 1.001 a 10.000 titulares por mês",1,0)+IF(AA261="SIM",1,0)+IF(R261="SIM",1,0)+IF(AL261="SIM",1,0)+IF(AJ261="NÃO",1,0))&gt;=3),"DPIA indicado ou em avaliação em razão de: " &amp; TRIM(IF(I261="SIM","tratamento de dados sensíveis; ","") &amp; IF(K261="SIM","utilização de dados de menores; ","") &amp; IF(AF261="SIM","transferência internacional de dados; ","") &amp; IF(AL261="SIM","utilização de inteligência artificial; ","") &amp; IF(OR(AN261="Dados pessoais",AN261="Dados sensíveis",AN261="Dados pessoais e sensíveis"),"dados inseridos em IA; ","") &amp; IF(O261="Acima de 10.000 titulares por mês","volume crítico de titulares; ","") &amp; IF(O261="De 1.001 a 10.000 titulares por mês","volume moderado de titulares; ","") &amp; IF(AA261="SIM","compartilhamento com terceiros; ","") &amp; IF(R261="SIM","compartilhamento com órgãos governamentais; ","") &amp; IF(AJ261="NÃO","ausência de controle de acesso por perfil; ","")),"DPIA não indicado: Processo de baixa criticidade."))</f>
      </c>
    </row>
    <row x14ac:dyDescent="0.25" r="262" customHeight="1" ht="15.75">
      <c r="A262" s="46"/>
      <c r="B262" s="6"/>
      <c r="C262" s="11"/>
      <c r="D262" s="11"/>
      <c r="E262" s="11"/>
      <c r="F262" s="29"/>
      <c r="G262" s="11"/>
      <c r="H262" s="11"/>
      <c r="I262" s="29"/>
      <c r="J262" s="11"/>
      <c r="K262" s="29"/>
      <c r="L262" s="11"/>
      <c r="M262" s="11"/>
      <c r="N262" s="11"/>
      <c r="O262" s="29"/>
      <c r="P262" s="29"/>
      <c r="Q262" s="11"/>
      <c r="R262" s="29"/>
      <c r="S262" s="11"/>
      <c r="T262" s="6"/>
      <c r="U262" s="29"/>
      <c r="V262" s="11"/>
      <c r="W262" s="11"/>
      <c r="X262" s="29"/>
      <c r="Y262" s="11"/>
      <c r="Z262" s="29"/>
      <c r="AA262" s="29"/>
      <c r="AB262" s="11"/>
      <c r="AC262" s="11"/>
      <c r="AD262" s="29"/>
      <c r="AE262" s="11"/>
      <c r="AF262" s="29"/>
      <c r="AG262" s="11"/>
      <c r="AH262" s="29"/>
      <c r="AI262" s="11"/>
      <c r="AJ262" s="29"/>
      <c r="AK262" s="29"/>
      <c r="AL262" s="29"/>
      <c r="AM262" s="11"/>
      <c r="AN262" s="29"/>
      <c r="AO262" s="29"/>
      <c r="AP262" s="6"/>
      <c r="AQ262" s="113">
        <f>IF(AND(I262="",K262="",AF262="",AL262="",AN262="",O262=""),"",IF(OR(I262="SIM",K262="SIM",AF262="SIM",AL262="SIM",AN262="Dados pessoais",AN262="Dados sensíveis",AN262="Dados pessoais e sensíveis",O262="Acima de 10.000 titulares por mês"),"SIM - Alta criticidade",IF((IF(I262="SIM",2,0)+IF(K262="SIM",2,0)+IF(AF262="SIM",2,0)+IF(OR(AN262="Dados pessoais",AN262="Dados sensíveis",AN262="Dados pessoais e sensíveis"),2,0)+IF(O262="De 1.001 a 10.000 titulares por mês",1,0)+IF(AA262="SIM",1,0)+IF(R262="SIM",1,0)+IF(AL262="SIM",1,0)+IF(AJ262="NÃO",1,0))&gt;=5,"SIM - Alta criticidade",IF((IF(I262="SIM",2,0)+IF(K262="SIM",2,0)+IF(AF262="SIM",2,0)+IF(OR(AN262="Dados pessoais",AN262="Dados sensíveis",AN262="Dados pessoais e sensíveis"),2,0)+IF(O262="De 1.001 a 10.000 titulares por mês",1,0)+IF(AA262="SIM",1,0)+IF(R262="SIM",1,0)+IF(AL262="SIM",1,0)+IF(AJ262="NÃO",1,0))&gt;=3,"Avaliação necessária","NÃO"))))</f>
      </c>
      <c r="AR262" s="11"/>
      <c r="AS262" s="113">
        <f>IF(AND(I262="",K262="",AF262="",AL262="",AN262="",O262=""),"",IF(OR(I262="SIM",K262="SIM",AF262="SIM",AL262="SIM",OR(AN262="Dados pessoais",AN262="Dados sensíveis",AN262="Dados pessoais e sensíveis"),O262="Acima de 10.000 titulares por mês",(IF(I262="SIM",2,0)+IF(K262="SIM",2,0)+IF(AF262="SIM",2,0)+IF(OR(AN262="Dados pessoais",AN262="Dados sensíveis",AN262="Dados pessoais e sensíveis"),2,0)+IF(O262="De 1.001 a 10.000 titulares por mês",1,0)+IF(AA262="SIM",1,0)+IF(R262="SIM",1,0)+IF(AL262="SIM",1,0)+IF(AJ262="NÃO",1,0))&gt;=3),"DPIA indicado ou em avaliação em razão de: " &amp; TRIM(IF(I262="SIM","tratamento de dados sensíveis; ","") &amp; IF(K262="SIM","utilização de dados de menores; ","") &amp; IF(AF262="SIM","transferência internacional de dados; ","") &amp; IF(AL262="SIM","utilização de inteligência artificial; ","") &amp; IF(OR(AN262="Dados pessoais",AN262="Dados sensíveis",AN262="Dados pessoais e sensíveis"),"dados inseridos em IA; ","") &amp; IF(O262="Acima de 10.000 titulares por mês","volume crítico de titulares; ","") &amp; IF(O262="De 1.001 a 10.000 titulares por mês","volume moderado de titulares; ","") &amp; IF(AA262="SIM","compartilhamento com terceiros; ","") &amp; IF(R262="SIM","compartilhamento com órgãos governamentais; ","") &amp; IF(AJ262="NÃO","ausência de controle de acesso por perfil; ","")),"DPIA não indicado: Processo de baixa criticidade."))</f>
      </c>
    </row>
    <row x14ac:dyDescent="0.25" r="263" customHeight="1" ht="15.75">
      <c r="A263" s="46"/>
      <c r="B263" s="6"/>
      <c r="C263" s="11"/>
      <c r="D263" s="11"/>
      <c r="E263" s="11"/>
      <c r="F263" s="29"/>
      <c r="G263" s="11"/>
      <c r="H263" s="11"/>
      <c r="I263" s="29"/>
      <c r="J263" s="11"/>
      <c r="K263" s="29"/>
      <c r="L263" s="11"/>
      <c r="M263" s="11"/>
      <c r="N263" s="11"/>
      <c r="O263" s="29"/>
      <c r="P263" s="29"/>
      <c r="Q263" s="11"/>
      <c r="R263" s="29"/>
      <c r="S263" s="11"/>
      <c r="T263" s="6"/>
      <c r="U263" s="29"/>
      <c r="V263" s="11"/>
      <c r="W263" s="11"/>
      <c r="X263" s="29"/>
      <c r="Y263" s="11"/>
      <c r="Z263" s="29"/>
      <c r="AA263" s="29"/>
      <c r="AB263" s="11"/>
      <c r="AC263" s="11"/>
      <c r="AD263" s="29"/>
      <c r="AE263" s="11"/>
      <c r="AF263" s="29"/>
      <c r="AG263" s="11"/>
      <c r="AH263" s="29"/>
      <c r="AI263" s="11"/>
      <c r="AJ263" s="29"/>
      <c r="AK263" s="29"/>
      <c r="AL263" s="29"/>
      <c r="AM263" s="11"/>
      <c r="AN263" s="29"/>
      <c r="AO263" s="29"/>
      <c r="AP263" s="6"/>
      <c r="AQ263" s="113">
        <f>IF(AND(I263="",K263="",AF263="",AL263="",AN263="",O263=""),"",IF(OR(I263="SIM",K263="SIM",AF263="SIM",AL263="SIM",AN263="Dados pessoais",AN263="Dados sensíveis",AN263="Dados pessoais e sensíveis",O263="Acima de 10.000 titulares por mês"),"SIM - Alta criticidade",IF((IF(I263="SIM",2,0)+IF(K263="SIM",2,0)+IF(AF263="SIM",2,0)+IF(OR(AN263="Dados pessoais",AN263="Dados sensíveis",AN263="Dados pessoais e sensíveis"),2,0)+IF(O263="De 1.001 a 10.000 titulares por mês",1,0)+IF(AA263="SIM",1,0)+IF(R263="SIM",1,0)+IF(AL263="SIM",1,0)+IF(AJ263="NÃO",1,0))&gt;=5,"SIM - Alta criticidade",IF((IF(I263="SIM",2,0)+IF(K263="SIM",2,0)+IF(AF263="SIM",2,0)+IF(OR(AN263="Dados pessoais",AN263="Dados sensíveis",AN263="Dados pessoais e sensíveis"),2,0)+IF(O263="De 1.001 a 10.000 titulares por mês",1,0)+IF(AA263="SIM",1,0)+IF(R263="SIM",1,0)+IF(AL263="SIM",1,0)+IF(AJ263="NÃO",1,0))&gt;=3,"Avaliação necessária","NÃO"))))</f>
      </c>
      <c r="AR263" s="11"/>
      <c r="AS263" s="113">
        <f>IF(AND(I263="",K263="",AF263="",AL263="",AN263="",O263=""),"",IF(OR(I263="SIM",K263="SIM",AF263="SIM",AL263="SIM",OR(AN263="Dados pessoais",AN263="Dados sensíveis",AN263="Dados pessoais e sensíveis"),O263="Acima de 10.000 titulares por mês",(IF(I263="SIM",2,0)+IF(K263="SIM",2,0)+IF(AF263="SIM",2,0)+IF(OR(AN263="Dados pessoais",AN263="Dados sensíveis",AN263="Dados pessoais e sensíveis"),2,0)+IF(O263="De 1.001 a 10.000 titulares por mês",1,0)+IF(AA263="SIM",1,0)+IF(R263="SIM",1,0)+IF(AL263="SIM",1,0)+IF(AJ263="NÃO",1,0))&gt;=3),"DPIA indicado ou em avaliação em razão de: " &amp; TRIM(IF(I263="SIM","tratamento de dados sensíveis; ","") &amp; IF(K263="SIM","utilização de dados de menores; ","") &amp; IF(AF263="SIM","transferência internacional de dados; ","") &amp; IF(AL263="SIM","utilização de inteligência artificial; ","") &amp; IF(OR(AN263="Dados pessoais",AN263="Dados sensíveis",AN263="Dados pessoais e sensíveis"),"dados inseridos em IA; ","") &amp; IF(O263="Acima de 10.000 titulares por mês","volume crítico de titulares; ","") &amp; IF(O263="De 1.001 a 10.000 titulares por mês","volume moderado de titulares; ","") &amp; IF(AA263="SIM","compartilhamento com terceiros; ","") &amp; IF(R263="SIM","compartilhamento com órgãos governamentais; ","") &amp; IF(AJ263="NÃO","ausência de controle de acesso por perfil; ","")),"DPIA não indicado: Processo de baixa criticidade."))</f>
      </c>
    </row>
    <row x14ac:dyDescent="0.25" r="264" customHeight="1" ht="15.75">
      <c r="A264" s="46"/>
      <c r="B264" s="6"/>
      <c r="C264" s="11"/>
      <c r="D264" s="11"/>
      <c r="E264" s="11"/>
      <c r="F264" s="29"/>
      <c r="G264" s="11"/>
      <c r="H264" s="11"/>
      <c r="I264" s="29"/>
      <c r="J264" s="11"/>
      <c r="K264" s="29"/>
      <c r="L264" s="11"/>
      <c r="M264" s="11"/>
      <c r="N264" s="11"/>
      <c r="O264" s="29"/>
      <c r="P264" s="29"/>
      <c r="Q264" s="11"/>
      <c r="R264" s="29"/>
      <c r="S264" s="11"/>
      <c r="T264" s="6"/>
      <c r="U264" s="29"/>
      <c r="V264" s="11"/>
      <c r="W264" s="11"/>
      <c r="X264" s="29"/>
      <c r="Y264" s="11"/>
      <c r="Z264" s="29"/>
      <c r="AA264" s="29"/>
      <c r="AB264" s="11"/>
      <c r="AC264" s="11"/>
      <c r="AD264" s="29"/>
      <c r="AE264" s="11"/>
      <c r="AF264" s="29"/>
      <c r="AG264" s="11"/>
      <c r="AH264" s="29"/>
      <c r="AI264" s="11"/>
      <c r="AJ264" s="29"/>
      <c r="AK264" s="29"/>
      <c r="AL264" s="29"/>
      <c r="AM264" s="11"/>
      <c r="AN264" s="29"/>
      <c r="AO264" s="29"/>
      <c r="AP264" s="6"/>
      <c r="AQ264" s="113">
        <f>IF(AND(I264="",K264="",AF264="",AL264="",AN264="",O264=""),"",IF(OR(I264="SIM",K264="SIM",AF264="SIM",AL264="SIM",AN264="Dados pessoais",AN264="Dados sensíveis",AN264="Dados pessoais e sensíveis",O264="Acima de 10.000 titulares por mês"),"SIM - Alta criticidade",IF((IF(I264="SIM",2,0)+IF(K264="SIM",2,0)+IF(AF264="SIM",2,0)+IF(OR(AN264="Dados pessoais",AN264="Dados sensíveis",AN264="Dados pessoais e sensíveis"),2,0)+IF(O264="De 1.001 a 10.000 titulares por mês",1,0)+IF(AA264="SIM",1,0)+IF(R264="SIM",1,0)+IF(AL264="SIM",1,0)+IF(AJ264="NÃO",1,0))&gt;=5,"SIM - Alta criticidade",IF((IF(I264="SIM",2,0)+IF(K264="SIM",2,0)+IF(AF264="SIM",2,0)+IF(OR(AN264="Dados pessoais",AN264="Dados sensíveis",AN264="Dados pessoais e sensíveis"),2,0)+IF(O264="De 1.001 a 10.000 titulares por mês",1,0)+IF(AA264="SIM",1,0)+IF(R264="SIM",1,0)+IF(AL264="SIM",1,0)+IF(AJ264="NÃO",1,0))&gt;=3,"Avaliação necessária","NÃO"))))</f>
      </c>
      <c r="AR264" s="11"/>
      <c r="AS264" s="113">
        <f>IF(AND(I264="",K264="",AF264="",AL264="",AN264="",O264=""),"",IF(OR(I264="SIM",K264="SIM",AF264="SIM",AL264="SIM",OR(AN264="Dados pessoais",AN264="Dados sensíveis",AN264="Dados pessoais e sensíveis"),O264="Acima de 10.000 titulares por mês",(IF(I264="SIM",2,0)+IF(K264="SIM",2,0)+IF(AF264="SIM",2,0)+IF(OR(AN264="Dados pessoais",AN264="Dados sensíveis",AN264="Dados pessoais e sensíveis"),2,0)+IF(O264="De 1.001 a 10.000 titulares por mês",1,0)+IF(AA264="SIM",1,0)+IF(R264="SIM",1,0)+IF(AL264="SIM",1,0)+IF(AJ264="NÃO",1,0))&gt;=3),"DPIA indicado ou em avaliação em razão de: " &amp; TRIM(IF(I264="SIM","tratamento de dados sensíveis; ","") &amp; IF(K264="SIM","utilização de dados de menores; ","") &amp; IF(AF264="SIM","transferência internacional de dados; ","") &amp; IF(AL264="SIM","utilização de inteligência artificial; ","") &amp; IF(OR(AN264="Dados pessoais",AN264="Dados sensíveis",AN264="Dados pessoais e sensíveis"),"dados inseridos em IA; ","") &amp; IF(O264="Acima de 10.000 titulares por mês","volume crítico de titulares; ","") &amp; IF(O264="De 1.001 a 10.000 titulares por mês","volume moderado de titulares; ","") &amp; IF(AA264="SIM","compartilhamento com terceiros; ","") &amp; IF(R264="SIM","compartilhamento com órgãos governamentais; ","") &amp; IF(AJ264="NÃO","ausência de controle de acesso por perfil; ","")),"DPIA não indicado: Processo de baixa criticidade."))</f>
      </c>
    </row>
    <row x14ac:dyDescent="0.25" r="265" customHeight="1" ht="15.75">
      <c r="A265" s="46"/>
      <c r="B265" s="6"/>
      <c r="C265" s="11"/>
      <c r="D265" s="11"/>
      <c r="E265" s="11"/>
      <c r="F265" s="29"/>
      <c r="G265" s="11"/>
      <c r="H265" s="11"/>
      <c r="I265" s="29"/>
      <c r="J265" s="11"/>
      <c r="K265" s="29"/>
      <c r="L265" s="11"/>
      <c r="M265" s="11"/>
      <c r="N265" s="11"/>
      <c r="O265" s="29"/>
      <c r="P265" s="29"/>
      <c r="Q265" s="11"/>
      <c r="R265" s="29"/>
      <c r="S265" s="11"/>
      <c r="T265" s="6"/>
      <c r="U265" s="29"/>
      <c r="V265" s="11"/>
      <c r="W265" s="11"/>
      <c r="X265" s="29"/>
      <c r="Y265" s="11"/>
      <c r="Z265" s="29"/>
      <c r="AA265" s="29"/>
      <c r="AB265" s="11"/>
      <c r="AC265" s="11"/>
      <c r="AD265" s="29"/>
      <c r="AE265" s="11"/>
      <c r="AF265" s="29"/>
      <c r="AG265" s="11"/>
      <c r="AH265" s="29"/>
      <c r="AI265" s="11"/>
      <c r="AJ265" s="29"/>
      <c r="AK265" s="29"/>
      <c r="AL265" s="29"/>
      <c r="AM265" s="11"/>
      <c r="AN265" s="29"/>
      <c r="AO265" s="29"/>
      <c r="AP265" s="6"/>
      <c r="AQ265" s="113">
        <f>IF(AND(I265="",K265="",AF265="",AL265="",AN265="",O265=""),"",IF(OR(I265="SIM",K265="SIM",AF265="SIM",AL265="SIM",AN265="Dados pessoais",AN265="Dados sensíveis",AN265="Dados pessoais e sensíveis",O265="Acima de 10.000 titulares por mês"),"SIM - Alta criticidade",IF((IF(I265="SIM",2,0)+IF(K265="SIM",2,0)+IF(AF265="SIM",2,0)+IF(OR(AN265="Dados pessoais",AN265="Dados sensíveis",AN265="Dados pessoais e sensíveis"),2,0)+IF(O265="De 1.001 a 10.000 titulares por mês",1,0)+IF(AA265="SIM",1,0)+IF(R265="SIM",1,0)+IF(AL265="SIM",1,0)+IF(AJ265="NÃO",1,0))&gt;=5,"SIM - Alta criticidade",IF((IF(I265="SIM",2,0)+IF(K265="SIM",2,0)+IF(AF265="SIM",2,0)+IF(OR(AN265="Dados pessoais",AN265="Dados sensíveis",AN265="Dados pessoais e sensíveis"),2,0)+IF(O265="De 1.001 a 10.000 titulares por mês",1,0)+IF(AA265="SIM",1,0)+IF(R265="SIM",1,0)+IF(AL265="SIM",1,0)+IF(AJ265="NÃO",1,0))&gt;=3,"Avaliação necessária","NÃO"))))</f>
      </c>
      <c r="AR265" s="11"/>
      <c r="AS265" s="113">
        <f>IF(AND(I265="",K265="",AF265="",AL265="",AN265="",O265=""),"",IF(OR(I265="SIM",K265="SIM",AF265="SIM",AL265="SIM",OR(AN265="Dados pessoais",AN265="Dados sensíveis",AN265="Dados pessoais e sensíveis"),O265="Acima de 10.000 titulares por mês",(IF(I265="SIM",2,0)+IF(K265="SIM",2,0)+IF(AF265="SIM",2,0)+IF(OR(AN265="Dados pessoais",AN265="Dados sensíveis",AN265="Dados pessoais e sensíveis"),2,0)+IF(O265="De 1.001 a 10.000 titulares por mês",1,0)+IF(AA265="SIM",1,0)+IF(R265="SIM",1,0)+IF(AL265="SIM",1,0)+IF(AJ265="NÃO",1,0))&gt;=3),"DPIA indicado ou em avaliação em razão de: " &amp; TRIM(IF(I265="SIM","tratamento de dados sensíveis; ","") &amp; IF(K265="SIM","utilização de dados de menores; ","") &amp; IF(AF265="SIM","transferência internacional de dados; ","") &amp; IF(AL265="SIM","utilização de inteligência artificial; ","") &amp; IF(OR(AN265="Dados pessoais",AN265="Dados sensíveis",AN265="Dados pessoais e sensíveis"),"dados inseridos em IA; ","") &amp; IF(O265="Acima de 10.000 titulares por mês","volume crítico de titulares; ","") &amp; IF(O265="De 1.001 a 10.000 titulares por mês","volume moderado de titulares; ","") &amp; IF(AA265="SIM","compartilhamento com terceiros; ","") &amp; IF(R265="SIM","compartilhamento com órgãos governamentais; ","") &amp; IF(AJ265="NÃO","ausência de controle de acesso por perfil; ","")),"DPIA não indicado: Processo de baixa criticidade."))</f>
      </c>
    </row>
    <row x14ac:dyDescent="0.25" r="266" customHeight="1" ht="15.75">
      <c r="A266" s="46"/>
      <c r="B266" s="6"/>
      <c r="C266" s="11"/>
      <c r="D266" s="11"/>
      <c r="E266" s="11"/>
      <c r="F266" s="29"/>
      <c r="G266" s="11"/>
      <c r="H266" s="11"/>
      <c r="I266" s="29"/>
      <c r="J266" s="11"/>
      <c r="K266" s="29"/>
      <c r="L266" s="11"/>
      <c r="M266" s="11"/>
      <c r="N266" s="11"/>
      <c r="O266" s="29"/>
      <c r="P266" s="29"/>
      <c r="Q266" s="11"/>
      <c r="R266" s="29"/>
      <c r="S266" s="11"/>
      <c r="T266" s="6"/>
      <c r="U266" s="29"/>
      <c r="V266" s="11"/>
      <c r="W266" s="11"/>
      <c r="X266" s="29"/>
      <c r="Y266" s="11"/>
      <c r="Z266" s="29"/>
      <c r="AA266" s="29"/>
      <c r="AB266" s="11"/>
      <c r="AC266" s="11"/>
      <c r="AD266" s="29"/>
      <c r="AE266" s="11"/>
      <c r="AF266" s="29"/>
      <c r="AG266" s="11"/>
      <c r="AH266" s="29"/>
      <c r="AI266" s="11"/>
      <c r="AJ266" s="29"/>
      <c r="AK266" s="29"/>
      <c r="AL266" s="29"/>
      <c r="AM266" s="11"/>
      <c r="AN266" s="29"/>
      <c r="AO266" s="29"/>
      <c r="AP266" s="6"/>
      <c r="AQ266" s="113">
        <f>IF(AND(I266="",K266="",AF266="",AL266="",AN266="",O266=""),"",IF(OR(I266="SIM",K266="SIM",AF266="SIM",AL266="SIM",AN266="Dados pessoais",AN266="Dados sensíveis",AN266="Dados pessoais e sensíveis",O266="Acima de 10.000 titulares por mês"),"SIM - Alta criticidade",IF((IF(I266="SIM",2,0)+IF(K266="SIM",2,0)+IF(AF266="SIM",2,0)+IF(OR(AN266="Dados pessoais",AN266="Dados sensíveis",AN266="Dados pessoais e sensíveis"),2,0)+IF(O266="De 1.001 a 10.000 titulares por mês",1,0)+IF(AA266="SIM",1,0)+IF(R266="SIM",1,0)+IF(AL266="SIM",1,0)+IF(AJ266="NÃO",1,0))&gt;=5,"SIM - Alta criticidade",IF((IF(I266="SIM",2,0)+IF(K266="SIM",2,0)+IF(AF266="SIM",2,0)+IF(OR(AN266="Dados pessoais",AN266="Dados sensíveis",AN266="Dados pessoais e sensíveis"),2,0)+IF(O266="De 1.001 a 10.000 titulares por mês",1,0)+IF(AA266="SIM",1,0)+IF(R266="SIM",1,0)+IF(AL266="SIM",1,0)+IF(AJ266="NÃO",1,0))&gt;=3,"Avaliação necessária","NÃO"))))</f>
      </c>
      <c r="AR266" s="11"/>
      <c r="AS266" s="113">
        <f>IF(AND(I266="",K266="",AF266="",AL266="",AN266="",O266=""),"",IF(OR(I266="SIM",K266="SIM",AF266="SIM",AL266="SIM",OR(AN266="Dados pessoais",AN266="Dados sensíveis",AN266="Dados pessoais e sensíveis"),O266="Acima de 10.000 titulares por mês",(IF(I266="SIM",2,0)+IF(K266="SIM",2,0)+IF(AF266="SIM",2,0)+IF(OR(AN266="Dados pessoais",AN266="Dados sensíveis",AN266="Dados pessoais e sensíveis"),2,0)+IF(O266="De 1.001 a 10.000 titulares por mês",1,0)+IF(AA266="SIM",1,0)+IF(R266="SIM",1,0)+IF(AL266="SIM",1,0)+IF(AJ266="NÃO",1,0))&gt;=3),"DPIA indicado ou em avaliação em razão de: " &amp; TRIM(IF(I266="SIM","tratamento de dados sensíveis; ","") &amp; IF(K266="SIM","utilização de dados de menores; ","") &amp; IF(AF266="SIM","transferência internacional de dados; ","") &amp; IF(AL266="SIM","utilização de inteligência artificial; ","") &amp; IF(OR(AN266="Dados pessoais",AN266="Dados sensíveis",AN266="Dados pessoais e sensíveis"),"dados inseridos em IA; ","") &amp; IF(O266="Acima de 10.000 titulares por mês","volume crítico de titulares; ","") &amp; IF(O266="De 1.001 a 10.000 titulares por mês","volume moderado de titulares; ","") &amp; IF(AA266="SIM","compartilhamento com terceiros; ","") &amp; IF(R266="SIM","compartilhamento com órgãos governamentais; ","") &amp; IF(AJ266="NÃO","ausência de controle de acesso por perfil; ","")),"DPIA não indicado: Processo de baixa criticidade."))</f>
      </c>
    </row>
    <row x14ac:dyDescent="0.25" r="267" customHeight="1" ht="15.75">
      <c r="A267" s="46"/>
      <c r="B267" s="6"/>
      <c r="C267" s="11"/>
      <c r="D267" s="11"/>
      <c r="E267" s="11"/>
      <c r="F267" s="29"/>
      <c r="G267" s="11"/>
      <c r="H267" s="11"/>
      <c r="I267" s="29"/>
      <c r="J267" s="11"/>
      <c r="K267" s="29"/>
      <c r="L267" s="11"/>
      <c r="M267" s="11"/>
      <c r="N267" s="11"/>
      <c r="O267" s="29"/>
      <c r="P267" s="29"/>
      <c r="Q267" s="11"/>
      <c r="R267" s="29"/>
      <c r="S267" s="11"/>
      <c r="T267" s="6"/>
      <c r="U267" s="29"/>
      <c r="V267" s="11"/>
      <c r="W267" s="11"/>
      <c r="X267" s="29"/>
      <c r="Y267" s="11"/>
      <c r="Z267" s="29"/>
      <c r="AA267" s="29"/>
      <c r="AB267" s="11"/>
      <c r="AC267" s="11"/>
      <c r="AD267" s="29"/>
      <c r="AE267" s="11"/>
      <c r="AF267" s="29"/>
      <c r="AG267" s="11"/>
      <c r="AH267" s="29"/>
      <c r="AI267" s="11"/>
      <c r="AJ267" s="29"/>
      <c r="AK267" s="29"/>
      <c r="AL267" s="29"/>
      <c r="AM267" s="11"/>
      <c r="AN267" s="29"/>
      <c r="AO267" s="29"/>
      <c r="AP267" s="6"/>
      <c r="AQ267" s="113">
        <f>IF(AND(I267="",K267="",AF267="",AL267="",AN267="",O267=""),"",IF(OR(I267="SIM",K267="SIM",AF267="SIM",AL267="SIM",AN267="Dados pessoais",AN267="Dados sensíveis",AN267="Dados pessoais e sensíveis",O267="Acima de 10.000 titulares por mês"),"SIM - Alta criticidade",IF((IF(I267="SIM",2,0)+IF(K267="SIM",2,0)+IF(AF267="SIM",2,0)+IF(OR(AN267="Dados pessoais",AN267="Dados sensíveis",AN267="Dados pessoais e sensíveis"),2,0)+IF(O267="De 1.001 a 10.000 titulares por mês",1,0)+IF(AA267="SIM",1,0)+IF(R267="SIM",1,0)+IF(AL267="SIM",1,0)+IF(AJ267="NÃO",1,0))&gt;=5,"SIM - Alta criticidade",IF((IF(I267="SIM",2,0)+IF(K267="SIM",2,0)+IF(AF267="SIM",2,0)+IF(OR(AN267="Dados pessoais",AN267="Dados sensíveis",AN267="Dados pessoais e sensíveis"),2,0)+IF(O267="De 1.001 a 10.000 titulares por mês",1,0)+IF(AA267="SIM",1,0)+IF(R267="SIM",1,0)+IF(AL267="SIM",1,0)+IF(AJ267="NÃO",1,0))&gt;=3,"Avaliação necessária","NÃO"))))</f>
      </c>
      <c r="AR267" s="11"/>
      <c r="AS267" s="113">
        <f>IF(AND(I267="",K267="",AF267="",AL267="",AN267="",O267=""),"",IF(OR(I267="SIM",K267="SIM",AF267="SIM",AL267="SIM",OR(AN267="Dados pessoais",AN267="Dados sensíveis",AN267="Dados pessoais e sensíveis"),O267="Acima de 10.000 titulares por mês",(IF(I267="SIM",2,0)+IF(K267="SIM",2,0)+IF(AF267="SIM",2,0)+IF(OR(AN267="Dados pessoais",AN267="Dados sensíveis",AN267="Dados pessoais e sensíveis"),2,0)+IF(O267="De 1.001 a 10.000 titulares por mês",1,0)+IF(AA267="SIM",1,0)+IF(R267="SIM",1,0)+IF(AL267="SIM",1,0)+IF(AJ267="NÃO",1,0))&gt;=3),"DPIA indicado ou em avaliação em razão de: " &amp; TRIM(IF(I267="SIM","tratamento de dados sensíveis; ","") &amp; IF(K267="SIM","utilização de dados de menores; ","") &amp; IF(AF267="SIM","transferência internacional de dados; ","") &amp; IF(AL267="SIM","utilização de inteligência artificial; ","") &amp; IF(OR(AN267="Dados pessoais",AN267="Dados sensíveis",AN267="Dados pessoais e sensíveis"),"dados inseridos em IA; ","") &amp; IF(O267="Acima de 10.000 titulares por mês","volume crítico de titulares; ","") &amp; IF(O267="De 1.001 a 10.000 titulares por mês","volume moderado de titulares; ","") &amp; IF(AA267="SIM","compartilhamento com terceiros; ","") &amp; IF(R267="SIM","compartilhamento com órgãos governamentais; ","") &amp; IF(AJ267="NÃO","ausência de controle de acesso por perfil; ","")),"DPIA não indicado: Processo de baixa criticidade."))</f>
      </c>
    </row>
    <row x14ac:dyDescent="0.25" r="268" customHeight="1" ht="15.75">
      <c r="A268" s="46"/>
      <c r="B268" s="6"/>
      <c r="C268" s="11"/>
      <c r="D268" s="11"/>
      <c r="E268" s="11"/>
      <c r="F268" s="29"/>
      <c r="G268" s="11"/>
      <c r="H268" s="11"/>
      <c r="I268" s="29"/>
      <c r="J268" s="11"/>
      <c r="K268" s="29"/>
      <c r="L268" s="11"/>
      <c r="M268" s="11"/>
      <c r="N268" s="11"/>
      <c r="O268" s="29"/>
      <c r="P268" s="29"/>
      <c r="Q268" s="11"/>
      <c r="R268" s="29"/>
      <c r="S268" s="11"/>
      <c r="T268" s="6"/>
      <c r="U268" s="29"/>
      <c r="V268" s="11"/>
      <c r="W268" s="11"/>
      <c r="X268" s="29"/>
      <c r="Y268" s="11"/>
      <c r="Z268" s="29"/>
      <c r="AA268" s="29"/>
      <c r="AB268" s="11"/>
      <c r="AC268" s="11"/>
      <c r="AD268" s="29"/>
      <c r="AE268" s="11"/>
      <c r="AF268" s="29"/>
      <c r="AG268" s="11"/>
      <c r="AH268" s="29"/>
      <c r="AI268" s="11"/>
      <c r="AJ268" s="29"/>
      <c r="AK268" s="29"/>
      <c r="AL268" s="29"/>
      <c r="AM268" s="11"/>
      <c r="AN268" s="29"/>
      <c r="AO268" s="29"/>
      <c r="AP268" s="6"/>
      <c r="AQ268" s="113">
        <f>IF(AND(I268="",K268="",AF268="",AL268="",AN268="",O268=""),"",IF(OR(I268="SIM",K268="SIM",AF268="SIM",AL268="SIM",AN268="Dados pessoais",AN268="Dados sensíveis",AN268="Dados pessoais e sensíveis",O268="Acima de 10.000 titulares por mês"),"SIM - Alta criticidade",IF((IF(I268="SIM",2,0)+IF(K268="SIM",2,0)+IF(AF268="SIM",2,0)+IF(OR(AN268="Dados pessoais",AN268="Dados sensíveis",AN268="Dados pessoais e sensíveis"),2,0)+IF(O268="De 1.001 a 10.000 titulares por mês",1,0)+IF(AA268="SIM",1,0)+IF(R268="SIM",1,0)+IF(AL268="SIM",1,0)+IF(AJ268="NÃO",1,0))&gt;=5,"SIM - Alta criticidade",IF((IF(I268="SIM",2,0)+IF(K268="SIM",2,0)+IF(AF268="SIM",2,0)+IF(OR(AN268="Dados pessoais",AN268="Dados sensíveis",AN268="Dados pessoais e sensíveis"),2,0)+IF(O268="De 1.001 a 10.000 titulares por mês",1,0)+IF(AA268="SIM",1,0)+IF(R268="SIM",1,0)+IF(AL268="SIM",1,0)+IF(AJ268="NÃO",1,0))&gt;=3,"Avaliação necessária","NÃO"))))</f>
      </c>
      <c r="AR268" s="11"/>
      <c r="AS268" s="113">
        <f>IF(AND(I268="",K268="",AF268="",AL268="",AN268="",O268=""),"",IF(OR(I268="SIM",K268="SIM",AF268="SIM",AL268="SIM",OR(AN268="Dados pessoais",AN268="Dados sensíveis",AN268="Dados pessoais e sensíveis"),O268="Acima de 10.000 titulares por mês",(IF(I268="SIM",2,0)+IF(K268="SIM",2,0)+IF(AF268="SIM",2,0)+IF(OR(AN268="Dados pessoais",AN268="Dados sensíveis",AN268="Dados pessoais e sensíveis"),2,0)+IF(O268="De 1.001 a 10.000 titulares por mês",1,0)+IF(AA268="SIM",1,0)+IF(R268="SIM",1,0)+IF(AL268="SIM",1,0)+IF(AJ268="NÃO",1,0))&gt;=3),"DPIA indicado ou em avaliação em razão de: " &amp; TRIM(IF(I268="SIM","tratamento de dados sensíveis; ","") &amp; IF(K268="SIM","utilização de dados de menores; ","") &amp; IF(AF268="SIM","transferência internacional de dados; ","") &amp; IF(AL268="SIM","utilização de inteligência artificial; ","") &amp; IF(OR(AN268="Dados pessoais",AN268="Dados sensíveis",AN268="Dados pessoais e sensíveis"),"dados inseridos em IA; ","") &amp; IF(O268="Acima de 10.000 titulares por mês","volume crítico de titulares; ","") &amp; IF(O268="De 1.001 a 10.000 titulares por mês","volume moderado de titulares; ","") &amp; IF(AA268="SIM","compartilhamento com terceiros; ","") &amp; IF(R268="SIM","compartilhamento com órgãos governamentais; ","") &amp; IF(AJ268="NÃO","ausência de controle de acesso por perfil; ","")),"DPIA não indicado: Processo de baixa criticidade."))</f>
      </c>
    </row>
    <row x14ac:dyDescent="0.25" r="269" customHeight="1" ht="15.75">
      <c r="A269" s="46"/>
      <c r="B269" s="6"/>
      <c r="C269" s="11"/>
      <c r="D269" s="11"/>
      <c r="E269" s="11"/>
      <c r="F269" s="29"/>
      <c r="G269" s="11"/>
      <c r="H269" s="11"/>
      <c r="I269" s="29"/>
      <c r="J269" s="11"/>
      <c r="K269" s="29"/>
      <c r="L269" s="11"/>
      <c r="M269" s="11"/>
      <c r="N269" s="11"/>
      <c r="O269" s="29"/>
      <c r="P269" s="29"/>
      <c r="Q269" s="11"/>
      <c r="R269" s="29"/>
      <c r="S269" s="11"/>
      <c r="T269" s="6"/>
      <c r="U269" s="29"/>
      <c r="V269" s="11"/>
      <c r="W269" s="11"/>
      <c r="X269" s="29"/>
      <c r="Y269" s="11"/>
      <c r="Z269" s="29"/>
      <c r="AA269" s="29"/>
      <c r="AB269" s="11"/>
      <c r="AC269" s="11"/>
      <c r="AD269" s="29"/>
      <c r="AE269" s="11"/>
      <c r="AF269" s="29"/>
      <c r="AG269" s="11"/>
      <c r="AH269" s="29"/>
      <c r="AI269" s="11"/>
      <c r="AJ269" s="29"/>
      <c r="AK269" s="29"/>
      <c r="AL269" s="29"/>
      <c r="AM269" s="11"/>
      <c r="AN269" s="29"/>
      <c r="AO269" s="29"/>
      <c r="AP269" s="6"/>
      <c r="AQ269" s="113">
        <f>IF(AND(I269="",K269="",AF269="",AL269="",AN269="",O269=""),"",IF(OR(I269="SIM",K269="SIM",AF269="SIM",AL269="SIM",AN269="Dados pessoais",AN269="Dados sensíveis",AN269="Dados pessoais e sensíveis",O269="Acima de 10.000 titulares por mês"),"SIM - Alta criticidade",IF((IF(I269="SIM",2,0)+IF(K269="SIM",2,0)+IF(AF269="SIM",2,0)+IF(OR(AN269="Dados pessoais",AN269="Dados sensíveis",AN269="Dados pessoais e sensíveis"),2,0)+IF(O269="De 1.001 a 10.000 titulares por mês",1,0)+IF(AA269="SIM",1,0)+IF(R269="SIM",1,0)+IF(AL269="SIM",1,0)+IF(AJ269="NÃO",1,0))&gt;=5,"SIM - Alta criticidade",IF((IF(I269="SIM",2,0)+IF(K269="SIM",2,0)+IF(AF269="SIM",2,0)+IF(OR(AN269="Dados pessoais",AN269="Dados sensíveis",AN269="Dados pessoais e sensíveis"),2,0)+IF(O269="De 1.001 a 10.000 titulares por mês",1,0)+IF(AA269="SIM",1,0)+IF(R269="SIM",1,0)+IF(AL269="SIM",1,0)+IF(AJ269="NÃO",1,0))&gt;=3,"Avaliação necessária","NÃO"))))</f>
      </c>
      <c r="AR269" s="11"/>
      <c r="AS269" s="113">
        <f>IF(AND(I269="",K269="",AF269="",AL269="",AN269="",O269=""),"",IF(OR(I269="SIM",K269="SIM",AF269="SIM",AL269="SIM",OR(AN269="Dados pessoais",AN269="Dados sensíveis",AN269="Dados pessoais e sensíveis"),O269="Acima de 10.000 titulares por mês",(IF(I269="SIM",2,0)+IF(K269="SIM",2,0)+IF(AF269="SIM",2,0)+IF(OR(AN269="Dados pessoais",AN269="Dados sensíveis",AN269="Dados pessoais e sensíveis"),2,0)+IF(O269="De 1.001 a 10.000 titulares por mês",1,0)+IF(AA269="SIM",1,0)+IF(R269="SIM",1,0)+IF(AL269="SIM",1,0)+IF(AJ269="NÃO",1,0))&gt;=3),"DPIA indicado ou em avaliação em razão de: " &amp; TRIM(IF(I269="SIM","tratamento de dados sensíveis; ","") &amp; IF(K269="SIM","utilização de dados de menores; ","") &amp; IF(AF269="SIM","transferência internacional de dados; ","") &amp; IF(AL269="SIM","utilização de inteligência artificial; ","") &amp; IF(OR(AN269="Dados pessoais",AN269="Dados sensíveis",AN269="Dados pessoais e sensíveis"),"dados inseridos em IA; ","") &amp; IF(O269="Acima de 10.000 titulares por mês","volume crítico de titulares; ","") &amp; IF(O269="De 1.001 a 10.000 titulares por mês","volume moderado de titulares; ","") &amp; IF(AA269="SIM","compartilhamento com terceiros; ","") &amp; IF(R269="SIM","compartilhamento com órgãos governamentais; ","") &amp; IF(AJ269="NÃO","ausência de controle de acesso por perfil; ","")),"DPIA não indicado: Processo de baixa criticidade."))</f>
      </c>
    </row>
    <row x14ac:dyDescent="0.25" r="270" customHeight="1" ht="15.75">
      <c r="A270" s="46"/>
      <c r="B270" s="6"/>
      <c r="C270" s="11"/>
      <c r="D270" s="11"/>
      <c r="E270" s="11"/>
      <c r="F270" s="29"/>
      <c r="G270" s="11"/>
      <c r="H270" s="11"/>
      <c r="I270" s="29"/>
      <c r="J270" s="11"/>
      <c r="K270" s="29"/>
      <c r="L270" s="11"/>
      <c r="M270" s="11"/>
      <c r="N270" s="11"/>
      <c r="O270" s="29"/>
      <c r="P270" s="29"/>
      <c r="Q270" s="11"/>
      <c r="R270" s="29"/>
      <c r="S270" s="11"/>
      <c r="T270" s="6"/>
      <c r="U270" s="29"/>
      <c r="V270" s="11"/>
      <c r="W270" s="11"/>
      <c r="X270" s="29"/>
      <c r="Y270" s="11"/>
      <c r="Z270" s="29"/>
      <c r="AA270" s="29"/>
      <c r="AB270" s="11"/>
      <c r="AC270" s="11"/>
      <c r="AD270" s="29"/>
      <c r="AE270" s="11"/>
      <c r="AF270" s="29"/>
      <c r="AG270" s="11"/>
      <c r="AH270" s="29"/>
      <c r="AI270" s="11"/>
      <c r="AJ270" s="29"/>
      <c r="AK270" s="29"/>
      <c r="AL270" s="29"/>
      <c r="AM270" s="11"/>
      <c r="AN270" s="29"/>
      <c r="AO270" s="29"/>
      <c r="AP270" s="6"/>
      <c r="AQ270" s="113">
        <f>IF(AND(I270="",K270="",AF270="",AL270="",AN270="",O270=""),"",IF(OR(I270="SIM",K270="SIM",AF270="SIM",AL270="SIM",AN270="Dados pessoais",AN270="Dados sensíveis",AN270="Dados pessoais e sensíveis",O270="Acima de 10.000 titulares por mês"),"SIM - Alta criticidade",IF((IF(I270="SIM",2,0)+IF(K270="SIM",2,0)+IF(AF270="SIM",2,0)+IF(OR(AN270="Dados pessoais",AN270="Dados sensíveis",AN270="Dados pessoais e sensíveis"),2,0)+IF(O270="De 1.001 a 10.000 titulares por mês",1,0)+IF(AA270="SIM",1,0)+IF(R270="SIM",1,0)+IF(AL270="SIM",1,0)+IF(AJ270="NÃO",1,0))&gt;=5,"SIM - Alta criticidade",IF((IF(I270="SIM",2,0)+IF(K270="SIM",2,0)+IF(AF270="SIM",2,0)+IF(OR(AN270="Dados pessoais",AN270="Dados sensíveis",AN270="Dados pessoais e sensíveis"),2,0)+IF(O270="De 1.001 a 10.000 titulares por mês",1,0)+IF(AA270="SIM",1,0)+IF(R270="SIM",1,0)+IF(AL270="SIM",1,0)+IF(AJ270="NÃO",1,0))&gt;=3,"Avaliação necessária","NÃO"))))</f>
      </c>
      <c r="AR270" s="11"/>
      <c r="AS270" s="113">
        <f>IF(AND(I270="",K270="",AF270="",AL270="",AN270="",O270=""),"",IF(OR(I270="SIM",K270="SIM",AF270="SIM",AL270="SIM",OR(AN270="Dados pessoais",AN270="Dados sensíveis",AN270="Dados pessoais e sensíveis"),O270="Acima de 10.000 titulares por mês",(IF(I270="SIM",2,0)+IF(K270="SIM",2,0)+IF(AF270="SIM",2,0)+IF(OR(AN270="Dados pessoais",AN270="Dados sensíveis",AN270="Dados pessoais e sensíveis"),2,0)+IF(O270="De 1.001 a 10.000 titulares por mês",1,0)+IF(AA270="SIM",1,0)+IF(R270="SIM",1,0)+IF(AL270="SIM",1,0)+IF(AJ270="NÃO",1,0))&gt;=3),"DPIA indicado ou em avaliação em razão de: " &amp; TRIM(IF(I270="SIM","tratamento de dados sensíveis; ","") &amp; IF(K270="SIM","utilização de dados de menores; ","") &amp; IF(AF270="SIM","transferência internacional de dados; ","") &amp; IF(AL270="SIM","utilização de inteligência artificial; ","") &amp; IF(OR(AN270="Dados pessoais",AN270="Dados sensíveis",AN270="Dados pessoais e sensíveis"),"dados inseridos em IA; ","") &amp; IF(O270="Acima de 10.000 titulares por mês","volume crítico de titulares; ","") &amp; IF(O270="De 1.001 a 10.000 titulares por mês","volume moderado de titulares; ","") &amp; IF(AA270="SIM","compartilhamento com terceiros; ","") &amp; IF(R270="SIM","compartilhamento com órgãos governamentais; ","") &amp; IF(AJ270="NÃO","ausência de controle de acesso por perfil; ","")),"DPIA não indicado: Processo de baixa criticidade."))</f>
      </c>
    </row>
    <row x14ac:dyDescent="0.25" r="271" customHeight="1" ht="15.75">
      <c r="A271" s="46"/>
      <c r="B271" s="6"/>
      <c r="C271" s="11"/>
      <c r="D271" s="11"/>
      <c r="E271" s="11"/>
      <c r="F271" s="29"/>
      <c r="G271" s="11"/>
      <c r="H271" s="11"/>
      <c r="I271" s="29"/>
      <c r="J271" s="11"/>
      <c r="K271" s="29"/>
      <c r="L271" s="11"/>
      <c r="M271" s="11"/>
      <c r="N271" s="11"/>
      <c r="O271" s="29"/>
      <c r="P271" s="29"/>
      <c r="Q271" s="11"/>
      <c r="R271" s="29"/>
      <c r="S271" s="11"/>
      <c r="T271" s="6"/>
      <c r="U271" s="29"/>
      <c r="V271" s="11"/>
      <c r="W271" s="11"/>
      <c r="X271" s="29"/>
      <c r="Y271" s="11"/>
      <c r="Z271" s="29"/>
      <c r="AA271" s="29"/>
      <c r="AB271" s="11"/>
      <c r="AC271" s="11"/>
      <c r="AD271" s="29"/>
      <c r="AE271" s="11"/>
      <c r="AF271" s="29"/>
      <c r="AG271" s="11"/>
      <c r="AH271" s="29"/>
      <c r="AI271" s="11"/>
      <c r="AJ271" s="29"/>
      <c r="AK271" s="29"/>
      <c r="AL271" s="29"/>
      <c r="AM271" s="11"/>
      <c r="AN271" s="29"/>
      <c r="AO271" s="29"/>
      <c r="AP271" s="6"/>
      <c r="AQ271" s="113">
        <f>IF(AND(I271="",K271="",AF271="",AL271="",AN271="",O271=""),"",IF(OR(I271="SIM",K271="SIM",AF271="SIM",AL271="SIM",AN271="Dados pessoais",AN271="Dados sensíveis",AN271="Dados pessoais e sensíveis",O271="Acima de 10.000 titulares por mês"),"SIM - Alta criticidade",IF((IF(I271="SIM",2,0)+IF(K271="SIM",2,0)+IF(AF271="SIM",2,0)+IF(OR(AN271="Dados pessoais",AN271="Dados sensíveis",AN271="Dados pessoais e sensíveis"),2,0)+IF(O271="De 1.001 a 10.000 titulares por mês",1,0)+IF(AA271="SIM",1,0)+IF(R271="SIM",1,0)+IF(AL271="SIM",1,0)+IF(AJ271="NÃO",1,0))&gt;=5,"SIM - Alta criticidade",IF((IF(I271="SIM",2,0)+IF(K271="SIM",2,0)+IF(AF271="SIM",2,0)+IF(OR(AN271="Dados pessoais",AN271="Dados sensíveis",AN271="Dados pessoais e sensíveis"),2,0)+IF(O271="De 1.001 a 10.000 titulares por mês",1,0)+IF(AA271="SIM",1,0)+IF(R271="SIM",1,0)+IF(AL271="SIM",1,0)+IF(AJ271="NÃO",1,0))&gt;=3,"Avaliação necessária","NÃO"))))</f>
      </c>
      <c r="AR271" s="11"/>
      <c r="AS271" s="113">
        <f>IF(AND(I271="",K271="",AF271="",AL271="",AN271="",O271=""),"",IF(OR(I271="SIM",K271="SIM",AF271="SIM",AL271="SIM",OR(AN271="Dados pessoais",AN271="Dados sensíveis",AN271="Dados pessoais e sensíveis"),O271="Acima de 10.000 titulares por mês",(IF(I271="SIM",2,0)+IF(K271="SIM",2,0)+IF(AF271="SIM",2,0)+IF(OR(AN271="Dados pessoais",AN271="Dados sensíveis",AN271="Dados pessoais e sensíveis"),2,0)+IF(O271="De 1.001 a 10.000 titulares por mês",1,0)+IF(AA271="SIM",1,0)+IF(R271="SIM",1,0)+IF(AL271="SIM",1,0)+IF(AJ271="NÃO",1,0))&gt;=3),"DPIA indicado ou em avaliação em razão de: " &amp; TRIM(IF(I271="SIM","tratamento de dados sensíveis; ","") &amp; IF(K271="SIM","utilização de dados de menores; ","") &amp; IF(AF271="SIM","transferência internacional de dados; ","") &amp; IF(AL271="SIM","utilização de inteligência artificial; ","") &amp; IF(OR(AN271="Dados pessoais",AN271="Dados sensíveis",AN271="Dados pessoais e sensíveis"),"dados inseridos em IA; ","") &amp; IF(O271="Acima de 10.000 titulares por mês","volume crítico de titulares; ","") &amp; IF(O271="De 1.001 a 10.000 titulares por mês","volume moderado de titulares; ","") &amp; IF(AA271="SIM","compartilhamento com terceiros; ","") &amp; IF(R271="SIM","compartilhamento com órgãos governamentais; ","") &amp; IF(AJ271="NÃO","ausência de controle de acesso por perfil; ","")),"DPIA não indicado: Processo de baixa criticidade."))</f>
      </c>
    </row>
    <row x14ac:dyDescent="0.25" r="272" customHeight="1" ht="15.75">
      <c r="A272" s="46"/>
      <c r="B272" s="6"/>
      <c r="C272" s="11"/>
      <c r="D272" s="11"/>
      <c r="E272" s="11"/>
      <c r="F272" s="29"/>
      <c r="G272" s="11"/>
      <c r="H272" s="11"/>
      <c r="I272" s="29"/>
      <c r="J272" s="11"/>
      <c r="K272" s="29"/>
      <c r="L272" s="11"/>
      <c r="M272" s="11"/>
      <c r="N272" s="11"/>
      <c r="O272" s="29"/>
      <c r="P272" s="29"/>
      <c r="Q272" s="11"/>
      <c r="R272" s="29"/>
      <c r="S272" s="11"/>
      <c r="T272" s="6"/>
      <c r="U272" s="29"/>
      <c r="V272" s="11"/>
      <c r="W272" s="11"/>
      <c r="X272" s="29"/>
      <c r="Y272" s="11"/>
      <c r="Z272" s="29"/>
      <c r="AA272" s="29"/>
      <c r="AB272" s="11"/>
      <c r="AC272" s="11"/>
      <c r="AD272" s="29"/>
      <c r="AE272" s="11"/>
      <c r="AF272" s="29"/>
      <c r="AG272" s="11"/>
      <c r="AH272" s="29"/>
      <c r="AI272" s="11"/>
      <c r="AJ272" s="29"/>
      <c r="AK272" s="29"/>
      <c r="AL272" s="29"/>
      <c r="AM272" s="11"/>
      <c r="AN272" s="29"/>
      <c r="AO272" s="29"/>
      <c r="AP272" s="6"/>
      <c r="AQ272" s="113">
        <f>IF(AND(I272="",K272="",AF272="",AL272="",AN272="",O272=""),"",IF(OR(I272="SIM",K272="SIM",AF272="SIM",AL272="SIM",AN272="Dados pessoais",AN272="Dados sensíveis",AN272="Dados pessoais e sensíveis",O272="Acima de 10.000 titulares por mês"),"SIM - Alta criticidade",IF((IF(I272="SIM",2,0)+IF(K272="SIM",2,0)+IF(AF272="SIM",2,0)+IF(OR(AN272="Dados pessoais",AN272="Dados sensíveis",AN272="Dados pessoais e sensíveis"),2,0)+IF(O272="De 1.001 a 10.000 titulares por mês",1,0)+IF(AA272="SIM",1,0)+IF(R272="SIM",1,0)+IF(AL272="SIM",1,0)+IF(AJ272="NÃO",1,0))&gt;=5,"SIM - Alta criticidade",IF((IF(I272="SIM",2,0)+IF(K272="SIM",2,0)+IF(AF272="SIM",2,0)+IF(OR(AN272="Dados pessoais",AN272="Dados sensíveis",AN272="Dados pessoais e sensíveis"),2,0)+IF(O272="De 1.001 a 10.000 titulares por mês",1,0)+IF(AA272="SIM",1,0)+IF(R272="SIM",1,0)+IF(AL272="SIM",1,0)+IF(AJ272="NÃO",1,0))&gt;=3,"Avaliação necessária","NÃO"))))</f>
      </c>
      <c r="AR272" s="11"/>
      <c r="AS272" s="113">
        <f>IF(AND(I272="",K272="",AF272="",AL272="",AN272="",O272=""),"",IF(OR(I272="SIM",K272="SIM",AF272="SIM",AL272="SIM",OR(AN272="Dados pessoais",AN272="Dados sensíveis",AN272="Dados pessoais e sensíveis"),O272="Acima de 10.000 titulares por mês",(IF(I272="SIM",2,0)+IF(K272="SIM",2,0)+IF(AF272="SIM",2,0)+IF(OR(AN272="Dados pessoais",AN272="Dados sensíveis",AN272="Dados pessoais e sensíveis"),2,0)+IF(O272="De 1.001 a 10.000 titulares por mês",1,0)+IF(AA272="SIM",1,0)+IF(R272="SIM",1,0)+IF(AL272="SIM",1,0)+IF(AJ272="NÃO",1,0))&gt;=3),"DPIA indicado ou em avaliação em razão de: " &amp; TRIM(IF(I272="SIM","tratamento de dados sensíveis; ","") &amp; IF(K272="SIM","utilização de dados de menores; ","") &amp; IF(AF272="SIM","transferência internacional de dados; ","") &amp; IF(AL272="SIM","utilização de inteligência artificial; ","") &amp; IF(OR(AN272="Dados pessoais",AN272="Dados sensíveis",AN272="Dados pessoais e sensíveis"),"dados inseridos em IA; ","") &amp; IF(O272="Acima de 10.000 titulares por mês","volume crítico de titulares; ","") &amp; IF(O272="De 1.001 a 10.000 titulares por mês","volume moderado de titulares; ","") &amp; IF(AA272="SIM","compartilhamento com terceiros; ","") &amp; IF(R272="SIM","compartilhamento com órgãos governamentais; ","") &amp; IF(AJ272="NÃO","ausência de controle de acesso por perfil; ","")),"DPIA não indicado: Processo de baixa criticidade."))</f>
      </c>
    </row>
    <row x14ac:dyDescent="0.25" r="273" customHeight="1" ht="15.75">
      <c r="A273" s="46"/>
      <c r="B273" s="6"/>
      <c r="C273" s="11"/>
      <c r="D273" s="11"/>
      <c r="E273" s="11"/>
      <c r="F273" s="29"/>
      <c r="G273" s="11"/>
      <c r="H273" s="11"/>
      <c r="I273" s="29"/>
      <c r="J273" s="11"/>
      <c r="K273" s="29"/>
      <c r="L273" s="11"/>
      <c r="M273" s="11"/>
      <c r="N273" s="11"/>
      <c r="O273" s="29"/>
      <c r="P273" s="29"/>
      <c r="Q273" s="11"/>
      <c r="R273" s="29"/>
      <c r="S273" s="11"/>
      <c r="T273" s="6"/>
      <c r="U273" s="29"/>
      <c r="V273" s="11"/>
      <c r="W273" s="11"/>
      <c r="X273" s="29"/>
      <c r="Y273" s="11"/>
      <c r="Z273" s="29"/>
      <c r="AA273" s="29"/>
      <c r="AB273" s="11"/>
      <c r="AC273" s="11"/>
      <c r="AD273" s="29"/>
      <c r="AE273" s="11"/>
      <c r="AF273" s="29"/>
      <c r="AG273" s="11"/>
      <c r="AH273" s="29"/>
      <c r="AI273" s="11"/>
      <c r="AJ273" s="29"/>
      <c r="AK273" s="29"/>
      <c r="AL273" s="29"/>
      <c r="AM273" s="11"/>
      <c r="AN273" s="29"/>
      <c r="AO273" s="29"/>
      <c r="AP273" s="6"/>
      <c r="AQ273" s="113">
        <f>IF(AND(I273="",K273="",AF273="",AL273="",AN273="",O273=""),"",IF(OR(I273="SIM",K273="SIM",AF273="SIM",AL273="SIM",AN273="Dados pessoais",AN273="Dados sensíveis",AN273="Dados pessoais e sensíveis",O273="Acima de 10.000 titulares por mês"),"SIM - Alta criticidade",IF((IF(I273="SIM",2,0)+IF(K273="SIM",2,0)+IF(AF273="SIM",2,0)+IF(OR(AN273="Dados pessoais",AN273="Dados sensíveis",AN273="Dados pessoais e sensíveis"),2,0)+IF(O273="De 1.001 a 10.000 titulares por mês",1,0)+IF(AA273="SIM",1,0)+IF(R273="SIM",1,0)+IF(AL273="SIM",1,0)+IF(AJ273="NÃO",1,0))&gt;=5,"SIM - Alta criticidade",IF((IF(I273="SIM",2,0)+IF(K273="SIM",2,0)+IF(AF273="SIM",2,0)+IF(OR(AN273="Dados pessoais",AN273="Dados sensíveis",AN273="Dados pessoais e sensíveis"),2,0)+IF(O273="De 1.001 a 10.000 titulares por mês",1,0)+IF(AA273="SIM",1,0)+IF(R273="SIM",1,0)+IF(AL273="SIM",1,0)+IF(AJ273="NÃO",1,0))&gt;=3,"Avaliação necessária","NÃO"))))</f>
      </c>
      <c r="AR273" s="11"/>
      <c r="AS273" s="113">
        <f>IF(AND(I273="",K273="",AF273="",AL273="",AN273="",O273=""),"",IF(OR(I273="SIM",K273="SIM",AF273="SIM",AL273="SIM",OR(AN273="Dados pessoais",AN273="Dados sensíveis",AN273="Dados pessoais e sensíveis"),O273="Acima de 10.000 titulares por mês",(IF(I273="SIM",2,0)+IF(K273="SIM",2,0)+IF(AF273="SIM",2,0)+IF(OR(AN273="Dados pessoais",AN273="Dados sensíveis",AN273="Dados pessoais e sensíveis"),2,0)+IF(O273="De 1.001 a 10.000 titulares por mês",1,0)+IF(AA273="SIM",1,0)+IF(R273="SIM",1,0)+IF(AL273="SIM",1,0)+IF(AJ273="NÃO",1,0))&gt;=3),"DPIA indicado ou em avaliação em razão de: " &amp; TRIM(IF(I273="SIM","tratamento de dados sensíveis; ","") &amp; IF(K273="SIM","utilização de dados de menores; ","") &amp; IF(AF273="SIM","transferência internacional de dados; ","") &amp; IF(AL273="SIM","utilização de inteligência artificial; ","") &amp; IF(OR(AN273="Dados pessoais",AN273="Dados sensíveis",AN273="Dados pessoais e sensíveis"),"dados inseridos em IA; ","") &amp; IF(O273="Acima de 10.000 titulares por mês","volume crítico de titulares; ","") &amp; IF(O273="De 1.001 a 10.000 titulares por mês","volume moderado de titulares; ","") &amp; IF(AA273="SIM","compartilhamento com terceiros; ","") &amp; IF(R273="SIM","compartilhamento com órgãos governamentais; ","") &amp; IF(AJ273="NÃO","ausência de controle de acesso por perfil; ","")),"DPIA não indicado: Processo de baixa criticidade."))</f>
      </c>
    </row>
    <row x14ac:dyDescent="0.25" r="274" customHeight="1" ht="15.75">
      <c r="A274" s="46"/>
      <c r="B274" s="6"/>
      <c r="C274" s="11"/>
      <c r="D274" s="11"/>
      <c r="E274" s="11"/>
      <c r="F274" s="29"/>
      <c r="G274" s="11"/>
      <c r="H274" s="11"/>
      <c r="I274" s="29"/>
      <c r="J274" s="11"/>
      <c r="K274" s="29"/>
      <c r="L274" s="11"/>
      <c r="M274" s="11"/>
      <c r="N274" s="11"/>
      <c r="O274" s="29"/>
      <c r="P274" s="29"/>
      <c r="Q274" s="11"/>
      <c r="R274" s="29"/>
      <c r="S274" s="11"/>
      <c r="T274" s="6"/>
      <c r="U274" s="29"/>
      <c r="V274" s="11"/>
      <c r="W274" s="11"/>
      <c r="X274" s="29"/>
      <c r="Y274" s="11"/>
      <c r="Z274" s="29"/>
      <c r="AA274" s="29"/>
      <c r="AB274" s="11"/>
      <c r="AC274" s="11"/>
      <c r="AD274" s="29"/>
      <c r="AE274" s="11"/>
      <c r="AF274" s="29"/>
      <c r="AG274" s="11"/>
      <c r="AH274" s="29"/>
      <c r="AI274" s="11"/>
      <c r="AJ274" s="29"/>
      <c r="AK274" s="29"/>
      <c r="AL274" s="29"/>
      <c r="AM274" s="11"/>
      <c r="AN274" s="29"/>
      <c r="AO274" s="29"/>
      <c r="AP274" s="6"/>
      <c r="AQ274" s="113">
        <f>IF(AND(I274="",K274="",AF274="",AL274="",AN274="",O274=""),"",IF(OR(I274="SIM",K274="SIM",AF274="SIM",AL274="SIM",AN274="Dados pessoais",AN274="Dados sensíveis",AN274="Dados pessoais e sensíveis",O274="Acima de 10.000 titulares por mês"),"SIM - Alta criticidade",IF((IF(I274="SIM",2,0)+IF(K274="SIM",2,0)+IF(AF274="SIM",2,0)+IF(OR(AN274="Dados pessoais",AN274="Dados sensíveis",AN274="Dados pessoais e sensíveis"),2,0)+IF(O274="De 1.001 a 10.000 titulares por mês",1,0)+IF(AA274="SIM",1,0)+IF(R274="SIM",1,0)+IF(AL274="SIM",1,0)+IF(AJ274="NÃO",1,0))&gt;=5,"SIM - Alta criticidade",IF((IF(I274="SIM",2,0)+IF(K274="SIM",2,0)+IF(AF274="SIM",2,0)+IF(OR(AN274="Dados pessoais",AN274="Dados sensíveis",AN274="Dados pessoais e sensíveis"),2,0)+IF(O274="De 1.001 a 10.000 titulares por mês",1,0)+IF(AA274="SIM",1,0)+IF(R274="SIM",1,0)+IF(AL274="SIM",1,0)+IF(AJ274="NÃO",1,0))&gt;=3,"Avaliação necessária","NÃO"))))</f>
      </c>
      <c r="AR274" s="11"/>
      <c r="AS274" s="113">
        <f>IF(AND(I274="",K274="",AF274="",AL274="",AN274="",O274=""),"",IF(OR(I274="SIM",K274="SIM",AF274="SIM",AL274="SIM",OR(AN274="Dados pessoais",AN274="Dados sensíveis",AN274="Dados pessoais e sensíveis"),O274="Acima de 10.000 titulares por mês",(IF(I274="SIM",2,0)+IF(K274="SIM",2,0)+IF(AF274="SIM",2,0)+IF(OR(AN274="Dados pessoais",AN274="Dados sensíveis",AN274="Dados pessoais e sensíveis"),2,0)+IF(O274="De 1.001 a 10.000 titulares por mês",1,0)+IF(AA274="SIM",1,0)+IF(R274="SIM",1,0)+IF(AL274="SIM",1,0)+IF(AJ274="NÃO",1,0))&gt;=3),"DPIA indicado ou em avaliação em razão de: " &amp; TRIM(IF(I274="SIM","tratamento de dados sensíveis; ","") &amp; IF(K274="SIM","utilização de dados de menores; ","") &amp; IF(AF274="SIM","transferência internacional de dados; ","") &amp; IF(AL274="SIM","utilização de inteligência artificial; ","") &amp; IF(OR(AN274="Dados pessoais",AN274="Dados sensíveis",AN274="Dados pessoais e sensíveis"),"dados inseridos em IA; ","") &amp; IF(O274="Acima de 10.000 titulares por mês","volume crítico de titulares; ","") &amp; IF(O274="De 1.001 a 10.000 titulares por mês","volume moderado de titulares; ","") &amp; IF(AA274="SIM","compartilhamento com terceiros; ","") &amp; IF(R274="SIM","compartilhamento com órgãos governamentais; ","") &amp; IF(AJ274="NÃO","ausência de controle de acesso por perfil; ","")),"DPIA não indicado: Processo de baixa criticidade."))</f>
      </c>
    </row>
    <row x14ac:dyDescent="0.25" r="275" customHeight="1" ht="15.75">
      <c r="A275" s="46"/>
      <c r="B275" s="6"/>
      <c r="C275" s="11"/>
      <c r="D275" s="11"/>
      <c r="E275" s="11"/>
      <c r="F275" s="29"/>
      <c r="G275" s="11"/>
      <c r="H275" s="11"/>
      <c r="I275" s="29"/>
      <c r="J275" s="11"/>
      <c r="K275" s="29"/>
      <c r="L275" s="11"/>
      <c r="M275" s="11"/>
      <c r="N275" s="11"/>
      <c r="O275" s="29"/>
      <c r="P275" s="29"/>
      <c r="Q275" s="11"/>
      <c r="R275" s="29"/>
      <c r="S275" s="11"/>
      <c r="T275" s="6"/>
      <c r="U275" s="29"/>
      <c r="V275" s="11"/>
      <c r="W275" s="11"/>
      <c r="X275" s="29"/>
      <c r="Y275" s="11"/>
      <c r="Z275" s="29"/>
      <c r="AA275" s="29"/>
      <c r="AB275" s="11"/>
      <c r="AC275" s="11"/>
      <c r="AD275" s="29"/>
      <c r="AE275" s="11"/>
      <c r="AF275" s="29"/>
      <c r="AG275" s="11"/>
      <c r="AH275" s="29"/>
      <c r="AI275" s="11"/>
      <c r="AJ275" s="29"/>
      <c r="AK275" s="29"/>
      <c r="AL275" s="29"/>
      <c r="AM275" s="11"/>
      <c r="AN275" s="29"/>
      <c r="AO275" s="29"/>
      <c r="AP275" s="6"/>
      <c r="AQ275" s="113">
        <f>IF(AND(I275="",K275="",AF275="",AL275="",AN275="",O275=""),"",IF(OR(I275="SIM",K275="SIM",AF275="SIM",AL275="SIM",AN275="Dados pessoais",AN275="Dados sensíveis",AN275="Dados pessoais e sensíveis",O275="Acima de 10.000 titulares por mês"),"SIM - Alta criticidade",IF((IF(I275="SIM",2,0)+IF(K275="SIM",2,0)+IF(AF275="SIM",2,0)+IF(OR(AN275="Dados pessoais",AN275="Dados sensíveis",AN275="Dados pessoais e sensíveis"),2,0)+IF(O275="De 1.001 a 10.000 titulares por mês",1,0)+IF(AA275="SIM",1,0)+IF(R275="SIM",1,0)+IF(AL275="SIM",1,0)+IF(AJ275="NÃO",1,0))&gt;=5,"SIM - Alta criticidade",IF((IF(I275="SIM",2,0)+IF(K275="SIM",2,0)+IF(AF275="SIM",2,0)+IF(OR(AN275="Dados pessoais",AN275="Dados sensíveis",AN275="Dados pessoais e sensíveis"),2,0)+IF(O275="De 1.001 a 10.000 titulares por mês",1,0)+IF(AA275="SIM",1,0)+IF(R275="SIM",1,0)+IF(AL275="SIM",1,0)+IF(AJ275="NÃO",1,0))&gt;=3,"Avaliação necessária","NÃO"))))</f>
      </c>
      <c r="AR275" s="11"/>
      <c r="AS275" s="113">
        <f>IF(AND(I275="",K275="",AF275="",AL275="",AN275="",O275=""),"",IF(OR(I275="SIM",K275="SIM",AF275="SIM",AL275="SIM",OR(AN275="Dados pessoais",AN275="Dados sensíveis",AN275="Dados pessoais e sensíveis"),O275="Acima de 10.000 titulares por mês",(IF(I275="SIM",2,0)+IF(K275="SIM",2,0)+IF(AF275="SIM",2,0)+IF(OR(AN275="Dados pessoais",AN275="Dados sensíveis",AN275="Dados pessoais e sensíveis"),2,0)+IF(O275="De 1.001 a 10.000 titulares por mês",1,0)+IF(AA275="SIM",1,0)+IF(R275="SIM",1,0)+IF(AL275="SIM",1,0)+IF(AJ275="NÃO",1,0))&gt;=3),"DPIA indicado ou em avaliação em razão de: " &amp; TRIM(IF(I275="SIM","tratamento de dados sensíveis; ","") &amp; IF(K275="SIM","utilização de dados de menores; ","") &amp; IF(AF275="SIM","transferência internacional de dados; ","") &amp; IF(AL275="SIM","utilização de inteligência artificial; ","") &amp; IF(OR(AN275="Dados pessoais",AN275="Dados sensíveis",AN275="Dados pessoais e sensíveis"),"dados inseridos em IA; ","") &amp; IF(O275="Acima de 10.000 titulares por mês","volume crítico de titulares; ","") &amp; IF(O275="De 1.001 a 10.000 titulares por mês","volume moderado de titulares; ","") &amp; IF(AA275="SIM","compartilhamento com terceiros; ","") &amp; IF(R275="SIM","compartilhamento com órgãos governamentais; ","") &amp; IF(AJ275="NÃO","ausência de controle de acesso por perfil; ","")),"DPIA não indicado: Processo de baixa criticidade."))</f>
      </c>
    </row>
    <row x14ac:dyDescent="0.25" r="276" customHeight="1" ht="15.75">
      <c r="A276" s="46"/>
      <c r="B276" s="6"/>
      <c r="C276" s="11"/>
      <c r="D276" s="11"/>
      <c r="E276" s="11"/>
      <c r="F276" s="29"/>
      <c r="G276" s="11"/>
      <c r="H276" s="11"/>
      <c r="I276" s="29"/>
      <c r="J276" s="11"/>
      <c r="K276" s="29"/>
      <c r="L276" s="11"/>
      <c r="M276" s="11"/>
      <c r="N276" s="11"/>
      <c r="O276" s="29"/>
      <c r="P276" s="29"/>
      <c r="Q276" s="11"/>
      <c r="R276" s="29"/>
      <c r="S276" s="11"/>
      <c r="T276" s="6"/>
      <c r="U276" s="29"/>
      <c r="V276" s="11"/>
      <c r="W276" s="11"/>
      <c r="X276" s="29"/>
      <c r="Y276" s="11"/>
      <c r="Z276" s="29"/>
      <c r="AA276" s="29"/>
      <c r="AB276" s="11"/>
      <c r="AC276" s="11"/>
      <c r="AD276" s="29"/>
      <c r="AE276" s="11"/>
      <c r="AF276" s="29"/>
      <c r="AG276" s="11"/>
      <c r="AH276" s="29"/>
      <c r="AI276" s="11"/>
      <c r="AJ276" s="29"/>
      <c r="AK276" s="29"/>
      <c r="AL276" s="29"/>
      <c r="AM276" s="11"/>
      <c r="AN276" s="29"/>
      <c r="AO276" s="29"/>
      <c r="AP276" s="6"/>
      <c r="AQ276" s="113">
        <f>IF(AND(I276="",K276="",AF276="",AL276="",AN276="",O276=""),"",IF(OR(I276="SIM",K276="SIM",AF276="SIM",AL276="SIM",AN276="Dados pessoais",AN276="Dados sensíveis",AN276="Dados pessoais e sensíveis",O276="Acima de 10.000 titulares por mês"),"SIM - Alta criticidade",IF((IF(I276="SIM",2,0)+IF(K276="SIM",2,0)+IF(AF276="SIM",2,0)+IF(OR(AN276="Dados pessoais",AN276="Dados sensíveis",AN276="Dados pessoais e sensíveis"),2,0)+IF(O276="De 1.001 a 10.000 titulares por mês",1,0)+IF(AA276="SIM",1,0)+IF(R276="SIM",1,0)+IF(AL276="SIM",1,0)+IF(AJ276="NÃO",1,0))&gt;=5,"SIM - Alta criticidade",IF((IF(I276="SIM",2,0)+IF(K276="SIM",2,0)+IF(AF276="SIM",2,0)+IF(OR(AN276="Dados pessoais",AN276="Dados sensíveis",AN276="Dados pessoais e sensíveis"),2,0)+IF(O276="De 1.001 a 10.000 titulares por mês",1,0)+IF(AA276="SIM",1,0)+IF(R276="SIM",1,0)+IF(AL276="SIM",1,0)+IF(AJ276="NÃO",1,0))&gt;=3,"Avaliação necessária","NÃO"))))</f>
      </c>
      <c r="AR276" s="11"/>
      <c r="AS276" s="113">
        <f>IF(AND(I276="",K276="",AF276="",AL276="",AN276="",O276=""),"",IF(OR(I276="SIM",K276="SIM",AF276="SIM",AL276="SIM",OR(AN276="Dados pessoais",AN276="Dados sensíveis",AN276="Dados pessoais e sensíveis"),O276="Acima de 10.000 titulares por mês",(IF(I276="SIM",2,0)+IF(K276="SIM",2,0)+IF(AF276="SIM",2,0)+IF(OR(AN276="Dados pessoais",AN276="Dados sensíveis",AN276="Dados pessoais e sensíveis"),2,0)+IF(O276="De 1.001 a 10.000 titulares por mês",1,0)+IF(AA276="SIM",1,0)+IF(R276="SIM",1,0)+IF(AL276="SIM",1,0)+IF(AJ276="NÃO",1,0))&gt;=3),"DPIA indicado ou em avaliação em razão de: " &amp; TRIM(IF(I276="SIM","tratamento de dados sensíveis; ","") &amp; IF(K276="SIM","utilização de dados de menores; ","") &amp; IF(AF276="SIM","transferência internacional de dados; ","") &amp; IF(AL276="SIM","utilização de inteligência artificial; ","") &amp; IF(OR(AN276="Dados pessoais",AN276="Dados sensíveis",AN276="Dados pessoais e sensíveis"),"dados inseridos em IA; ","") &amp; IF(O276="Acima de 10.000 titulares por mês","volume crítico de titulares; ","") &amp; IF(O276="De 1.001 a 10.000 titulares por mês","volume moderado de titulares; ","") &amp; IF(AA276="SIM","compartilhamento com terceiros; ","") &amp; IF(R276="SIM","compartilhamento com órgãos governamentais; ","") &amp; IF(AJ276="NÃO","ausência de controle de acesso por perfil; ","")),"DPIA não indicado: Processo de baixa criticidade."))</f>
      </c>
    </row>
    <row x14ac:dyDescent="0.25" r="277" customHeight="1" ht="15.75">
      <c r="A277" s="46"/>
      <c r="B277" s="6"/>
      <c r="C277" s="11"/>
      <c r="D277" s="11"/>
      <c r="E277" s="11"/>
      <c r="F277" s="29"/>
      <c r="G277" s="11"/>
      <c r="H277" s="11"/>
      <c r="I277" s="29"/>
      <c r="J277" s="11"/>
      <c r="K277" s="29"/>
      <c r="L277" s="11"/>
      <c r="M277" s="11"/>
      <c r="N277" s="11"/>
      <c r="O277" s="29"/>
      <c r="P277" s="29"/>
      <c r="Q277" s="11"/>
      <c r="R277" s="29"/>
      <c r="S277" s="11"/>
      <c r="T277" s="6"/>
      <c r="U277" s="29"/>
      <c r="V277" s="11"/>
      <c r="W277" s="11"/>
      <c r="X277" s="29"/>
      <c r="Y277" s="11"/>
      <c r="Z277" s="29"/>
      <c r="AA277" s="29"/>
      <c r="AB277" s="11"/>
      <c r="AC277" s="11"/>
      <c r="AD277" s="29"/>
      <c r="AE277" s="11"/>
      <c r="AF277" s="29"/>
      <c r="AG277" s="11"/>
      <c r="AH277" s="29"/>
      <c r="AI277" s="11"/>
      <c r="AJ277" s="29"/>
      <c r="AK277" s="29"/>
      <c r="AL277" s="29"/>
      <c r="AM277" s="11"/>
      <c r="AN277" s="29"/>
      <c r="AO277" s="29"/>
      <c r="AP277" s="6"/>
      <c r="AQ277" s="113">
        <f>IF(AND(I277="",K277="",AF277="",AL277="",AN277="",O277=""),"",IF(OR(I277="SIM",K277="SIM",AF277="SIM",AL277="SIM",AN277="Dados pessoais",AN277="Dados sensíveis",AN277="Dados pessoais e sensíveis",O277="Acima de 10.000 titulares por mês"),"SIM - Alta criticidade",IF((IF(I277="SIM",2,0)+IF(K277="SIM",2,0)+IF(AF277="SIM",2,0)+IF(OR(AN277="Dados pessoais",AN277="Dados sensíveis",AN277="Dados pessoais e sensíveis"),2,0)+IF(O277="De 1.001 a 10.000 titulares por mês",1,0)+IF(AA277="SIM",1,0)+IF(R277="SIM",1,0)+IF(AL277="SIM",1,0)+IF(AJ277="NÃO",1,0))&gt;=5,"SIM - Alta criticidade",IF((IF(I277="SIM",2,0)+IF(K277="SIM",2,0)+IF(AF277="SIM",2,0)+IF(OR(AN277="Dados pessoais",AN277="Dados sensíveis",AN277="Dados pessoais e sensíveis"),2,0)+IF(O277="De 1.001 a 10.000 titulares por mês",1,0)+IF(AA277="SIM",1,0)+IF(R277="SIM",1,0)+IF(AL277="SIM",1,0)+IF(AJ277="NÃO",1,0))&gt;=3,"Avaliação necessária","NÃO"))))</f>
      </c>
      <c r="AR277" s="11"/>
      <c r="AS277" s="113">
        <f>IF(AND(I277="",K277="",AF277="",AL277="",AN277="",O277=""),"",IF(OR(I277="SIM",K277="SIM",AF277="SIM",AL277="SIM",OR(AN277="Dados pessoais",AN277="Dados sensíveis",AN277="Dados pessoais e sensíveis"),O277="Acima de 10.000 titulares por mês",(IF(I277="SIM",2,0)+IF(K277="SIM",2,0)+IF(AF277="SIM",2,0)+IF(OR(AN277="Dados pessoais",AN277="Dados sensíveis",AN277="Dados pessoais e sensíveis"),2,0)+IF(O277="De 1.001 a 10.000 titulares por mês",1,0)+IF(AA277="SIM",1,0)+IF(R277="SIM",1,0)+IF(AL277="SIM",1,0)+IF(AJ277="NÃO",1,0))&gt;=3),"DPIA indicado ou em avaliação em razão de: " &amp; TRIM(IF(I277="SIM","tratamento de dados sensíveis; ","") &amp; IF(K277="SIM","utilização de dados de menores; ","") &amp; IF(AF277="SIM","transferência internacional de dados; ","") &amp; IF(AL277="SIM","utilização de inteligência artificial; ","") &amp; IF(OR(AN277="Dados pessoais",AN277="Dados sensíveis",AN277="Dados pessoais e sensíveis"),"dados inseridos em IA; ","") &amp; IF(O277="Acima de 10.000 titulares por mês","volume crítico de titulares; ","") &amp; IF(O277="De 1.001 a 10.000 titulares por mês","volume moderado de titulares; ","") &amp; IF(AA277="SIM","compartilhamento com terceiros; ","") &amp; IF(R277="SIM","compartilhamento com órgãos governamentais; ","") &amp; IF(AJ277="NÃO","ausência de controle de acesso por perfil; ","")),"DPIA não indicado: Processo de baixa criticidade."))</f>
      </c>
    </row>
    <row x14ac:dyDescent="0.25" r="278" customHeight="1" ht="15.75">
      <c r="A278" s="46"/>
      <c r="B278" s="6"/>
      <c r="C278" s="11"/>
      <c r="D278" s="11"/>
      <c r="E278" s="11"/>
      <c r="F278" s="29"/>
      <c r="G278" s="11"/>
      <c r="H278" s="11"/>
      <c r="I278" s="29"/>
      <c r="J278" s="11"/>
      <c r="K278" s="29"/>
      <c r="L278" s="11"/>
      <c r="M278" s="11"/>
      <c r="N278" s="11"/>
      <c r="O278" s="29"/>
      <c r="P278" s="29"/>
      <c r="Q278" s="11"/>
      <c r="R278" s="29"/>
      <c r="S278" s="11"/>
      <c r="T278" s="6"/>
      <c r="U278" s="29"/>
      <c r="V278" s="11"/>
      <c r="W278" s="11"/>
      <c r="X278" s="29"/>
      <c r="Y278" s="11"/>
      <c r="Z278" s="29"/>
      <c r="AA278" s="29"/>
      <c r="AB278" s="11"/>
      <c r="AC278" s="11"/>
      <c r="AD278" s="29"/>
      <c r="AE278" s="11"/>
      <c r="AF278" s="29"/>
      <c r="AG278" s="11"/>
      <c r="AH278" s="29"/>
      <c r="AI278" s="11"/>
      <c r="AJ278" s="29"/>
      <c r="AK278" s="29"/>
      <c r="AL278" s="29"/>
      <c r="AM278" s="11"/>
      <c r="AN278" s="29"/>
      <c r="AO278" s="29"/>
      <c r="AP278" s="6"/>
      <c r="AQ278" s="113">
        <f>IF(AND(I278="",K278="",AF278="",AL278="",AN278="",O278=""),"",IF(OR(I278="SIM",K278="SIM",AF278="SIM",AL278="SIM",AN278="Dados pessoais",AN278="Dados sensíveis",AN278="Dados pessoais e sensíveis",O278="Acima de 10.000 titulares por mês"),"SIM - Alta criticidade",IF((IF(I278="SIM",2,0)+IF(K278="SIM",2,0)+IF(AF278="SIM",2,0)+IF(OR(AN278="Dados pessoais",AN278="Dados sensíveis",AN278="Dados pessoais e sensíveis"),2,0)+IF(O278="De 1.001 a 10.000 titulares por mês",1,0)+IF(AA278="SIM",1,0)+IF(R278="SIM",1,0)+IF(AL278="SIM",1,0)+IF(AJ278="NÃO",1,0))&gt;=5,"SIM - Alta criticidade",IF((IF(I278="SIM",2,0)+IF(K278="SIM",2,0)+IF(AF278="SIM",2,0)+IF(OR(AN278="Dados pessoais",AN278="Dados sensíveis",AN278="Dados pessoais e sensíveis"),2,0)+IF(O278="De 1.001 a 10.000 titulares por mês",1,0)+IF(AA278="SIM",1,0)+IF(R278="SIM",1,0)+IF(AL278="SIM",1,0)+IF(AJ278="NÃO",1,0))&gt;=3,"Avaliação necessária","NÃO"))))</f>
      </c>
      <c r="AR278" s="11"/>
      <c r="AS278" s="113">
        <f>IF(AND(I278="",K278="",AF278="",AL278="",AN278="",O278=""),"",IF(OR(I278="SIM",K278="SIM",AF278="SIM",AL278="SIM",OR(AN278="Dados pessoais",AN278="Dados sensíveis",AN278="Dados pessoais e sensíveis"),O278="Acima de 10.000 titulares por mês",(IF(I278="SIM",2,0)+IF(K278="SIM",2,0)+IF(AF278="SIM",2,0)+IF(OR(AN278="Dados pessoais",AN278="Dados sensíveis",AN278="Dados pessoais e sensíveis"),2,0)+IF(O278="De 1.001 a 10.000 titulares por mês",1,0)+IF(AA278="SIM",1,0)+IF(R278="SIM",1,0)+IF(AL278="SIM",1,0)+IF(AJ278="NÃO",1,0))&gt;=3),"DPIA indicado ou em avaliação em razão de: " &amp; TRIM(IF(I278="SIM","tratamento de dados sensíveis; ","") &amp; IF(K278="SIM","utilização de dados de menores; ","") &amp; IF(AF278="SIM","transferência internacional de dados; ","") &amp; IF(AL278="SIM","utilização de inteligência artificial; ","") &amp; IF(OR(AN278="Dados pessoais",AN278="Dados sensíveis",AN278="Dados pessoais e sensíveis"),"dados inseridos em IA; ","") &amp; IF(O278="Acima de 10.000 titulares por mês","volume crítico de titulares; ","") &amp; IF(O278="De 1.001 a 10.000 titulares por mês","volume moderado de titulares; ","") &amp; IF(AA278="SIM","compartilhamento com terceiros; ","") &amp; IF(R278="SIM","compartilhamento com órgãos governamentais; ","") &amp; IF(AJ278="NÃO","ausência de controle de acesso por perfil; ","")),"DPIA não indicado: Processo de baixa criticidade."))</f>
      </c>
    </row>
    <row x14ac:dyDescent="0.25" r="279" customHeight="1" ht="15.75">
      <c r="A279" s="46"/>
      <c r="B279" s="6"/>
      <c r="C279" s="11"/>
      <c r="D279" s="11"/>
      <c r="E279" s="11"/>
      <c r="F279" s="29"/>
      <c r="G279" s="11"/>
      <c r="H279" s="11"/>
      <c r="I279" s="29"/>
      <c r="J279" s="11"/>
      <c r="K279" s="29"/>
      <c r="L279" s="11"/>
      <c r="M279" s="11"/>
      <c r="N279" s="11"/>
      <c r="O279" s="29"/>
      <c r="P279" s="29"/>
      <c r="Q279" s="11"/>
      <c r="R279" s="29"/>
      <c r="S279" s="11"/>
      <c r="T279" s="6"/>
      <c r="U279" s="29"/>
      <c r="V279" s="11"/>
      <c r="W279" s="11"/>
      <c r="X279" s="29"/>
      <c r="Y279" s="11"/>
      <c r="Z279" s="29"/>
      <c r="AA279" s="29"/>
      <c r="AB279" s="11"/>
      <c r="AC279" s="11"/>
      <c r="AD279" s="29"/>
      <c r="AE279" s="11"/>
      <c r="AF279" s="29"/>
      <c r="AG279" s="11"/>
      <c r="AH279" s="29"/>
      <c r="AI279" s="11"/>
      <c r="AJ279" s="29"/>
      <c r="AK279" s="29"/>
      <c r="AL279" s="29"/>
      <c r="AM279" s="11"/>
      <c r="AN279" s="29"/>
      <c r="AO279" s="29"/>
      <c r="AP279" s="6"/>
      <c r="AQ279" s="113">
        <f>IF(AND(I279="",K279="",AF279="",AL279="",AN279="",O279=""),"",IF(OR(I279="SIM",K279="SIM",AF279="SIM",AL279="SIM",AN279="Dados pessoais",AN279="Dados sensíveis",AN279="Dados pessoais e sensíveis",O279="Acima de 10.000 titulares por mês"),"SIM - Alta criticidade",IF((IF(I279="SIM",2,0)+IF(K279="SIM",2,0)+IF(AF279="SIM",2,0)+IF(OR(AN279="Dados pessoais",AN279="Dados sensíveis",AN279="Dados pessoais e sensíveis"),2,0)+IF(O279="De 1.001 a 10.000 titulares por mês",1,0)+IF(AA279="SIM",1,0)+IF(R279="SIM",1,0)+IF(AL279="SIM",1,0)+IF(AJ279="NÃO",1,0))&gt;=5,"SIM - Alta criticidade",IF((IF(I279="SIM",2,0)+IF(K279="SIM",2,0)+IF(AF279="SIM",2,0)+IF(OR(AN279="Dados pessoais",AN279="Dados sensíveis",AN279="Dados pessoais e sensíveis"),2,0)+IF(O279="De 1.001 a 10.000 titulares por mês",1,0)+IF(AA279="SIM",1,0)+IF(R279="SIM",1,0)+IF(AL279="SIM",1,0)+IF(AJ279="NÃO",1,0))&gt;=3,"Avaliação necessária","NÃO"))))</f>
      </c>
      <c r="AR279" s="11"/>
      <c r="AS279" s="113">
        <f>IF(AND(I279="",K279="",AF279="",AL279="",AN279="",O279=""),"",IF(OR(I279="SIM",K279="SIM",AF279="SIM",AL279="SIM",OR(AN279="Dados pessoais",AN279="Dados sensíveis",AN279="Dados pessoais e sensíveis"),O279="Acima de 10.000 titulares por mês",(IF(I279="SIM",2,0)+IF(K279="SIM",2,0)+IF(AF279="SIM",2,0)+IF(OR(AN279="Dados pessoais",AN279="Dados sensíveis",AN279="Dados pessoais e sensíveis"),2,0)+IF(O279="De 1.001 a 10.000 titulares por mês",1,0)+IF(AA279="SIM",1,0)+IF(R279="SIM",1,0)+IF(AL279="SIM",1,0)+IF(AJ279="NÃO",1,0))&gt;=3),"DPIA indicado ou em avaliação em razão de: " &amp; TRIM(IF(I279="SIM","tratamento de dados sensíveis; ","") &amp; IF(K279="SIM","utilização de dados de menores; ","") &amp; IF(AF279="SIM","transferência internacional de dados; ","") &amp; IF(AL279="SIM","utilização de inteligência artificial; ","") &amp; IF(OR(AN279="Dados pessoais",AN279="Dados sensíveis",AN279="Dados pessoais e sensíveis"),"dados inseridos em IA; ","") &amp; IF(O279="Acima de 10.000 titulares por mês","volume crítico de titulares; ","") &amp; IF(O279="De 1.001 a 10.000 titulares por mês","volume moderado de titulares; ","") &amp; IF(AA279="SIM","compartilhamento com terceiros; ","") &amp; IF(R279="SIM","compartilhamento com órgãos governamentais; ","") &amp; IF(AJ279="NÃO","ausência de controle de acesso por perfil; ","")),"DPIA não indicado: Processo de baixa criticidade."))</f>
      </c>
    </row>
    <row x14ac:dyDescent="0.25" r="280" customHeight="1" ht="15.75">
      <c r="A280" s="46"/>
      <c r="B280" s="6"/>
      <c r="C280" s="11"/>
      <c r="D280" s="11"/>
      <c r="E280" s="11"/>
      <c r="F280" s="29"/>
      <c r="G280" s="11"/>
      <c r="H280" s="11"/>
      <c r="I280" s="29"/>
      <c r="J280" s="11"/>
      <c r="K280" s="29"/>
      <c r="L280" s="11"/>
      <c r="M280" s="11"/>
      <c r="N280" s="11"/>
      <c r="O280" s="29"/>
      <c r="P280" s="29"/>
      <c r="Q280" s="11"/>
      <c r="R280" s="29"/>
      <c r="S280" s="11"/>
      <c r="T280" s="6"/>
      <c r="U280" s="29"/>
      <c r="V280" s="11"/>
      <c r="W280" s="11"/>
      <c r="X280" s="29"/>
      <c r="Y280" s="11"/>
      <c r="Z280" s="29"/>
      <c r="AA280" s="29"/>
      <c r="AB280" s="11"/>
      <c r="AC280" s="11"/>
      <c r="AD280" s="29"/>
      <c r="AE280" s="11"/>
      <c r="AF280" s="29"/>
      <c r="AG280" s="11"/>
      <c r="AH280" s="29"/>
      <c r="AI280" s="11"/>
      <c r="AJ280" s="29"/>
      <c r="AK280" s="29"/>
      <c r="AL280" s="29"/>
      <c r="AM280" s="11"/>
      <c r="AN280" s="29"/>
      <c r="AO280" s="29"/>
      <c r="AP280" s="6"/>
      <c r="AQ280" s="113">
        <f>IF(AND(I280="",K280="",AF280="",AL280="",AN280="",O280=""),"",IF(OR(I280="SIM",K280="SIM",AF280="SIM",AL280="SIM",AN280="Dados pessoais",AN280="Dados sensíveis",AN280="Dados pessoais e sensíveis",O280="Acima de 10.000 titulares por mês"),"SIM - Alta criticidade",IF((IF(I280="SIM",2,0)+IF(K280="SIM",2,0)+IF(AF280="SIM",2,0)+IF(OR(AN280="Dados pessoais",AN280="Dados sensíveis",AN280="Dados pessoais e sensíveis"),2,0)+IF(O280="De 1.001 a 10.000 titulares por mês",1,0)+IF(AA280="SIM",1,0)+IF(R280="SIM",1,0)+IF(AL280="SIM",1,0)+IF(AJ280="NÃO",1,0))&gt;=5,"SIM - Alta criticidade",IF((IF(I280="SIM",2,0)+IF(K280="SIM",2,0)+IF(AF280="SIM",2,0)+IF(OR(AN280="Dados pessoais",AN280="Dados sensíveis",AN280="Dados pessoais e sensíveis"),2,0)+IF(O280="De 1.001 a 10.000 titulares por mês",1,0)+IF(AA280="SIM",1,0)+IF(R280="SIM",1,0)+IF(AL280="SIM",1,0)+IF(AJ280="NÃO",1,0))&gt;=3,"Avaliação necessária","NÃO"))))</f>
      </c>
      <c r="AR280" s="11"/>
      <c r="AS280" s="113">
        <f>IF(AND(I280="",K280="",AF280="",AL280="",AN280="",O280=""),"",IF(OR(I280="SIM",K280="SIM",AF280="SIM",AL280="SIM",OR(AN280="Dados pessoais",AN280="Dados sensíveis",AN280="Dados pessoais e sensíveis"),O280="Acima de 10.000 titulares por mês",(IF(I280="SIM",2,0)+IF(K280="SIM",2,0)+IF(AF280="SIM",2,0)+IF(OR(AN280="Dados pessoais",AN280="Dados sensíveis",AN280="Dados pessoais e sensíveis"),2,0)+IF(O280="De 1.001 a 10.000 titulares por mês",1,0)+IF(AA280="SIM",1,0)+IF(R280="SIM",1,0)+IF(AL280="SIM",1,0)+IF(AJ280="NÃO",1,0))&gt;=3),"DPIA indicado ou em avaliação em razão de: " &amp; TRIM(IF(I280="SIM","tratamento de dados sensíveis; ","") &amp; IF(K280="SIM","utilização de dados de menores; ","") &amp; IF(AF280="SIM","transferência internacional de dados; ","") &amp; IF(AL280="SIM","utilização de inteligência artificial; ","") &amp; IF(OR(AN280="Dados pessoais",AN280="Dados sensíveis",AN280="Dados pessoais e sensíveis"),"dados inseridos em IA; ","") &amp; IF(O280="Acima de 10.000 titulares por mês","volume crítico de titulares; ","") &amp; IF(O280="De 1.001 a 10.000 titulares por mês","volume moderado de titulares; ","") &amp; IF(AA280="SIM","compartilhamento com terceiros; ","") &amp; IF(R280="SIM","compartilhamento com órgãos governamentais; ","") &amp; IF(AJ280="NÃO","ausência de controle de acesso por perfil; ","")),"DPIA não indicado: Processo de baixa criticidade."))</f>
      </c>
    </row>
    <row x14ac:dyDescent="0.25" r="281" customHeight="1" ht="15.75">
      <c r="A281" s="46"/>
      <c r="B281" s="6"/>
      <c r="C281" s="11"/>
      <c r="D281" s="11"/>
      <c r="E281" s="11"/>
      <c r="F281" s="29"/>
      <c r="G281" s="11"/>
      <c r="H281" s="11"/>
      <c r="I281" s="29"/>
      <c r="J281" s="11"/>
      <c r="K281" s="29"/>
      <c r="L281" s="11"/>
      <c r="M281" s="11"/>
      <c r="N281" s="11"/>
      <c r="O281" s="29"/>
      <c r="P281" s="29"/>
      <c r="Q281" s="11"/>
      <c r="R281" s="29"/>
      <c r="S281" s="11"/>
      <c r="T281" s="6"/>
      <c r="U281" s="29"/>
      <c r="V281" s="11"/>
      <c r="W281" s="11"/>
      <c r="X281" s="29"/>
      <c r="Y281" s="11"/>
      <c r="Z281" s="29"/>
      <c r="AA281" s="29"/>
      <c r="AB281" s="11"/>
      <c r="AC281" s="11"/>
      <c r="AD281" s="29"/>
      <c r="AE281" s="11"/>
      <c r="AF281" s="29"/>
      <c r="AG281" s="11"/>
      <c r="AH281" s="29"/>
      <c r="AI281" s="11"/>
      <c r="AJ281" s="29"/>
      <c r="AK281" s="29"/>
      <c r="AL281" s="29"/>
      <c r="AM281" s="11"/>
      <c r="AN281" s="29"/>
      <c r="AO281" s="29"/>
      <c r="AP281" s="6"/>
      <c r="AQ281" s="113">
        <f>IF(AND(I281="",K281="",AF281="",AL281="",AN281="",O281=""),"",IF(OR(I281="SIM",K281="SIM",AF281="SIM",AL281="SIM",AN281="Dados pessoais",AN281="Dados sensíveis",AN281="Dados pessoais e sensíveis",O281="Acima de 10.000 titulares por mês"),"SIM - Alta criticidade",IF((IF(I281="SIM",2,0)+IF(K281="SIM",2,0)+IF(AF281="SIM",2,0)+IF(OR(AN281="Dados pessoais",AN281="Dados sensíveis",AN281="Dados pessoais e sensíveis"),2,0)+IF(O281="De 1.001 a 10.000 titulares por mês",1,0)+IF(AA281="SIM",1,0)+IF(R281="SIM",1,0)+IF(AL281="SIM",1,0)+IF(AJ281="NÃO",1,0))&gt;=5,"SIM - Alta criticidade",IF((IF(I281="SIM",2,0)+IF(K281="SIM",2,0)+IF(AF281="SIM",2,0)+IF(OR(AN281="Dados pessoais",AN281="Dados sensíveis",AN281="Dados pessoais e sensíveis"),2,0)+IF(O281="De 1.001 a 10.000 titulares por mês",1,0)+IF(AA281="SIM",1,0)+IF(R281="SIM",1,0)+IF(AL281="SIM",1,0)+IF(AJ281="NÃO",1,0))&gt;=3,"Avaliação necessária","NÃO"))))</f>
      </c>
      <c r="AR281" s="11"/>
      <c r="AS281" s="113">
        <f>IF(AND(I281="",K281="",AF281="",AL281="",AN281="",O281=""),"",IF(OR(I281="SIM",K281="SIM",AF281="SIM",AL281="SIM",OR(AN281="Dados pessoais",AN281="Dados sensíveis",AN281="Dados pessoais e sensíveis"),O281="Acima de 10.000 titulares por mês",(IF(I281="SIM",2,0)+IF(K281="SIM",2,0)+IF(AF281="SIM",2,0)+IF(OR(AN281="Dados pessoais",AN281="Dados sensíveis",AN281="Dados pessoais e sensíveis"),2,0)+IF(O281="De 1.001 a 10.000 titulares por mês",1,0)+IF(AA281="SIM",1,0)+IF(R281="SIM",1,0)+IF(AL281="SIM",1,0)+IF(AJ281="NÃO",1,0))&gt;=3),"DPIA indicado ou em avaliação em razão de: " &amp; TRIM(IF(I281="SIM","tratamento de dados sensíveis; ","") &amp; IF(K281="SIM","utilização de dados de menores; ","") &amp; IF(AF281="SIM","transferência internacional de dados; ","") &amp; IF(AL281="SIM","utilização de inteligência artificial; ","") &amp; IF(OR(AN281="Dados pessoais",AN281="Dados sensíveis",AN281="Dados pessoais e sensíveis"),"dados inseridos em IA; ","") &amp; IF(O281="Acima de 10.000 titulares por mês","volume crítico de titulares; ","") &amp; IF(O281="De 1.001 a 10.000 titulares por mês","volume moderado de titulares; ","") &amp; IF(AA281="SIM","compartilhamento com terceiros; ","") &amp; IF(R281="SIM","compartilhamento com órgãos governamentais; ","") &amp; IF(AJ281="NÃO","ausência de controle de acesso por perfil; ","")),"DPIA não indicado: Processo de baixa criticidade."))</f>
      </c>
    </row>
    <row x14ac:dyDescent="0.25" r="282" customHeight="1" ht="15.75">
      <c r="A282" s="46"/>
      <c r="B282" s="6"/>
      <c r="C282" s="11"/>
      <c r="D282" s="11"/>
      <c r="E282" s="11"/>
      <c r="F282" s="29"/>
      <c r="G282" s="11"/>
      <c r="H282" s="11"/>
      <c r="I282" s="29"/>
      <c r="J282" s="11"/>
      <c r="K282" s="29"/>
      <c r="L282" s="11"/>
      <c r="M282" s="11"/>
      <c r="N282" s="11"/>
      <c r="O282" s="29"/>
      <c r="P282" s="29"/>
      <c r="Q282" s="11"/>
      <c r="R282" s="29"/>
      <c r="S282" s="11"/>
      <c r="T282" s="6"/>
      <c r="U282" s="29"/>
      <c r="V282" s="11"/>
      <c r="W282" s="11"/>
      <c r="X282" s="29"/>
      <c r="Y282" s="11"/>
      <c r="Z282" s="29"/>
      <c r="AA282" s="29"/>
      <c r="AB282" s="11"/>
      <c r="AC282" s="11"/>
      <c r="AD282" s="29"/>
      <c r="AE282" s="11"/>
      <c r="AF282" s="29"/>
      <c r="AG282" s="11"/>
      <c r="AH282" s="29"/>
      <c r="AI282" s="11"/>
      <c r="AJ282" s="29"/>
      <c r="AK282" s="29"/>
      <c r="AL282" s="29"/>
      <c r="AM282" s="11"/>
      <c r="AN282" s="29"/>
      <c r="AO282" s="29"/>
      <c r="AP282" s="6"/>
      <c r="AQ282" s="113">
        <f>IF(AND(I282="",K282="",AF282="",AL282="",AN282="",O282=""),"",IF(OR(I282="SIM",K282="SIM",AF282="SIM",AL282="SIM",AN282="Dados pessoais",AN282="Dados sensíveis",AN282="Dados pessoais e sensíveis",O282="Acima de 10.000 titulares por mês"),"SIM - Alta criticidade",IF((IF(I282="SIM",2,0)+IF(K282="SIM",2,0)+IF(AF282="SIM",2,0)+IF(OR(AN282="Dados pessoais",AN282="Dados sensíveis",AN282="Dados pessoais e sensíveis"),2,0)+IF(O282="De 1.001 a 10.000 titulares por mês",1,0)+IF(AA282="SIM",1,0)+IF(R282="SIM",1,0)+IF(AL282="SIM",1,0)+IF(AJ282="NÃO",1,0))&gt;=5,"SIM - Alta criticidade",IF((IF(I282="SIM",2,0)+IF(K282="SIM",2,0)+IF(AF282="SIM",2,0)+IF(OR(AN282="Dados pessoais",AN282="Dados sensíveis",AN282="Dados pessoais e sensíveis"),2,0)+IF(O282="De 1.001 a 10.000 titulares por mês",1,0)+IF(AA282="SIM",1,0)+IF(R282="SIM",1,0)+IF(AL282="SIM",1,0)+IF(AJ282="NÃO",1,0))&gt;=3,"Avaliação necessária","NÃO"))))</f>
      </c>
      <c r="AR282" s="11"/>
      <c r="AS282" s="113">
        <f>IF(AND(I282="",K282="",AF282="",AL282="",AN282="",O282=""),"",IF(OR(I282="SIM",K282="SIM",AF282="SIM",AL282="SIM",OR(AN282="Dados pessoais",AN282="Dados sensíveis",AN282="Dados pessoais e sensíveis"),O282="Acima de 10.000 titulares por mês",(IF(I282="SIM",2,0)+IF(K282="SIM",2,0)+IF(AF282="SIM",2,0)+IF(OR(AN282="Dados pessoais",AN282="Dados sensíveis",AN282="Dados pessoais e sensíveis"),2,0)+IF(O282="De 1.001 a 10.000 titulares por mês",1,0)+IF(AA282="SIM",1,0)+IF(R282="SIM",1,0)+IF(AL282="SIM",1,0)+IF(AJ282="NÃO",1,0))&gt;=3),"DPIA indicado ou em avaliação em razão de: " &amp; TRIM(IF(I282="SIM","tratamento de dados sensíveis; ","") &amp; IF(K282="SIM","utilização de dados de menores; ","") &amp; IF(AF282="SIM","transferência internacional de dados; ","") &amp; IF(AL282="SIM","utilização de inteligência artificial; ","") &amp; IF(OR(AN282="Dados pessoais",AN282="Dados sensíveis",AN282="Dados pessoais e sensíveis"),"dados inseridos em IA; ","") &amp; IF(O282="Acima de 10.000 titulares por mês","volume crítico de titulares; ","") &amp; IF(O282="De 1.001 a 10.000 titulares por mês","volume moderado de titulares; ","") &amp; IF(AA282="SIM","compartilhamento com terceiros; ","") &amp; IF(R282="SIM","compartilhamento com órgãos governamentais; ","") &amp; IF(AJ282="NÃO","ausência de controle de acesso por perfil; ","")),"DPIA não indicado: Processo de baixa criticidade."))</f>
      </c>
    </row>
    <row x14ac:dyDescent="0.25" r="283" customHeight="1" ht="15.75">
      <c r="A283" s="46"/>
      <c r="B283" s="6"/>
      <c r="C283" s="11"/>
      <c r="D283" s="11"/>
      <c r="E283" s="11"/>
      <c r="F283" s="29"/>
      <c r="G283" s="11"/>
      <c r="H283" s="11"/>
      <c r="I283" s="29"/>
      <c r="J283" s="11"/>
      <c r="K283" s="29"/>
      <c r="L283" s="11"/>
      <c r="M283" s="11"/>
      <c r="N283" s="11"/>
      <c r="O283" s="29"/>
      <c r="P283" s="29"/>
      <c r="Q283" s="11"/>
      <c r="R283" s="29"/>
      <c r="S283" s="11"/>
      <c r="T283" s="6"/>
      <c r="U283" s="29"/>
      <c r="V283" s="11"/>
      <c r="W283" s="11"/>
      <c r="X283" s="29"/>
      <c r="Y283" s="11"/>
      <c r="Z283" s="29"/>
      <c r="AA283" s="29"/>
      <c r="AB283" s="11"/>
      <c r="AC283" s="11"/>
      <c r="AD283" s="29"/>
      <c r="AE283" s="11"/>
      <c r="AF283" s="29"/>
      <c r="AG283" s="11"/>
      <c r="AH283" s="29"/>
      <c r="AI283" s="11"/>
      <c r="AJ283" s="29"/>
      <c r="AK283" s="29"/>
      <c r="AL283" s="29"/>
      <c r="AM283" s="11"/>
      <c r="AN283" s="29"/>
      <c r="AO283" s="29"/>
      <c r="AP283" s="6"/>
      <c r="AQ283" s="113">
        <f>IF(AND(I283="",K283="",AF283="",AL283="",AN283="",O283=""),"",IF(OR(I283="SIM",K283="SIM",AF283="SIM",AL283="SIM",AN283="Dados pessoais",AN283="Dados sensíveis",AN283="Dados pessoais e sensíveis",O283="Acima de 10.000 titulares por mês"),"SIM - Alta criticidade",IF((IF(I283="SIM",2,0)+IF(K283="SIM",2,0)+IF(AF283="SIM",2,0)+IF(OR(AN283="Dados pessoais",AN283="Dados sensíveis",AN283="Dados pessoais e sensíveis"),2,0)+IF(O283="De 1.001 a 10.000 titulares por mês",1,0)+IF(AA283="SIM",1,0)+IF(R283="SIM",1,0)+IF(AL283="SIM",1,0)+IF(AJ283="NÃO",1,0))&gt;=5,"SIM - Alta criticidade",IF((IF(I283="SIM",2,0)+IF(K283="SIM",2,0)+IF(AF283="SIM",2,0)+IF(OR(AN283="Dados pessoais",AN283="Dados sensíveis",AN283="Dados pessoais e sensíveis"),2,0)+IF(O283="De 1.001 a 10.000 titulares por mês",1,0)+IF(AA283="SIM",1,0)+IF(R283="SIM",1,0)+IF(AL283="SIM",1,0)+IF(AJ283="NÃO",1,0))&gt;=3,"Avaliação necessária","NÃO"))))</f>
      </c>
      <c r="AR283" s="11"/>
      <c r="AS283" s="113">
        <f>IF(AND(I283="",K283="",AF283="",AL283="",AN283="",O283=""),"",IF(OR(I283="SIM",K283="SIM",AF283="SIM",AL283="SIM",OR(AN283="Dados pessoais",AN283="Dados sensíveis",AN283="Dados pessoais e sensíveis"),O283="Acima de 10.000 titulares por mês",(IF(I283="SIM",2,0)+IF(K283="SIM",2,0)+IF(AF283="SIM",2,0)+IF(OR(AN283="Dados pessoais",AN283="Dados sensíveis",AN283="Dados pessoais e sensíveis"),2,0)+IF(O283="De 1.001 a 10.000 titulares por mês",1,0)+IF(AA283="SIM",1,0)+IF(R283="SIM",1,0)+IF(AL283="SIM",1,0)+IF(AJ283="NÃO",1,0))&gt;=3),"DPIA indicado ou em avaliação em razão de: " &amp; TRIM(IF(I283="SIM","tratamento de dados sensíveis; ","") &amp; IF(K283="SIM","utilização de dados de menores; ","") &amp; IF(AF283="SIM","transferência internacional de dados; ","") &amp; IF(AL283="SIM","utilização de inteligência artificial; ","") &amp; IF(OR(AN283="Dados pessoais",AN283="Dados sensíveis",AN283="Dados pessoais e sensíveis"),"dados inseridos em IA; ","") &amp; IF(O283="Acima de 10.000 titulares por mês","volume crítico de titulares; ","") &amp; IF(O283="De 1.001 a 10.000 titulares por mês","volume moderado de titulares; ","") &amp; IF(AA283="SIM","compartilhamento com terceiros; ","") &amp; IF(R283="SIM","compartilhamento com órgãos governamentais; ","") &amp; IF(AJ283="NÃO","ausência de controle de acesso por perfil; ","")),"DPIA não indicado: Processo de baixa criticidade."))</f>
      </c>
    </row>
    <row x14ac:dyDescent="0.25" r="284" customHeight="1" ht="15.75">
      <c r="A284" s="46"/>
      <c r="B284" s="6"/>
      <c r="C284" s="11"/>
      <c r="D284" s="11"/>
      <c r="E284" s="11"/>
      <c r="F284" s="29"/>
      <c r="G284" s="11"/>
      <c r="H284" s="11"/>
      <c r="I284" s="29"/>
      <c r="J284" s="11"/>
      <c r="K284" s="29"/>
      <c r="L284" s="11"/>
      <c r="M284" s="11"/>
      <c r="N284" s="11"/>
      <c r="O284" s="29"/>
      <c r="P284" s="29"/>
      <c r="Q284" s="11"/>
      <c r="R284" s="29"/>
      <c r="S284" s="11"/>
      <c r="T284" s="6"/>
      <c r="U284" s="29"/>
      <c r="V284" s="11"/>
      <c r="W284" s="11"/>
      <c r="X284" s="29"/>
      <c r="Y284" s="11"/>
      <c r="Z284" s="29"/>
      <c r="AA284" s="29"/>
      <c r="AB284" s="11"/>
      <c r="AC284" s="11"/>
      <c r="AD284" s="29"/>
      <c r="AE284" s="11"/>
      <c r="AF284" s="29"/>
      <c r="AG284" s="11"/>
      <c r="AH284" s="29"/>
      <c r="AI284" s="11"/>
      <c r="AJ284" s="29"/>
      <c r="AK284" s="29"/>
      <c r="AL284" s="29"/>
      <c r="AM284" s="11"/>
      <c r="AN284" s="29"/>
      <c r="AO284" s="29"/>
      <c r="AP284" s="6"/>
      <c r="AQ284" s="113">
        <f>IF(AND(I284="",K284="",AF284="",AL284="",AN284="",O284=""),"",IF(OR(I284="SIM",K284="SIM",AF284="SIM",AL284="SIM",AN284="Dados pessoais",AN284="Dados sensíveis",AN284="Dados pessoais e sensíveis",O284="Acima de 10.000 titulares por mês"),"SIM - Alta criticidade",IF((IF(I284="SIM",2,0)+IF(K284="SIM",2,0)+IF(AF284="SIM",2,0)+IF(OR(AN284="Dados pessoais",AN284="Dados sensíveis",AN284="Dados pessoais e sensíveis"),2,0)+IF(O284="De 1.001 a 10.000 titulares por mês",1,0)+IF(AA284="SIM",1,0)+IF(R284="SIM",1,0)+IF(AL284="SIM",1,0)+IF(AJ284="NÃO",1,0))&gt;=5,"SIM - Alta criticidade",IF((IF(I284="SIM",2,0)+IF(K284="SIM",2,0)+IF(AF284="SIM",2,0)+IF(OR(AN284="Dados pessoais",AN284="Dados sensíveis",AN284="Dados pessoais e sensíveis"),2,0)+IF(O284="De 1.001 a 10.000 titulares por mês",1,0)+IF(AA284="SIM",1,0)+IF(R284="SIM",1,0)+IF(AL284="SIM",1,0)+IF(AJ284="NÃO",1,0))&gt;=3,"Avaliação necessária","NÃO"))))</f>
      </c>
      <c r="AR284" s="11"/>
      <c r="AS284" s="113">
        <f>IF(AND(I284="",K284="",AF284="",AL284="",AN284="",O284=""),"",IF(OR(I284="SIM",K284="SIM",AF284="SIM",AL284="SIM",OR(AN284="Dados pessoais",AN284="Dados sensíveis",AN284="Dados pessoais e sensíveis"),O284="Acima de 10.000 titulares por mês",(IF(I284="SIM",2,0)+IF(K284="SIM",2,0)+IF(AF284="SIM",2,0)+IF(OR(AN284="Dados pessoais",AN284="Dados sensíveis",AN284="Dados pessoais e sensíveis"),2,0)+IF(O284="De 1.001 a 10.000 titulares por mês",1,0)+IF(AA284="SIM",1,0)+IF(R284="SIM",1,0)+IF(AL284="SIM",1,0)+IF(AJ284="NÃO",1,0))&gt;=3),"DPIA indicado ou em avaliação em razão de: " &amp; TRIM(IF(I284="SIM","tratamento de dados sensíveis; ","") &amp; IF(K284="SIM","utilização de dados de menores; ","") &amp; IF(AF284="SIM","transferência internacional de dados; ","") &amp; IF(AL284="SIM","utilização de inteligência artificial; ","") &amp; IF(OR(AN284="Dados pessoais",AN284="Dados sensíveis",AN284="Dados pessoais e sensíveis"),"dados inseridos em IA; ","") &amp; IF(O284="Acima de 10.000 titulares por mês","volume crítico de titulares; ","") &amp; IF(O284="De 1.001 a 10.000 titulares por mês","volume moderado de titulares; ","") &amp; IF(AA284="SIM","compartilhamento com terceiros; ","") &amp; IF(R284="SIM","compartilhamento com órgãos governamentais; ","") &amp; IF(AJ284="NÃO","ausência de controle de acesso por perfil; ","")),"DPIA não indicado: Processo de baixa criticidade."))</f>
      </c>
    </row>
    <row x14ac:dyDescent="0.25" r="285" customHeight="1" ht="15.75">
      <c r="A285" s="46"/>
      <c r="B285" s="6"/>
      <c r="C285" s="11"/>
      <c r="D285" s="11"/>
      <c r="E285" s="11"/>
      <c r="F285" s="29"/>
      <c r="G285" s="11"/>
      <c r="H285" s="11"/>
      <c r="I285" s="29"/>
      <c r="J285" s="11"/>
      <c r="K285" s="29"/>
      <c r="L285" s="11"/>
      <c r="M285" s="11"/>
      <c r="N285" s="11"/>
      <c r="O285" s="29"/>
      <c r="P285" s="29"/>
      <c r="Q285" s="11"/>
      <c r="R285" s="29"/>
      <c r="S285" s="11"/>
      <c r="T285" s="6"/>
      <c r="U285" s="29"/>
      <c r="V285" s="11"/>
      <c r="W285" s="11"/>
      <c r="X285" s="29"/>
      <c r="Y285" s="11"/>
      <c r="Z285" s="29"/>
      <c r="AA285" s="29"/>
      <c r="AB285" s="11"/>
      <c r="AC285" s="11"/>
      <c r="AD285" s="29"/>
      <c r="AE285" s="11"/>
      <c r="AF285" s="29"/>
      <c r="AG285" s="11"/>
      <c r="AH285" s="29"/>
      <c r="AI285" s="11"/>
      <c r="AJ285" s="29"/>
      <c r="AK285" s="29"/>
      <c r="AL285" s="29"/>
      <c r="AM285" s="11"/>
      <c r="AN285" s="29"/>
      <c r="AO285" s="29"/>
      <c r="AP285" s="6"/>
      <c r="AQ285" s="113">
        <f>IF(AND(I285="",K285="",AF285="",AL285="",AN285="",O285=""),"",IF(OR(I285="SIM",K285="SIM",AF285="SIM",AL285="SIM",AN285="Dados pessoais",AN285="Dados sensíveis",AN285="Dados pessoais e sensíveis",O285="Acima de 10.000 titulares por mês"),"SIM - Alta criticidade",IF((IF(I285="SIM",2,0)+IF(K285="SIM",2,0)+IF(AF285="SIM",2,0)+IF(OR(AN285="Dados pessoais",AN285="Dados sensíveis",AN285="Dados pessoais e sensíveis"),2,0)+IF(O285="De 1.001 a 10.000 titulares por mês",1,0)+IF(AA285="SIM",1,0)+IF(R285="SIM",1,0)+IF(AL285="SIM",1,0)+IF(AJ285="NÃO",1,0))&gt;=5,"SIM - Alta criticidade",IF((IF(I285="SIM",2,0)+IF(K285="SIM",2,0)+IF(AF285="SIM",2,0)+IF(OR(AN285="Dados pessoais",AN285="Dados sensíveis",AN285="Dados pessoais e sensíveis"),2,0)+IF(O285="De 1.001 a 10.000 titulares por mês",1,0)+IF(AA285="SIM",1,0)+IF(R285="SIM",1,0)+IF(AL285="SIM",1,0)+IF(AJ285="NÃO",1,0))&gt;=3,"Avaliação necessária","NÃO"))))</f>
      </c>
      <c r="AR285" s="11"/>
      <c r="AS285" s="113">
        <f>IF(AND(I285="",K285="",AF285="",AL285="",AN285="",O285=""),"",IF(OR(I285="SIM",K285="SIM",AF285="SIM",AL285="SIM",OR(AN285="Dados pessoais",AN285="Dados sensíveis",AN285="Dados pessoais e sensíveis"),O285="Acima de 10.000 titulares por mês",(IF(I285="SIM",2,0)+IF(K285="SIM",2,0)+IF(AF285="SIM",2,0)+IF(OR(AN285="Dados pessoais",AN285="Dados sensíveis",AN285="Dados pessoais e sensíveis"),2,0)+IF(O285="De 1.001 a 10.000 titulares por mês",1,0)+IF(AA285="SIM",1,0)+IF(R285="SIM",1,0)+IF(AL285="SIM",1,0)+IF(AJ285="NÃO",1,0))&gt;=3),"DPIA indicado ou em avaliação em razão de: " &amp; TRIM(IF(I285="SIM","tratamento de dados sensíveis; ","") &amp; IF(K285="SIM","utilização de dados de menores; ","") &amp; IF(AF285="SIM","transferência internacional de dados; ","") &amp; IF(AL285="SIM","utilização de inteligência artificial; ","") &amp; IF(OR(AN285="Dados pessoais",AN285="Dados sensíveis",AN285="Dados pessoais e sensíveis"),"dados inseridos em IA; ","") &amp; IF(O285="Acima de 10.000 titulares por mês","volume crítico de titulares; ","") &amp; IF(O285="De 1.001 a 10.000 titulares por mês","volume moderado de titulares; ","") &amp; IF(AA285="SIM","compartilhamento com terceiros; ","") &amp; IF(R285="SIM","compartilhamento com órgãos governamentais; ","") &amp; IF(AJ285="NÃO","ausência de controle de acesso por perfil; ","")),"DPIA não indicado: Processo de baixa criticidade."))</f>
      </c>
    </row>
    <row x14ac:dyDescent="0.25" r="286" customHeight="1" ht="15.75">
      <c r="A286" s="46"/>
      <c r="B286" s="6"/>
      <c r="C286" s="11"/>
      <c r="D286" s="11"/>
      <c r="E286" s="11"/>
      <c r="F286" s="29"/>
      <c r="G286" s="11"/>
      <c r="H286" s="11"/>
      <c r="I286" s="29"/>
      <c r="J286" s="11"/>
      <c r="K286" s="29"/>
      <c r="L286" s="11"/>
      <c r="M286" s="11"/>
      <c r="N286" s="11"/>
      <c r="O286" s="29"/>
      <c r="P286" s="29"/>
      <c r="Q286" s="11"/>
      <c r="R286" s="29"/>
      <c r="S286" s="11"/>
      <c r="T286" s="6"/>
      <c r="U286" s="29"/>
      <c r="V286" s="11"/>
      <c r="W286" s="11"/>
      <c r="X286" s="29"/>
      <c r="Y286" s="11"/>
      <c r="Z286" s="29"/>
      <c r="AA286" s="29"/>
      <c r="AB286" s="11"/>
      <c r="AC286" s="11"/>
      <c r="AD286" s="29"/>
      <c r="AE286" s="11"/>
      <c r="AF286" s="29"/>
      <c r="AG286" s="11"/>
      <c r="AH286" s="29"/>
      <c r="AI286" s="11"/>
      <c r="AJ286" s="29"/>
      <c r="AK286" s="29"/>
      <c r="AL286" s="29"/>
      <c r="AM286" s="11"/>
      <c r="AN286" s="29"/>
      <c r="AO286" s="29"/>
      <c r="AP286" s="6"/>
      <c r="AQ286" s="113">
        <f>IF(AND(I286="",K286="",AF286="",AL286="",AN286="",O286=""),"",IF(OR(I286="SIM",K286="SIM",AF286="SIM",AL286="SIM",AN286="Dados pessoais",AN286="Dados sensíveis",AN286="Dados pessoais e sensíveis",O286="Acima de 10.000 titulares por mês"),"SIM - Alta criticidade",IF((IF(I286="SIM",2,0)+IF(K286="SIM",2,0)+IF(AF286="SIM",2,0)+IF(OR(AN286="Dados pessoais",AN286="Dados sensíveis",AN286="Dados pessoais e sensíveis"),2,0)+IF(O286="De 1.001 a 10.000 titulares por mês",1,0)+IF(AA286="SIM",1,0)+IF(R286="SIM",1,0)+IF(AL286="SIM",1,0)+IF(AJ286="NÃO",1,0))&gt;=5,"SIM - Alta criticidade",IF((IF(I286="SIM",2,0)+IF(K286="SIM",2,0)+IF(AF286="SIM",2,0)+IF(OR(AN286="Dados pessoais",AN286="Dados sensíveis",AN286="Dados pessoais e sensíveis"),2,0)+IF(O286="De 1.001 a 10.000 titulares por mês",1,0)+IF(AA286="SIM",1,0)+IF(R286="SIM",1,0)+IF(AL286="SIM",1,0)+IF(AJ286="NÃO",1,0))&gt;=3,"Avaliação necessária","NÃO"))))</f>
      </c>
      <c r="AR286" s="11"/>
      <c r="AS286" s="113">
        <f>IF(AND(I286="",K286="",AF286="",AL286="",AN286="",O286=""),"",IF(OR(I286="SIM",K286="SIM",AF286="SIM",AL286="SIM",OR(AN286="Dados pessoais",AN286="Dados sensíveis",AN286="Dados pessoais e sensíveis"),O286="Acima de 10.000 titulares por mês",(IF(I286="SIM",2,0)+IF(K286="SIM",2,0)+IF(AF286="SIM",2,0)+IF(OR(AN286="Dados pessoais",AN286="Dados sensíveis",AN286="Dados pessoais e sensíveis"),2,0)+IF(O286="De 1.001 a 10.000 titulares por mês",1,0)+IF(AA286="SIM",1,0)+IF(R286="SIM",1,0)+IF(AL286="SIM",1,0)+IF(AJ286="NÃO",1,0))&gt;=3),"DPIA indicado ou em avaliação em razão de: " &amp; TRIM(IF(I286="SIM","tratamento de dados sensíveis; ","") &amp; IF(K286="SIM","utilização de dados de menores; ","") &amp; IF(AF286="SIM","transferência internacional de dados; ","") &amp; IF(AL286="SIM","utilização de inteligência artificial; ","") &amp; IF(OR(AN286="Dados pessoais",AN286="Dados sensíveis",AN286="Dados pessoais e sensíveis"),"dados inseridos em IA; ","") &amp; IF(O286="Acima de 10.000 titulares por mês","volume crítico de titulares; ","") &amp; IF(O286="De 1.001 a 10.000 titulares por mês","volume moderado de titulares; ","") &amp; IF(AA286="SIM","compartilhamento com terceiros; ","") &amp; IF(R286="SIM","compartilhamento com órgãos governamentais; ","") &amp; IF(AJ286="NÃO","ausência de controle de acesso por perfil; ","")),"DPIA não indicado: Processo de baixa criticidade."))</f>
      </c>
    </row>
    <row x14ac:dyDescent="0.25" r="287" customHeight="1" ht="15.75">
      <c r="A287" s="46"/>
      <c r="B287" s="6"/>
      <c r="C287" s="11"/>
      <c r="D287" s="11"/>
      <c r="E287" s="11"/>
      <c r="F287" s="29"/>
      <c r="G287" s="11"/>
      <c r="H287" s="11"/>
      <c r="I287" s="29"/>
      <c r="J287" s="11"/>
      <c r="K287" s="29"/>
      <c r="L287" s="11"/>
      <c r="M287" s="11"/>
      <c r="N287" s="11"/>
      <c r="O287" s="29"/>
      <c r="P287" s="29"/>
      <c r="Q287" s="11"/>
      <c r="R287" s="29"/>
      <c r="S287" s="11"/>
      <c r="T287" s="6"/>
      <c r="U287" s="29"/>
      <c r="V287" s="11"/>
      <c r="W287" s="11"/>
      <c r="X287" s="29"/>
      <c r="Y287" s="11"/>
      <c r="Z287" s="29"/>
      <c r="AA287" s="29"/>
      <c r="AB287" s="11"/>
      <c r="AC287" s="11"/>
      <c r="AD287" s="29"/>
      <c r="AE287" s="11"/>
      <c r="AF287" s="29"/>
      <c r="AG287" s="11"/>
      <c r="AH287" s="29"/>
      <c r="AI287" s="11"/>
      <c r="AJ287" s="29"/>
      <c r="AK287" s="29"/>
      <c r="AL287" s="29"/>
      <c r="AM287" s="11"/>
      <c r="AN287" s="29"/>
      <c r="AO287" s="29"/>
      <c r="AP287" s="6"/>
      <c r="AQ287" s="113">
        <f>IF(AND(I287="",K287="",AF287="",AL287="",AN287="",O287=""),"",IF(OR(I287="SIM",K287="SIM",AF287="SIM",AL287="SIM",AN287="Dados pessoais",AN287="Dados sensíveis",AN287="Dados pessoais e sensíveis",O287="Acima de 10.000 titulares por mês"),"SIM - Alta criticidade",IF((IF(I287="SIM",2,0)+IF(K287="SIM",2,0)+IF(AF287="SIM",2,0)+IF(OR(AN287="Dados pessoais",AN287="Dados sensíveis",AN287="Dados pessoais e sensíveis"),2,0)+IF(O287="De 1.001 a 10.000 titulares por mês",1,0)+IF(AA287="SIM",1,0)+IF(R287="SIM",1,0)+IF(AL287="SIM",1,0)+IF(AJ287="NÃO",1,0))&gt;=5,"SIM - Alta criticidade",IF((IF(I287="SIM",2,0)+IF(K287="SIM",2,0)+IF(AF287="SIM",2,0)+IF(OR(AN287="Dados pessoais",AN287="Dados sensíveis",AN287="Dados pessoais e sensíveis"),2,0)+IF(O287="De 1.001 a 10.000 titulares por mês",1,0)+IF(AA287="SIM",1,0)+IF(R287="SIM",1,0)+IF(AL287="SIM",1,0)+IF(AJ287="NÃO",1,0))&gt;=3,"Avaliação necessária","NÃO"))))</f>
      </c>
      <c r="AR287" s="11"/>
      <c r="AS287" s="113">
        <f>IF(AND(I287="",K287="",AF287="",AL287="",AN287="",O287=""),"",IF(OR(I287="SIM",K287="SIM",AF287="SIM",AL287="SIM",OR(AN287="Dados pessoais",AN287="Dados sensíveis",AN287="Dados pessoais e sensíveis"),O287="Acima de 10.000 titulares por mês",(IF(I287="SIM",2,0)+IF(K287="SIM",2,0)+IF(AF287="SIM",2,0)+IF(OR(AN287="Dados pessoais",AN287="Dados sensíveis",AN287="Dados pessoais e sensíveis"),2,0)+IF(O287="De 1.001 a 10.000 titulares por mês",1,0)+IF(AA287="SIM",1,0)+IF(R287="SIM",1,0)+IF(AL287="SIM",1,0)+IF(AJ287="NÃO",1,0))&gt;=3),"DPIA indicado ou em avaliação em razão de: " &amp; TRIM(IF(I287="SIM","tratamento de dados sensíveis; ","") &amp; IF(K287="SIM","utilização de dados de menores; ","") &amp; IF(AF287="SIM","transferência internacional de dados; ","") &amp; IF(AL287="SIM","utilização de inteligência artificial; ","") &amp; IF(OR(AN287="Dados pessoais",AN287="Dados sensíveis",AN287="Dados pessoais e sensíveis"),"dados inseridos em IA; ","") &amp; IF(O287="Acima de 10.000 titulares por mês","volume crítico de titulares; ","") &amp; IF(O287="De 1.001 a 10.000 titulares por mês","volume moderado de titulares; ","") &amp; IF(AA287="SIM","compartilhamento com terceiros; ","") &amp; IF(R287="SIM","compartilhamento com órgãos governamentais; ","") &amp; IF(AJ287="NÃO","ausência de controle de acesso por perfil; ","")),"DPIA não indicado: Processo de baixa criticidade."))</f>
      </c>
    </row>
    <row x14ac:dyDescent="0.25" r="288" customHeight="1" ht="15.75">
      <c r="A288" s="46"/>
      <c r="B288" s="6"/>
      <c r="C288" s="11"/>
      <c r="D288" s="11"/>
      <c r="E288" s="11"/>
      <c r="F288" s="29"/>
      <c r="G288" s="11"/>
      <c r="H288" s="11"/>
      <c r="I288" s="29"/>
      <c r="J288" s="11"/>
      <c r="K288" s="29"/>
      <c r="L288" s="11"/>
      <c r="M288" s="11"/>
      <c r="N288" s="11"/>
      <c r="O288" s="29"/>
      <c r="P288" s="29"/>
      <c r="Q288" s="11"/>
      <c r="R288" s="29"/>
      <c r="S288" s="11"/>
      <c r="T288" s="6"/>
      <c r="U288" s="29"/>
      <c r="V288" s="11"/>
      <c r="W288" s="11"/>
      <c r="X288" s="29"/>
      <c r="Y288" s="11"/>
      <c r="Z288" s="29"/>
      <c r="AA288" s="29"/>
      <c r="AB288" s="11"/>
      <c r="AC288" s="11"/>
      <c r="AD288" s="29"/>
      <c r="AE288" s="11"/>
      <c r="AF288" s="29"/>
      <c r="AG288" s="11"/>
      <c r="AH288" s="29"/>
      <c r="AI288" s="11"/>
      <c r="AJ288" s="29"/>
      <c r="AK288" s="29"/>
      <c r="AL288" s="29"/>
      <c r="AM288" s="11"/>
      <c r="AN288" s="29"/>
      <c r="AO288" s="29"/>
      <c r="AP288" s="6"/>
      <c r="AQ288" s="113">
        <f>IF(AND(I288="",K288="",AF288="",AL288="",AN288="",O288=""),"",IF(OR(I288="SIM",K288="SIM",AF288="SIM",AL288="SIM",AN288="Dados pessoais",AN288="Dados sensíveis",AN288="Dados pessoais e sensíveis",O288="Acima de 10.000 titulares por mês"),"SIM - Alta criticidade",IF((IF(I288="SIM",2,0)+IF(K288="SIM",2,0)+IF(AF288="SIM",2,0)+IF(OR(AN288="Dados pessoais",AN288="Dados sensíveis",AN288="Dados pessoais e sensíveis"),2,0)+IF(O288="De 1.001 a 10.000 titulares por mês",1,0)+IF(AA288="SIM",1,0)+IF(R288="SIM",1,0)+IF(AL288="SIM",1,0)+IF(AJ288="NÃO",1,0))&gt;=5,"SIM - Alta criticidade",IF((IF(I288="SIM",2,0)+IF(K288="SIM",2,0)+IF(AF288="SIM",2,0)+IF(OR(AN288="Dados pessoais",AN288="Dados sensíveis",AN288="Dados pessoais e sensíveis"),2,0)+IF(O288="De 1.001 a 10.000 titulares por mês",1,0)+IF(AA288="SIM",1,0)+IF(R288="SIM",1,0)+IF(AL288="SIM",1,0)+IF(AJ288="NÃO",1,0))&gt;=3,"Avaliação necessária","NÃO"))))</f>
      </c>
      <c r="AR288" s="11"/>
      <c r="AS288" s="113">
        <f>IF(AND(I288="",K288="",AF288="",AL288="",AN288="",O288=""),"",IF(OR(I288="SIM",K288="SIM",AF288="SIM",AL288="SIM",OR(AN288="Dados pessoais",AN288="Dados sensíveis",AN288="Dados pessoais e sensíveis"),O288="Acima de 10.000 titulares por mês",(IF(I288="SIM",2,0)+IF(K288="SIM",2,0)+IF(AF288="SIM",2,0)+IF(OR(AN288="Dados pessoais",AN288="Dados sensíveis",AN288="Dados pessoais e sensíveis"),2,0)+IF(O288="De 1.001 a 10.000 titulares por mês",1,0)+IF(AA288="SIM",1,0)+IF(R288="SIM",1,0)+IF(AL288="SIM",1,0)+IF(AJ288="NÃO",1,0))&gt;=3),"DPIA indicado ou em avaliação em razão de: " &amp; TRIM(IF(I288="SIM","tratamento de dados sensíveis; ","") &amp; IF(K288="SIM","utilização de dados de menores; ","") &amp; IF(AF288="SIM","transferência internacional de dados; ","") &amp; IF(AL288="SIM","utilização de inteligência artificial; ","") &amp; IF(OR(AN288="Dados pessoais",AN288="Dados sensíveis",AN288="Dados pessoais e sensíveis"),"dados inseridos em IA; ","") &amp; IF(O288="Acima de 10.000 titulares por mês","volume crítico de titulares; ","") &amp; IF(O288="De 1.001 a 10.000 titulares por mês","volume moderado de titulares; ","") &amp; IF(AA288="SIM","compartilhamento com terceiros; ","") &amp; IF(R288="SIM","compartilhamento com órgãos governamentais; ","") &amp; IF(AJ288="NÃO","ausência de controle de acesso por perfil; ","")),"DPIA não indicado: Processo de baixa criticidade."))</f>
      </c>
    </row>
    <row x14ac:dyDescent="0.25" r="289" customHeight="1" ht="15.75">
      <c r="A289" s="46"/>
      <c r="B289" s="6"/>
      <c r="C289" s="11"/>
      <c r="D289" s="11"/>
      <c r="E289" s="11"/>
      <c r="F289" s="29"/>
      <c r="G289" s="11"/>
      <c r="H289" s="11"/>
      <c r="I289" s="29"/>
      <c r="J289" s="11"/>
      <c r="K289" s="29"/>
      <c r="L289" s="11"/>
      <c r="M289" s="11"/>
      <c r="N289" s="11"/>
      <c r="O289" s="29"/>
      <c r="P289" s="29"/>
      <c r="Q289" s="11"/>
      <c r="R289" s="29"/>
      <c r="S289" s="11"/>
      <c r="T289" s="6"/>
      <c r="U289" s="29"/>
      <c r="V289" s="11"/>
      <c r="W289" s="11"/>
      <c r="X289" s="29"/>
      <c r="Y289" s="11"/>
      <c r="Z289" s="29"/>
      <c r="AA289" s="29"/>
      <c r="AB289" s="11"/>
      <c r="AC289" s="11"/>
      <c r="AD289" s="29"/>
      <c r="AE289" s="11"/>
      <c r="AF289" s="29"/>
      <c r="AG289" s="11"/>
      <c r="AH289" s="29"/>
      <c r="AI289" s="11"/>
      <c r="AJ289" s="29"/>
      <c r="AK289" s="29"/>
      <c r="AL289" s="29"/>
      <c r="AM289" s="11"/>
      <c r="AN289" s="29"/>
      <c r="AO289" s="29"/>
      <c r="AP289" s="6"/>
      <c r="AQ289" s="113">
        <f>IF(AND(I289="",K289="",AF289="",AL289="",AN289="",O289=""),"",IF(OR(I289="SIM",K289="SIM",AF289="SIM",AL289="SIM",AN289="Dados pessoais",AN289="Dados sensíveis",AN289="Dados pessoais e sensíveis",O289="Acima de 10.000 titulares por mês"),"SIM - Alta criticidade",IF((IF(I289="SIM",2,0)+IF(K289="SIM",2,0)+IF(AF289="SIM",2,0)+IF(OR(AN289="Dados pessoais",AN289="Dados sensíveis",AN289="Dados pessoais e sensíveis"),2,0)+IF(O289="De 1.001 a 10.000 titulares por mês",1,0)+IF(AA289="SIM",1,0)+IF(R289="SIM",1,0)+IF(AL289="SIM",1,0)+IF(AJ289="NÃO",1,0))&gt;=5,"SIM - Alta criticidade",IF((IF(I289="SIM",2,0)+IF(K289="SIM",2,0)+IF(AF289="SIM",2,0)+IF(OR(AN289="Dados pessoais",AN289="Dados sensíveis",AN289="Dados pessoais e sensíveis"),2,0)+IF(O289="De 1.001 a 10.000 titulares por mês",1,0)+IF(AA289="SIM",1,0)+IF(R289="SIM",1,0)+IF(AL289="SIM",1,0)+IF(AJ289="NÃO",1,0))&gt;=3,"Avaliação necessária","NÃO"))))</f>
      </c>
      <c r="AR289" s="11"/>
      <c r="AS289" s="113">
        <f>IF(AND(I289="",K289="",AF289="",AL289="",AN289="",O289=""),"",IF(OR(I289="SIM",K289="SIM",AF289="SIM",AL289="SIM",OR(AN289="Dados pessoais",AN289="Dados sensíveis",AN289="Dados pessoais e sensíveis"),O289="Acima de 10.000 titulares por mês",(IF(I289="SIM",2,0)+IF(K289="SIM",2,0)+IF(AF289="SIM",2,0)+IF(OR(AN289="Dados pessoais",AN289="Dados sensíveis",AN289="Dados pessoais e sensíveis"),2,0)+IF(O289="De 1.001 a 10.000 titulares por mês",1,0)+IF(AA289="SIM",1,0)+IF(R289="SIM",1,0)+IF(AL289="SIM",1,0)+IF(AJ289="NÃO",1,0))&gt;=3),"DPIA indicado ou em avaliação em razão de: " &amp; TRIM(IF(I289="SIM","tratamento de dados sensíveis; ","") &amp; IF(K289="SIM","utilização de dados de menores; ","") &amp; IF(AF289="SIM","transferência internacional de dados; ","") &amp; IF(AL289="SIM","utilização de inteligência artificial; ","") &amp; IF(OR(AN289="Dados pessoais",AN289="Dados sensíveis",AN289="Dados pessoais e sensíveis"),"dados inseridos em IA; ","") &amp; IF(O289="Acima de 10.000 titulares por mês","volume crítico de titulares; ","") &amp; IF(O289="De 1.001 a 10.000 titulares por mês","volume moderado de titulares; ","") &amp; IF(AA289="SIM","compartilhamento com terceiros; ","") &amp; IF(R289="SIM","compartilhamento com órgãos governamentais; ","") &amp; IF(AJ289="NÃO","ausência de controle de acesso por perfil; ","")),"DPIA não indicado: Processo de baixa criticidade."))</f>
      </c>
    </row>
    <row x14ac:dyDescent="0.25" r="290" customHeight="1" ht="15.75">
      <c r="A290" s="46"/>
      <c r="B290" s="6"/>
      <c r="C290" s="11"/>
      <c r="D290" s="11"/>
      <c r="E290" s="11"/>
      <c r="F290" s="29"/>
      <c r="G290" s="11"/>
      <c r="H290" s="11"/>
      <c r="I290" s="29"/>
      <c r="J290" s="11"/>
      <c r="K290" s="29"/>
      <c r="L290" s="11"/>
      <c r="M290" s="11"/>
      <c r="N290" s="11"/>
      <c r="O290" s="29"/>
      <c r="P290" s="29"/>
      <c r="Q290" s="11"/>
      <c r="R290" s="29"/>
      <c r="S290" s="11"/>
      <c r="T290" s="6"/>
      <c r="U290" s="29"/>
      <c r="V290" s="11"/>
      <c r="W290" s="11"/>
      <c r="X290" s="29"/>
      <c r="Y290" s="11"/>
      <c r="Z290" s="29"/>
      <c r="AA290" s="29"/>
      <c r="AB290" s="11"/>
      <c r="AC290" s="11"/>
      <c r="AD290" s="29"/>
      <c r="AE290" s="11"/>
      <c r="AF290" s="29"/>
      <c r="AG290" s="11"/>
      <c r="AH290" s="29"/>
      <c r="AI290" s="11"/>
      <c r="AJ290" s="29"/>
      <c r="AK290" s="29"/>
      <c r="AL290" s="29"/>
      <c r="AM290" s="11"/>
      <c r="AN290" s="29"/>
      <c r="AO290" s="29"/>
      <c r="AP290" s="6"/>
      <c r="AQ290" s="113">
        <f>IF(AND(I290="",K290="",AF290="",AL290="",AN290="",O290=""),"",IF(OR(I290="SIM",K290="SIM",AF290="SIM",AL290="SIM",AN290="Dados pessoais",AN290="Dados sensíveis",AN290="Dados pessoais e sensíveis",O290="Acima de 10.000 titulares por mês"),"SIM - Alta criticidade",IF((IF(I290="SIM",2,0)+IF(K290="SIM",2,0)+IF(AF290="SIM",2,0)+IF(OR(AN290="Dados pessoais",AN290="Dados sensíveis",AN290="Dados pessoais e sensíveis"),2,0)+IF(O290="De 1.001 a 10.000 titulares por mês",1,0)+IF(AA290="SIM",1,0)+IF(R290="SIM",1,0)+IF(AL290="SIM",1,0)+IF(AJ290="NÃO",1,0))&gt;=5,"SIM - Alta criticidade",IF((IF(I290="SIM",2,0)+IF(K290="SIM",2,0)+IF(AF290="SIM",2,0)+IF(OR(AN290="Dados pessoais",AN290="Dados sensíveis",AN290="Dados pessoais e sensíveis"),2,0)+IF(O290="De 1.001 a 10.000 titulares por mês",1,0)+IF(AA290="SIM",1,0)+IF(R290="SIM",1,0)+IF(AL290="SIM",1,0)+IF(AJ290="NÃO",1,0))&gt;=3,"Avaliação necessária","NÃO"))))</f>
      </c>
      <c r="AR290" s="11"/>
      <c r="AS290" s="113">
        <f>IF(AND(I290="",K290="",AF290="",AL290="",AN290="",O290=""),"",IF(OR(I290="SIM",K290="SIM",AF290="SIM",AL290="SIM",OR(AN290="Dados pessoais",AN290="Dados sensíveis",AN290="Dados pessoais e sensíveis"),O290="Acima de 10.000 titulares por mês",(IF(I290="SIM",2,0)+IF(K290="SIM",2,0)+IF(AF290="SIM",2,0)+IF(OR(AN290="Dados pessoais",AN290="Dados sensíveis",AN290="Dados pessoais e sensíveis"),2,0)+IF(O290="De 1.001 a 10.000 titulares por mês",1,0)+IF(AA290="SIM",1,0)+IF(R290="SIM",1,0)+IF(AL290="SIM",1,0)+IF(AJ290="NÃO",1,0))&gt;=3),"DPIA indicado ou em avaliação em razão de: " &amp; TRIM(IF(I290="SIM","tratamento de dados sensíveis; ","") &amp; IF(K290="SIM","utilização de dados de menores; ","") &amp; IF(AF290="SIM","transferência internacional de dados; ","") &amp; IF(AL290="SIM","utilização de inteligência artificial; ","") &amp; IF(OR(AN290="Dados pessoais",AN290="Dados sensíveis",AN290="Dados pessoais e sensíveis"),"dados inseridos em IA; ","") &amp; IF(O290="Acima de 10.000 titulares por mês","volume crítico de titulares; ","") &amp; IF(O290="De 1.001 a 10.000 titulares por mês","volume moderado de titulares; ","") &amp; IF(AA290="SIM","compartilhamento com terceiros; ","") &amp; IF(R290="SIM","compartilhamento com órgãos governamentais; ","") &amp; IF(AJ290="NÃO","ausência de controle de acesso por perfil; ","")),"DPIA não indicado: Processo de baixa criticidade."))</f>
      </c>
    </row>
    <row x14ac:dyDescent="0.25" r="291" customHeight="1" ht="15.75">
      <c r="A291" s="46"/>
      <c r="B291" s="6"/>
      <c r="C291" s="11"/>
      <c r="D291" s="11"/>
      <c r="E291" s="11"/>
      <c r="F291" s="29"/>
      <c r="G291" s="11"/>
      <c r="H291" s="11"/>
      <c r="I291" s="29"/>
      <c r="J291" s="11"/>
      <c r="K291" s="29"/>
      <c r="L291" s="11"/>
      <c r="M291" s="11"/>
      <c r="N291" s="11"/>
      <c r="O291" s="29"/>
      <c r="P291" s="29"/>
      <c r="Q291" s="11"/>
      <c r="R291" s="29"/>
      <c r="S291" s="11"/>
      <c r="T291" s="6"/>
      <c r="U291" s="29"/>
      <c r="V291" s="11"/>
      <c r="W291" s="11"/>
      <c r="X291" s="29"/>
      <c r="Y291" s="11"/>
      <c r="Z291" s="29"/>
      <c r="AA291" s="29"/>
      <c r="AB291" s="11"/>
      <c r="AC291" s="11"/>
      <c r="AD291" s="29"/>
      <c r="AE291" s="11"/>
      <c r="AF291" s="29"/>
      <c r="AG291" s="11"/>
      <c r="AH291" s="29"/>
      <c r="AI291" s="11"/>
      <c r="AJ291" s="29"/>
      <c r="AK291" s="29"/>
      <c r="AL291" s="29"/>
      <c r="AM291" s="11"/>
      <c r="AN291" s="29"/>
      <c r="AO291" s="29"/>
      <c r="AP291" s="6"/>
      <c r="AQ291" s="113">
        <f>IF(AND(I291="",K291="",AF291="",AL291="",AN291="",O291=""),"",IF(OR(I291="SIM",K291="SIM",AF291="SIM",AL291="SIM",AN291="Dados pessoais",AN291="Dados sensíveis",AN291="Dados pessoais e sensíveis",O291="Acima de 10.000 titulares por mês"),"SIM - Alta criticidade",IF((IF(I291="SIM",2,0)+IF(K291="SIM",2,0)+IF(AF291="SIM",2,0)+IF(OR(AN291="Dados pessoais",AN291="Dados sensíveis",AN291="Dados pessoais e sensíveis"),2,0)+IF(O291="De 1.001 a 10.000 titulares por mês",1,0)+IF(AA291="SIM",1,0)+IF(R291="SIM",1,0)+IF(AL291="SIM",1,0)+IF(AJ291="NÃO",1,0))&gt;=5,"SIM - Alta criticidade",IF((IF(I291="SIM",2,0)+IF(K291="SIM",2,0)+IF(AF291="SIM",2,0)+IF(OR(AN291="Dados pessoais",AN291="Dados sensíveis",AN291="Dados pessoais e sensíveis"),2,0)+IF(O291="De 1.001 a 10.000 titulares por mês",1,0)+IF(AA291="SIM",1,0)+IF(R291="SIM",1,0)+IF(AL291="SIM",1,0)+IF(AJ291="NÃO",1,0))&gt;=3,"Avaliação necessária","NÃO"))))</f>
      </c>
      <c r="AR291" s="11"/>
      <c r="AS291" s="113">
        <f>IF(AND(I291="",K291="",AF291="",AL291="",AN291="",O291=""),"",IF(OR(I291="SIM",K291="SIM",AF291="SIM",AL291="SIM",OR(AN291="Dados pessoais",AN291="Dados sensíveis",AN291="Dados pessoais e sensíveis"),O291="Acima de 10.000 titulares por mês",(IF(I291="SIM",2,0)+IF(K291="SIM",2,0)+IF(AF291="SIM",2,0)+IF(OR(AN291="Dados pessoais",AN291="Dados sensíveis",AN291="Dados pessoais e sensíveis"),2,0)+IF(O291="De 1.001 a 10.000 titulares por mês",1,0)+IF(AA291="SIM",1,0)+IF(R291="SIM",1,0)+IF(AL291="SIM",1,0)+IF(AJ291="NÃO",1,0))&gt;=3),"DPIA indicado ou em avaliação em razão de: " &amp; TRIM(IF(I291="SIM","tratamento de dados sensíveis; ","") &amp; IF(K291="SIM","utilização de dados de menores; ","") &amp; IF(AF291="SIM","transferência internacional de dados; ","") &amp; IF(AL291="SIM","utilização de inteligência artificial; ","") &amp; IF(OR(AN291="Dados pessoais",AN291="Dados sensíveis",AN291="Dados pessoais e sensíveis"),"dados inseridos em IA; ","") &amp; IF(O291="Acima de 10.000 titulares por mês","volume crítico de titulares; ","") &amp; IF(O291="De 1.001 a 10.000 titulares por mês","volume moderado de titulares; ","") &amp; IF(AA291="SIM","compartilhamento com terceiros; ","") &amp; IF(R291="SIM","compartilhamento com órgãos governamentais; ","") &amp; IF(AJ291="NÃO","ausência de controle de acesso por perfil; ","")),"DPIA não indicado: Processo de baixa criticidade."))</f>
      </c>
    </row>
    <row x14ac:dyDescent="0.25" r="292" customHeight="1" ht="15.75">
      <c r="A292" s="46"/>
      <c r="B292" s="6"/>
      <c r="C292" s="11"/>
      <c r="D292" s="11"/>
      <c r="E292" s="11"/>
      <c r="F292" s="29"/>
      <c r="G292" s="11"/>
      <c r="H292" s="11"/>
      <c r="I292" s="29"/>
      <c r="J292" s="11"/>
      <c r="K292" s="29"/>
      <c r="L292" s="11"/>
      <c r="M292" s="11"/>
      <c r="N292" s="11"/>
      <c r="O292" s="29"/>
      <c r="P292" s="29"/>
      <c r="Q292" s="11"/>
      <c r="R292" s="29"/>
      <c r="S292" s="11"/>
      <c r="T292" s="6"/>
      <c r="U292" s="29"/>
      <c r="V292" s="11"/>
      <c r="W292" s="11"/>
      <c r="X292" s="29"/>
      <c r="Y292" s="11"/>
      <c r="Z292" s="29"/>
      <c r="AA292" s="29"/>
      <c r="AB292" s="11"/>
      <c r="AC292" s="11"/>
      <c r="AD292" s="29"/>
      <c r="AE292" s="11"/>
      <c r="AF292" s="29"/>
      <c r="AG292" s="11"/>
      <c r="AH292" s="29"/>
      <c r="AI292" s="11"/>
      <c r="AJ292" s="29"/>
      <c r="AK292" s="29"/>
      <c r="AL292" s="29"/>
      <c r="AM292" s="11"/>
      <c r="AN292" s="29"/>
      <c r="AO292" s="29"/>
      <c r="AP292" s="6"/>
      <c r="AQ292" s="113">
        <f>IF(AND(I292="",K292="",AF292="",AL292="",AN292="",O292=""),"",IF(OR(I292="SIM",K292="SIM",AF292="SIM",AL292="SIM",AN292="Dados pessoais",AN292="Dados sensíveis",AN292="Dados pessoais e sensíveis",O292="Acima de 10.000 titulares por mês"),"SIM - Alta criticidade",IF((IF(I292="SIM",2,0)+IF(K292="SIM",2,0)+IF(AF292="SIM",2,0)+IF(OR(AN292="Dados pessoais",AN292="Dados sensíveis",AN292="Dados pessoais e sensíveis"),2,0)+IF(O292="De 1.001 a 10.000 titulares por mês",1,0)+IF(AA292="SIM",1,0)+IF(R292="SIM",1,0)+IF(AL292="SIM",1,0)+IF(AJ292="NÃO",1,0))&gt;=5,"SIM - Alta criticidade",IF((IF(I292="SIM",2,0)+IF(K292="SIM",2,0)+IF(AF292="SIM",2,0)+IF(OR(AN292="Dados pessoais",AN292="Dados sensíveis",AN292="Dados pessoais e sensíveis"),2,0)+IF(O292="De 1.001 a 10.000 titulares por mês",1,0)+IF(AA292="SIM",1,0)+IF(R292="SIM",1,0)+IF(AL292="SIM",1,0)+IF(AJ292="NÃO",1,0))&gt;=3,"Avaliação necessária","NÃO"))))</f>
      </c>
      <c r="AR292" s="11"/>
      <c r="AS292" s="113">
        <f>IF(AND(I292="",K292="",AF292="",AL292="",AN292="",O292=""),"",IF(OR(I292="SIM",K292="SIM",AF292="SIM",AL292="SIM",OR(AN292="Dados pessoais",AN292="Dados sensíveis",AN292="Dados pessoais e sensíveis"),O292="Acima de 10.000 titulares por mês",(IF(I292="SIM",2,0)+IF(K292="SIM",2,0)+IF(AF292="SIM",2,0)+IF(OR(AN292="Dados pessoais",AN292="Dados sensíveis",AN292="Dados pessoais e sensíveis"),2,0)+IF(O292="De 1.001 a 10.000 titulares por mês",1,0)+IF(AA292="SIM",1,0)+IF(R292="SIM",1,0)+IF(AL292="SIM",1,0)+IF(AJ292="NÃO",1,0))&gt;=3),"DPIA indicado ou em avaliação em razão de: " &amp; TRIM(IF(I292="SIM","tratamento de dados sensíveis; ","") &amp; IF(K292="SIM","utilização de dados de menores; ","") &amp; IF(AF292="SIM","transferência internacional de dados; ","") &amp; IF(AL292="SIM","utilização de inteligência artificial; ","") &amp; IF(OR(AN292="Dados pessoais",AN292="Dados sensíveis",AN292="Dados pessoais e sensíveis"),"dados inseridos em IA; ","") &amp; IF(O292="Acima de 10.000 titulares por mês","volume crítico de titulares; ","") &amp; IF(O292="De 1.001 a 10.000 titulares por mês","volume moderado de titulares; ","") &amp; IF(AA292="SIM","compartilhamento com terceiros; ","") &amp; IF(R292="SIM","compartilhamento com órgãos governamentais; ","") &amp; IF(AJ292="NÃO","ausência de controle de acesso por perfil; ","")),"DPIA não indicado: Processo de baixa criticidade."))</f>
      </c>
    </row>
    <row x14ac:dyDescent="0.25" r="293" customHeight="1" ht="15.75">
      <c r="A293" s="46"/>
      <c r="B293" s="6"/>
      <c r="C293" s="11"/>
      <c r="D293" s="11"/>
      <c r="E293" s="11"/>
      <c r="F293" s="29"/>
      <c r="G293" s="11"/>
      <c r="H293" s="11"/>
      <c r="I293" s="29"/>
      <c r="J293" s="11"/>
      <c r="K293" s="29"/>
      <c r="L293" s="11"/>
      <c r="M293" s="11"/>
      <c r="N293" s="11"/>
      <c r="O293" s="29"/>
      <c r="P293" s="29"/>
      <c r="Q293" s="11"/>
      <c r="R293" s="29"/>
      <c r="S293" s="11"/>
      <c r="T293" s="6"/>
      <c r="U293" s="29"/>
      <c r="V293" s="11"/>
      <c r="W293" s="11"/>
      <c r="X293" s="29"/>
      <c r="Y293" s="11"/>
      <c r="Z293" s="29"/>
      <c r="AA293" s="29"/>
      <c r="AB293" s="11"/>
      <c r="AC293" s="11"/>
      <c r="AD293" s="29"/>
      <c r="AE293" s="11"/>
      <c r="AF293" s="29"/>
      <c r="AG293" s="11"/>
      <c r="AH293" s="29"/>
      <c r="AI293" s="11"/>
      <c r="AJ293" s="29"/>
      <c r="AK293" s="29"/>
      <c r="AL293" s="29"/>
      <c r="AM293" s="11"/>
      <c r="AN293" s="29"/>
      <c r="AO293" s="29"/>
      <c r="AP293" s="6"/>
      <c r="AQ293" s="113">
        <f>IF(AND(I293="",K293="",AF293="",AL293="",AN293="",O293=""),"",IF(OR(I293="SIM",K293="SIM",AF293="SIM",AL293="SIM",AN293="Dados pessoais",AN293="Dados sensíveis",AN293="Dados pessoais e sensíveis",O293="Acima de 10.000 titulares por mês"),"SIM - Alta criticidade",IF((IF(I293="SIM",2,0)+IF(K293="SIM",2,0)+IF(AF293="SIM",2,0)+IF(OR(AN293="Dados pessoais",AN293="Dados sensíveis",AN293="Dados pessoais e sensíveis"),2,0)+IF(O293="De 1.001 a 10.000 titulares por mês",1,0)+IF(AA293="SIM",1,0)+IF(R293="SIM",1,0)+IF(AL293="SIM",1,0)+IF(AJ293="NÃO",1,0))&gt;=5,"SIM - Alta criticidade",IF((IF(I293="SIM",2,0)+IF(K293="SIM",2,0)+IF(AF293="SIM",2,0)+IF(OR(AN293="Dados pessoais",AN293="Dados sensíveis",AN293="Dados pessoais e sensíveis"),2,0)+IF(O293="De 1.001 a 10.000 titulares por mês",1,0)+IF(AA293="SIM",1,0)+IF(R293="SIM",1,0)+IF(AL293="SIM",1,0)+IF(AJ293="NÃO",1,0))&gt;=3,"Avaliação necessária","NÃO"))))</f>
      </c>
      <c r="AR293" s="11"/>
      <c r="AS293" s="113">
        <f>IF(AND(I293="",K293="",AF293="",AL293="",AN293="",O293=""),"",IF(OR(I293="SIM",K293="SIM",AF293="SIM",AL293="SIM",OR(AN293="Dados pessoais",AN293="Dados sensíveis",AN293="Dados pessoais e sensíveis"),O293="Acima de 10.000 titulares por mês",(IF(I293="SIM",2,0)+IF(K293="SIM",2,0)+IF(AF293="SIM",2,0)+IF(OR(AN293="Dados pessoais",AN293="Dados sensíveis",AN293="Dados pessoais e sensíveis"),2,0)+IF(O293="De 1.001 a 10.000 titulares por mês",1,0)+IF(AA293="SIM",1,0)+IF(R293="SIM",1,0)+IF(AL293="SIM",1,0)+IF(AJ293="NÃO",1,0))&gt;=3),"DPIA indicado ou em avaliação em razão de: " &amp; TRIM(IF(I293="SIM","tratamento de dados sensíveis; ","") &amp; IF(K293="SIM","utilização de dados de menores; ","") &amp; IF(AF293="SIM","transferência internacional de dados; ","") &amp; IF(AL293="SIM","utilização de inteligência artificial; ","") &amp; IF(OR(AN293="Dados pessoais",AN293="Dados sensíveis",AN293="Dados pessoais e sensíveis"),"dados inseridos em IA; ","") &amp; IF(O293="Acima de 10.000 titulares por mês","volume crítico de titulares; ","") &amp; IF(O293="De 1.001 a 10.000 titulares por mês","volume moderado de titulares; ","") &amp; IF(AA293="SIM","compartilhamento com terceiros; ","") &amp; IF(R293="SIM","compartilhamento com órgãos governamentais; ","") &amp; IF(AJ293="NÃO","ausência de controle de acesso por perfil; ","")),"DPIA não indicado: Processo de baixa criticidade."))</f>
      </c>
    </row>
    <row x14ac:dyDescent="0.25" r="294" customHeight="1" ht="15.75">
      <c r="A294" s="46"/>
      <c r="B294" s="6"/>
      <c r="C294" s="11"/>
      <c r="D294" s="11"/>
      <c r="E294" s="11"/>
      <c r="F294" s="29"/>
      <c r="G294" s="11"/>
      <c r="H294" s="11"/>
      <c r="I294" s="29"/>
      <c r="J294" s="11"/>
      <c r="K294" s="29"/>
      <c r="L294" s="11"/>
      <c r="M294" s="11"/>
      <c r="N294" s="11"/>
      <c r="O294" s="29"/>
      <c r="P294" s="29"/>
      <c r="Q294" s="11"/>
      <c r="R294" s="29"/>
      <c r="S294" s="11"/>
      <c r="T294" s="6"/>
      <c r="U294" s="29"/>
      <c r="V294" s="11"/>
      <c r="W294" s="11"/>
      <c r="X294" s="29"/>
      <c r="Y294" s="11"/>
      <c r="Z294" s="29"/>
      <c r="AA294" s="29"/>
      <c r="AB294" s="11"/>
      <c r="AC294" s="11"/>
      <c r="AD294" s="29"/>
      <c r="AE294" s="11"/>
      <c r="AF294" s="29"/>
      <c r="AG294" s="11"/>
      <c r="AH294" s="29"/>
      <c r="AI294" s="11"/>
      <c r="AJ294" s="29"/>
      <c r="AK294" s="29"/>
      <c r="AL294" s="29"/>
      <c r="AM294" s="11"/>
      <c r="AN294" s="29"/>
      <c r="AO294" s="29"/>
      <c r="AP294" s="6"/>
      <c r="AQ294" s="113">
        <f>IF(AND(I294="",K294="",AF294="",AL294="",AN294="",O294=""),"",IF(OR(I294="SIM",K294="SIM",AF294="SIM",AL294="SIM",AN294="Dados pessoais",AN294="Dados sensíveis",AN294="Dados pessoais e sensíveis",O294="Acima de 10.000 titulares por mês"),"SIM - Alta criticidade",IF((IF(I294="SIM",2,0)+IF(K294="SIM",2,0)+IF(AF294="SIM",2,0)+IF(OR(AN294="Dados pessoais",AN294="Dados sensíveis",AN294="Dados pessoais e sensíveis"),2,0)+IF(O294="De 1.001 a 10.000 titulares por mês",1,0)+IF(AA294="SIM",1,0)+IF(R294="SIM",1,0)+IF(AL294="SIM",1,0)+IF(AJ294="NÃO",1,0))&gt;=5,"SIM - Alta criticidade",IF((IF(I294="SIM",2,0)+IF(K294="SIM",2,0)+IF(AF294="SIM",2,0)+IF(OR(AN294="Dados pessoais",AN294="Dados sensíveis",AN294="Dados pessoais e sensíveis"),2,0)+IF(O294="De 1.001 a 10.000 titulares por mês",1,0)+IF(AA294="SIM",1,0)+IF(R294="SIM",1,0)+IF(AL294="SIM",1,0)+IF(AJ294="NÃO",1,0))&gt;=3,"Avaliação necessária","NÃO"))))</f>
      </c>
      <c r="AR294" s="11"/>
      <c r="AS294" s="113">
        <f>IF(AND(I294="",K294="",AF294="",AL294="",AN294="",O294=""),"",IF(OR(I294="SIM",K294="SIM",AF294="SIM",AL294="SIM",OR(AN294="Dados pessoais",AN294="Dados sensíveis",AN294="Dados pessoais e sensíveis"),O294="Acima de 10.000 titulares por mês",(IF(I294="SIM",2,0)+IF(K294="SIM",2,0)+IF(AF294="SIM",2,0)+IF(OR(AN294="Dados pessoais",AN294="Dados sensíveis",AN294="Dados pessoais e sensíveis"),2,0)+IF(O294="De 1.001 a 10.000 titulares por mês",1,0)+IF(AA294="SIM",1,0)+IF(R294="SIM",1,0)+IF(AL294="SIM",1,0)+IF(AJ294="NÃO",1,0))&gt;=3),"DPIA indicado ou em avaliação em razão de: " &amp; TRIM(IF(I294="SIM","tratamento de dados sensíveis; ","") &amp; IF(K294="SIM","utilização de dados de menores; ","") &amp; IF(AF294="SIM","transferência internacional de dados; ","") &amp; IF(AL294="SIM","utilização de inteligência artificial; ","") &amp; IF(OR(AN294="Dados pessoais",AN294="Dados sensíveis",AN294="Dados pessoais e sensíveis"),"dados inseridos em IA; ","") &amp; IF(O294="Acima de 10.000 titulares por mês","volume crítico de titulares; ","") &amp; IF(O294="De 1.001 a 10.000 titulares por mês","volume moderado de titulares; ","") &amp; IF(AA294="SIM","compartilhamento com terceiros; ","") &amp; IF(R294="SIM","compartilhamento com órgãos governamentais; ","") &amp; IF(AJ294="NÃO","ausência de controle de acesso por perfil; ","")),"DPIA não indicado: Processo de baixa criticidade."))</f>
      </c>
    </row>
    <row x14ac:dyDescent="0.25" r="295" customHeight="1" ht="15.75">
      <c r="A295" s="46"/>
      <c r="B295" s="6"/>
      <c r="C295" s="11"/>
      <c r="D295" s="11"/>
      <c r="E295" s="11"/>
      <c r="F295" s="29"/>
      <c r="G295" s="11"/>
      <c r="H295" s="11"/>
      <c r="I295" s="29"/>
      <c r="J295" s="11"/>
      <c r="K295" s="29"/>
      <c r="L295" s="11"/>
      <c r="M295" s="11"/>
      <c r="N295" s="11"/>
      <c r="O295" s="29"/>
      <c r="P295" s="29"/>
      <c r="Q295" s="11"/>
      <c r="R295" s="29"/>
      <c r="S295" s="11"/>
      <c r="T295" s="6"/>
      <c r="U295" s="29"/>
      <c r="V295" s="11"/>
      <c r="W295" s="11"/>
      <c r="X295" s="29"/>
      <c r="Y295" s="11"/>
      <c r="Z295" s="29"/>
      <c r="AA295" s="29"/>
      <c r="AB295" s="11"/>
      <c r="AC295" s="11"/>
      <c r="AD295" s="29"/>
      <c r="AE295" s="11"/>
      <c r="AF295" s="29"/>
      <c r="AG295" s="11"/>
      <c r="AH295" s="29"/>
      <c r="AI295" s="11"/>
      <c r="AJ295" s="29"/>
      <c r="AK295" s="29"/>
      <c r="AL295" s="29"/>
      <c r="AM295" s="11"/>
      <c r="AN295" s="29"/>
      <c r="AO295" s="29"/>
      <c r="AP295" s="6"/>
      <c r="AQ295" s="113">
        <f>IF(AND(I295="",K295="",AF295="",AL295="",AN295="",O295=""),"",IF(OR(I295="SIM",K295="SIM",AF295="SIM",AL295="SIM",AN295="Dados pessoais",AN295="Dados sensíveis",AN295="Dados pessoais e sensíveis",O295="Acima de 10.000 titulares por mês"),"SIM - Alta criticidade",IF((IF(I295="SIM",2,0)+IF(K295="SIM",2,0)+IF(AF295="SIM",2,0)+IF(OR(AN295="Dados pessoais",AN295="Dados sensíveis",AN295="Dados pessoais e sensíveis"),2,0)+IF(O295="De 1.001 a 10.000 titulares por mês",1,0)+IF(AA295="SIM",1,0)+IF(R295="SIM",1,0)+IF(AL295="SIM",1,0)+IF(AJ295="NÃO",1,0))&gt;=5,"SIM - Alta criticidade",IF((IF(I295="SIM",2,0)+IF(K295="SIM",2,0)+IF(AF295="SIM",2,0)+IF(OR(AN295="Dados pessoais",AN295="Dados sensíveis",AN295="Dados pessoais e sensíveis"),2,0)+IF(O295="De 1.001 a 10.000 titulares por mês",1,0)+IF(AA295="SIM",1,0)+IF(R295="SIM",1,0)+IF(AL295="SIM",1,0)+IF(AJ295="NÃO",1,0))&gt;=3,"Avaliação necessária","NÃO"))))</f>
      </c>
      <c r="AR295" s="11"/>
      <c r="AS295" s="113">
        <f>IF(AND(I295="",K295="",AF295="",AL295="",AN295="",O295=""),"",IF(OR(I295="SIM",K295="SIM",AF295="SIM",AL295="SIM",OR(AN295="Dados pessoais",AN295="Dados sensíveis",AN295="Dados pessoais e sensíveis"),O295="Acima de 10.000 titulares por mês",(IF(I295="SIM",2,0)+IF(K295="SIM",2,0)+IF(AF295="SIM",2,0)+IF(OR(AN295="Dados pessoais",AN295="Dados sensíveis",AN295="Dados pessoais e sensíveis"),2,0)+IF(O295="De 1.001 a 10.000 titulares por mês",1,0)+IF(AA295="SIM",1,0)+IF(R295="SIM",1,0)+IF(AL295="SIM",1,0)+IF(AJ295="NÃO",1,0))&gt;=3),"DPIA indicado ou em avaliação em razão de: " &amp; TRIM(IF(I295="SIM","tratamento de dados sensíveis; ","") &amp; IF(K295="SIM","utilização de dados de menores; ","") &amp; IF(AF295="SIM","transferência internacional de dados; ","") &amp; IF(AL295="SIM","utilização de inteligência artificial; ","") &amp; IF(OR(AN295="Dados pessoais",AN295="Dados sensíveis",AN295="Dados pessoais e sensíveis"),"dados inseridos em IA; ","") &amp; IF(O295="Acima de 10.000 titulares por mês","volume crítico de titulares; ","") &amp; IF(O295="De 1.001 a 10.000 titulares por mês","volume moderado de titulares; ","") &amp; IF(AA295="SIM","compartilhamento com terceiros; ","") &amp; IF(R295="SIM","compartilhamento com órgãos governamentais; ","") &amp; IF(AJ295="NÃO","ausência de controle de acesso por perfil; ","")),"DPIA não indicado: Processo de baixa criticidade."))</f>
      </c>
    </row>
    <row x14ac:dyDescent="0.25" r="296" customHeight="1" ht="15.75">
      <c r="A296" s="46"/>
      <c r="B296" s="6"/>
      <c r="C296" s="11"/>
      <c r="D296" s="11"/>
      <c r="E296" s="11"/>
      <c r="F296" s="29"/>
      <c r="G296" s="11"/>
      <c r="H296" s="11"/>
      <c r="I296" s="29"/>
      <c r="J296" s="11"/>
      <c r="K296" s="29"/>
      <c r="L296" s="11"/>
      <c r="M296" s="11"/>
      <c r="N296" s="11"/>
      <c r="O296" s="29"/>
      <c r="P296" s="29"/>
      <c r="Q296" s="11"/>
      <c r="R296" s="29"/>
      <c r="S296" s="11"/>
      <c r="T296" s="6"/>
      <c r="U296" s="29"/>
      <c r="V296" s="11"/>
      <c r="W296" s="11"/>
      <c r="X296" s="29"/>
      <c r="Y296" s="11"/>
      <c r="Z296" s="29"/>
      <c r="AA296" s="29"/>
      <c r="AB296" s="11"/>
      <c r="AC296" s="11"/>
      <c r="AD296" s="29"/>
      <c r="AE296" s="11"/>
      <c r="AF296" s="29"/>
      <c r="AG296" s="11"/>
      <c r="AH296" s="29"/>
      <c r="AI296" s="11"/>
      <c r="AJ296" s="29"/>
      <c r="AK296" s="29"/>
      <c r="AL296" s="29"/>
      <c r="AM296" s="11"/>
      <c r="AN296" s="29"/>
      <c r="AO296" s="29"/>
      <c r="AP296" s="6"/>
      <c r="AQ296" s="113">
        <f>IF(AND(I296="",K296="",AF296="",AL296="",AN296="",O296=""),"",IF(OR(I296="SIM",K296="SIM",AF296="SIM",AL296="SIM",AN296="Dados pessoais",AN296="Dados sensíveis",AN296="Dados pessoais e sensíveis",O296="Acima de 10.000 titulares por mês"),"SIM - Alta criticidade",IF((IF(I296="SIM",2,0)+IF(K296="SIM",2,0)+IF(AF296="SIM",2,0)+IF(OR(AN296="Dados pessoais",AN296="Dados sensíveis",AN296="Dados pessoais e sensíveis"),2,0)+IF(O296="De 1.001 a 10.000 titulares por mês",1,0)+IF(AA296="SIM",1,0)+IF(R296="SIM",1,0)+IF(AL296="SIM",1,0)+IF(AJ296="NÃO",1,0))&gt;=5,"SIM - Alta criticidade",IF((IF(I296="SIM",2,0)+IF(K296="SIM",2,0)+IF(AF296="SIM",2,0)+IF(OR(AN296="Dados pessoais",AN296="Dados sensíveis",AN296="Dados pessoais e sensíveis"),2,0)+IF(O296="De 1.001 a 10.000 titulares por mês",1,0)+IF(AA296="SIM",1,0)+IF(R296="SIM",1,0)+IF(AL296="SIM",1,0)+IF(AJ296="NÃO",1,0))&gt;=3,"Avaliação necessária","NÃO"))))</f>
      </c>
      <c r="AR296" s="11"/>
      <c r="AS296" s="113">
        <f>IF(AND(I296="",K296="",AF296="",AL296="",AN296="",O296=""),"",IF(OR(I296="SIM",K296="SIM",AF296="SIM",AL296="SIM",OR(AN296="Dados pessoais",AN296="Dados sensíveis",AN296="Dados pessoais e sensíveis"),O296="Acima de 10.000 titulares por mês",(IF(I296="SIM",2,0)+IF(K296="SIM",2,0)+IF(AF296="SIM",2,0)+IF(OR(AN296="Dados pessoais",AN296="Dados sensíveis",AN296="Dados pessoais e sensíveis"),2,0)+IF(O296="De 1.001 a 10.000 titulares por mês",1,0)+IF(AA296="SIM",1,0)+IF(R296="SIM",1,0)+IF(AL296="SIM",1,0)+IF(AJ296="NÃO",1,0))&gt;=3),"DPIA indicado ou em avaliação em razão de: " &amp; TRIM(IF(I296="SIM","tratamento de dados sensíveis; ","") &amp; IF(K296="SIM","utilização de dados de menores; ","") &amp; IF(AF296="SIM","transferência internacional de dados; ","") &amp; IF(AL296="SIM","utilização de inteligência artificial; ","") &amp; IF(OR(AN296="Dados pessoais",AN296="Dados sensíveis",AN296="Dados pessoais e sensíveis"),"dados inseridos em IA; ","") &amp; IF(O296="Acima de 10.000 titulares por mês","volume crítico de titulares; ","") &amp; IF(O296="De 1.001 a 10.000 titulares por mês","volume moderado de titulares; ","") &amp; IF(AA296="SIM","compartilhamento com terceiros; ","") &amp; IF(R296="SIM","compartilhamento com órgãos governamentais; ","") &amp; IF(AJ296="NÃO","ausência de controle de acesso por perfil; ","")),"DPIA não indicado: Processo de baixa criticidade."))</f>
      </c>
    </row>
    <row x14ac:dyDescent="0.25" r="297" customHeight="1" ht="15.75">
      <c r="A297" s="46"/>
      <c r="B297" s="6"/>
      <c r="C297" s="11"/>
      <c r="D297" s="11"/>
      <c r="E297" s="11"/>
      <c r="F297" s="29"/>
      <c r="G297" s="11"/>
      <c r="H297" s="11"/>
      <c r="I297" s="29"/>
      <c r="J297" s="11"/>
      <c r="K297" s="29"/>
      <c r="L297" s="11"/>
      <c r="M297" s="11"/>
      <c r="N297" s="11"/>
      <c r="O297" s="29"/>
      <c r="P297" s="29"/>
      <c r="Q297" s="11"/>
      <c r="R297" s="29"/>
      <c r="S297" s="11"/>
      <c r="T297" s="6"/>
      <c r="U297" s="29"/>
      <c r="V297" s="11"/>
      <c r="W297" s="11"/>
      <c r="X297" s="29"/>
      <c r="Y297" s="11"/>
      <c r="Z297" s="29"/>
      <c r="AA297" s="29"/>
      <c r="AB297" s="11"/>
      <c r="AC297" s="11"/>
      <c r="AD297" s="29"/>
      <c r="AE297" s="11"/>
      <c r="AF297" s="29"/>
      <c r="AG297" s="11"/>
      <c r="AH297" s="29"/>
      <c r="AI297" s="11"/>
      <c r="AJ297" s="29"/>
      <c r="AK297" s="29"/>
      <c r="AL297" s="29"/>
      <c r="AM297" s="11"/>
      <c r="AN297" s="29"/>
      <c r="AO297" s="29"/>
      <c r="AP297" s="6"/>
      <c r="AQ297" s="113">
        <f>IF(AND(I297="",K297="",AF297="",AL297="",AN297="",O297=""),"",IF(OR(I297="SIM",K297="SIM",AF297="SIM",AL297="SIM",AN297="Dados pessoais",AN297="Dados sensíveis",AN297="Dados pessoais e sensíveis",O297="Acima de 10.000 titulares por mês"),"SIM - Alta criticidade",IF((IF(I297="SIM",2,0)+IF(K297="SIM",2,0)+IF(AF297="SIM",2,0)+IF(OR(AN297="Dados pessoais",AN297="Dados sensíveis",AN297="Dados pessoais e sensíveis"),2,0)+IF(O297="De 1.001 a 10.000 titulares por mês",1,0)+IF(AA297="SIM",1,0)+IF(R297="SIM",1,0)+IF(AL297="SIM",1,0)+IF(AJ297="NÃO",1,0))&gt;=5,"SIM - Alta criticidade",IF((IF(I297="SIM",2,0)+IF(K297="SIM",2,0)+IF(AF297="SIM",2,0)+IF(OR(AN297="Dados pessoais",AN297="Dados sensíveis",AN297="Dados pessoais e sensíveis"),2,0)+IF(O297="De 1.001 a 10.000 titulares por mês",1,0)+IF(AA297="SIM",1,0)+IF(R297="SIM",1,0)+IF(AL297="SIM",1,0)+IF(AJ297="NÃO",1,0))&gt;=3,"Avaliação necessária","NÃO"))))</f>
      </c>
      <c r="AR297" s="11"/>
      <c r="AS297" s="113">
        <f>IF(AND(I297="",K297="",AF297="",AL297="",AN297="",O297=""),"",IF(OR(I297="SIM",K297="SIM",AF297="SIM",AL297="SIM",OR(AN297="Dados pessoais",AN297="Dados sensíveis",AN297="Dados pessoais e sensíveis"),O297="Acima de 10.000 titulares por mês",(IF(I297="SIM",2,0)+IF(K297="SIM",2,0)+IF(AF297="SIM",2,0)+IF(OR(AN297="Dados pessoais",AN297="Dados sensíveis",AN297="Dados pessoais e sensíveis"),2,0)+IF(O297="De 1.001 a 10.000 titulares por mês",1,0)+IF(AA297="SIM",1,0)+IF(R297="SIM",1,0)+IF(AL297="SIM",1,0)+IF(AJ297="NÃO",1,0))&gt;=3),"DPIA indicado ou em avaliação em razão de: " &amp; TRIM(IF(I297="SIM","tratamento de dados sensíveis; ","") &amp; IF(K297="SIM","utilização de dados de menores; ","") &amp; IF(AF297="SIM","transferência internacional de dados; ","") &amp; IF(AL297="SIM","utilização de inteligência artificial; ","") &amp; IF(OR(AN297="Dados pessoais",AN297="Dados sensíveis",AN297="Dados pessoais e sensíveis"),"dados inseridos em IA; ","") &amp; IF(O297="Acima de 10.000 titulares por mês","volume crítico de titulares; ","") &amp; IF(O297="De 1.001 a 10.000 titulares por mês","volume moderado de titulares; ","") &amp; IF(AA297="SIM","compartilhamento com terceiros; ","") &amp; IF(R297="SIM","compartilhamento com órgãos governamentais; ","") &amp; IF(AJ297="NÃO","ausência de controle de acesso por perfil; ","")),"DPIA não indicado: Processo de baixa criticidade."))</f>
      </c>
    </row>
    <row x14ac:dyDescent="0.25" r="298" customHeight="1" ht="15.75">
      <c r="A298" s="46"/>
      <c r="B298" s="6"/>
      <c r="C298" s="11"/>
      <c r="D298" s="11"/>
      <c r="E298" s="11"/>
      <c r="F298" s="29"/>
      <c r="G298" s="11"/>
      <c r="H298" s="11"/>
      <c r="I298" s="29"/>
      <c r="J298" s="11"/>
      <c r="K298" s="29"/>
      <c r="L298" s="11"/>
      <c r="M298" s="11"/>
      <c r="N298" s="11"/>
      <c r="O298" s="29"/>
      <c r="P298" s="29"/>
      <c r="Q298" s="11"/>
      <c r="R298" s="29"/>
      <c r="S298" s="11"/>
      <c r="T298" s="6"/>
      <c r="U298" s="29"/>
      <c r="V298" s="11"/>
      <c r="W298" s="11"/>
      <c r="X298" s="29"/>
      <c r="Y298" s="11"/>
      <c r="Z298" s="29"/>
      <c r="AA298" s="29"/>
      <c r="AB298" s="11"/>
      <c r="AC298" s="11"/>
      <c r="AD298" s="29"/>
      <c r="AE298" s="11"/>
      <c r="AF298" s="29"/>
      <c r="AG298" s="11"/>
      <c r="AH298" s="29"/>
      <c r="AI298" s="11"/>
      <c r="AJ298" s="29"/>
      <c r="AK298" s="29"/>
      <c r="AL298" s="29"/>
      <c r="AM298" s="11"/>
      <c r="AN298" s="29"/>
      <c r="AO298" s="29"/>
      <c r="AP298" s="6"/>
      <c r="AQ298" s="113">
        <f>IF(AND(I298="",K298="",AF298="",AL298="",AN298="",O298=""),"",IF(OR(I298="SIM",K298="SIM",AF298="SIM",AL298="SIM",AN298="Dados pessoais",AN298="Dados sensíveis",AN298="Dados pessoais e sensíveis",O298="Acima de 10.000 titulares por mês"),"SIM - Alta criticidade",IF((IF(I298="SIM",2,0)+IF(K298="SIM",2,0)+IF(AF298="SIM",2,0)+IF(OR(AN298="Dados pessoais",AN298="Dados sensíveis",AN298="Dados pessoais e sensíveis"),2,0)+IF(O298="De 1.001 a 10.000 titulares por mês",1,0)+IF(AA298="SIM",1,0)+IF(R298="SIM",1,0)+IF(AL298="SIM",1,0)+IF(AJ298="NÃO",1,0))&gt;=5,"SIM - Alta criticidade",IF((IF(I298="SIM",2,0)+IF(K298="SIM",2,0)+IF(AF298="SIM",2,0)+IF(OR(AN298="Dados pessoais",AN298="Dados sensíveis",AN298="Dados pessoais e sensíveis"),2,0)+IF(O298="De 1.001 a 10.000 titulares por mês",1,0)+IF(AA298="SIM",1,0)+IF(R298="SIM",1,0)+IF(AL298="SIM",1,0)+IF(AJ298="NÃO",1,0))&gt;=3,"Avaliação necessária","NÃO"))))</f>
      </c>
      <c r="AR298" s="11"/>
      <c r="AS298" s="113">
        <f>IF(AND(I298="",K298="",AF298="",AL298="",AN298="",O298=""),"",IF(OR(I298="SIM",K298="SIM",AF298="SIM",AL298="SIM",OR(AN298="Dados pessoais",AN298="Dados sensíveis",AN298="Dados pessoais e sensíveis"),O298="Acima de 10.000 titulares por mês",(IF(I298="SIM",2,0)+IF(K298="SIM",2,0)+IF(AF298="SIM",2,0)+IF(OR(AN298="Dados pessoais",AN298="Dados sensíveis",AN298="Dados pessoais e sensíveis"),2,0)+IF(O298="De 1.001 a 10.000 titulares por mês",1,0)+IF(AA298="SIM",1,0)+IF(R298="SIM",1,0)+IF(AL298="SIM",1,0)+IF(AJ298="NÃO",1,0))&gt;=3),"DPIA indicado ou em avaliação em razão de: " &amp; TRIM(IF(I298="SIM","tratamento de dados sensíveis; ","") &amp; IF(K298="SIM","utilização de dados de menores; ","") &amp; IF(AF298="SIM","transferência internacional de dados; ","") &amp; IF(AL298="SIM","utilização de inteligência artificial; ","") &amp; IF(OR(AN298="Dados pessoais",AN298="Dados sensíveis",AN298="Dados pessoais e sensíveis"),"dados inseridos em IA; ","") &amp; IF(O298="Acima de 10.000 titulares por mês","volume crítico de titulares; ","") &amp; IF(O298="De 1.001 a 10.000 titulares por mês","volume moderado de titulares; ","") &amp; IF(AA298="SIM","compartilhamento com terceiros; ","") &amp; IF(R298="SIM","compartilhamento com órgãos governamentais; ","") &amp; IF(AJ298="NÃO","ausência de controle de acesso por perfil; ","")),"DPIA não indicado: Processo de baixa criticidade."))</f>
      </c>
    </row>
    <row x14ac:dyDescent="0.25" r="299" customHeight="1" ht="15.75">
      <c r="A299" s="46"/>
      <c r="B299" s="6"/>
      <c r="C299" s="11"/>
      <c r="D299" s="11"/>
      <c r="E299" s="11"/>
      <c r="F299" s="29"/>
      <c r="G299" s="11"/>
      <c r="H299" s="11"/>
      <c r="I299" s="29"/>
      <c r="J299" s="11"/>
      <c r="K299" s="29"/>
      <c r="L299" s="11"/>
      <c r="M299" s="11"/>
      <c r="N299" s="11"/>
      <c r="O299" s="29"/>
      <c r="P299" s="29"/>
      <c r="Q299" s="11"/>
      <c r="R299" s="29"/>
      <c r="S299" s="11"/>
      <c r="T299" s="6"/>
      <c r="U299" s="29"/>
      <c r="V299" s="11"/>
      <c r="W299" s="11"/>
      <c r="X299" s="29"/>
      <c r="Y299" s="11"/>
      <c r="Z299" s="29"/>
      <c r="AA299" s="29"/>
      <c r="AB299" s="11"/>
      <c r="AC299" s="11"/>
      <c r="AD299" s="29"/>
      <c r="AE299" s="11"/>
      <c r="AF299" s="29"/>
      <c r="AG299" s="11"/>
      <c r="AH299" s="29"/>
      <c r="AI299" s="11"/>
      <c r="AJ299" s="29"/>
      <c r="AK299" s="29"/>
      <c r="AL299" s="29"/>
      <c r="AM299" s="11"/>
      <c r="AN299" s="29"/>
      <c r="AO299" s="29"/>
      <c r="AP299" s="6"/>
      <c r="AQ299" s="113">
        <f>IF(AND(I299="",K299="",AF299="",AL299="",AN299="",O299=""),"",IF(OR(I299="SIM",K299="SIM",AF299="SIM",AL299="SIM",AN299="Dados pessoais",AN299="Dados sensíveis",AN299="Dados pessoais e sensíveis",O299="Acima de 10.000 titulares por mês"),"SIM - Alta criticidade",IF((IF(I299="SIM",2,0)+IF(K299="SIM",2,0)+IF(AF299="SIM",2,0)+IF(OR(AN299="Dados pessoais",AN299="Dados sensíveis",AN299="Dados pessoais e sensíveis"),2,0)+IF(O299="De 1.001 a 10.000 titulares por mês",1,0)+IF(AA299="SIM",1,0)+IF(R299="SIM",1,0)+IF(AL299="SIM",1,0)+IF(AJ299="NÃO",1,0))&gt;=5,"SIM - Alta criticidade",IF((IF(I299="SIM",2,0)+IF(K299="SIM",2,0)+IF(AF299="SIM",2,0)+IF(OR(AN299="Dados pessoais",AN299="Dados sensíveis",AN299="Dados pessoais e sensíveis"),2,0)+IF(O299="De 1.001 a 10.000 titulares por mês",1,0)+IF(AA299="SIM",1,0)+IF(R299="SIM",1,0)+IF(AL299="SIM",1,0)+IF(AJ299="NÃO",1,0))&gt;=3,"Avaliação necessária","NÃO"))))</f>
      </c>
      <c r="AR299" s="11"/>
      <c r="AS299" s="113">
        <f>IF(AND(I299="",K299="",AF299="",AL299="",AN299="",O299=""),"",IF(OR(I299="SIM",K299="SIM",AF299="SIM",AL299="SIM",OR(AN299="Dados pessoais",AN299="Dados sensíveis",AN299="Dados pessoais e sensíveis"),O299="Acima de 10.000 titulares por mês",(IF(I299="SIM",2,0)+IF(K299="SIM",2,0)+IF(AF299="SIM",2,0)+IF(OR(AN299="Dados pessoais",AN299="Dados sensíveis",AN299="Dados pessoais e sensíveis"),2,0)+IF(O299="De 1.001 a 10.000 titulares por mês",1,0)+IF(AA299="SIM",1,0)+IF(R299="SIM",1,0)+IF(AL299="SIM",1,0)+IF(AJ299="NÃO",1,0))&gt;=3),"DPIA indicado ou em avaliação em razão de: " &amp; TRIM(IF(I299="SIM","tratamento de dados sensíveis; ","") &amp; IF(K299="SIM","utilização de dados de menores; ","") &amp; IF(AF299="SIM","transferência internacional de dados; ","") &amp; IF(AL299="SIM","utilização de inteligência artificial; ","") &amp; IF(OR(AN299="Dados pessoais",AN299="Dados sensíveis",AN299="Dados pessoais e sensíveis"),"dados inseridos em IA; ","") &amp; IF(O299="Acima de 10.000 titulares por mês","volume crítico de titulares; ","") &amp; IF(O299="De 1.001 a 10.000 titulares por mês","volume moderado de titulares; ","") &amp; IF(AA299="SIM","compartilhamento com terceiros; ","") &amp; IF(R299="SIM","compartilhamento com órgãos governamentais; ","") &amp; IF(AJ299="NÃO","ausência de controle de acesso por perfil; ","")),"DPIA não indicado: Processo de baixa criticidade."))</f>
      </c>
    </row>
    <row x14ac:dyDescent="0.25" r="300" customHeight="1" ht="15.75">
      <c r="A300" s="46"/>
      <c r="B300" s="6"/>
      <c r="C300" s="11"/>
      <c r="D300" s="11"/>
      <c r="E300" s="11"/>
      <c r="F300" s="29"/>
      <c r="G300" s="11"/>
      <c r="H300" s="11"/>
      <c r="I300" s="29"/>
      <c r="J300" s="11"/>
      <c r="K300" s="29"/>
      <c r="L300" s="11"/>
      <c r="M300" s="11"/>
      <c r="N300" s="11"/>
      <c r="O300" s="29"/>
      <c r="P300" s="29"/>
      <c r="Q300" s="11"/>
      <c r="R300" s="29"/>
      <c r="S300" s="11"/>
      <c r="T300" s="6"/>
      <c r="U300" s="29"/>
      <c r="V300" s="11"/>
      <c r="W300" s="11"/>
      <c r="X300" s="29"/>
      <c r="Y300" s="11"/>
      <c r="Z300" s="29"/>
      <c r="AA300" s="29"/>
      <c r="AB300" s="11"/>
      <c r="AC300" s="11"/>
      <c r="AD300" s="29"/>
      <c r="AE300" s="11"/>
      <c r="AF300" s="29"/>
      <c r="AG300" s="11"/>
      <c r="AH300" s="29"/>
      <c r="AI300" s="11"/>
      <c r="AJ300" s="29"/>
      <c r="AK300" s="29"/>
      <c r="AL300" s="29"/>
      <c r="AM300" s="11"/>
      <c r="AN300" s="29"/>
      <c r="AO300" s="29"/>
      <c r="AP300" s="6"/>
      <c r="AQ300" s="113">
        <f>IF(AND(I300="",K300="",AF300="",AL300="",AN300="",O300=""),"",IF(OR(I300="SIM",K300="SIM",AF300="SIM",AL300="SIM",AN300="Dados pessoais",AN300="Dados sensíveis",AN300="Dados pessoais e sensíveis",O300="Acima de 10.000 titulares por mês"),"SIM - Alta criticidade",IF((IF(I300="SIM",2,0)+IF(K300="SIM",2,0)+IF(AF300="SIM",2,0)+IF(OR(AN300="Dados pessoais",AN300="Dados sensíveis",AN300="Dados pessoais e sensíveis"),2,0)+IF(O300="De 1.001 a 10.000 titulares por mês",1,0)+IF(AA300="SIM",1,0)+IF(R300="SIM",1,0)+IF(AL300="SIM",1,0)+IF(AJ300="NÃO",1,0))&gt;=5,"SIM - Alta criticidade",IF((IF(I300="SIM",2,0)+IF(K300="SIM",2,0)+IF(AF300="SIM",2,0)+IF(OR(AN300="Dados pessoais",AN300="Dados sensíveis",AN300="Dados pessoais e sensíveis"),2,0)+IF(O300="De 1.001 a 10.000 titulares por mês",1,0)+IF(AA300="SIM",1,0)+IF(R300="SIM",1,0)+IF(AL300="SIM",1,0)+IF(AJ300="NÃO",1,0))&gt;=3,"Avaliação necessária","NÃO"))))</f>
      </c>
      <c r="AR300" s="11"/>
      <c r="AS300" s="113">
        <f>IF(AND(I300="",K300="",AF300="",AL300="",AN300="",O300=""),"",IF(OR(I300="SIM",K300="SIM",AF300="SIM",AL300="SIM",OR(AN300="Dados pessoais",AN300="Dados sensíveis",AN300="Dados pessoais e sensíveis"),O300="Acima de 10.000 titulares por mês",(IF(I300="SIM",2,0)+IF(K300="SIM",2,0)+IF(AF300="SIM",2,0)+IF(OR(AN300="Dados pessoais",AN300="Dados sensíveis",AN300="Dados pessoais e sensíveis"),2,0)+IF(O300="De 1.001 a 10.000 titulares por mês",1,0)+IF(AA300="SIM",1,0)+IF(R300="SIM",1,0)+IF(AL300="SIM",1,0)+IF(AJ300="NÃO",1,0))&gt;=3),"DPIA indicado ou em avaliação em razão de: " &amp; TRIM(IF(I300="SIM","tratamento de dados sensíveis; ","") &amp; IF(K300="SIM","utilização de dados de menores; ","") &amp; IF(AF300="SIM","transferência internacional de dados; ","") &amp; IF(AL300="SIM","utilização de inteligência artificial; ","") &amp; IF(OR(AN300="Dados pessoais",AN300="Dados sensíveis",AN300="Dados pessoais e sensíveis"),"dados inseridos em IA; ","") &amp; IF(O300="Acima de 10.000 titulares por mês","volume crítico de titulares; ","") &amp; IF(O300="De 1.001 a 10.000 titulares por mês","volume moderado de titulares; ","") &amp; IF(AA300="SIM","compartilhamento com terceiros; ","") &amp; IF(R300="SIM","compartilhamento com órgãos governamentais; ","") &amp; IF(AJ300="NÃO","ausência de controle de acesso por perfil; ","")),"DPIA não indicado: Processo de baixa criticidade."))</f>
      </c>
    </row>
    <row x14ac:dyDescent="0.25" r="301" customHeight="1" ht="15.75">
      <c r="A301" s="46"/>
      <c r="B301" s="6"/>
      <c r="C301" s="11"/>
      <c r="D301" s="11"/>
      <c r="E301" s="11"/>
      <c r="F301" s="29"/>
      <c r="G301" s="11"/>
      <c r="H301" s="11"/>
      <c r="I301" s="29"/>
      <c r="J301" s="11"/>
      <c r="K301" s="29"/>
      <c r="L301" s="11"/>
      <c r="M301" s="11"/>
      <c r="N301" s="11"/>
      <c r="O301" s="29"/>
      <c r="P301" s="29"/>
      <c r="Q301" s="11"/>
      <c r="R301" s="29"/>
      <c r="S301" s="11"/>
      <c r="T301" s="6"/>
      <c r="U301" s="29"/>
      <c r="V301" s="11"/>
      <c r="W301" s="11"/>
      <c r="X301" s="29"/>
      <c r="Y301" s="11"/>
      <c r="Z301" s="29"/>
      <c r="AA301" s="29"/>
      <c r="AB301" s="11"/>
      <c r="AC301" s="11"/>
      <c r="AD301" s="29"/>
      <c r="AE301" s="11"/>
      <c r="AF301" s="29"/>
      <c r="AG301" s="11"/>
      <c r="AH301" s="29"/>
      <c r="AI301" s="11"/>
      <c r="AJ301" s="29"/>
      <c r="AK301" s="29"/>
      <c r="AL301" s="29"/>
      <c r="AM301" s="11"/>
      <c r="AN301" s="29"/>
      <c r="AO301" s="29"/>
      <c r="AP301" s="6"/>
      <c r="AQ301" s="113">
        <f>IF(AND(I301="",K301="",AF301="",AL301="",AN301="",O301=""),"",IF(OR(I301="SIM",K301="SIM",AF301="SIM",AL301="SIM",AN301="Dados pessoais",AN301="Dados sensíveis",AN301="Dados pessoais e sensíveis",O301="Acima de 10.000 titulares por mês"),"SIM - Alta criticidade",IF((IF(I301="SIM",2,0)+IF(K301="SIM",2,0)+IF(AF301="SIM",2,0)+IF(OR(AN301="Dados pessoais",AN301="Dados sensíveis",AN301="Dados pessoais e sensíveis"),2,0)+IF(O301="De 1.001 a 10.000 titulares por mês",1,0)+IF(AA301="SIM",1,0)+IF(R301="SIM",1,0)+IF(AL301="SIM",1,0)+IF(AJ301="NÃO",1,0))&gt;=5,"SIM - Alta criticidade",IF((IF(I301="SIM",2,0)+IF(K301="SIM",2,0)+IF(AF301="SIM",2,0)+IF(OR(AN301="Dados pessoais",AN301="Dados sensíveis",AN301="Dados pessoais e sensíveis"),2,0)+IF(O301="De 1.001 a 10.000 titulares por mês",1,0)+IF(AA301="SIM",1,0)+IF(R301="SIM",1,0)+IF(AL301="SIM",1,0)+IF(AJ301="NÃO",1,0))&gt;=3,"Avaliação necessária","NÃO"))))</f>
      </c>
      <c r="AR301" s="11"/>
      <c r="AS301" s="113">
        <f>IF(AND(I301="",K301="",AF301="",AL301="",AN301="",O301=""),"",IF(OR(I301="SIM",K301="SIM",AF301="SIM",AL301="SIM",OR(AN301="Dados pessoais",AN301="Dados sensíveis",AN301="Dados pessoais e sensíveis"),O301="Acima de 10.000 titulares por mês",(IF(I301="SIM",2,0)+IF(K301="SIM",2,0)+IF(AF301="SIM",2,0)+IF(OR(AN301="Dados pessoais",AN301="Dados sensíveis",AN301="Dados pessoais e sensíveis"),2,0)+IF(O301="De 1.001 a 10.000 titulares por mês",1,0)+IF(AA301="SIM",1,0)+IF(R301="SIM",1,0)+IF(AL301="SIM",1,0)+IF(AJ301="NÃO",1,0))&gt;=3),"DPIA indicado ou em avaliação em razão de: " &amp; TRIM(IF(I301="SIM","tratamento de dados sensíveis; ","") &amp; IF(K301="SIM","utilização de dados de menores; ","") &amp; IF(AF301="SIM","transferência internacional de dados; ","") &amp; IF(AL301="SIM","utilização de inteligência artificial; ","") &amp; IF(OR(AN301="Dados pessoais",AN301="Dados sensíveis",AN301="Dados pessoais e sensíveis"),"dados inseridos em IA; ","") &amp; IF(O301="Acima de 10.000 titulares por mês","volume crítico de titulares; ","") &amp; IF(O301="De 1.001 a 10.000 titulares por mês","volume moderado de titulares; ","") &amp; IF(AA301="SIM","compartilhamento com terceiros; ","") &amp; IF(R301="SIM","compartilhamento com órgãos governamentais; ","") &amp; IF(AJ301="NÃO","ausência de controle de acesso por perfil; ","")),"DPIA não indicado: Processo de baixa criticidade."))</f>
      </c>
    </row>
    <row x14ac:dyDescent="0.25" r="302" customHeight="1" ht="15.75">
      <c r="A302" s="46"/>
      <c r="B302" s="6"/>
      <c r="C302" s="11"/>
      <c r="D302" s="11"/>
      <c r="E302" s="11"/>
      <c r="F302" s="29"/>
      <c r="G302" s="11"/>
      <c r="H302" s="11"/>
      <c r="I302" s="29"/>
      <c r="J302" s="11"/>
      <c r="K302" s="29"/>
      <c r="L302" s="11"/>
      <c r="M302" s="11"/>
      <c r="N302" s="11"/>
      <c r="O302" s="29"/>
      <c r="P302" s="29"/>
      <c r="Q302" s="11"/>
      <c r="R302" s="29"/>
      <c r="S302" s="11"/>
      <c r="T302" s="6"/>
      <c r="U302" s="29"/>
      <c r="V302" s="11"/>
      <c r="W302" s="11"/>
      <c r="X302" s="29"/>
      <c r="Y302" s="11"/>
      <c r="Z302" s="29"/>
      <c r="AA302" s="29"/>
      <c r="AB302" s="11"/>
      <c r="AC302" s="11"/>
      <c r="AD302" s="29"/>
      <c r="AE302" s="11"/>
      <c r="AF302" s="29"/>
      <c r="AG302" s="11"/>
      <c r="AH302" s="29"/>
      <c r="AI302" s="11"/>
      <c r="AJ302" s="29"/>
      <c r="AK302" s="29"/>
      <c r="AL302" s="29"/>
      <c r="AM302" s="11"/>
      <c r="AN302" s="29"/>
      <c r="AO302" s="29"/>
      <c r="AP302" s="6"/>
      <c r="AQ302" s="113">
        <f>IF(AND(I302="",K302="",AF302="",AL302="",AN302="",O302=""),"",IF(OR(I302="SIM",K302="SIM",AF302="SIM",AL302="SIM",AN302="Dados pessoais",AN302="Dados sensíveis",AN302="Dados pessoais e sensíveis",O302="Acima de 10.000 titulares por mês"),"SIM - Alta criticidade",IF((IF(I302="SIM",2,0)+IF(K302="SIM",2,0)+IF(AF302="SIM",2,0)+IF(OR(AN302="Dados pessoais",AN302="Dados sensíveis",AN302="Dados pessoais e sensíveis"),2,0)+IF(O302="De 1.001 a 10.000 titulares por mês",1,0)+IF(AA302="SIM",1,0)+IF(R302="SIM",1,0)+IF(AL302="SIM",1,0)+IF(AJ302="NÃO",1,0))&gt;=5,"SIM - Alta criticidade",IF((IF(I302="SIM",2,0)+IF(K302="SIM",2,0)+IF(AF302="SIM",2,0)+IF(OR(AN302="Dados pessoais",AN302="Dados sensíveis",AN302="Dados pessoais e sensíveis"),2,0)+IF(O302="De 1.001 a 10.000 titulares por mês",1,0)+IF(AA302="SIM",1,0)+IF(R302="SIM",1,0)+IF(AL302="SIM",1,0)+IF(AJ302="NÃO",1,0))&gt;=3,"Avaliação necessária","NÃO"))))</f>
      </c>
      <c r="AR302" s="11"/>
      <c r="AS302" s="113">
        <f>IF(AND(I302="",K302="",AF302="",AL302="",AN302="",O302=""),"",IF(OR(I302="SIM",K302="SIM",AF302="SIM",AL302="SIM",OR(AN302="Dados pessoais",AN302="Dados sensíveis",AN302="Dados pessoais e sensíveis"),O302="Acima de 10.000 titulares por mês",(IF(I302="SIM",2,0)+IF(K302="SIM",2,0)+IF(AF302="SIM",2,0)+IF(OR(AN302="Dados pessoais",AN302="Dados sensíveis",AN302="Dados pessoais e sensíveis"),2,0)+IF(O302="De 1.001 a 10.000 titulares por mês",1,0)+IF(AA302="SIM",1,0)+IF(R302="SIM",1,0)+IF(AL302="SIM",1,0)+IF(AJ302="NÃO",1,0))&gt;=3),"DPIA indicado ou em avaliação em razão de: " &amp; TRIM(IF(I302="SIM","tratamento de dados sensíveis; ","") &amp; IF(K302="SIM","utilização de dados de menores; ","") &amp; IF(AF302="SIM","transferência internacional de dados; ","") &amp; IF(AL302="SIM","utilização de inteligência artificial; ","") &amp; IF(OR(AN302="Dados pessoais",AN302="Dados sensíveis",AN302="Dados pessoais e sensíveis"),"dados inseridos em IA; ","") &amp; IF(O302="Acima de 10.000 titulares por mês","volume crítico de titulares; ","") &amp; IF(O302="De 1.001 a 10.000 titulares por mês","volume moderado de titulares; ","") &amp; IF(AA302="SIM","compartilhamento com terceiros; ","") &amp; IF(R302="SIM","compartilhamento com órgãos governamentais; ","") &amp; IF(AJ302="NÃO","ausência de controle de acesso por perfil; ","")),"DPIA não indicado: Processo de baixa criticidade."))</f>
      </c>
    </row>
    <row x14ac:dyDescent="0.25" r="303" customHeight="1" ht="15.75">
      <c r="A303" s="46"/>
      <c r="B303" s="6"/>
      <c r="C303" s="11"/>
      <c r="D303" s="11"/>
      <c r="E303" s="11"/>
      <c r="F303" s="29"/>
      <c r="G303" s="11"/>
      <c r="H303" s="11"/>
      <c r="I303" s="29"/>
      <c r="J303" s="11"/>
      <c r="K303" s="29"/>
      <c r="L303" s="11"/>
      <c r="M303" s="11"/>
      <c r="N303" s="11"/>
      <c r="O303" s="29"/>
      <c r="P303" s="29"/>
      <c r="Q303" s="11"/>
      <c r="R303" s="29"/>
      <c r="S303" s="11"/>
      <c r="T303" s="6"/>
      <c r="U303" s="29"/>
      <c r="V303" s="11"/>
      <c r="W303" s="11"/>
      <c r="X303" s="29"/>
      <c r="Y303" s="11"/>
      <c r="Z303" s="29"/>
      <c r="AA303" s="29"/>
      <c r="AB303" s="11"/>
      <c r="AC303" s="11"/>
      <c r="AD303" s="29"/>
      <c r="AE303" s="11"/>
      <c r="AF303" s="29"/>
      <c r="AG303" s="11"/>
      <c r="AH303" s="29"/>
      <c r="AI303" s="11"/>
      <c r="AJ303" s="29"/>
      <c r="AK303" s="29"/>
      <c r="AL303" s="29"/>
      <c r="AM303" s="11"/>
      <c r="AN303" s="29"/>
      <c r="AO303" s="29"/>
      <c r="AP303" s="6"/>
      <c r="AQ303" s="113">
        <f>IF(AND(I303="",K303="",AF303="",AL303="",AN303="",O303=""),"",IF(OR(I303="SIM",K303="SIM",AF303="SIM",AL303="SIM",AN303="Dados pessoais",AN303="Dados sensíveis",AN303="Dados pessoais e sensíveis",O303="Acima de 10.000 titulares por mês"),"SIM - Alta criticidade",IF((IF(I303="SIM",2,0)+IF(K303="SIM",2,0)+IF(AF303="SIM",2,0)+IF(OR(AN303="Dados pessoais",AN303="Dados sensíveis",AN303="Dados pessoais e sensíveis"),2,0)+IF(O303="De 1.001 a 10.000 titulares por mês",1,0)+IF(AA303="SIM",1,0)+IF(R303="SIM",1,0)+IF(AL303="SIM",1,0)+IF(AJ303="NÃO",1,0))&gt;=5,"SIM - Alta criticidade",IF((IF(I303="SIM",2,0)+IF(K303="SIM",2,0)+IF(AF303="SIM",2,0)+IF(OR(AN303="Dados pessoais",AN303="Dados sensíveis",AN303="Dados pessoais e sensíveis"),2,0)+IF(O303="De 1.001 a 10.000 titulares por mês",1,0)+IF(AA303="SIM",1,0)+IF(R303="SIM",1,0)+IF(AL303="SIM",1,0)+IF(AJ303="NÃO",1,0))&gt;=3,"Avaliação necessária","NÃO"))))</f>
      </c>
      <c r="AR303" s="11"/>
      <c r="AS303" s="113">
        <f>IF(AND(I303="",K303="",AF303="",AL303="",AN303="",O303=""),"",IF(OR(I303="SIM",K303="SIM",AF303="SIM",AL303="SIM",OR(AN303="Dados pessoais",AN303="Dados sensíveis",AN303="Dados pessoais e sensíveis"),O303="Acima de 10.000 titulares por mês",(IF(I303="SIM",2,0)+IF(K303="SIM",2,0)+IF(AF303="SIM",2,0)+IF(OR(AN303="Dados pessoais",AN303="Dados sensíveis",AN303="Dados pessoais e sensíveis"),2,0)+IF(O303="De 1.001 a 10.000 titulares por mês",1,0)+IF(AA303="SIM",1,0)+IF(R303="SIM",1,0)+IF(AL303="SIM",1,0)+IF(AJ303="NÃO",1,0))&gt;=3),"DPIA indicado ou em avaliação em razão de: " &amp; TRIM(IF(I303="SIM","tratamento de dados sensíveis; ","") &amp; IF(K303="SIM","utilização de dados de menores; ","") &amp; IF(AF303="SIM","transferência internacional de dados; ","") &amp; IF(AL303="SIM","utilização de inteligência artificial; ","") &amp; IF(OR(AN303="Dados pessoais",AN303="Dados sensíveis",AN303="Dados pessoais e sensíveis"),"dados inseridos em IA; ","") &amp; IF(O303="Acima de 10.000 titulares por mês","volume crítico de titulares; ","") &amp; IF(O303="De 1.001 a 10.000 titulares por mês","volume moderado de titulares; ","") &amp; IF(AA303="SIM","compartilhamento com terceiros; ","") &amp; IF(R303="SIM","compartilhamento com órgãos governamentais; ","") &amp; IF(AJ303="NÃO","ausência de controle de acesso por perfil; ","")),"DPIA não indicado: Processo de baixa criticidade."))</f>
      </c>
    </row>
    <row x14ac:dyDescent="0.25" r="304" customHeight="1" ht="15.75">
      <c r="A304" s="46"/>
      <c r="B304" s="6"/>
      <c r="C304" s="11"/>
      <c r="D304" s="11"/>
      <c r="E304" s="11"/>
      <c r="F304" s="29"/>
      <c r="G304" s="11"/>
      <c r="H304" s="11"/>
      <c r="I304" s="29"/>
      <c r="J304" s="11"/>
      <c r="K304" s="29"/>
      <c r="L304" s="11"/>
      <c r="M304" s="11"/>
      <c r="N304" s="11"/>
      <c r="O304" s="29"/>
      <c r="P304" s="29"/>
      <c r="Q304" s="11"/>
      <c r="R304" s="29"/>
      <c r="S304" s="11"/>
      <c r="T304" s="6"/>
      <c r="U304" s="29"/>
      <c r="V304" s="11"/>
      <c r="W304" s="11"/>
      <c r="X304" s="29"/>
      <c r="Y304" s="11"/>
      <c r="Z304" s="29"/>
      <c r="AA304" s="29"/>
      <c r="AB304" s="11"/>
      <c r="AC304" s="11"/>
      <c r="AD304" s="29"/>
      <c r="AE304" s="11"/>
      <c r="AF304" s="29"/>
      <c r="AG304" s="11"/>
      <c r="AH304" s="29"/>
      <c r="AI304" s="11"/>
      <c r="AJ304" s="29"/>
      <c r="AK304" s="29"/>
      <c r="AL304" s="29"/>
      <c r="AM304" s="11"/>
      <c r="AN304" s="29"/>
      <c r="AO304" s="29"/>
      <c r="AP304" s="6"/>
      <c r="AQ304" s="113">
        <f>IF(AND(I304="",K304="",AF304="",AL304="",AN304="",O304=""),"",IF(OR(I304="SIM",K304="SIM",AF304="SIM",AL304="SIM",AN304="Dados pessoais",AN304="Dados sensíveis",AN304="Dados pessoais e sensíveis",O304="Acima de 10.000 titulares por mês"),"SIM - Alta criticidade",IF((IF(I304="SIM",2,0)+IF(K304="SIM",2,0)+IF(AF304="SIM",2,0)+IF(OR(AN304="Dados pessoais",AN304="Dados sensíveis",AN304="Dados pessoais e sensíveis"),2,0)+IF(O304="De 1.001 a 10.000 titulares por mês",1,0)+IF(AA304="SIM",1,0)+IF(R304="SIM",1,0)+IF(AL304="SIM",1,0)+IF(AJ304="NÃO",1,0))&gt;=5,"SIM - Alta criticidade",IF((IF(I304="SIM",2,0)+IF(K304="SIM",2,0)+IF(AF304="SIM",2,0)+IF(OR(AN304="Dados pessoais",AN304="Dados sensíveis",AN304="Dados pessoais e sensíveis"),2,0)+IF(O304="De 1.001 a 10.000 titulares por mês",1,0)+IF(AA304="SIM",1,0)+IF(R304="SIM",1,0)+IF(AL304="SIM",1,0)+IF(AJ304="NÃO",1,0))&gt;=3,"Avaliação necessária","NÃO"))))</f>
      </c>
      <c r="AR304" s="11"/>
      <c r="AS304" s="113">
        <f>IF(AND(I304="",K304="",AF304="",AL304="",AN304="",O304=""),"",IF(OR(I304="SIM",K304="SIM",AF304="SIM",AL304="SIM",OR(AN304="Dados pessoais",AN304="Dados sensíveis",AN304="Dados pessoais e sensíveis"),O304="Acima de 10.000 titulares por mês",(IF(I304="SIM",2,0)+IF(K304="SIM",2,0)+IF(AF304="SIM",2,0)+IF(OR(AN304="Dados pessoais",AN304="Dados sensíveis",AN304="Dados pessoais e sensíveis"),2,0)+IF(O304="De 1.001 a 10.000 titulares por mês",1,0)+IF(AA304="SIM",1,0)+IF(R304="SIM",1,0)+IF(AL304="SIM",1,0)+IF(AJ304="NÃO",1,0))&gt;=3),"DPIA indicado ou em avaliação em razão de: " &amp; TRIM(IF(I304="SIM","tratamento de dados sensíveis; ","") &amp; IF(K304="SIM","utilização de dados de menores; ","") &amp; IF(AF304="SIM","transferência internacional de dados; ","") &amp; IF(AL304="SIM","utilização de inteligência artificial; ","") &amp; IF(OR(AN304="Dados pessoais",AN304="Dados sensíveis",AN304="Dados pessoais e sensíveis"),"dados inseridos em IA; ","") &amp; IF(O304="Acima de 10.000 titulares por mês","volume crítico de titulares; ","") &amp; IF(O304="De 1.001 a 10.000 titulares por mês","volume moderado de titulares; ","") &amp; IF(AA304="SIM","compartilhamento com terceiros; ","") &amp; IF(R304="SIM","compartilhamento com órgãos governamentais; ","") &amp; IF(AJ304="NÃO","ausência de controle de acesso por perfil; ","")),"DPIA não indicado: Processo de baixa criticidade."))</f>
      </c>
    </row>
    <row x14ac:dyDescent="0.25" r="305" customHeight="1" ht="15.75">
      <c r="A305" s="46"/>
      <c r="B305" s="6"/>
      <c r="C305" s="11"/>
      <c r="D305" s="11"/>
      <c r="E305" s="11"/>
      <c r="F305" s="29"/>
      <c r="G305" s="11"/>
      <c r="H305" s="11"/>
      <c r="I305" s="29"/>
      <c r="J305" s="11"/>
      <c r="K305" s="29"/>
      <c r="L305" s="11"/>
      <c r="M305" s="11"/>
      <c r="N305" s="11"/>
      <c r="O305" s="29"/>
      <c r="P305" s="29"/>
      <c r="Q305" s="11"/>
      <c r="R305" s="29"/>
      <c r="S305" s="11"/>
      <c r="T305" s="6"/>
      <c r="U305" s="29"/>
      <c r="V305" s="11"/>
      <c r="W305" s="11"/>
      <c r="X305" s="29"/>
      <c r="Y305" s="11"/>
      <c r="Z305" s="29"/>
      <c r="AA305" s="29"/>
      <c r="AB305" s="11"/>
      <c r="AC305" s="11"/>
      <c r="AD305" s="29"/>
      <c r="AE305" s="11"/>
      <c r="AF305" s="29"/>
      <c r="AG305" s="11"/>
      <c r="AH305" s="29"/>
      <c r="AI305" s="11"/>
      <c r="AJ305" s="29"/>
      <c r="AK305" s="29"/>
      <c r="AL305" s="29"/>
      <c r="AM305" s="11"/>
      <c r="AN305" s="29"/>
      <c r="AO305" s="29"/>
      <c r="AP305" s="6"/>
      <c r="AQ305" s="113">
        <f>IF(AND(I305="",K305="",AF305="",AL305="",AN305="",O305=""),"",IF(OR(I305="SIM",K305="SIM",AF305="SIM",AL305="SIM",AN305="Dados pessoais",AN305="Dados sensíveis",AN305="Dados pessoais e sensíveis",O305="Acima de 10.000 titulares por mês"),"SIM - Alta criticidade",IF((IF(I305="SIM",2,0)+IF(K305="SIM",2,0)+IF(AF305="SIM",2,0)+IF(OR(AN305="Dados pessoais",AN305="Dados sensíveis",AN305="Dados pessoais e sensíveis"),2,0)+IF(O305="De 1.001 a 10.000 titulares por mês",1,0)+IF(AA305="SIM",1,0)+IF(R305="SIM",1,0)+IF(AL305="SIM",1,0)+IF(AJ305="NÃO",1,0))&gt;=5,"SIM - Alta criticidade",IF((IF(I305="SIM",2,0)+IF(K305="SIM",2,0)+IF(AF305="SIM",2,0)+IF(OR(AN305="Dados pessoais",AN305="Dados sensíveis",AN305="Dados pessoais e sensíveis"),2,0)+IF(O305="De 1.001 a 10.000 titulares por mês",1,0)+IF(AA305="SIM",1,0)+IF(R305="SIM",1,0)+IF(AL305="SIM",1,0)+IF(AJ305="NÃO",1,0))&gt;=3,"Avaliação necessária","NÃO"))))</f>
      </c>
      <c r="AR305" s="11"/>
      <c r="AS305" s="113">
        <f>IF(AND(I305="",K305="",AF305="",AL305="",AN305="",O305=""),"",IF(OR(I305="SIM",K305="SIM",AF305="SIM",AL305="SIM",OR(AN305="Dados pessoais",AN305="Dados sensíveis",AN305="Dados pessoais e sensíveis"),O305="Acima de 10.000 titulares por mês",(IF(I305="SIM",2,0)+IF(K305="SIM",2,0)+IF(AF305="SIM",2,0)+IF(OR(AN305="Dados pessoais",AN305="Dados sensíveis",AN305="Dados pessoais e sensíveis"),2,0)+IF(O305="De 1.001 a 10.000 titulares por mês",1,0)+IF(AA305="SIM",1,0)+IF(R305="SIM",1,0)+IF(AL305="SIM",1,0)+IF(AJ305="NÃO",1,0))&gt;=3),"DPIA indicado ou em avaliação em razão de: " &amp; TRIM(IF(I305="SIM","tratamento de dados sensíveis; ","") &amp; IF(K305="SIM","utilização de dados de menores; ","") &amp; IF(AF305="SIM","transferência internacional de dados; ","") &amp; IF(AL305="SIM","utilização de inteligência artificial; ","") &amp; IF(OR(AN305="Dados pessoais",AN305="Dados sensíveis",AN305="Dados pessoais e sensíveis"),"dados inseridos em IA; ","") &amp; IF(O305="Acima de 10.000 titulares por mês","volume crítico de titulares; ","") &amp; IF(O305="De 1.001 a 10.000 titulares por mês","volume moderado de titulares; ","") &amp; IF(AA305="SIM","compartilhamento com terceiros; ","") &amp; IF(R305="SIM","compartilhamento com órgãos governamentais; ","") &amp; IF(AJ305="NÃO","ausência de controle de acesso por perfil; ","")),"DPIA não indicado: Processo de baixa criticidade."))</f>
      </c>
    </row>
    <row x14ac:dyDescent="0.25" r="306" customHeight="1" ht="15.75">
      <c r="A306" s="46"/>
      <c r="B306" s="6"/>
      <c r="C306" s="11"/>
      <c r="D306" s="11"/>
      <c r="E306" s="11"/>
      <c r="F306" s="29"/>
      <c r="G306" s="11"/>
      <c r="H306" s="11"/>
      <c r="I306" s="29"/>
      <c r="J306" s="11"/>
      <c r="K306" s="29"/>
      <c r="L306" s="11"/>
      <c r="M306" s="11"/>
      <c r="N306" s="11"/>
      <c r="O306" s="29"/>
      <c r="P306" s="29"/>
      <c r="Q306" s="11"/>
      <c r="R306" s="29"/>
      <c r="S306" s="11"/>
      <c r="T306" s="6"/>
      <c r="U306" s="29"/>
      <c r="V306" s="11"/>
      <c r="W306" s="11"/>
      <c r="X306" s="29"/>
      <c r="Y306" s="11"/>
      <c r="Z306" s="29"/>
      <c r="AA306" s="29"/>
      <c r="AB306" s="11"/>
      <c r="AC306" s="11"/>
      <c r="AD306" s="29"/>
      <c r="AE306" s="11"/>
      <c r="AF306" s="29"/>
      <c r="AG306" s="11"/>
      <c r="AH306" s="29"/>
      <c r="AI306" s="11"/>
      <c r="AJ306" s="29"/>
      <c r="AK306" s="29"/>
      <c r="AL306" s="29"/>
      <c r="AM306" s="11"/>
      <c r="AN306" s="29"/>
      <c r="AO306" s="29"/>
      <c r="AP306" s="6"/>
      <c r="AQ306" s="113">
        <f>IF(AND(I306="",K306="",AF306="",AL306="",AN306="",O306=""),"",IF(OR(I306="SIM",K306="SIM",AF306="SIM",AL306="SIM",AN306="Dados pessoais",AN306="Dados sensíveis",AN306="Dados pessoais e sensíveis",O306="Acima de 10.000 titulares por mês"),"SIM - Alta criticidade",IF((IF(I306="SIM",2,0)+IF(K306="SIM",2,0)+IF(AF306="SIM",2,0)+IF(OR(AN306="Dados pessoais",AN306="Dados sensíveis",AN306="Dados pessoais e sensíveis"),2,0)+IF(O306="De 1.001 a 10.000 titulares por mês",1,0)+IF(AA306="SIM",1,0)+IF(R306="SIM",1,0)+IF(AL306="SIM",1,0)+IF(AJ306="NÃO",1,0))&gt;=5,"SIM - Alta criticidade",IF((IF(I306="SIM",2,0)+IF(K306="SIM",2,0)+IF(AF306="SIM",2,0)+IF(OR(AN306="Dados pessoais",AN306="Dados sensíveis",AN306="Dados pessoais e sensíveis"),2,0)+IF(O306="De 1.001 a 10.000 titulares por mês",1,0)+IF(AA306="SIM",1,0)+IF(R306="SIM",1,0)+IF(AL306="SIM",1,0)+IF(AJ306="NÃO",1,0))&gt;=3,"Avaliação necessária","NÃO"))))</f>
      </c>
      <c r="AR306" s="11"/>
      <c r="AS306" s="113">
        <f>IF(AND(I306="",K306="",AF306="",AL306="",AN306="",O306=""),"",IF(OR(I306="SIM",K306="SIM",AF306="SIM",AL306="SIM",OR(AN306="Dados pessoais",AN306="Dados sensíveis",AN306="Dados pessoais e sensíveis"),O306="Acima de 10.000 titulares por mês",(IF(I306="SIM",2,0)+IF(K306="SIM",2,0)+IF(AF306="SIM",2,0)+IF(OR(AN306="Dados pessoais",AN306="Dados sensíveis",AN306="Dados pessoais e sensíveis"),2,0)+IF(O306="De 1.001 a 10.000 titulares por mês",1,0)+IF(AA306="SIM",1,0)+IF(R306="SIM",1,0)+IF(AL306="SIM",1,0)+IF(AJ306="NÃO",1,0))&gt;=3),"DPIA indicado ou em avaliação em razão de: " &amp; TRIM(IF(I306="SIM","tratamento de dados sensíveis; ","") &amp; IF(K306="SIM","utilização de dados de menores; ","") &amp; IF(AF306="SIM","transferência internacional de dados; ","") &amp; IF(AL306="SIM","utilização de inteligência artificial; ","") &amp; IF(OR(AN306="Dados pessoais",AN306="Dados sensíveis",AN306="Dados pessoais e sensíveis"),"dados inseridos em IA; ","") &amp; IF(O306="Acima de 10.000 titulares por mês","volume crítico de titulares; ","") &amp; IF(O306="De 1.001 a 10.000 titulares por mês","volume moderado de titulares; ","") &amp; IF(AA306="SIM","compartilhamento com terceiros; ","") &amp; IF(R306="SIM","compartilhamento com órgãos governamentais; ","") &amp; IF(AJ306="NÃO","ausência de controle de acesso por perfil; ","")),"DPIA não indicado: Processo de baixa criticidade."))</f>
      </c>
    </row>
    <row x14ac:dyDescent="0.25" r="307" customHeight="1" ht="15.75">
      <c r="A307" s="46"/>
      <c r="B307" s="6"/>
      <c r="C307" s="11"/>
      <c r="D307" s="11"/>
      <c r="E307" s="11"/>
      <c r="F307" s="29"/>
      <c r="G307" s="11"/>
      <c r="H307" s="11"/>
      <c r="I307" s="29"/>
      <c r="J307" s="11"/>
      <c r="K307" s="29"/>
      <c r="L307" s="11"/>
      <c r="M307" s="11"/>
      <c r="N307" s="11"/>
      <c r="O307" s="29"/>
      <c r="P307" s="29"/>
      <c r="Q307" s="11"/>
      <c r="R307" s="29"/>
      <c r="S307" s="11"/>
      <c r="T307" s="6"/>
      <c r="U307" s="29"/>
      <c r="V307" s="11"/>
      <c r="W307" s="11"/>
      <c r="X307" s="29"/>
      <c r="Y307" s="11"/>
      <c r="Z307" s="29"/>
      <c r="AA307" s="29"/>
      <c r="AB307" s="11"/>
      <c r="AC307" s="11"/>
      <c r="AD307" s="29"/>
      <c r="AE307" s="11"/>
      <c r="AF307" s="29"/>
      <c r="AG307" s="11"/>
      <c r="AH307" s="29"/>
      <c r="AI307" s="11"/>
      <c r="AJ307" s="29"/>
      <c r="AK307" s="29"/>
      <c r="AL307" s="29"/>
      <c r="AM307" s="11"/>
      <c r="AN307" s="29"/>
      <c r="AO307" s="29"/>
      <c r="AP307" s="6"/>
      <c r="AQ307" s="113">
        <f>IF(AND(I307="",K307="",AF307="",AL307="",AN307="",O307=""),"",IF(OR(I307="SIM",K307="SIM",AF307="SIM",AL307="SIM",AN307="Dados pessoais",AN307="Dados sensíveis",AN307="Dados pessoais e sensíveis",O307="Acima de 10.000 titulares por mês"),"SIM - Alta criticidade",IF((IF(I307="SIM",2,0)+IF(K307="SIM",2,0)+IF(AF307="SIM",2,0)+IF(OR(AN307="Dados pessoais",AN307="Dados sensíveis",AN307="Dados pessoais e sensíveis"),2,0)+IF(O307="De 1.001 a 10.000 titulares por mês",1,0)+IF(AA307="SIM",1,0)+IF(R307="SIM",1,0)+IF(AL307="SIM",1,0)+IF(AJ307="NÃO",1,0))&gt;=5,"SIM - Alta criticidade",IF((IF(I307="SIM",2,0)+IF(K307="SIM",2,0)+IF(AF307="SIM",2,0)+IF(OR(AN307="Dados pessoais",AN307="Dados sensíveis",AN307="Dados pessoais e sensíveis"),2,0)+IF(O307="De 1.001 a 10.000 titulares por mês",1,0)+IF(AA307="SIM",1,0)+IF(R307="SIM",1,0)+IF(AL307="SIM",1,0)+IF(AJ307="NÃO",1,0))&gt;=3,"Avaliação necessária","NÃO"))))</f>
      </c>
      <c r="AR307" s="11"/>
      <c r="AS307" s="113">
        <f>IF(AND(I307="",K307="",AF307="",AL307="",AN307="",O307=""),"",IF(OR(I307="SIM",K307="SIM",AF307="SIM",AL307="SIM",OR(AN307="Dados pessoais",AN307="Dados sensíveis",AN307="Dados pessoais e sensíveis"),O307="Acima de 10.000 titulares por mês",(IF(I307="SIM",2,0)+IF(K307="SIM",2,0)+IF(AF307="SIM",2,0)+IF(OR(AN307="Dados pessoais",AN307="Dados sensíveis",AN307="Dados pessoais e sensíveis"),2,0)+IF(O307="De 1.001 a 10.000 titulares por mês",1,0)+IF(AA307="SIM",1,0)+IF(R307="SIM",1,0)+IF(AL307="SIM",1,0)+IF(AJ307="NÃO",1,0))&gt;=3),"DPIA indicado ou em avaliação em razão de: " &amp; TRIM(IF(I307="SIM","tratamento de dados sensíveis; ","") &amp; IF(K307="SIM","utilização de dados de menores; ","") &amp; IF(AF307="SIM","transferência internacional de dados; ","") &amp; IF(AL307="SIM","utilização de inteligência artificial; ","") &amp; IF(OR(AN307="Dados pessoais",AN307="Dados sensíveis",AN307="Dados pessoais e sensíveis"),"dados inseridos em IA; ","") &amp; IF(O307="Acima de 10.000 titulares por mês","volume crítico de titulares; ","") &amp; IF(O307="De 1.001 a 10.000 titulares por mês","volume moderado de titulares; ","") &amp; IF(AA307="SIM","compartilhamento com terceiros; ","") &amp; IF(R307="SIM","compartilhamento com órgãos governamentais; ","") &amp; IF(AJ307="NÃO","ausência de controle de acesso por perfil; ","")),"DPIA não indicado: Processo de baixa criticidade."))</f>
      </c>
    </row>
    <row x14ac:dyDescent="0.25" r="308" customHeight="1" ht="15.75">
      <c r="A308" s="46"/>
      <c r="B308" s="6"/>
      <c r="C308" s="11"/>
      <c r="D308" s="11"/>
      <c r="E308" s="11"/>
      <c r="F308" s="29"/>
      <c r="G308" s="11"/>
      <c r="H308" s="11"/>
      <c r="I308" s="29"/>
      <c r="J308" s="11"/>
      <c r="K308" s="29"/>
      <c r="L308" s="11"/>
      <c r="M308" s="11"/>
      <c r="N308" s="11"/>
      <c r="O308" s="29"/>
      <c r="P308" s="29"/>
      <c r="Q308" s="11"/>
      <c r="R308" s="29"/>
      <c r="S308" s="11"/>
      <c r="T308" s="6"/>
      <c r="U308" s="29"/>
      <c r="V308" s="11"/>
      <c r="W308" s="11"/>
      <c r="X308" s="29"/>
      <c r="Y308" s="11"/>
      <c r="Z308" s="29"/>
      <c r="AA308" s="29"/>
      <c r="AB308" s="11"/>
      <c r="AC308" s="11"/>
      <c r="AD308" s="29"/>
      <c r="AE308" s="11"/>
      <c r="AF308" s="29"/>
      <c r="AG308" s="11"/>
      <c r="AH308" s="29"/>
      <c r="AI308" s="11"/>
      <c r="AJ308" s="29"/>
      <c r="AK308" s="29"/>
      <c r="AL308" s="29"/>
      <c r="AM308" s="11"/>
      <c r="AN308" s="29"/>
      <c r="AO308" s="29"/>
      <c r="AP308" s="6"/>
      <c r="AQ308" s="113">
        <f>IF(AND(I308="",K308="",AF308="",AL308="",AN308="",O308=""),"",IF(OR(I308="SIM",K308="SIM",AF308="SIM",AL308="SIM",AN308="Dados pessoais",AN308="Dados sensíveis",AN308="Dados pessoais e sensíveis",O308="Acima de 10.000 titulares por mês"),"SIM - Alta criticidade",IF((IF(I308="SIM",2,0)+IF(K308="SIM",2,0)+IF(AF308="SIM",2,0)+IF(OR(AN308="Dados pessoais",AN308="Dados sensíveis",AN308="Dados pessoais e sensíveis"),2,0)+IF(O308="De 1.001 a 10.000 titulares por mês",1,0)+IF(AA308="SIM",1,0)+IF(R308="SIM",1,0)+IF(AL308="SIM",1,0)+IF(AJ308="NÃO",1,0))&gt;=5,"SIM - Alta criticidade",IF((IF(I308="SIM",2,0)+IF(K308="SIM",2,0)+IF(AF308="SIM",2,0)+IF(OR(AN308="Dados pessoais",AN308="Dados sensíveis",AN308="Dados pessoais e sensíveis"),2,0)+IF(O308="De 1.001 a 10.000 titulares por mês",1,0)+IF(AA308="SIM",1,0)+IF(R308="SIM",1,0)+IF(AL308="SIM",1,0)+IF(AJ308="NÃO",1,0))&gt;=3,"Avaliação necessária","NÃO"))))</f>
      </c>
      <c r="AR308" s="11"/>
      <c r="AS308" s="113">
        <f>IF(AND(I308="",K308="",AF308="",AL308="",AN308="",O308=""),"",IF(OR(I308="SIM",K308="SIM",AF308="SIM",AL308="SIM",OR(AN308="Dados pessoais",AN308="Dados sensíveis",AN308="Dados pessoais e sensíveis"),O308="Acima de 10.000 titulares por mês",(IF(I308="SIM",2,0)+IF(K308="SIM",2,0)+IF(AF308="SIM",2,0)+IF(OR(AN308="Dados pessoais",AN308="Dados sensíveis",AN308="Dados pessoais e sensíveis"),2,0)+IF(O308="De 1.001 a 10.000 titulares por mês",1,0)+IF(AA308="SIM",1,0)+IF(R308="SIM",1,0)+IF(AL308="SIM",1,0)+IF(AJ308="NÃO",1,0))&gt;=3),"DPIA indicado ou em avaliação em razão de: " &amp; TRIM(IF(I308="SIM","tratamento de dados sensíveis; ","") &amp; IF(K308="SIM","utilização de dados de menores; ","") &amp; IF(AF308="SIM","transferência internacional de dados; ","") &amp; IF(AL308="SIM","utilização de inteligência artificial; ","") &amp; IF(OR(AN308="Dados pessoais",AN308="Dados sensíveis",AN308="Dados pessoais e sensíveis"),"dados inseridos em IA; ","") &amp; IF(O308="Acima de 10.000 titulares por mês","volume crítico de titulares; ","") &amp; IF(O308="De 1.001 a 10.000 titulares por mês","volume moderado de titulares; ","") &amp; IF(AA308="SIM","compartilhamento com terceiros; ","") &amp; IF(R308="SIM","compartilhamento com órgãos governamentais; ","") &amp; IF(AJ308="NÃO","ausência de controle de acesso por perfil; ","")),"DPIA não indicado: Processo de baixa criticidade."))</f>
      </c>
    </row>
    <row x14ac:dyDescent="0.25" r="309" customHeight="1" ht="15.75">
      <c r="A309" s="46"/>
      <c r="B309" s="6"/>
      <c r="C309" s="11"/>
      <c r="D309" s="11"/>
      <c r="E309" s="11"/>
      <c r="F309" s="29"/>
      <c r="G309" s="11"/>
      <c r="H309" s="11"/>
      <c r="I309" s="29"/>
      <c r="J309" s="11"/>
      <c r="K309" s="29"/>
      <c r="L309" s="11"/>
      <c r="M309" s="11"/>
      <c r="N309" s="11"/>
      <c r="O309" s="29"/>
      <c r="P309" s="29"/>
      <c r="Q309" s="11"/>
      <c r="R309" s="29"/>
      <c r="S309" s="11"/>
      <c r="T309" s="6"/>
      <c r="U309" s="29"/>
      <c r="V309" s="11"/>
      <c r="W309" s="11"/>
      <c r="X309" s="29"/>
      <c r="Y309" s="11"/>
      <c r="Z309" s="29"/>
      <c r="AA309" s="29"/>
      <c r="AB309" s="11"/>
      <c r="AC309" s="11"/>
      <c r="AD309" s="29"/>
      <c r="AE309" s="11"/>
      <c r="AF309" s="29"/>
      <c r="AG309" s="11"/>
      <c r="AH309" s="29"/>
      <c r="AI309" s="11"/>
      <c r="AJ309" s="29"/>
      <c r="AK309" s="29"/>
      <c r="AL309" s="29"/>
      <c r="AM309" s="11"/>
      <c r="AN309" s="29"/>
      <c r="AO309" s="29"/>
      <c r="AP309" s="6"/>
      <c r="AQ309" s="113">
        <f>IF(AND(I309="",K309="",AF309="",AL309="",AN309="",O309=""),"",IF(OR(I309="SIM",K309="SIM",AF309="SIM",AL309="SIM",AN309="Dados pessoais",AN309="Dados sensíveis",AN309="Dados pessoais e sensíveis",O309="Acima de 10.000 titulares por mês"),"SIM - Alta criticidade",IF((IF(I309="SIM",2,0)+IF(K309="SIM",2,0)+IF(AF309="SIM",2,0)+IF(OR(AN309="Dados pessoais",AN309="Dados sensíveis",AN309="Dados pessoais e sensíveis"),2,0)+IF(O309="De 1.001 a 10.000 titulares por mês",1,0)+IF(AA309="SIM",1,0)+IF(R309="SIM",1,0)+IF(AL309="SIM",1,0)+IF(AJ309="NÃO",1,0))&gt;=5,"SIM - Alta criticidade",IF((IF(I309="SIM",2,0)+IF(K309="SIM",2,0)+IF(AF309="SIM",2,0)+IF(OR(AN309="Dados pessoais",AN309="Dados sensíveis",AN309="Dados pessoais e sensíveis"),2,0)+IF(O309="De 1.001 a 10.000 titulares por mês",1,0)+IF(AA309="SIM",1,0)+IF(R309="SIM",1,0)+IF(AL309="SIM",1,0)+IF(AJ309="NÃO",1,0))&gt;=3,"Avaliação necessária","NÃO"))))</f>
      </c>
      <c r="AR309" s="11"/>
      <c r="AS309" s="113">
        <f>IF(AND(I309="",K309="",AF309="",AL309="",AN309="",O309=""),"",IF(OR(I309="SIM",K309="SIM",AF309="SIM",AL309="SIM",OR(AN309="Dados pessoais",AN309="Dados sensíveis",AN309="Dados pessoais e sensíveis"),O309="Acima de 10.000 titulares por mês",(IF(I309="SIM",2,0)+IF(K309="SIM",2,0)+IF(AF309="SIM",2,0)+IF(OR(AN309="Dados pessoais",AN309="Dados sensíveis",AN309="Dados pessoais e sensíveis"),2,0)+IF(O309="De 1.001 a 10.000 titulares por mês",1,0)+IF(AA309="SIM",1,0)+IF(R309="SIM",1,0)+IF(AL309="SIM",1,0)+IF(AJ309="NÃO",1,0))&gt;=3),"DPIA indicado ou em avaliação em razão de: " &amp; TRIM(IF(I309="SIM","tratamento de dados sensíveis; ","") &amp; IF(K309="SIM","utilização de dados de menores; ","") &amp; IF(AF309="SIM","transferência internacional de dados; ","") &amp; IF(AL309="SIM","utilização de inteligência artificial; ","") &amp; IF(OR(AN309="Dados pessoais",AN309="Dados sensíveis",AN309="Dados pessoais e sensíveis"),"dados inseridos em IA; ","") &amp; IF(O309="Acima de 10.000 titulares por mês","volume crítico de titulares; ","") &amp; IF(O309="De 1.001 a 10.000 titulares por mês","volume moderado de titulares; ","") &amp; IF(AA309="SIM","compartilhamento com terceiros; ","") &amp; IF(R309="SIM","compartilhamento com órgãos governamentais; ","") &amp; IF(AJ309="NÃO","ausência de controle de acesso por perfil; ","")),"DPIA não indicado: Processo de baixa criticidade."))</f>
      </c>
    </row>
    <row x14ac:dyDescent="0.25" r="310" customHeight="1" ht="15.75">
      <c r="A310" s="46"/>
      <c r="B310" s="6"/>
      <c r="C310" s="11"/>
      <c r="D310" s="11"/>
      <c r="E310" s="11"/>
      <c r="F310" s="29"/>
      <c r="G310" s="11"/>
      <c r="H310" s="11"/>
      <c r="I310" s="29"/>
      <c r="J310" s="11"/>
      <c r="K310" s="29"/>
      <c r="L310" s="11"/>
      <c r="M310" s="11"/>
      <c r="N310" s="11"/>
      <c r="O310" s="29"/>
      <c r="P310" s="29"/>
      <c r="Q310" s="11"/>
      <c r="R310" s="29"/>
      <c r="S310" s="11"/>
      <c r="T310" s="6"/>
      <c r="U310" s="29"/>
      <c r="V310" s="11"/>
      <c r="W310" s="11"/>
      <c r="X310" s="29"/>
      <c r="Y310" s="11"/>
      <c r="Z310" s="29"/>
      <c r="AA310" s="29"/>
      <c r="AB310" s="11"/>
      <c r="AC310" s="11"/>
      <c r="AD310" s="29"/>
      <c r="AE310" s="11"/>
      <c r="AF310" s="29"/>
      <c r="AG310" s="11"/>
      <c r="AH310" s="29"/>
      <c r="AI310" s="11"/>
      <c r="AJ310" s="29"/>
      <c r="AK310" s="29"/>
      <c r="AL310" s="29"/>
      <c r="AM310" s="11"/>
      <c r="AN310" s="29"/>
      <c r="AO310" s="29"/>
      <c r="AP310" s="6"/>
      <c r="AQ310" s="113">
        <f>IF(AND(I310="",K310="",AF310="",AL310="",AN310="",O310=""),"",IF(OR(I310="SIM",K310="SIM",AF310="SIM",AL310="SIM",AN310="Dados pessoais",AN310="Dados sensíveis",AN310="Dados pessoais e sensíveis",O310="Acima de 10.000 titulares por mês"),"SIM - Alta criticidade",IF((IF(I310="SIM",2,0)+IF(K310="SIM",2,0)+IF(AF310="SIM",2,0)+IF(OR(AN310="Dados pessoais",AN310="Dados sensíveis",AN310="Dados pessoais e sensíveis"),2,0)+IF(O310="De 1.001 a 10.000 titulares por mês",1,0)+IF(AA310="SIM",1,0)+IF(R310="SIM",1,0)+IF(AL310="SIM",1,0)+IF(AJ310="NÃO",1,0))&gt;=5,"SIM - Alta criticidade",IF((IF(I310="SIM",2,0)+IF(K310="SIM",2,0)+IF(AF310="SIM",2,0)+IF(OR(AN310="Dados pessoais",AN310="Dados sensíveis",AN310="Dados pessoais e sensíveis"),2,0)+IF(O310="De 1.001 a 10.000 titulares por mês",1,0)+IF(AA310="SIM",1,0)+IF(R310="SIM",1,0)+IF(AL310="SIM",1,0)+IF(AJ310="NÃO",1,0))&gt;=3,"Avaliação necessária","NÃO"))))</f>
      </c>
      <c r="AR310" s="11"/>
      <c r="AS310" s="113">
        <f>IF(AND(I310="",K310="",AF310="",AL310="",AN310="",O310=""),"",IF(OR(I310="SIM",K310="SIM",AF310="SIM",AL310="SIM",OR(AN310="Dados pessoais",AN310="Dados sensíveis",AN310="Dados pessoais e sensíveis"),O310="Acima de 10.000 titulares por mês",(IF(I310="SIM",2,0)+IF(K310="SIM",2,0)+IF(AF310="SIM",2,0)+IF(OR(AN310="Dados pessoais",AN310="Dados sensíveis",AN310="Dados pessoais e sensíveis"),2,0)+IF(O310="De 1.001 a 10.000 titulares por mês",1,0)+IF(AA310="SIM",1,0)+IF(R310="SIM",1,0)+IF(AL310="SIM",1,0)+IF(AJ310="NÃO",1,0))&gt;=3),"DPIA indicado ou em avaliação em razão de: " &amp; TRIM(IF(I310="SIM","tratamento de dados sensíveis; ","") &amp; IF(K310="SIM","utilização de dados de menores; ","") &amp; IF(AF310="SIM","transferência internacional de dados; ","") &amp; IF(AL310="SIM","utilização de inteligência artificial; ","") &amp; IF(OR(AN310="Dados pessoais",AN310="Dados sensíveis",AN310="Dados pessoais e sensíveis"),"dados inseridos em IA; ","") &amp; IF(O310="Acima de 10.000 titulares por mês","volume crítico de titulares; ","") &amp; IF(O310="De 1.001 a 10.000 titulares por mês","volume moderado de titulares; ","") &amp; IF(AA310="SIM","compartilhamento com terceiros; ","") &amp; IF(R310="SIM","compartilhamento com órgãos governamentais; ","") &amp; IF(AJ310="NÃO","ausência de controle de acesso por perfil; ","")),"DPIA não indicado: Processo de baixa criticidade."))</f>
      </c>
    </row>
    <row x14ac:dyDescent="0.25" r="311" customHeight="1" ht="15.75">
      <c r="A311" s="46"/>
      <c r="B311" s="6"/>
      <c r="C311" s="11"/>
      <c r="D311" s="11"/>
      <c r="E311" s="11"/>
      <c r="F311" s="29"/>
      <c r="G311" s="11"/>
      <c r="H311" s="11"/>
      <c r="I311" s="29"/>
      <c r="J311" s="11"/>
      <c r="K311" s="29"/>
      <c r="L311" s="11"/>
      <c r="M311" s="11"/>
      <c r="N311" s="11"/>
      <c r="O311" s="29"/>
      <c r="P311" s="29"/>
      <c r="Q311" s="11"/>
      <c r="R311" s="29"/>
      <c r="S311" s="11"/>
      <c r="T311" s="6"/>
      <c r="U311" s="29"/>
      <c r="V311" s="11"/>
      <c r="W311" s="11"/>
      <c r="X311" s="29"/>
      <c r="Y311" s="11"/>
      <c r="Z311" s="29"/>
      <c r="AA311" s="29"/>
      <c r="AB311" s="11"/>
      <c r="AC311" s="11"/>
      <c r="AD311" s="29"/>
      <c r="AE311" s="11"/>
      <c r="AF311" s="29"/>
      <c r="AG311" s="11"/>
      <c r="AH311" s="29"/>
      <c r="AI311" s="11"/>
      <c r="AJ311" s="29"/>
      <c r="AK311" s="29"/>
      <c r="AL311" s="29"/>
      <c r="AM311" s="11"/>
      <c r="AN311" s="29"/>
      <c r="AO311" s="29"/>
      <c r="AP311" s="6"/>
      <c r="AQ311" s="113">
        <f>IF(AND(I311="",K311="",AF311="",AL311="",AN311="",O311=""),"",IF(OR(I311="SIM",K311="SIM",AF311="SIM",AL311="SIM",AN311="Dados pessoais",AN311="Dados sensíveis",AN311="Dados pessoais e sensíveis",O311="Acima de 10.000 titulares por mês"),"SIM - Alta criticidade",IF((IF(I311="SIM",2,0)+IF(K311="SIM",2,0)+IF(AF311="SIM",2,0)+IF(OR(AN311="Dados pessoais",AN311="Dados sensíveis",AN311="Dados pessoais e sensíveis"),2,0)+IF(O311="De 1.001 a 10.000 titulares por mês",1,0)+IF(AA311="SIM",1,0)+IF(R311="SIM",1,0)+IF(AL311="SIM",1,0)+IF(AJ311="NÃO",1,0))&gt;=5,"SIM - Alta criticidade",IF((IF(I311="SIM",2,0)+IF(K311="SIM",2,0)+IF(AF311="SIM",2,0)+IF(OR(AN311="Dados pessoais",AN311="Dados sensíveis",AN311="Dados pessoais e sensíveis"),2,0)+IF(O311="De 1.001 a 10.000 titulares por mês",1,0)+IF(AA311="SIM",1,0)+IF(R311="SIM",1,0)+IF(AL311="SIM",1,0)+IF(AJ311="NÃO",1,0))&gt;=3,"Avaliação necessária","NÃO"))))</f>
      </c>
      <c r="AR311" s="11"/>
      <c r="AS311" s="113">
        <f>IF(AND(I311="",K311="",AF311="",AL311="",AN311="",O311=""),"",IF(OR(I311="SIM",K311="SIM",AF311="SIM",AL311="SIM",OR(AN311="Dados pessoais",AN311="Dados sensíveis",AN311="Dados pessoais e sensíveis"),O311="Acima de 10.000 titulares por mês",(IF(I311="SIM",2,0)+IF(K311="SIM",2,0)+IF(AF311="SIM",2,0)+IF(OR(AN311="Dados pessoais",AN311="Dados sensíveis",AN311="Dados pessoais e sensíveis"),2,0)+IF(O311="De 1.001 a 10.000 titulares por mês",1,0)+IF(AA311="SIM",1,0)+IF(R311="SIM",1,0)+IF(AL311="SIM",1,0)+IF(AJ311="NÃO",1,0))&gt;=3),"DPIA indicado ou em avaliação em razão de: " &amp; TRIM(IF(I311="SIM","tratamento de dados sensíveis; ","") &amp; IF(K311="SIM","utilização de dados de menores; ","") &amp; IF(AF311="SIM","transferência internacional de dados; ","") &amp; IF(AL311="SIM","utilização de inteligência artificial; ","") &amp; IF(OR(AN311="Dados pessoais",AN311="Dados sensíveis",AN311="Dados pessoais e sensíveis"),"dados inseridos em IA; ","") &amp; IF(O311="Acima de 10.000 titulares por mês","volume crítico de titulares; ","") &amp; IF(O311="De 1.001 a 10.000 titulares por mês","volume moderado de titulares; ","") &amp; IF(AA311="SIM","compartilhamento com terceiros; ","") &amp; IF(R311="SIM","compartilhamento com órgãos governamentais; ","") &amp; IF(AJ311="NÃO","ausência de controle de acesso por perfil; ","")),"DPIA não indicado: Processo de baixa criticidade."))</f>
      </c>
    </row>
    <row x14ac:dyDescent="0.25" r="312" customHeight="1" ht="15.75">
      <c r="A312" s="46"/>
      <c r="B312" s="6"/>
      <c r="C312" s="11"/>
      <c r="D312" s="11"/>
      <c r="E312" s="11"/>
      <c r="F312" s="29"/>
      <c r="G312" s="11"/>
      <c r="H312" s="11"/>
      <c r="I312" s="29"/>
      <c r="J312" s="11"/>
      <c r="K312" s="29"/>
      <c r="L312" s="11"/>
      <c r="M312" s="11"/>
      <c r="N312" s="11"/>
      <c r="O312" s="29"/>
      <c r="P312" s="29"/>
      <c r="Q312" s="11"/>
      <c r="R312" s="29"/>
      <c r="S312" s="11"/>
      <c r="T312" s="6"/>
      <c r="U312" s="29"/>
      <c r="V312" s="11"/>
      <c r="W312" s="11"/>
      <c r="X312" s="29"/>
      <c r="Y312" s="11"/>
      <c r="Z312" s="29"/>
      <c r="AA312" s="29"/>
      <c r="AB312" s="11"/>
      <c r="AC312" s="11"/>
      <c r="AD312" s="29"/>
      <c r="AE312" s="11"/>
      <c r="AF312" s="29"/>
      <c r="AG312" s="11"/>
      <c r="AH312" s="29"/>
      <c r="AI312" s="11"/>
      <c r="AJ312" s="29"/>
      <c r="AK312" s="29"/>
      <c r="AL312" s="29"/>
      <c r="AM312" s="11"/>
      <c r="AN312" s="29"/>
      <c r="AO312" s="29"/>
      <c r="AP312" s="6"/>
      <c r="AQ312" s="113">
        <f>IF(AND(I312="",K312="",AF312="",AL312="",AN312="",O312=""),"",IF(OR(I312="SIM",K312="SIM",AF312="SIM",AL312="SIM",AN312="Dados pessoais",AN312="Dados sensíveis",AN312="Dados pessoais e sensíveis",O312="Acima de 10.000 titulares por mês"),"SIM - Alta criticidade",IF((IF(I312="SIM",2,0)+IF(K312="SIM",2,0)+IF(AF312="SIM",2,0)+IF(OR(AN312="Dados pessoais",AN312="Dados sensíveis",AN312="Dados pessoais e sensíveis"),2,0)+IF(O312="De 1.001 a 10.000 titulares por mês",1,0)+IF(AA312="SIM",1,0)+IF(R312="SIM",1,0)+IF(AL312="SIM",1,0)+IF(AJ312="NÃO",1,0))&gt;=5,"SIM - Alta criticidade",IF((IF(I312="SIM",2,0)+IF(K312="SIM",2,0)+IF(AF312="SIM",2,0)+IF(OR(AN312="Dados pessoais",AN312="Dados sensíveis",AN312="Dados pessoais e sensíveis"),2,0)+IF(O312="De 1.001 a 10.000 titulares por mês",1,0)+IF(AA312="SIM",1,0)+IF(R312="SIM",1,0)+IF(AL312="SIM",1,0)+IF(AJ312="NÃO",1,0))&gt;=3,"Avaliação necessária","NÃO"))))</f>
      </c>
      <c r="AR312" s="11"/>
      <c r="AS312" s="113">
        <f>IF(AND(I312="",K312="",AF312="",AL312="",AN312="",O312=""),"",IF(OR(I312="SIM",K312="SIM",AF312="SIM",AL312="SIM",OR(AN312="Dados pessoais",AN312="Dados sensíveis",AN312="Dados pessoais e sensíveis"),O312="Acima de 10.000 titulares por mês",(IF(I312="SIM",2,0)+IF(K312="SIM",2,0)+IF(AF312="SIM",2,0)+IF(OR(AN312="Dados pessoais",AN312="Dados sensíveis",AN312="Dados pessoais e sensíveis"),2,0)+IF(O312="De 1.001 a 10.000 titulares por mês",1,0)+IF(AA312="SIM",1,0)+IF(R312="SIM",1,0)+IF(AL312="SIM",1,0)+IF(AJ312="NÃO",1,0))&gt;=3),"DPIA indicado ou em avaliação em razão de: " &amp; TRIM(IF(I312="SIM","tratamento de dados sensíveis; ","") &amp; IF(K312="SIM","utilização de dados de menores; ","") &amp; IF(AF312="SIM","transferência internacional de dados; ","") &amp; IF(AL312="SIM","utilização de inteligência artificial; ","") &amp; IF(OR(AN312="Dados pessoais",AN312="Dados sensíveis",AN312="Dados pessoais e sensíveis"),"dados inseridos em IA; ","") &amp; IF(O312="Acima de 10.000 titulares por mês","volume crítico de titulares; ","") &amp; IF(O312="De 1.001 a 10.000 titulares por mês","volume moderado de titulares; ","") &amp; IF(AA312="SIM","compartilhamento com terceiros; ","") &amp; IF(R312="SIM","compartilhamento com órgãos governamentais; ","") &amp; IF(AJ312="NÃO","ausência de controle de acesso por perfil; ","")),"DPIA não indicado: Processo de baixa criticidade."))</f>
      </c>
    </row>
    <row x14ac:dyDescent="0.25" r="313" customHeight="1" ht="15.75">
      <c r="A313" s="46"/>
      <c r="B313" s="6"/>
      <c r="C313" s="11"/>
      <c r="D313" s="11"/>
      <c r="E313" s="11"/>
      <c r="F313" s="29"/>
      <c r="G313" s="11"/>
      <c r="H313" s="11"/>
      <c r="I313" s="29"/>
      <c r="J313" s="11"/>
      <c r="K313" s="29"/>
      <c r="L313" s="11"/>
      <c r="M313" s="11"/>
      <c r="N313" s="11"/>
      <c r="O313" s="29"/>
      <c r="P313" s="29"/>
      <c r="Q313" s="11"/>
      <c r="R313" s="29"/>
      <c r="S313" s="11"/>
      <c r="T313" s="6"/>
      <c r="U313" s="29"/>
      <c r="V313" s="11"/>
      <c r="W313" s="11"/>
      <c r="X313" s="29"/>
      <c r="Y313" s="11"/>
      <c r="Z313" s="29"/>
      <c r="AA313" s="29"/>
      <c r="AB313" s="11"/>
      <c r="AC313" s="11"/>
      <c r="AD313" s="29"/>
      <c r="AE313" s="11"/>
      <c r="AF313" s="29"/>
      <c r="AG313" s="11"/>
      <c r="AH313" s="29"/>
      <c r="AI313" s="11"/>
      <c r="AJ313" s="29"/>
      <c r="AK313" s="29"/>
      <c r="AL313" s="29"/>
      <c r="AM313" s="11"/>
      <c r="AN313" s="29"/>
      <c r="AO313" s="29"/>
      <c r="AP313" s="6"/>
      <c r="AQ313" s="113">
        <f>IF(AND(I313="",K313="",AF313="",AL313="",AN313="",O313=""),"",IF(OR(I313="SIM",K313="SIM",AF313="SIM",AL313="SIM",AN313="Dados pessoais",AN313="Dados sensíveis",AN313="Dados pessoais e sensíveis",O313="Acima de 10.000 titulares por mês"),"SIM - Alta criticidade",IF((IF(I313="SIM",2,0)+IF(K313="SIM",2,0)+IF(AF313="SIM",2,0)+IF(OR(AN313="Dados pessoais",AN313="Dados sensíveis",AN313="Dados pessoais e sensíveis"),2,0)+IF(O313="De 1.001 a 10.000 titulares por mês",1,0)+IF(AA313="SIM",1,0)+IF(R313="SIM",1,0)+IF(AL313="SIM",1,0)+IF(AJ313="NÃO",1,0))&gt;=5,"SIM - Alta criticidade",IF((IF(I313="SIM",2,0)+IF(K313="SIM",2,0)+IF(AF313="SIM",2,0)+IF(OR(AN313="Dados pessoais",AN313="Dados sensíveis",AN313="Dados pessoais e sensíveis"),2,0)+IF(O313="De 1.001 a 10.000 titulares por mês",1,0)+IF(AA313="SIM",1,0)+IF(R313="SIM",1,0)+IF(AL313="SIM",1,0)+IF(AJ313="NÃO",1,0))&gt;=3,"Avaliação necessária","NÃO"))))</f>
      </c>
      <c r="AR313" s="11"/>
      <c r="AS313" s="113">
        <f>IF(AND(I313="",K313="",AF313="",AL313="",AN313="",O313=""),"",IF(OR(I313="SIM",K313="SIM",AF313="SIM",AL313="SIM",OR(AN313="Dados pessoais",AN313="Dados sensíveis",AN313="Dados pessoais e sensíveis"),O313="Acima de 10.000 titulares por mês",(IF(I313="SIM",2,0)+IF(K313="SIM",2,0)+IF(AF313="SIM",2,0)+IF(OR(AN313="Dados pessoais",AN313="Dados sensíveis",AN313="Dados pessoais e sensíveis"),2,0)+IF(O313="De 1.001 a 10.000 titulares por mês",1,0)+IF(AA313="SIM",1,0)+IF(R313="SIM",1,0)+IF(AL313="SIM",1,0)+IF(AJ313="NÃO",1,0))&gt;=3),"DPIA indicado ou em avaliação em razão de: " &amp; TRIM(IF(I313="SIM","tratamento de dados sensíveis; ","") &amp; IF(K313="SIM","utilização de dados de menores; ","") &amp; IF(AF313="SIM","transferência internacional de dados; ","") &amp; IF(AL313="SIM","utilização de inteligência artificial; ","") &amp; IF(OR(AN313="Dados pessoais",AN313="Dados sensíveis",AN313="Dados pessoais e sensíveis"),"dados inseridos em IA; ","") &amp; IF(O313="Acima de 10.000 titulares por mês","volume crítico de titulares; ","") &amp; IF(O313="De 1.001 a 10.000 titulares por mês","volume moderado de titulares; ","") &amp; IF(AA313="SIM","compartilhamento com terceiros; ","") &amp; IF(R313="SIM","compartilhamento com órgãos governamentais; ","") &amp; IF(AJ313="NÃO","ausência de controle de acesso por perfil; ","")),"DPIA não indicado: Processo de baixa criticidade."))</f>
      </c>
    </row>
    <row x14ac:dyDescent="0.25" r="314" customHeight="1" ht="15.75">
      <c r="A314" s="46"/>
      <c r="B314" s="6"/>
      <c r="C314" s="11"/>
      <c r="D314" s="11"/>
      <c r="E314" s="11"/>
      <c r="F314" s="29"/>
      <c r="G314" s="11"/>
      <c r="H314" s="11"/>
      <c r="I314" s="29"/>
      <c r="J314" s="11"/>
      <c r="K314" s="29"/>
      <c r="L314" s="11"/>
      <c r="M314" s="11"/>
      <c r="N314" s="11"/>
      <c r="O314" s="29"/>
      <c r="P314" s="29"/>
      <c r="Q314" s="11"/>
      <c r="R314" s="29"/>
      <c r="S314" s="11"/>
      <c r="T314" s="6"/>
      <c r="U314" s="29"/>
      <c r="V314" s="11"/>
      <c r="W314" s="11"/>
      <c r="X314" s="29"/>
      <c r="Y314" s="11"/>
      <c r="Z314" s="29"/>
      <c r="AA314" s="29"/>
      <c r="AB314" s="11"/>
      <c r="AC314" s="11"/>
      <c r="AD314" s="29"/>
      <c r="AE314" s="11"/>
      <c r="AF314" s="29"/>
      <c r="AG314" s="11"/>
      <c r="AH314" s="29"/>
      <c r="AI314" s="11"/>
      <c r="AJ314" s="29"/>
      <c r="AK314" s="29"/>
      <c r="AL314" s="29"/>
      <c r="AM314" s="11"/>
      <c r="AN314" s="29"/>
      <c r="AO314" s="29"/>
      <c r="AP314" s="6"/>
      <c r="AQ314" s="113">
        <f>IF(AND(I314="",K314="",AF314="",AL314="",AN314="",O314=""),"",IF(OR(I314="SIM",K314="SIM",AF314="SIM",AL314="SIM",AN314="Dados pessoais",AN314="Dados sensíveis",AN314="Dados pessoais e sensíveis",O314="Acima de 10.000 titulares por mês"),"SIM - Alta criticidade",IF((IF(I314="SIM",2,0)+IF(K314="SIM",2,0)+IF(AF314="SIM",2,0)+IF(OR(AN314="Dados pessoais",AN314="Dados sensíveis",AN314="Dados pessoais e sensíveis"),2,0)+IF(O314="De 1.001 a 10.000 titulares por mês",1,0)+IF(AA314="SIM",1,0)+IF(R314="SIM",1,0)+IF(AL314="SIM",1,0)+IF(AJ314="NÃO",1,0))&gt;=5,"SIM - Alta criticidade",IF((IF(I314="SIM",2,0)+IF(K314="SIM",2,0)+IF(AF314="SIM",2,0)+IF(OR(AN314="Dados pessoais",AN314="Dados sensíveis",AN314="Dados pessoais e sensíveis"),2,0)+IF(O314="De 1.001 a 10.000 titulares por mês",1,0)+IF(AA314="SIM",1,0)+IF(R314="SIM",1,0)+IF(AL314="SIM",1,0)+IF(AJ314="NÃO",1,0))&gt;=3,"Avaliação necessária","NÃO"))))</f>
      </c>
      <c r="AR314" s="11"/>
      <c r="AS314" s="113">
        <f>IF(AND(I314="",K314="",AF314="",AL314="",AN314="",O314=""),"",IF(OR(I314="SIM",K314="SIM",AF314="SIM",AL314="SIM",OR(AN314="Dados pessoais",AN314="Dados sensíveis",AN314="Dados pessoais e sensíveis"),O314="Acima de 10.000 titulares por mês",(IF(I314="SIM",2,0)+IF(K314="SIM",2,0)+IF(AF314="SIM",2,0)+IF(OR(AN314="Dados pessoais",AN314="Dados sensíveis",AN314="Dados pessoais e sensíveis"),2,0)+IF(O314="De 1.001 a 10.000 titulares por mês",1,0)+IF(AA314="SIM",1,0)+IF(R314="SIM",1,0)+IF(AL314="SIM",1,0)+IF(AJ314="NÃO",1,0))&gt;=3),"DPIA indicado ou em avaliação em razão de: " &amp; TRIM(IF(I314="SIM","tratamento de dados sensíveis; ","") &amp; IF(K314="SIM","utilização de dados de menores; ","") &amp; IF(AF314="SIM","transferência internacional de dados; ","") &amp; IF(AL314="SIM","utilização de inteligência artificial; ","") &amp; IF(OR(AN314="Dados pessoais",AN314="Dados sensíveis",AN314="Dados pessoais e sensíveis"),"dados inseridos em IA; ","") &amp; IF(O314="Acima de 10.000 titulares por mês","volume crítico de titulares; ","") &amp; IF(O314="De 1.001 a 10.000 titulares por mês","volume moderado de titulares; ","") &amp; IF(AA314="SIM","compartilhamento com terceiros; ","") &amp; IF(R314="SIM","compartilhamento com órgãos governamentais; ","") &amp; IF(AJ314="NÃO","ausência de controle de acesso por perfil; ","")),"DPIA não indicado: Processo de baixa criticidade."))</f>
      </c>
    </row>
    <row x14ac:dyDescent="0.25" r="315" customHeight="1" ht="15.75">
      <c r="A315" s="46"/>
      <c r="B315" s="6"/>
      <c r="C315" s="11"/>
      <c r="D315" s="11"/>
      <c r="E315" s="11"/>
      <c r="F315" s="29"/>
      <c r="G315" s="11"/>
      <c r="H315" s="11"/>
      <c r="I315" s="29"/>
      <c r="J315" s="11"/>
      <c r="K315" s="29"/>
      <c r="L315" s="11"/>
      <c r="M315" s="11"/>
      <c r="N315" s="11"/>
      <c r="O315" s="29"/>
      <c r="P315" s="29"/>
      <c r="Q315" s="11"/>
      <c r="R315" s="29"/>
      <c r="S315" s="11"/>
      <c r="T315" s="6"/>
      <c r="U315" s="29"/>
      <c r="V315" s="11"/>
      <c r="W315" s="11"/>
      <c r="X315" s="29"/>
      <c r="Y315" s="11"/>
      <c r="Z315" s="29"/>
      <c r="AA315" s="29"/>
      <c r="AB315" s="11"/>
      <c r="AC315" s="11"/>
      <c r="AD315" s="29"/>
      <c r="AE315" s="11"/>
      <c r="AF315" s="29"/>
      <c r="AG315" s="11"/>
      <c r="AH315" s="29"/>
      <c r="AI315" s="11"/>
      <c r="AJ315" s="29"/>
      <c r="AK315" s="29"/>
      <c r="AL315" s="29"/>
      <c r="AM315" s="11"/>
      <c r="AN315" s="29"/>
      <c r="AO315" s="29"/>
      <c r="AP315" s="6"/>
      <c r="AQ315" s="113">
        <f>IF(AND(I315="",K315="",AF315="",AL315="",AN315="",O315=""),"",IF(OR(I315="SIM",K315="SIM",AF315="SIM",AL315="SIM",AN315="Dados pessoais",AN315="Dados sensíveis",AN315="Dados pessoais e sensíveis",O315="Acima de 10.000 titulares por mês"),"SIM - Alta criticidade",IF((IF(I315="SIM",2,0)+IF(K315="SIM",2,0)+IF(AF315="SIM",2,0)+IF(OR(AN315="Dados pessoais",AN315="Dados sensíveis",AN315="Dados pessoais e sensíveis"),2,0)+IF(O315="De 1.001 a 10.000 titulares por mês",1,0)+IF(AA315="SIM",1,0)+IF(R315="SIM",1,0)+IF(AL315="SIM",1,0)+IF(AJ315="NÃO",1,0))&gt;=5,"SIM - Alta criticidade",IF((IF(I315="SIM",2,0)+IF(K315="SIM",2,0)+IF(AF315="SIM",2,0)+IF(OR(AN315="Dados pessoais",AN315="Dados sensíveis",AN315="Dados pessoais e sensíveis"),2,0)+IF(O315="De 1.001 a 10.000 titulares por mês",1,0)+IF(AA315="SIM",1,0)+IF(R315="SIM",1,0)+IF(AL315="SIM",1,0)+IF(AJ315="NÃO",1,0))&gt;=3,"Avaliação necessária","NÃO"))))</f>
      </c>
      <c r="AR315" s="11"/>
      <c r="AS315" s="113">
        <f>IF(AND(I315="",K315="",AF315="",AL315="",AN315="",O315=""),"",IF(OR(I315="SIM",K315="SIM",AF315="SIM",AL315="SIM",OR(AN315="Dados pessoais",AN315="Dados sensíveis",AN315="Dados pessoais e sensíveis"),O315="Acima de 10.000 titulares por mês",(IF(I315="SIM",2,0)+IF(K315="SIM",2,0)+IF(AF315="SIM",2,0)+IF(OR(AN315="Dados pessoais",AN315="Dados sensíveis",AN315="Dados pessoais e sensíveis"),2,0)+IF(O315="De 1.001 a 10.000 titulares por mês",1,0)+IF(AA315="SIM",1,0)+IF(R315="SIM",1,0)+IF(AL315="SIM",1,0)+IF(AJ315="NÃO",1,0))&gt;=3),"DPIA indicado ou em avaliação em razão de: " &amp; TRIM(IF(I315="SIM","tratamento de dados sensíveis; ","") &amp; IF(K315="SIM","utilização de dados de menores; ","") &amp; IF(AF315="SIM","transferência internacional de dados; ","") &amp; IF(AL315="SIM","utilização de inteligência artificial; ","") &amp; IF(OR(AN315="Dados pessoais",AN315="Dados sensíveis",AN315="Dados pessoais e sensíveis"),"dados inseridos em IA; ","") &amp; IF(O315="Acima de 10.000 titulares por mês","volume crítico de titulares; ","") &amp; IF(O315="De 1.001 a 10.000 titulares por mês","volume moderado de titulares; ","") &amp; IF(AA315="SIM","compartilhamento com terceiros; ","") &amp; IF(R315="SIM","compartilhamento com órgãos governamentais; ","") &amp; IF(AJ315="NÃO","ausência de controle de acesso por perfil; ","")),"DPIA não indicado: Processo de baixa criticidade."))</f>
      </c>
    </row>
    <row x14ac:dyDescent="0.25" r="316" customHeight="1" ht="15.75">
      <c r="A316" s="46"/>
      <c r="B316" s="6"/>
      <c r="C316" s="11"/>
      <c r="D316" s="11"/>
      <c r="E316" s="11"/>
      <c r="F316" s="29"/>
      <c r="G316" s="11"/>
      <c r="H316" s="11"/>
      <c r="I316" s="29"/>
      <c r="J316" s="11"/>
      <c r="K316" s="29"/>
      <c r="L316" s="11"/>
      <c r="M316" s="11"/>
      <c r="N316" s="11"/>
      <c r="O316" s="29"/>
      <c r="P316" s="29"/>
      <c r="Q316" s="11"/>
      <c r="R316" s="29"/>
      <c r="S316" s="11"/>
      <c r="T316" s="6"/>
      <c r="U316" s="29"/>
      <c r="V316" s="11"/>
      <c r="W316" s="11"/>
      <c r="X316" s="29"/>
      <c r="Y316" s="11"/>
      <c r="Z316" s="29"/>
      <c r="AA316" s="29"/>
      <c r="AB316" s="11"/>
      <c r="AC316" s="11"/>
      <c r="AD316" s="29"/>
      <c r="AE316" s="11"/>
      <c r="AF316" s="29"/>
      <c r="AG316" s="11"/>
      <c r="AH316" s="29"/>
      <c r="AI316" s="11"/>
      <c r="AJ316" s="29"/>
      <c r="AK316" s="29"/>
      <c r="AL316" s="29"/>
      <c r="AM316" s="11"/>
      <c r="AN316" s="29"/>
      <c r="AO316" s="29"/>
      <c r="AP316" s="6"/>
      <c r="AQ316" s="113">
        <f>IF(AND(I316="",K316="",AF316="",AL316="",AN316="",O316=""),"",IF(OR(I316="SIM",K316="SIM",AF316="SIM",AL316="SIM",AN316="Dados pessoais",AN316="Dados sensíveis",AN316="Dados pessoais e sensíveis",O316="Acima de 10.000 titulares por mês"),"SIM - Alta criticidade",IF((IF(I316="SIM",2,0)+IF(K316="SIM",2,0)+IF(AF316="SIM",2,0)+IF(OR(AN316="Dados pessoais",AN316="Dados sensíveis",AN316="Dados pessoais e sensíveis"),2,0)+IF(O316="De 1.001 a 10.000 titulares por mês",1,0)+IF(AA316="SIM",1,0)+IF(R316="SIM",1,0)+IF(AL316="SIM",1,0)+IF(AJ316="NÃO",1,0))&gt;=5,"SIM - Alta criticidade",IF((IF(I316="SIM",2,0)+IF(K316="SIM",2,0)+IF(AF316="SIM",2,0)+IF(OR(AN316="Dados pessoais",AN316="Dados sensíveis",AN316="Dados pessoais e sensíveis"),2,0)+IF(O316="De 1.001 a 10.000 titulares por mês",1,0)+IF(AA316="SIM",1,0)+IF(R316="SIM",1,0)+IF(AL316="SIM",1,0)+IF(AJ316="NÃO",1,0))&gt;=3,"Avaliação necessária","NÃO"))))</f>
      </c>
      <c r="AR316" s="11"/>
      <c r="AS316" s="113">
        <f>IF(AND(I316="",K316="",AF316="",AL316="",AN316="",O316=""),"",IF(OR(I316="SIM",K316="SIM",AF316="SIM",AL316="SIM",OR(AN316="Dados pessoais",AN316="Dados sensíveis",AN316="Dados pessoais e sensíveis"),O316="Acima de 10.000 titulares por mês",(IF(I316="SIM",2,0)+IF(K316="SIM",2,0)+IF(AF316="SIM",2,0)+IF(OR(AN316="Dados pessoais",AN316="Dados sensíveis",AN316="Dados pessoais e sensíveis"),2,0)+IF(O316="De 1.001 a 10.000 titulares por mês",1,0)+IF(AA316="SIM",1,0)+IF(R316="SIM",1,0)+IF(AL316="SIM",1,0)+IF(AJ316="NÃO",1,0))&gt;=3),"DPIA indicado ou em avaliação em razão de: " &amp; TRIM(IF(I316="SIM","tratamento de dados sensíveis; ","") &amp; IF(K316="SIM","utilização de dados de menores; ","") &amp; IF(AF316="SIM","transferência internacional de dados; ","") &amp; IF(AL316="SIM","utilização de inteligência artificial; ","") &amp; IF(OR(AN316="Dados pessoais",AN316="Dados sensíveis",AN316="Dados pessoais e sensíveis"),"dados inseridos em IA; ","") &amp; IF(O316="Acima de 10.000 titulares por mês","volume crítico de titulares; ","") &amp; IF(O316="De 1.001 a 10.000 titulares por mês","volume moderado de titulares; ","") &amp; IF(AA316="SIM","compartilhamento com terceiros; ","") &amp; IF(R316="SIM","compartilhamento com órgãos governamentais; ","") &amp; IF(AJ316="NÃO","ausência de controle de acesso por perfil; ","")),"DPIA não indicado: Processo de baixa criticidade."))</f>
      </c>
    </row>
    <row x14ac:dyDescent="0.25" r="317" customHeight="1" ht="15.75">
      <c r="A317" s="46"/>
      <c r="B317" s="6"/>
      <c r="C317" s="11"/>
      <c r="D317" s="11"/>
      <c r="E317" s="11"/>
      <c r="F317" s="29"/>
      <c r="G317" s="11"/>
      <c r="H317" s="11"/>
      <c r="I317" s="29"/>
      <c r="J317" s="11"/>
      <c r="K317" s="29"/>
      <c r="L317" s="11"/>
      <c r="M317" s="11"/>
      <c r="N317" s="11"/>
      <c r="O317" s="29"/>
      <c r="P317" s="29"/>
      <c r="Q317" s="11"/>
      <c r="R317" s="29"/>
      <c r="S317" s="11"/>
      <c r="T317" s="6"/>
      <c r="U317" s="29"/>
      <c r="V317" s="11"/>
      <c r="W317" s="11"/>
      <c r="X317" s="29"/>
      <c r="Y317" s="11"/>
      <c r="Z317" s="29"/>
      <c r="AA317" s="29"/>
      <c r="AB317" s="11"/>
      <c r="AC317" s="11"/>
      <c r="AD317" s="29"/>
      <c r="AE317" s="11"/>
      <c r="AF317" s="29"/>
      <c r="AG317" s="11"/>
      <c r="AH317" s="29"/>
      <c r="AI317" s="11"/>
      <c r="AJ317" s="29"/>
      <c r="AK317" s="29"/>
      <c r="AL317" s="29"/>
      <c r="AM317" s="11"/>
      <c r="AN317" s="29"/>
      <c r="AO317" s="29"/>
      <c r="AP317" s="6"/>
      <c r="AQ317" s="113">
        <f>IF(AND(I317="",K317="",AF317="",AL317="",AN317="",O317=""),"",IF(OR(I317="SIM",K317="SIM",AF317="SIM",AL317="SIM",AN317="Dados pessoais",AN317="Dados sensíveis",AN317="Dados pessoais e sensíveis",O317="Acima de 10.000 titulares por mês"),"SIM - Alta criticidade",IF((IF(I317="SIM",2,0)+IF(K317="SIM",2,0)+IF(AF317="SIM",2,0)+IF(OR(AN317="Dados pessoais",AN317="Dados sensíveis",AN317="Dados pessoais e sensíveis"),2,0)+IF(O317="De 1.001 a 10.000 titulares por mês",1,0)+IF(AA317="SIM",1,0)+IF(R317="SIM",1,0)+IF(AL317="SIM",1,0)+IF(AJ317="NÃO",1,0))&gt;=5,"SIM - Alta criticidade",IF((IF(I317="SIM",2,0)+IF(K317="SIM",2,0)+IF(AF317="SIM",2,0)+IF(OR(AN317="Dados pessoais",AN317="Dados sensíveis",AN317="Dados pessoais e sensíveis"),2,0)+IF(O317="De 1.001 a 10.000 titulares por mês",1,0)+IF(AA317="SIM",1,0)+IF(R317="SIM",1,0)+IF(AL317="SIM",1,0)+IF(AJ317="NÃO",1,0))&gt;=3,"Avaliação necessária","NÃO"))))</f>
      </c>
      <c r="AR317" s="11"/>
      <c r="AS317" s="113">
        <f>IF(AND(I317="",K317="",AF317="",AL317="",AN317="",O317=""),"",IF(OR(I317="SIM",K317="SIM",AF317="SIM",AL317="SIM",OR(AN317="Dados pessoais",AN317="Dados sensíveis",AN317="Dados pessoais e sensíveis"),O317="Acima de 10.000 titulares por mês",(IF(I317="SIM",2,0)+IF(K317="SIM",2,0)+IF(AF317="SIM",2,0)+IF(OR(AN317="Dados pessoais",AN317="Dados sensíveis",AN317="Dados pessoais e sensíveis"),2,0)+IF(O317="De 1.001 a 10.000 titulares por mês",1,0)+IF(AA317="SIM",1,0)+IF(R317="SIM",1,0)+IF(AL317="SIM",1,0)+IF(AJ317="NÃO",1,0))&gt;=3),"DPIA indicado ou em avaliação em razão de: " &amp; TRIM(IF(I317="SIM","tratamento de dados sensíveis; ","") &amp; IF(K317="SIM","utilização de dados de menores; ","") &amp; IF(AF317="SIM","transferência internacional de dados; ","") &amp; IF(AL317="SIM","utilização de inteligência artificial; ","") &amp; IF(OR(AN317="Dados pessoais",AN317="Dados sensíveis",AN317="Dados pessoais e sensíveis"),"dados inseridos em IA; ","") &amp; IF(O317="Acima de 10.000 titulares por mês","volume crítico de titulares; ","") &amp; IF(O317="De 1.001 a 10.000 titulares por mês","volume moderado de titulares; ","") &amp; IF(AA317="SIM","compartilhamento com terceiros; ","") &amp; IF(R317="SIM","compartilhamento com órgãos governamentais; ","") &amp; IF(AJ317="NÃO","ausência de controle de acesso por perfil; ","")),"DPIA não indicado: Processo de baixa criticidade."))</f>
      </c>
    </row>
    <row x14ac:dyDescent="0.25" r="318" customHeight="1" ht="15.75">
      <c r="A318" s="46"/>
      <c r="B318" s="6"/>
      <c r="C318" s="11"/>
      <c r="D318" s="11"/>
      <c r="E318" s="11"/>
      <c r="F318" s="29"/>
      <c r="G318" s="11"/>
      <c r="H318" s="11"/>
      <c r="I318" s="29"/>
      <c r="J318" s="11"/>
      <c r="K318" s="29"/>
      <c r="L318" s="11"/>
      <c r="M318" s="11"/>
      <c r="N318" s="11"/>
      <c r="O318" s="29"/>
      <c r="P318" s="29"/>
      <c r="Q318" s="11"/>
      <c r="R318" s="29"/>
      <c r="S318" s="11"/>
      <c r="T318" s="6"/>
      <c r="U318" s="29"/>
      <c r="V318" s="11"/>
      <c r="W318" s="11"/>
      <c r="X318" s="29"/>
      <c r="Y318" s="11"/>
      <c r="Z318" s="29"/>
      <c r="AA318" s="29"/>
      <c r="AB318" s="11"/>
      <c r="AC318" s="11"/>
      <c r="AD318" s="29"/>
      <c r="AE318" s="11"/>
      <c r="AF318" s="29"/>
      <c r="AG318" s="11"/>
      <c r="AH318" s="29"/>
      <c r="AI318" s="11"/>
      <c r="AJ318" s="29"/>
      <c r="AK318" s="29"/>
      <c r="AL318" s="29"/>
      <c r="AM318" s="11"/>
      <c r="AN318" s="29"/>
      <c r="AO318" s="29"/>
      <c r="AP318" s="6"/>
      <c r="AQ318" s="113">
        <f>IF(AND(I318="",K318="",AF318="",AL318="",AN318="",O318=""),"",IF(OR(I318="SIM",K318="SIM",AF318="SIM",AL318="SIM",AN318="Dados pessoais",AN318="Dados sensíveis",AN318="Dados pessoais e sensíveis",O318="Acima de 10.000 titulares por mês"),"SIM - Alta criticidade",IF((IF(I318="SIM",2,0)+IF(K318="SIM",2,0)+IF(AF318="SIM",2,0)+IF(OR(AN318="Dados pessoais",AN318="Dados sensíveis",AN318="Dados pessoais e sensíveis"),2,0)+IF(O318="De 1.001 a 10.000 titulares por mês",1,0)+IF(AA318="SIM",1,0)+IF(R318="SIM",1,0)+IF(AL318="SIM",1,0)+IF(AJ318="NÃO",1,0))&gt;=5,"SIM - Alta criticidade",IF((IF(I318="SIM",2,0)+IF(K318="SIM",2,0)+IF(AF318="SIM",2,0)+IF(OR(AN318="Dados pessoais",AN318="Dados sensíveis",AN318="Dados pessoais e sensíveis"),2,0)+IF(O318="De 1.001 a 10.000 titulares por mês",1,0)+IF(AA318="SIM",1,0)+IF(R318="SIM",1,0)+IF(AL318="SIM",1,0)+IF(AJ318="NÃO",1,0))&gt;=3,"Avaliação necessária","NÃO"))))</f>
      </c>
      <c r="AR318" s="11"/>
      <c r="AS318" s="113">
        <f>IF(AND(I318="",K318="",AF318="",AL318="",AN318="",O318=""),"",IF(OR(I318="SIM",K318="SIM",AF318="SIM",AL318="SIM",OR(AN318="Dados pessoais",AN318="Dados sensíveis",AN318="Dados pessoais e sensíveis"),O318="Acima de 10.000 titulares por mês",(IF(I318="SIM",2,0)+IF(K318="SIM",2,0)+IF(AF318="SIM",2,0)+IF(OR(AN318="Dados pessoais",AN318="Dados sensíveis",AN318="Dados pessoais e sensíveis"),2,0)+IF(O318="De 1.001 a 10.000 titulares por mês",1,0)+IF(AA318="SIM",1,0)+IF(R318="SIM",1,0)+IF(AL318="SIM",1,0)+IF(AJ318="NÃO",1,0))&gt;=3),"DPIA indicado ou em avaliação em razão de: " &amp; TRIM(IF(I318="SIM","tratamento de dados sensíveis; ","") &amp; IF(K318="SIM","utilização de dados de menores; ","") &amp; IF(AF318="SIM","transferência internacional de dados; ","") &amp; IF(AL318="SIM","utilização de inteligência artificial; ","") &amp; IF(OR(AN318="Dados pessoais",AN318="Dados sensíveis",AN318="Dados pessoais e sensíveis"),"dados inseridos em IA; ","") &amp; IF(O318="Acima de 10.000 titulares por mês","volume crítico de titulares; ","") &amp; IF(O318="De 1.001 a 10.000 titulares por mês","volume moderado de titulares; ","") &amp; IF(AA318="SIM","compartilhamento com terceiros; ","") &amp; IF(R318="SIM","compartilhamento com órgãos governamentais; ","") &amp; IF(AJ318="NÃO","ausência de controle de acesso por perfil; ","")),"DPIA não indicado: Processo de baixa criticidade."))</f>
      </c>
    </row>
    <row x14ac:dyDescent="0.25" r="319" customHeight="1" ht="15.75">
      <c r="A319" s="46"/>
      <c r="B319" s="6"/>
      <c r="C319" s="11"/>
      <c r="D319" s="11"/>
      <c r="E319" s="11"/>
      <c r="F319" s="29"/>
      <c r="G319" s="11"/>
      <c r="H319" s="11"/>
      <c r="I319" s="29"/>
      <c r="J319" s="11"/>
      <c r="K319" s="29"/>
      <c r="L319" s="11"/>
      <c r="M319" s="11"/>
      <c r="N319" s="11"/>
      <c r="O319" s="29"/>
      <c r="P319" s="29"/>
      <c r="Q319" s="11"/>
      <c r="R319" s="29"/>
      <c r="S319" s="11"/>
      <c r="T319" s="6"/>
      <c r="U319" s="29"/>
      <c r="V319" s="11"/>
      <c r="W319" s="11"/>
      <c r="X319" s="29"/>
      <c r="Y319" s="11"/>
      <c r="Z319" s="29"/>
      <c r="AA319" s="29"/>
      <c r="AB319" s="11"/>
      <c r="AC319" s="11"/>
      <c r="AD319" s="29"/>
      <c r="AE319" s="11"/>
      <c r="AF319" s="29"/>
      <c r="AG319" s="11"/>
      <c r="AH319" s="29"/>
      <c r="AI319" s="11"/>
      <c r="AJ319" s="29"/>
      <c r="AK319" s="29"/>
      <c r="AL319" s="29"/>
      <c r="AM319" s="11"/>
      <c r="AN319" s="29"/>
      <c r="AO319" s="29"/>
      <c r="AP319" s="6"/>
      <c r="AQ319" s="113">
        <f>IF(AND(I319="",K319="",AF319="",AL319="",AN319="",O319=""),"",IF(OR(I319="SIM",K319="SIM",AF319="SIM",AL319="SIM",AN319="Dados pessoais",AN319="Dados sensíveis",AN319="Dados pessoais e sensíveis",O319="Acima de 10.000 titulares por mês"),"SIM - Alta criticidade",IF((IF(I319="SIM",2,0)+IF(K319="SIM",2,0)+IF(AF319="SIM",2,0)+IF(OR(AN319="Dados pessoais",AN319="Dados sensíveis",AN319="Dados pessoais e sensíveis"),2,0)+IF(O319="De 1.001 a 10.000 titulares por mês",1,0)+IF(AA319="SIM",1,0)+IF(R319="SIM",1,0)+IF(AL319="SIM",1,0)+IF(AJ319="NÃO",1,0))&gt;=5,"SIM - Alta criticidade",IF((IF(I319="SIM",2,0)+IF(K319="SIM",2,0)+IF(AF319="SIM",2,0)+IF(OR(AN319="Dados pessoais",AN319="Dados sensíveis",AN319="Dados pessoais e sensíveis"),2,0)+IF(O319="De 1.001 a 10.000 titulares por mês",1,0)+IF(AA319="SIM",1,0)+IF(R319="SIM",1,0)+IF(AL319="SIM",1,0)+IF(AJ319="NÃO",1,0))&gt;=3,"Avaliação necessária","NÃO"))))</f>
      </c>
      <c r="AR319" s="11"/>
      <c r="AS319" s="113">
        <f>IF(AND(I319="",K319="",AF319="",AL319="",AN319="",O319=""),"",IF(OR(I319="SIM",K319="SIM",AF319="SIM",AL319="SIM",OR(AN319="Dados pessoais",AN319="Dados sensíveis",AN319="Dados pessoais e sensíveis"),O319="Acima de 10.000 titulares por mês",(IF(I319="SIM",2,0)+IF(K319="SIM",2,0)+IF(AF319="SIM",2,0)+IF(OR(AN319="Dados pessoais",AN319="Dados sensíveis",AN319="Dados pessoais e sensíveis"),2,0)+IF(O319="De 1.001 a 10.000 titulares por mês",1,0)+IF(AA319="SIM",1,0)+IF(R319="SIM",1,0)+IF(AL319="SIM",1,0)+IF(AJ319="NÃO",1,0))&gt;=3),"DPIA indicado ou em avaliação em razão de: " &amp; TRIM(IF(I319="SIM","tratamento de dados sensíveis; ","") &amp; IF(K319="SIM","utilização de dados de menores; ","") &amp; IF(AF319="SIM","transferência internacional de dados; ","") &amp; IF(AL319="SIM","utilização de inteligência artificial; ","") &amp; IF(OR(AN319="Dados pessoais",AN319="Dados sensíveis",AN319="Dados pessoais e sensíveis"),"dados inseridos em IA; ","") &amp; IF(O319="Acima de 10.000 titulares por mês","volume crítico de titulares; ","") &amp; IF(O319="De 1.001 a 10.000 titulares por mês","volume moderado de titulares; ","") &amp; IF(AA319="SIM","compartilhamento com terceiros; ","") &amp; IF(R319="SIM","compartilhamento com órgãos governamentais; ","") &amp; IF(AJ319="NÃO","ausência de controle de acesso por perfil; ","")),"DPIA não indicado: Processo de baixa criticidade."))</f>
      </c>
    </row>
    <row x14ac:dyDescent="0.25" r="320" customHeight="1" ht="15.75">
      <c r="A320" s="46"/>
      <c r="B320" s="6"/>
      <c r="C320" s="11"/>
      <c r="D320" s="11"/>
      <c r="E320" s="11"/>
      <c r="F320" s="29"/>
      <c r="G320" s="11"/>
      <c r="H320" s="11"/>
      <c r="I320" s="29"/>
      <c r="J320" s="11"/>
      <c r="K320" s="29"/>
      <c r="L320" s="11"/>
      <c r="M320" s="11"/>
      <c r="N320" s="11"/>
      <c r="O320" s="29"/>
      <c r="P320" s="29"/>
      <c r="Q320" s="11"/>
      <c r="R320" s="29"/>
      <c r="S320" s="11"/>
      <c r="T320" s="6"/>
      <c r="U320" s="29"/>
      <c r="V320" s="11"/>
      <c r="W320" s="11"/>
      <c r="X320" s="29"/>
      <c r="Y320" s="11"/>
      <c r="Z320" s="29"/>
      <c r="AA320" s="29"/>
      <c r="AB320" s="11"/>
      <c r="AC320" s="11"/>
      <c r="AD320" s="29"/>
      <c r="AE320" s="11"/>
      <c r="AF320" s="29"/>
      <c r="AG320" s="11"/>
      <c r="AH320" s="29"/>
      <c r="AI320" s="11"/>
      <c r="AJ320" s="29"/>
      <c r="AK320" s="29"/>
      <c r="AL320" s="29"/>
      <c r="AM320" s="11"/>
      <c r="AN320" s="29"/>
      <c r="AO320" s="29"/>
      <c r="AP320" s="6"/>
      <c r="AQ320" s="113">
        <f>IF(AND(I320="",K320="",AF320="",AL320="",AN320="",O320=""),"",IF(OR(I320="SIM",K320="SIM",AF320="SIM",AL320="SIM",AN320="Dados pessoais",AN320="Dados sensíveis",AN320="Dados pessoais e sensíveis",O320="Acima de 10.000 titulares por mês"),"SIM - Alta criticidade",IF((IF(I320="SIM",2,0)+IF(K320="SIM",2,0)+IF(AF320="SIM",2,0)+IF(OR(AN320="Dados pessoais",AN320="Dados sensíveis",AN320="Dados pessoais e sensíveis"),2,0)+IF(O320="De 1.001 a 10.000 titulares por mês",1,0)+IF(AA320="SIM",1,0)+IF(R320="SIM",1,0)+IF(AL320="SIM",1,0)+IF(AJ320="NÃO",1,0))&gt;=5,"SIM - Alta criticidade",IF((IF(I320="SIM",2,0)+IF(K320="SIM",2,0)+IF(AF320="SIM",2,0)+IF(OR(AN320="Dados pessoais",AN320="Dados sensíveis",AN320="Dados pessoais e sensíveis"),2,0)+IF(O320="De 1.001 a 10.000 titulares por mês",1,0)+IF(AA320="SIM",1,0)+IF(R320="SIM",1,0)+IF(AL320="SIM",1,0)+IF(AJ320="NÃO",1,0))&gt;=3,"Avaliação necessária","NÃO"))))</f>
      </c>
      <c r="AR320" s="11"/>
      <c r="AS320" s="113">
        <f>IF(AND(I320="",K320="",AF320="",AL320="",AN320="",O320=""),"",IF(OR(I320="SIM",K320="SIM",AF320="SIM",AL320="SIM",OR(AN320="Dados pessoais",AN320="Dados sensíveis",AN320="Dados pessoais e sensíveis"),O320="Acima de 10.000 titulares por mês",(IF(I320="SIM",2,0)+IF(K320="SIM",2,0)+IF(AF320="SIM",2,0)+IF(OR(AN320="Dados pessoais",AN320="Dados sensíveis",AN320="Dados pessoais e sensíveis"),2,0)+IF(O320="De 1.001 a 10.000 titulares por mês",1,0)+IF(AA320="SIM",1,0)+IF(R320="SIM",1,0)+IF(AL320="SIM",1,0)+IF(AJ320="NÃO",1,0))&gt;=3),"DPIA indicado ou em avaliação em razão de: " &amp; TRIM(IF(I320="SIM","tratamento de dados sensíveis; ","") &amp; IF(K320="SIM","utilização de dados de menores; ","") &amp; IF(AF320="SIM","transferência internacional de dados; ","") &amp; IF(AL320="SIM","utilização de inteligência artificial; ","") &amp; IF(OR(AN320="Dados pessoais",AN320="Dados sensíveis",AN320="Dados pessoais e sensíveis"),"dados inseridos em IA; ","") &amp; IF(O320="Acima de 10.000 titulares por mês","volume crítico de titulares; ","") &amp; IF(O320="De 1.001 a 10.000 titulares por mês","volume moderado de titulares; ","") &amp; IF(AA320="SIM","compartilhamento com terceiros; ","") &amp; IF(R320="SIM","compartilhamento com órgãos governamentais; ","") &amp; IF(AJ320="NÃO","ausência de controle de acesso por perfil; ","")),"DPIA não indicado: Processo de baixa criticidade."))</f>
      </c>
    </row>
    <row x14ac:dyDescent="0.25" r="321" customHeight="1" ht="15.75">
      <c r="A321" s="46"/>
      <c r="B321" s="6"/>
      <c r="C321" s="11"/>
      <c r="D321" s="11"/>
      <c r="E321" s="11"/>
      <c r="F321" s="29"/>
      <c r="G321" s="11"/>
      <c r="H321" s="11"/>
      <c r="I321" s="29"/>
      <c r="J321" s="11"/>
      <c r="K321" s="29"/>
      <c r="L321" s="11"/>
      <c r="M321" s="11"/>
      <c r="N321" s="11"/>
      <c r="O321" s="29"/>
      <c r="P321" s="29"/>
      <c r="Q321" s="11"/>
      <c r="R321" s="29"/>
      <c r="S321" s="11"/>
      <c r="T321" s="6"/>
      <c r="U321" s="29"/>
      <c r="V321" s="11"/>
      <c r="W321" s="11"/>
      <c r="X321" s="29"/>
      <c r="Y321" s="11"/>
      <c r="Z321" s="29"/>
      <c r="AA321" s="29"/>
      <c r="AB321" s="11"/>
      <c r="AC321" s="11"/>
      <c r="AD321" s="29"/>
      <c r="AE321" s="11"/>
      <c r="AF321" s="29"/>
      <c r="AG321" s="11"/>
      <c r="AH321" s="29"/>
      <c r="AI321" s="11"/>
      <c r="AJ321" s="29"/>
      <c r="AK321" s="29"/>
      <c r="AL321" s="29"/>
      <c r="AM321" s="11"/>
      <c r="AN321" s="29"/>
      <c r="AO321" s="29"/>
      <c r="AP321" s="6"/>
      <c r="AQ321" s="113">
        <f>IF(AND(I321="",K321="",AF321="",AL321="",AN321="",O321=""),"",IF(OR(I321="SIM",K321="SIM",AF321="SIM",AL321="SIM",AN321="Dados pessoais",AN321="Dados sensíveis",AN321="Dados pessoais e sensíveis",O321="Acima de 10.000 titulares por mês"),"SIM - Alta criticidade",IF((IF(I321="SIM",2,0)+IF(K321="SIM",2,0)+IF(AF321="SIM",2,0)+IF(OR(AN321="Dados pessoais",AN321="Dados sensíveis",AN321="Dados pessoais e sensíveis"),2,0)+IF(O321="De 1.001 a 10.000 titulares por mês",1,0)+IF(AA321="SIM",1,0)+IF(R321="SIM",1,0)+IF(AL321="SIM",1,0)+IF(AJ321="NÃO",1,0))&gt;=5,"SIM - Alta criticidade",IF((IF(I321="SIM",2,0)+IF(K321="SIM",2,0)+IF(AF321="SIM",2,0)+IF(OR(AN321="Dados pessoais",AN321="Dados sensíveis",AN321="Dados pessoais e sensíveis"),2,0)+IF(O321="De 1.001 a 10.000 titulares por mês",1,0)+IF(AA321="SIM",1,0)+IF(R321="SIM",1,0)+IF(AL321="SIM",1,0)+IF(AJ321="NÃO",1,0))&gt;=3,"Avaliação necessária","NÃO"))))</f>
      </c>
      <c r="AR321" s="11"/>
      <c r="AS321" s="113">
        <f>IF(AND(I321="",K321="",AF321="",AL321="",AN321="",O321=""),"",IF(OR(I321="SIM",K321="SIM",AF321="SIM",AL321="SIM",OR(AN321="Dados pessoais",AN321="Dados sensíveis",AN321="Dados pessoais e sensíveis"),O321="Acima de 10.000 titulares por mês",(IF(I321="SIM",2,0)+IF(K321="SIM",2,0)+IF(AF321="SIM",2,0)+IF(OR(AN321="Dados pessoais",AN321="Dados sensíveis",AN321="Dados pessoais e sensíveis"),2,0)+IF(O321="De 1.001 a 10.000 titulares por mês",1,0)+IF(AA321="SIM",1,0)+IF(R321="SIM",1,0)+IF(AL321="SIM",1,0)+IF(AJ321="NÃO",1,0))&gt;=3),"DPIA indicado ou em avaliação em razão de: " &amp; TRIM(IF(I321="SIM","tratamento de dados sensíveis; ","") &amp; IF(K321="SIM","utilização de dados de menores; ","") &amp; IF(AF321="SIM","transferência internacional de dados; ","") &amp; IF(AL321="SIM","utilização de inteligência artificial; ","") &amp; IF(OR(AN321="Dados pessoais",AN321="Dados sensíveis",AN321="Dados pessoais e sensíveis"),"dados inseridos em IA; ","") &amp; IF(O321="Acima de 10.000 titulares por mês","volume crítico de titulares; ","") &amp; IF(O321="De 1.001 a 10.000 titulares por mês","volume moderado de titulares; ","") &amp; IF(AA321="SIM","compartilhamento com terceiros; ","") &amp; IF(R321="SIM","compartilhamento com órgãos governamentais; ","") &amp; IF(AJ321="NÃO","ausência de controle de acesso por perfil; ","")),"DPIA não indicado: Processo de baixa criticidade."))</f>
      </c>
    </row>
    <row x14ac:dyDescent="0.25" r="322" customHeight="1" ht="15.75">
      <c r="A322" s="46"/>
      <c r="B322" s="6"/>
      <c r="C322" s="11"/>
      <c r="D322" s="11"/>
      <c r="E322" s="11"/>
      <c r="F322" s="29"/>
      <c r="G322" s="11"/>
      <c r="H322" s="11"/>
      <c r="I322" s="29"/>
      <c r="J322" s="11"/>
      <c r="K322" s="29"/>
      <c r="L322" s="11"/>
      <c r="M322" s="11"/>
      <c r="N322" s="11"/>
      <c r="O322" s="29"/>
      <c r="P322" s="29"/>
      <c r="Q322" s="11"/>
      <c r="R322" s="29"/>
      <c r="S322" s="11"/>
      <c r="T322" s="6"/>
      <c r="U322" s="29"/>
      <c r="V322" s="11"/>
      <c r="W322" s="11"/>
      <c r="X322" s="29"/>
      <c r="Y322" s="11"/>
      <c r="Z322" s="29"/>
      <c r="AA322" s="29"/>
      <c r="AB322" s="11"/>
      <c r="AC322" s="11"/>
      <c r="AD322" s="29"/>
      <c r="AE322" s="11"/>
      <c r="AF322" s="29"/>
      <c r="AG322" s="11"/>
      <c r="AH322" s="29"/>
      <c r="AI322" s="11"/>
      <c r="AJ322" s="29"/>
      <c r="AK322" s="29"/>
      <c r="AL322" s="29"/>
      <c r="AM322" s="11"/>
      <c r="AN322" s="29"/>
      <c r="AO322" s="29"/>
      <c r="AP322" s="6"/>
      <c r="AQ322" s="113">
        <f>IF(AND(I322="",K322="",AF322="",AL322="",AN322="",O322=""),"",IF(OR(I322="SIM",K322="SIM",AF322="SIM",AL322="SIM",AN322="Dados pessoais",AN322="Dados sensíveis",AN322="Dados pessoais e sensíveis",O322="Acima de 10.000 titulares por mês"),"SIM - Alta criticidade",IF((IF(I322="SIM",2,0)+IF(K322="SIM",2,0)+IF(AF322="SIM",2,0)+IF(OR(AN322="Dados pessoais",AN322="Dados sensíveis",AN322="Dados pessoais e sensíveis"),2,0)+IF(O322="De 1.001 a 10.000 titulares por mês",1,0)+IF(AA322="SIM",1,0)+IF(R322="SIM",1,0)+IF(AL322="SIM",1,0)+IF(AJ322="NÃO",1,0))&gt;=5,"SIM - Alta criticidade",IF((IF(I322="SIM",2,0)+IF(K322="SIM",2,0)+IF(AF322="SIM",2,0)+IF(OR(AN322="Dados pessoais",AN322="Dados sensíveis",AN322="Dados pessoais e sensíveis"),2,0)+IF(O322="De 1.001 a 10.000 titulares por mês",1,0)+IF(AA322="SIM",1,0)+IF(R322="SIM",1,0)+IF(AL322="SIM",1,0)+IF(AJ322="NÃO",1,0))&gt;=3,"Avaliação necessária","NÃO"))))</f>
      </c>
      <c r="AR322" s="11"/>
      <c r="AS322" s="113">
        <f>IF(AND(I322="",K322="",AF322="",AL322="",AN322="",O322=""),"",IF(OR(I322="SIM",K322="SIM",AF322="SIM",AL322="SIM",OR(AN322="Dados pessoais",AN322="Dados sensíveis",AN322="Dados pessoais e sensíveis"),O322="Acima de 10.000 titulares por mês",(IF(I322="SIM",2,0)+IF(K322="SIM",2,0)+IF(AF322="SIM",2,0)+IF(OR(AN322="Dados pessoais",AN322="Dados sensíveis",AN322="Dados pessoais e sensíveis"),2,0)+IF(O322="De 1.001 a 10.000 titulares por mês",1,0)+IF(AA322="SIM",1,0)+IF(R322="SIM",1,0)+IF(AL322="SIM",1,0)+IF(AJ322="NÃO",1,0))&gt;=3),"DPIA indicado ou em avaliação em razão de: " &amp; TRIM(IF(I322="SIM","tratamento de dados sensíveis; ","") &amp; IF(K322="SIM","utilização de dados de menores; ","") &amp; IF(AF322="SIM","transferência internacional de dados; ","") &amp; IF(AL322="SIM","utilização de inteligência artificial; ","") &amp; IF(OR(AN322="Dados pessoais",AN322="Dados sensíveis",AN322="Dados pessoais e sensíveis"),"dados inseridos em IA; ","") &amp; IF(O322="Acima de 10.000 titulares por mês","volume crítico de titulares; ","") &amp; IF(O322="De 1.001 a 10.000 titulares por mês","volume moderado de titulares; ","") &amp; IF(AA322="SIM","compartilhamento com terceiros; ","") &amp; IF(R322="SIM","compartilhamento com órgãos governamentais; ","") &amp; IF(AJ322="NÃO","ausência de controle de acesso por perfil; ","")),"DPIA não indicado: Processo de baixa criticidade."))</f>
      </c>
    </row>
    <row x14ac:dyDescent="0.25" r="323" customHeight="1" ht="15.75">
      <c r="A323" s="46"/>
      <c r="B323" s="6"/>
      <c r="C323" s="11"/>
      <c r="D323" s="11"/>
      <c r="E323" s="11"/>
      <c r="F323" s="29"/>
      <c r="G323" s="11"/>
      <c r="H323" s="11"/>
      <c r="I323" s="29"/>
      <c r="J323" s="11"/>
      <c r="K323" s="29"/>
      <c r="L323" s="11"/>
      <c r="M323" s="11"/>
      <c r="N323" s="11"/>
      <c r="O323" s="29"/>
      <c r="P323" s="29"/>
      <c r="Q323" s="11"/>
      <c r="R323" s="29"/>
      <c r="S323" s="11"/>
      <c r="T323" s="6"/>
      <c r="U323" s="29"/>
      <c r="V323" s="11"/>
      <c r="W323" s="11"/>
      <c r="X323" s="29"/>
      <c r="Y323" s="11"/>
      <c r="Z323" s="29"/>
      <c r="AA323" s="29"/>
      <c r="AB323" s="11"/>
      <c r="AC323" s="11"/>
      <c r="AD323" s="29"/>
      <c r="AE323" s="11"/>
      <c r="AF323" s="29"/>
      <c r="AG323" s="11"/>
      <c r="AH323" s="29"/>
      <c r="AI323" s="11"/>
      <c r="AJ323" s="29"/>
      <c r="AK323" s="29"/>
      <c r="AL323" s="29"/>
      <c r="AM323" s="11"/>
      <c r="AN323" s="29"/>
      <c r="AO323" s="29"/>
      <c r="AP323" s="6"/>
      <c r="AQ323" s="113">
        <f>IF(AND(I323="",K323="",AF323="",AL323="",AN323="",O323=""),"",IF(OR(I323="SIM",K323="SIM",AF323="SIM",AL323="SIM",AN323="Dados pessoais",AN323="Dados sensíveis",AN323="Dados pessoais e sensíveis",O323="Acima de 10.000 titulares por mês"),"SIM - Alta criticidade",IF((IF(I323="SIM",2,0)+IF(K323="SIM",2,0)+IF(AF323="SIM",2,0)+IF(OR(AN323="Dados pessoais",AN323="Dados sensíveis",AN323="Dados pessoais e sensíveis"),2,0)+IF(O323="De 1.001 a 10.000 titulares por mês",1,0)+IF(AA323="SIM",1,0)+IF(R323="SIM",1,0)+IF(AL323="SIM",1,0)+IF(AJ323="NÃO",1,0))&gt;=5,"SIM - Alta criticidade",IF((IF(I323="SIM",2,0)+IF(K323="SIM",2,0)+IF(AF323="SIM",2,0)+IF(OR(AN323="Dados pessoais",AN323="Dados sensíveis",AN323="Dados pessoais e sensíveis"),2,0)+IF(O323="De 1.001 a 10.000 titulares por mês",1,0)+IF(AA323="SIM",1,0)+IF(R323="SIM",1,0)+IF(AL323="SIM",1,0)+IF(AJ323="NÃO",1,0))&gt;=3,"Avaliação necessária","NÃO"))))</f>
      </c>
      <c r="AR323" s="11"/>
      <c r="AS323" s="113">
        <f>IF(AND(I323="",K323="",AF323="",AL323="",AN323="",O323=""),"",IF(OR(I323="SIM",K323="SIM",AF323="SIM",AL323="SIM",OR(AN323="Dados pessoais",AN323="Dados sensíveis",AN323="Dados pessoais e sensíveis"),O323="Acima de 10.000 titulares por mês",(IF(I323="SIM",2,0)+IF(K323="SIM",2,0)+IF(AF323="SIM",2,0)+IF(OR(AN323="Dados pessoais",AN323="Dados sensíveis",AN323="Dados pessoais e sensíveis"),2,0)+IF(O323="De 1.001 a 10.000 titulares por mês",1,0)+IF(AA323="SIM",1,0)+IF(R323="SIM",1,0)+IF(AL323="SIM",1,0)+IF(AJ323="NÃO",1,0))&gt;=3),"DPIA indicado ou em avaliação em razão de: " &amp; TRIM(IF(I323="SIM","tratamento de dados sensíveis; ","") &amp; IF(K323="SIM","utilização de dados de menores; ","") &amp; IF(AF323="SIM","transferência internacional de dados; ","") &amp; IF(AL323="SIM","utilização de inteligência artificial; ","") &amp; IF(OR(AN323="Dados pessoais",AN323="Dados sensíveis",AN323="Dados pessoais e sensíveis"),"dados inseridos em IA; ","") &amp; IF(O323="Acima de 10.000 titulares por mês","volume crítico de titulares; ","") &amp; IF(O323="De 1.001 a 10.000 titulares por mês","volume moderado de titulares; ","") &amp; IF(AA323="SIM","compartilhamento com terceiros; ","") &amp; IF(R323="SIM","compartilhamento com órgãos governamentais; ","") &amp; IF(AJ323="NÃO","ausência de controle de acesso por perfil; ","")),"DPIA não indicado: Processo de baixa criticidade."))</f>
      </c>
    </row>
    <row x14ac:dyDescent="0.25" r="324" customHeight="1" ht="15.75">
      <c r="A324" s="46"/>
      <c r="B324" s="6"/>
      <c r="C324" s="11"/>
      <c r="D324" s="11"/>
      <c r="E324" s="11"/>
      <c r="F324" s="29"/>
      <c r="G324" s="11"/>
      <c r="H324" s="11"/>
      <c r="I324" s="29"/>
      <c r="J324" s="11"/>
      <c r="K324" s="29"/>
      <c r="L324" s="11"/>
      <c r="M324" s="11"/>
      <c r="N324" s="11"/>
      <c r="O324" s="29"/>
      <c r="P324" s="29"/>
      <c r="Q324" s="11"/>
      <c r="R324" s="29"/>
      <c r="S324" s="11"/>
      <c r="T324" s="6"/>
      <c r="U324" s="29"/>
      <c r="V324" s="11"/>
      <c r="W324" s="11"/>
      <c r="X324" s="29"/>
      <c r="Y324" s="11"/>
      <c r="Z324" s="29"/>
      <c r="AA324" s="29"/>
      <c r="AB324" s="11"/>
      <c r="AC324" s="11"/>
      <c r="AD324" s="29"/>
      <c r="AE324" s="11"/>
      <c r="AF324" s="29"/>
      <c r="AG324" s="11"/>
      <c r="AH324" s="29"/>
      <c r="AI324" s="11"/>
      <c r="AJ324" s="29"/>
      <c r="AK324" s="29"/>
      <c r="AL324" s="29"/>
      <c r="AM324" s="11"/>
      <c r="AN324" s="29"/>
      <c r="AO324" s="29"/>
      <c r="AP324" s="6"/>
      <c r="AQ324" s="113">
        <f>IF(AND(I324="",K324="",AF324="",AL324="",AN324="",O324=""),"",IF(OR(I324="SIM",K324="SIM",AF324="SIM",AL324="SIM",AN324="Dados pessoais",AN324="Dados sensíveis",AN324="Dados pessoais e sensíveis",O324="Acima de 10.000 titulares por mês"),"SIM - Alta criticidade",IF((IF(I324="SIM",2,0)+IF(K324="SIM",2,0)+IF(AF324="SIM",2,0)+IF(OR(AN324="Dados pessoais",AN324="Dados sensíveis",AN324="Dados pessoais e sensíveis"),2,0)+IF(O324="De 1.001 a 10.000 titulares por mês",1,0)+IF(AA324="SIM",1,0)+IF(R324="SIM",1,0)+IF(AL324="SIM",1,0)+IF(AJ324="NÃO",1,0))&gt;=5,"SIM - Alta criticidade",IF((IF(I324="SIM",2,0)+IF(K324="SIM",2,0)+IF(AF324="SIM",2,0)+IF(OR(AN324="Dados pessoais",AN324="Dados sensíveis",AN324="Dados pessoais e sensíveis"),2,0)+IF(O324="De 1.001 a 10.000 titulares por mês",1,0)+IF(AA324="SIM",1,0)+IF(R324="SIM",1,0)+IF(AL324="SIM",1,0)+IF(AJ324="NÃO",1,0))&gt;=3,"Avaliação necessária","NÃO"))))</f>
      </c>
      <c r="AR324" s="11"/>
      <c r="AS324" s="113">
        <f>IF(AND(I324="",K324="",AF324="",AL324="",AN324="",O324=""),"",IF(OR(I324="SIM",K324="SIM",AF324="SIM",AL324="SIM",OR(AN324="Dados pessoais",AN324="Dados sensíveis",AN324="Dados pessoais e sensíveis"),O324="Acima de 10.000 titulares por mês",(IF(I324="SIM",2,0)+IF(K324="SIM",2,0)+IF(AF324="SIM",2,0)+IF(OR(AN324="Dados pessoais",AN324="Dados sensíveis",AN324="Dados pessoais e sensíveis"),2,0)+IF(O324="De 1.001 a 10.000 titulares por mês",1,0)+IF(AA324="SIM",1,0)+IF(R324="SIM",1,0)+IF(AL324="SIM",1,0)+IF(AJ324="NÃO",1,0))&gt;=3),"DPIA indicado ou em avaliação em razão de: " &amp; TRIM(IF(I324="SIM","tratamento de dados sensíveis; ","") &amp; IF(K324="SIM","utilização de dados de menores; ","") &amp; IF(AF324="SIM","transferência internacional de dados; ","") &amp; IF(AL324="SIM","utilização de inteligência artificial; ","") &amp; IF(OR(AN324="Dados pessoais",AN324="Dados sensíveis",AN324="Dados pessoais e sensíveis"),"dados inseridos em IA; ","") &amp; IF(O324="Acima de 10.000 titulares por mês","volume crítico de titulares; ","") &amp; IF(O324="De 1.001 a 10.000 titulares por mês","volume moderado de titulares; ","") &amp; IF(AA324="SIM","compartilhamento com terceiros; ","") &amp; IF(R324="SIM","compartilhamento com órgãos governamentais; ","") &amp; IF(AJ324="NÃO","ausência de controle de acesso por perfil; ","")),"DPIA não indicado: Processo de baixa criticidade."))</f>
      </c>
    </row>
    <row x14ac:dyDescent="0.25" r="325" customHeight="1" ht="15.75">
      <c r="A325" s="46"/>
      <c r="B325" s="6"/>
      <c r="C325" s="11"/>
      <c r="D325" s="11"/>
      <c r="E325" s="11"/>
      <c r="F325" s="29"/>
      <c r="G325" s="11"/>
      <c r="H325" s="11"/>
      <c r="I325" s="29"/>
      <c r="J325" s="11"/>
      <c r="K325" s="29"/>
      <c r="L325" s="11"/>
      <c r="M325" s="11"/>
      <c r="N325" s="11"/>
      <c r="O325" s="29"/>
      <c r="P325" s="29"/>
      <c r="Q325" s="11"/>
      <c r="R325" s="29"/>
      <c r="S325" s="11"/>
      <c r="T325" s="6"/>
      <c r="U325" s="29"/>
      <c r="V325" s="11"/>
      <c r="W325" s="11"/>
      <c r="X325" s="29"/>
      <c r="Y325" s="11"/>
      <c r="Z325" s="29"/>
      <c r="AA325" s="29"/>
      <c r="AB325" s="11"/>
      <c r="AC325" s="11"/>
      <c r="AD325" s="29"/>
      <c r="AE325" s="11"/>
      <c r="AF325" s="29"/>
      <c r="AG325" s="11"/>
      <c r="AH325" s="29"/>
      <c r="AI325" s="11"/>
      <c r="AJ325" s="29"/>
      <c r="AK325" s="29"/>
      <c r="AL325" s="29"/>
      <c r="AM325" s="11"/>
      <c r="AN325" s="29"/>
      <c r="AO325" s="29"/>
      <c r="AP325" s="6"/>
      <c r="AQ325" s="113">
        <f>IF(AND(I325="",K325="",AF325="",AL325="",AN325="",O325=""),"",IF(OR(I325="SIM",K325="SIM",AF325="SIM",AL325="SIM",AN325="Dados pessoais",AN325="Dados sensíveis",AN325="Dados pessoais e sensíveis",O325="Acima de 10.000 titulares por mês"),"SIM - Alta criticidade",IF((IF(I325="SIM",2,0)+IF(K325="SIM",2,0)+IF(AF325="SIM",2,0)+IF(OR(AN325="Dados pessoais",AN325="Dados sensíveis",AN325="Dados pessoais e sensíveis"),2,0)+IF(O325="De 1.001 a 10.000 titulares por mês",1,0)+IF(AA325="SIM",1,0)+IF(R325="SIM",1,0)+IF(AL325="SIM",1,0)+IF(AJ325="NÃO",1,0))&gt;=5,"SIM - Alta criticidade",IF((IF(I325="SIM",2,0)+IF(K325="SIM",2,0)+IF(AF325="SIM",2,0)+IF(OR(AN325="Dados pessoais",AN325="Dados sensíveis",AN325="Dados pessoais e sensíveis"),2,0)+IF(O325="De 1.001 a 10.000 titulares por mês",1,0)+IF(AA325="SIM",1,0)+IF(R325="SIM",1,0)+IF(AL325="SIM",1,0)+IF(AJ325="NÃO",1,0))&gt;=3,"Avaliação necessária","NÃO"))))</f>
      </c>
      <c r="AR325" s="11"/>
      <c r="AS325" s="113">
        <f>IF(AND(I325="",K325="",AF325="",AL325="",AN325="",O325=""),"",IF(OR(I325="SIM",K325="SIM",AF325="SIM",AL325="SIM",OR(AN325="Dados pessoais",AN325="Dados sensíveis",AN325="Dados pessoais e sensíveis"),O325="Acima de 10.000 titulares por mês",(IF(I325="SIM",2,0)+IF(K325="SIM",2,0)+IF(AF325="SIM",2,0)+IF(OR(AN325="Dados pessoais",AN325="Dados sensíveis",AN325="Dados pessoais e sensíveis"),2,0)+IF(O325="De 1.001 a 10.000 titulares por mês",1,0)+IF(AA325="SIM",1,0)+IF(R325="SIM",1,0)+IF(AL325="SIM",1,0)+IF(AJ325="NÃO",1,0))&gt;=3),"DPIA indicado ou em avaliação em razão de: " &amp; TRIM(IF(I325="SIM","tratamento de dados sensíveis; ","") &amp; IF(K325="SIM","utilização de dados de menores; ","") &amp; IF(AF325="SIM","transferência internacional de dados; ","") &amp; IF(AL325="SIM","utilização de inteligência artificial; ","") &amp; IF(OR(AN325="Dados pessoais",AN325="Dados sensíveis",AN325="Dados pessoais e sensíveis"),"dados inseridos em IA; ","") &amp; IF(O325="Acima de 10.000 titulares por mês","volume crítico de titulares; ","") &amp; IF(O325="De 1.001 a 10.000 titulares por mês","volume moderado de titulares; ","") &amp; IF(AA325="SIM","compartilhamento com terceiros; ","") &amp; IF(R325="SIM","compartilhamento com órgãos governamentais; ","") &amp; IF(AJ325="NÃO","ausência de controle de acesso por perfil; ","")),"DPIA não indicado: Processo de baixa criticidade."))</f>
      </c>
    </row>
    <row x14ac:dyDescent="0.25" r="326" customHeight="1" ht="15.75">
      <c r="A326" s="46"/>
      <c r="B326" s="6"/>
      <c r="C326" s="11"/>
      <c r="D326" s="11"/>
      <c r="E326" s="11"/>
      <c r="F326" s="29"/>
      <c r="G326" s="11"/>
      <c r="H326" s="11"/>
      <c r="I326" s="29"/>
      <c r="J326" s="11"/>
      <c r="K326" s="29"/>
      <c r="L326" s="11"/>
      <c r="M326" s="11"/>
      <c r="N326" s="11"/>
      <c r="O326" s="29"/>
      <c r="P326" s="29"/>
      <c r="Q326" s="11"/>
      <c r="R326" s="29"/>
      <c r="S326" s="11"/>
      <c r="T326" s="6"/>
      <c r="U326" s="29"/>
      <c r="V326" s="11"/>
      <c r="W326" s="11"/>
      <c r="X326" s="29"/>
      <c r="Y326" s="11"/>
      <c r="Z326" s="29"/>
      <c r="AA326" s="29"/>
      <c r="AB326" s="11"/>
      <c r="AC326" s="11"/>
      <c r="AD326" s="29"/>
      <c r="AE326" s="11"/>
      <c r="AF326" s="29"/>
      <c r="AG326" s="11"/>
      <c r="AH326" s="29"/>
      <c r="AI326" s="11"/>
      <c r="AJ326" s="29"/>
      <c r="AK326" s="29"/>
      <c r="AL326" s="29"/>
      <c r="AM326" s="11"/>
      <c r="AN326" s="29"/>
      <c r="AO326" s="29"/>
      <c r="AP326" s="6"/>
      <c r="AQ326" s="113">
        <f>IF(AND(I326="",K326="",AF326="",AL326="",AN326="",O326=""),"",IF(OR(I326="SIM",K326="SIM",AF326="SIM",AL326="SIM",AN326="Dados pessoais",AN326="Dados sensíveis",AN326="Dados pessoais e sensíveis",O326="Acima de 10.000 titulares por mês"),"SIM - Alta criticidade",IF((IF(I326="SIM",2,0)+IF(K326="SIM",2,0)+IF(AF326="SIM",2,0)+IF(OR(AN326="Dados pessoais",AN326="Dados sensíveis",AN326="Dados pessoais e sensíveis"),2,0)+IF(O326="De 1.001 a 10.000 titulares por mês",1,0)+IF(AA326="SIM",1,0)+IF(R326="SIM",1,0)+IF(AL326="SIM",1,0)+IF(AJ326="NÃO",1,0))&gt;=5,"SIM - Alta criticidade",IF((IF(I326="SIM",2,0)+IF(K326="SIM",2,0)+IF(AF326="SIM",2,0)+IF(OR(AN326="Dados pessoais",AN326="Dados sensíveis",AN326="Dados pessoais e sensíveis"),2,0)+IF(O326="De 1.001 a 10.000 titulares por mês",1,0)+IF(AA326="SIM",1,0)+IF(R326="SIM",1,0)+IF(AL326="SIM",1,0)+IF(AJ326="NÃO",1,0))&gt;=3,"Avaliação necessária","NÃO"))))</f>
      </c>
      <c r="AR326" s="11"/>
      <c r="AS326" s="113">
        <f>IF(AND(I326="",K326="",AF326="",AL326="",AN326="",O326=""),"",IF(OR(I326="SIM",K326="SIM",AF326="SIM",AL326="SIM",OR(AN326="Dados pessoais",AN326="Dados sensíveis",AN326="Dados pessoais e sensíveis"),O326="Acima de 10.000 titulares por mês",(IF(I326="SIM",2,0)+IF(K326="SIM",2,0)+IF(AF326="SIM",2,0)+IF(OR(AN326="Dados pessoais",AN326="Dados sensíveis",AN326="Dados pessoais e sensíveis"),2,0)+IF(O326="De 1.001 a 10.000 titulares por mês",1,0)+IF(AA326="SIM",1,0)+IF(R326="SIM",1,0)+IF(AL326="SIM",1,0)+IF(AJ326="NÃO",1,0))&gt;=3),"DPIA indicado ou em avaliação em razão de: " &amp; TRIM(IF(I326="SIM","tratamento de dados sensíveis; ","") &amp; IF(K326="SIM","utilização de dados de menores; ","") &amp; IF(AF326="SIM","transferência internacional de dados; ","") &amp; IF(AL326="SIM","utilização de inteligência artificial; ","") &amp; IF(OR(AN326="Dados pessoais",AN326="Dados sensíveis",AN326="Dados pessoais e sensíveis"),"dados inseridos em IA; ","") &amp; IF(O326="Acima de 10.000 titulares por mês","volume crítico de titulares; ","") &amp; IF(O326="De 1.001 a 10.000 titulares por mês","volume moderado de titulares; ","") &amp; IF(AA326="SIM","compartilhamento com terceiros; ","") &amp; IF(R326="SIM","compartilhamento com órgãos governamentais; ","") &amp; IF(AJ326="NÃO","ausência de controle de acesso por perfil; ","")),"DPIA não indicado: Processo de baixa criticidade."))</f>
      </c>
    </row>
    <row x14ac:dyDescent="0.25" r="327" customHeight="1" ht="15.75">
      <c r="A327" s="46"/>
      <c r="B327" s="6"/>
      <c r="C327" s="11"/>
      <c r="D327" s="11"/>
      <c r="E327" s="11"/>
      <c r="F327" s="29"/>
      <c r="G327" s="11"/>
      <c r="H327" s="11"/>
      <c r="I327" s="29"/>
      <c r="J327" s="11"/>
      <c r="K327" s="29"/>
      <c r="L327" s="11"/>
      <c r="M327" s="11"/>
      <c r="N327" s="11"/>
      <c r="O327" s="29"/>
      <c r="P327" s="29"/>
      <c r="Q327" s="11"/>
      <c r="R327" s="29"/>
      <c r="S327" s="11"/>
      <c r="T327" s="6"/>
      <c r="U327" s="29"/>
      <c r="V327" s="11"/>
      <c r="W327" s="11"/>
      <c r="X327" s="29"/>
      <c r="Y327" s="11"/>
      <c r="Z327" s="29"/>
      <c r="AA327" s="29"/>
      <c r="AB327" s="11"/>
      <c r="AC327" s="11"/>
      <c r="AD327" s="29"/>
      <c r="AE327" s="11"/>
      <c r="AF327" s="29"/>
      <c r="AG327" s="11"/>
      <c r="AH327" s="29"/>
      <c r="AI327" s="11"/>
      <c r="AJ327" s="29"/>
      <c r="AK327" s="29"/>
      <c r="AL327" s="29"/>
      <c r="AM327" s="11"/>
      <c r="AN327" s="29"/>
      <c r="AO327" s="29"/>
      <c r="AP327" s="6"/>
      <c r="AQ327" s="113">
        <f>IF(AND(I327="",K327="",AF327="",AL327="",AN327="",O327=""),"",IF(OR(I327="SIM",K327="SIM",AF327="SIM",AL327="SIM",AN327="Dados pessoais",AN327="Dados sensíveis",AN327="Dados pessoais e sensíveis",O327="Acima de 10.000 titulares por mês"),"SIM - Alta criticidade",IF((IF(I327="SIM",2,0)+IF(K327="SIM",2,0)+IF(AF327="SIM",2,0)+IF(OR(AN327="Dados pessoais",AN327="Dados sensíveis",AN327="Dados pessoais e sensíveis"),2,0)+IF(O327="De 1.001 a 10.000 titulares por mês",1,0)+IF(AA327="SIM",1,0)+IF(R327="SIM",1,0)+IF(AL327="SIM",1,0)+IF(AJ327="NÃO",1,0))&gt;=5,"SIM - Alta criticidade",IF((IF(I327="SIM",2,0)+IF(K327="SIM",2,0)+IF(AF327="SIM",2,0)+IF(OR(AN327="Dados pessoais",AN327="Dados sensíveis",AN327="Dados pessoais e sensíveis"),2,0)+IF(O327="De 1.001 a 10.000 titulares por mês",1,0)+IF(AA327="SIM",1,0)+IF(R327="SIM",1,0)+IF(AL327="SIM",1,0)+IF(AJ327="NÃO",1,0))&gt;=3,"Avaliação necessária","NÃO"))))</f>
      </c>
      <c r="AR327" s="11"/>
      <c r="AS327" s="113">
        <f>IF(AND(I327="",K327="",AF327="",AL327="",AN327="",O327=""),"",IF(OR(I327="SIM",K327="SIM",AF327="SIM",AL327="SIM",OR(AN327="Dados pessoais",AN327="Dados sensíveis",AN327="Dados pessoais e sensíveis"),O327="Acima de 10.000 titulares por mês",(IF(I327="SIM",2,0)+IF(K327="SIM",2,0)+IF(AF327="SIM",2,0)+IF(OR(AN327="Dados pessoais",AN327="Dados sensíveis",AN327="Dados pessoais e sensíveis"),2,0)+IF(O327="De 1.001 a 10.000 titulares por mês",1,0)+IF(AA327="SIM",1,0)+IF(R327="SIM",1,0)+IF(AL327="SIM",1,0)+IF(AJ327="NÃO",1,0))&gt;=3),"DPIA indicado ou em avaliação em razão de: " &amp; TRIM(IF(I327="SIM","tratamento de dados sensíveis; ","") &amp; IF(K327="SIM","utilização de dados de menores; ","") &amp; IF(AF327="SIM","transferência internacional de dados; ","") &amp; IF(AL327="SIM","utilização de inteligência artificial; ","") &amp; IF(OR(AN327="Dados pessoais",AN327="Dados sensíveis",AN327="Dados pessoais e sensíveis"),"dados inseridos em IA; ","") &amp; IF(O327="Acima de 10.000 titulares por mês","volume crítico de titulares; ","") &amp; IF(O327="De 1.001 a 10.000 titulares por mês","volume moderado de titulares; ","") &amp; IF(AA327="SIM","compartilhamento com terceiros; ","") &amp; IF(R327="SIM","compartilhamento com órgãos governamentais; ","") &amp; IF(AJ327="NÃO","ausência de controle de acesso por perfil; ","")),"DPIA não indicado: Processo de baixa criticidade."))</f>
      </c>
    </row>
    <row x14ac:dyDescent="0.25" r="328" customHeight="1" ht="15.75">
      <c r="A328" s="46"/>
      <c r="B328" s="6"/>
      <c r="C328" s="11"/>
      <c r="D328" s="11"/>
      <c r="E328" s="11"/>
      <c r="F328" s="29"/>
      <c r="G328" s="11"/>
      <c r="H328" s="11"/>
      <c r="I328" s="29"/>
      <c r="J328" s="11"/>
      <c r="K328" s="29"/>
      <c r="L328" s="11"/>
      <c r="M328" s="11"/>
      <c r="N328" s="11"/>
      <c r="O328" s="29"/>
      <c r="P328" s="29"/>
      <c r="Q328" s="11"/>
      <c r="R328" s="29"/>
      <c r="S328" s="11"/>
      <c r="T328" s="6"/>
      <c r="U328" s="29"/>
      <c r="V328" s="11"/>
      <c r="W328" s="11"/>
      <c r="X328" s="29"/>
      <c r="Y328" s="11"/>
      <c r="Z328" s="29"/>
      <c r="AA328" s="29"/>
      <c r="AB328" s="11"/>
      <c r="AC328" s="11"/>
      <c r="AD328" s="29"/>
      <c r="AE328" s="11"/>
      <c r="AF328" s="29"/>
      <c r="AG328" s="11"/>
      <c r="AH328" s="29"/>
      <c r="AI328" s="11"/>
      <c r="AJ328" s="29"/>
      <c r="AK328" s="29"/>
      <c r="AL328" s="29"/>
      <c r="AM328" s="11"/>
      <c r="AN328" s="29"/>
      <c r="AO328" s="29"/>
      <c r="AP328" s="6"/>
      <c r="AQ328" s="113">
        <f>IF(AND(I328="",K328="",AF328="",AL328="",AN328="",O328=""),"",IF(OR(I328="SIM",K328="SIM",AF328="SIM",AL328="SIM",AN328="Dados pessoais",AN328="Dados sensíveis",AN328="Dados pessoais e sensíveis",O328="Acima de 10.000 titulares por mês"),"SIM - Alta criticidade",IF((IF(I328="SIM",2,0)+IF(K328="SIM",2,0)+IF(AF328="SIM",2,0)+IF(OR(AN328="Dados pessoais",AN328="Dados sensíveis",AN328="Dados pessoais e sensíveis"),2,0)+IF(O328="De 1.001 a 10.000 titulares por mês",1,0)+IF(AA328="SIM",1,0)+IF(R328="SIM",1,0)+IF(AL328="SIM",1,0)+IF(AJ328="NÃO",1,0))&gt;=5,"SIM - Alta criticidade",IF((IF(I328="SIM",2,0)+IF(K328="SIM",2,0)+IF(AF328="SIM",2,0)+IF(OR(AN328="Dados pessoais",AN328="Dados sensíveis",AN328="Dados pessoais e sensíveis"),2,0)+IF(O328="De 1.001 a 10.000 titulares por mês",1,0)+IF(AA328="SIM",1,0)+IF(R328="SIM",1,0)+IF(AL328="SIM",1,0)+IF(AJ328="NÃO",1,0))&gt;=3,"Avaliação necessária","NÃO"))))</f>
      </c>
      <c r="AR328" s="11"/>
      <c r="AS328" s="113">
        <f>IF(AND(I328="",K328="",AF328="",AL328="",AN328="",O328=""),"",IF(OR(I328="SIM",K328="SIM",AF328="SIM",AL328="SIM",OR(AN328="Dados pessoais",AN328="Dados sensíveis",AN328="Dados pessoais e sensíveis"),O328="Acima de 10.000 titulares por mês",(IF(I328="SIM",2,0)+IF(K328="SIM",2,0)+IF(AF328="SIM",2,0)+IF(OR(AN328="Dados pessoais",AN328="Dados sensíveis",AN328="Dados pessoais e sensíveis"),2,0)+IF(O328="De 1.001 a 10.000 titulares por mês",1,0)+IF(AA328="SIM",1,0)+IF(R328="SIM",1,0)+IF(AL328="SIM",1,0)+IF(AJ328="NÃO",1,0))&gt;=3),"DPIA indicado ou em avaliação em razão de: " &amp; TRIM(IF(I328="SIM","tratamento de dados sensíveis; ","") &amp; IF(K328="SIM","utilização de dados de menores; ","") &amp; IF(AF328="SIM","transferência internacional de dados; ","") &amp; IF(AL328="SIM","utilização de inteligência artificial; ","") &amp; IF(OR(AN328="Dados pessoais",AN328="Dados sensíveis",AN328="Dados pessoais e sensíveis"),"dados inseridos em IA; ","") &amp; IF(O328="Acima de 10.000 titulares por mês","volume crítico de titulares; ","") &amp; IF(O328="De 1.001 a 10.000 titulares por mês","volume moderado de titulares; ","") &amp; IF(AA328="SIM","compartilhamento com terceiros; ","") &amp; IF(R328="SIM","compartilhamento com órgãos governamentais; ","") &amp; IF(AJ328="NÃO","ausência de controle de acesso por perfil; ","")),"DPIA não indicado: Processo de baixa criticidade."))</f>
      </c>
    </row>
    <row x14ac:dyDescent="0.25" r="329" customHeight="1" ht="15.75">
      <c r="A329" s="46"/>
      <c r="B329" s="6"/>
      <c r="C329" s="11"/>
      <c r="D329" s="11"/>
      <c r="E329" s="11"/>
      <c r="F329" s="29"/>
      <c r="G329" s="11"/>
      <c r="H329" s="11"/>
      <c r="I329" s="29"/>
      <c r="J329" s="11"/>
      <c r="K329" s="29"/>
      <c r="L329" s="11"/>
      <c r="M329" s="11"/>
      <c r="N329" s="11"/>
      <c r="O329" s="29"/>
      <c r="P329" s="29"/>
      <c r="Q329" s="11"/>
      <c r="R329" s="29"/>
      <c r="S329" s="11"/>
      <c r="T329" s="6"/>
      <c r="U329" s="29"/>
      <c r="V329" s="11"/>
      <c r="W329" s="11"/>
      <c r="X329" s="29"/>
      <c r="Y329" s="11"/>
      <c r="Z329" s="29"/>
      <c r="AA329" s="29"/>
      <c r="AB329" s="11"/>
      <c r="AC329" s="11"/>
      <c r="AD329" s="29"/>
      <c r="AE329" s="11"/>
      <c r="AF329" s="29"/>
      <c r="AG329" s="11"/>
      <c r="AH329" s="29"/>
      <c r="AI329" s="11"/>
      <c r="AJ329" s="29"/>
      <c r="AK329" s="29"/>
      <c r="AL329" s="29"/>
      <c r="AM329" s="11"/>
      <c r="AN329" s="29"/>
      <c r="AO329" s="29"/>
      <c r="AP329" s="6"/>
      <c r="AQ329" s="113">
        <f>IF(AND(I329="",K329="",AF329="",AL329="",AN329="",O329=""),"",IF(OR(I329="SIM",K329="SIM",AF329="SIM",AL329="SIM",AN329="Dados pessoais",AN329="Dados sensíveis",AN329="Dados pessoais e sensíveis",O329="Acima de 10.000 titulares por mês"),"SIM - Alta criticidade",IF((IF(I329="SIM",2,0)+IF(K329="SIM",2,0)+IF(AF329="SIM",2,0)+IF(OR(AN329="Dados pessoais",AN329="Dados sensíveis",AN329="Dados pessoais e sensíveis"),2,0)+IF(O329="De 1.001 a 10.000 titulares por mês",1,0)+IF(AA329="SIM",1,0)+IF(R329="SIM",1,0)+IF(AL329="SIM",1,0)+IF(AJ329="NÃO",1,0))&gt;=5,"SIM - Alta criticidade",IF((IF(I329="SIM",2,0)+IF(K329="SIM",2,0)+IF(AF329="SIM",2,0)+IF(OR(AN329="Dados pessoais",AN329="Dados sensíveis",AN329="Dados pessoais e sensíveis"),2,0)+IF(O329="De 1.001 a 10.000 titulares por mês",1,0)+IF(AA329="SIM",1,0)+IF(R329="SIM",1,0)+IF(AL329="SIM",1,0)+IF(AJ329="NÃO",1,0))&gt;=3,"Avaliação necessária","NÃO"))))</f>
      </c>
      <c r="AR329" s="11"/>
      <c r="AS329" s="113">
        <f>IF(AND(I329="",K329="",AF329="",AL329="",AN329="",O329=""),"",IF(OR(I329="SIM",K329="SIM",AF329="SIM",AL329="SIM",OR(AN329="Dados pessoais",AN329="Dados sensíveis",AN329="Dados pessoais e sensíveis"),O329="Acima de 10.000 titulares por mês",(IF(I329="SIM",2,0)+IF(K329="SIM",2,0)+IF(AF329="SIM",2,0)+IF(OR(AN329="Dados pessoais",AN329="Dados sensíveis",AN329="Dados pessoais e sensíveis"),2,0)+IF(O329="De 1.001 a 10.000 titulares por mês",1,0)+IF(AA329="SIM",1,0)+IF(R329="SIM",1,0)+IF(AL329="SIM",1,0)+IF(AJ329="NÃO",1,0))&gt;=3),"DPIA indicado ou em avaliação em razão de: " &amp; TRIM(IF(I329="SIM","tratamento de dados sensíveis; ","") &amp; IF(K329="SIM","utilização de dados de menores; ","") &amp; IF(AF329="SIM","transferência internacional de dados; ","") &amp; IF(AL329="SIM","utilização de inteligência artificial; ","") &amp; IF(OR(AN329="Dados pessoais",AN329="Dados sensíveis",AN329="Dados pessoais e sensíveis"),"dados inseridos em IA; ","") &amp; IF(O329="Acima de 10.000 titulares por mês","volume crítico de titulares; ","") &amp; IF(O329="De 1.001 a 10.000 titulares por mês","volume moderado de titulares; ","") &amp; IF(AA329="SIM","compartilhamento com terceiros; ","") &amp; IF(R329="SIM","compartilhamento com órgãos governamentais; ","") &amp; IF(AJ329="NÃO","ausência de controle de acesso por perfil; ","")),"DPIA não indicado: Processo de baixa criticidade."))</f>
      </c>
    </row>
    <row x14ac:dyDescent="0.25" r="330" customHeight="1" ht="15.75">
      <c r="A330" s="46"/>
      <c r="B330" s="6"/>
      <c r="C330" s="11"/>
      <c r="D330" s="11"/>
      <c r="E330" s="11"/>
      <c r="F330" s="29"/>
      <c r="G330" s="11"/>
      <c r="H330" s="11"/>
      <c r="I330" s="29"/>
      <c r="J330" s="11"/>
      <c r="K330" s="29"/>
      <c r="L330" s="11"/>
      <c r="M330" s="11"/>
      <c r="N330" s="11"/>
      <c r="O330" s="29"/>
      <c r="P330" s="29"/>
      <c r="Q330" s="11"/>
      <c r="R330" s="29"/>
      <c r="S330" s="11"/>
      <c r="T330" s="6"/>
      <c r="U330" s="29"/>
      <c r="V330" s="11"/>
      <c r="W330" s="11"/>
      <c r="X330" s="29"/>
      <c r="Y330" s="11"/>
      <c r="Z330" s="29"/>
      <c r="AA330" s="29"/>
      <c r="AB330" s="11"/>
      <c r="AC330" s="11"/>
      <c r="AD330" s="29"/>
      <c r="AE330" s="11"/>
      <c r="AF330" s="29"/>
      <c r="AG330" s="11"/>
      <c r="AH330" s="29"/>
      <c r="AI330" s="11"/>
      <c r="AJ330" s="29"/>
      <c r="AK330" s="29"/>
      <c r="AL330" s="29"/>
      <c r="AM330" s="11"/>
      <c r="AN330" s="29"/>
      <c r="AO330" s="29"/>
      <c r="AP330" s="6"/>
      <c r="AQ330" s="113">
        <f>IF(AND(I330="",K330="",AF330="",AL330="",AN330="",O330=""),"",IF(OR(I330="SIM",K330="SIM",AF330="SIM",AL330="SIM",AN330="Dados pessoais",AN330="Dados sensíveis",AN330="Dados pessoais e sensíveis",O330="Acima de 10.000 titulares por mês"),"SIM - Alta criticidade",IF((IF(I330="SIM",2,0)+IF(K330="SIM",2,0)+IF(AF330="SIM",2,0)+IF(OR(AN330="Dados pessoais",AN330="Dados sensíveis",AN330="Dados pessoais e sensíveis"),2,0)+IF(O330="De 1.001 a 10.000 titulares por mês",1,0)+IF(AA330="SIM",1,0)+IF(R330="SIM",1,0)+IF(AL330="SIM",1,0)+IF(AJ330="NÃO",1,0))&gt;=5,"SIM - Alta criticidade",IF((IF(I330="SIM",2,0)+IF(K330="SIM",2,0)+IF(AF330="SIM",2,0)+IF(OR(AN330="Dados pessoais",AN330="Dados sensíveis",AN330="Dados pessoais e sensíveis"),2,0)+IF(O330="De 1.001 a 10.000 titulares por mês",1,0)+IF(AA330="SIM",1,0)+IF(R330="SIM",1,0)+IF(AL330="SIM",1,0)+IF(AJ330="NÃO",1,0))&gt;=3,"Avaliação necessária","NÃO"))))</f>
      </c>
      <c r="AR330" s="11"/>
      <c r="AS330" s="113">
        <f>IF(AND(I330="",K330="",AF330="",AL330="",AN330="",O330=""),"",IF(OR(I330="SIM",K330="SIM",AF330="SIM",AL330="SIM",OR(AN330="Dados pessoais",AN330="Dados sensíveis",AN330="Dados pessoais e sensíveis"),O330="Acima de 10.000 titulares por mês",(IF(I330="SIM",2,0)+IF(K330="SIM",2,0)+IF(AF330="SIM",2,0)+IF(OR(AN330="Dados pessoais",AN330="Dados sensíveis",AN330="Dados pessoais e sensíveis"),2,0)+IF(O330="De 1.001 a 10.000 titulares por mês",1,0)+IF(AA330="SIM",1,0)+IF(R330="SIM",1,0)+IF(AL330="SIM",1,0)+IF(AJ330="NÃO",1,0))&gt;=3),"DPIA indicado ou em avaliação em razão de: " &amp; TRIM(IF(I330="SIM","tratamento de dados sensíveis; ","") &amp; IF(K330="SIM","utilização de dados de menores; ","") &amp; IF(AF330="SIM","transferência internacional de dados; ","") &amp; IF(AL330="SIM","utilização de inteligência artificial; ","") &amp; IF(OR(AN330="Dados pessoais",AN330="Dados sensíveis",AN330="Dados pessoais e sensíveis"),"dados inseridos em IA; ","") &amp; IF(O330="Acima de 10.000 titulares por mês","volume crítico de titulares; ","") &amp; IF(O330="De 1.001 a 10.000 titulares por mês","volume moderado de titulares; ","") &amp; IF(AA330="SIM","compartilhamento com terceiros; ","") &amp; IF(R330="SIM","compartilhamento com órgãos governamentais; ","") &amp; IF(AJ330="NÃO","ausência de controle de acesso por perfil; ","")),"DPIA não indicado: Processo de baixa criticidade."))</f>
      </c>
    </row>
    <row x14ac:dyDescent="0.25" r="331" customHeight="1" ht="15.75">
      <c r="A331" s="46"/>
      <c r="B331" s="6"/>
      <c r="C331" s="11"/>
      <c r="D331" s="11"/>
      <c r="E331" s="11"/>
      <c r="F331" s="29"/>
      <c r="G331" s="11"/>
      <c r="H331" s="11"/>
      <c r="I331" s="29"/>
      <c r="J331" s="11"/>
      <c r="K331" s="29"/>
      <c r="L331" s="11"/>
      <c r="M331" s="11"/>
      <c r="N331" s="11"/>
      <c r="O331" s="29"/>
      <c r="P331" s="29"/>
      <c r="Q331" s="11"/>
      <c r="R331" s="29"/>
      <c r="S331" s="11"/>
      <c r="T331" s="6"/>
      <c r="U331" s="29"/>
      <c r="V331" s="11"/>
      <c r="W331" s="11"/>
      <c r="X331" s="29"/>
      <c r="Y331" s="11"/>
      <c r="Z331" s="29"/>
      <c r="AA331" s="29"/>
      <c r="AB331" s="11"/>
      <c r="AC331" s="11"/>
      <c r="AD331" s="29"/>
      <c r="AE331" s="11"/>
      <c r="AF331" s="29"/>
      <c r="AG331" s="11"/>
      <c r="AH331" s="29"/>
      <c r="AI331" s="11"/>
      <c r="AJ331" s="29"/>
      <c r="AK331" s="29"/>
      <c r="AL331" s="29"/>
      <c r="AM331" s="11"/>
      <c r="AN331" s="29"/>
      <c r="AO331" s="29"/>
      <c r="AP331" s="6"/>
      <c r="AQ331" s="113">
        <f>IF(AND(I331="",K331="",AF331="",AL331="",AN331="",O331=""),"",IF(OR(I331="SIM",K331="SIM",AF331="SIM",AL331="SIM",AN331="Dados pessoais",AN331="Dados sensíveis",AN331="Dados pessoais e sensíveis",O331="Acima de 10.000 titulares por mês"),"SIM - Alta criticidade",IF((IF(I331="SIM",2,0)+IF(K331="SIM",2,0)+IF(AF331="SIM",2,0)+IF(OR(AN331="Dados pessoais",AN331="Dados sensíveis",AN331="Dados pessoais e sensíveis"),2,0)+IF(O331="De 1.001 a 10.000 titulares por mês",1,0)+IF(AA331="SIM",1,0)+IF(R331="SIM",1,0)+IF(AL331="SIM",1,0)+IF(AJ331="NÃO",1,0))&gt;=5,"SIM - Alta criticidade",IF((IF(I331="SIM",2,0)+IF(K331="SIM",2,0)+IF(AF331="SIM",2,0)+IF(OR(AN331="Dados pessoais",AN331="Dados sensíveis",AN331="Dados pessoais e sensíveis"),2,0)+IF(O331="De 1.001 a 10.000 titulares por mês",1,0)+IF(AA331="SIM",1,0)+IF(R331="SIM",1,0)+IF(AL331="SIM",1,0)+IF(AJ331="NÃO",1,0))&gt;=3,"Avaliação necessária","NÃO"))))</f>
      </c>
      <c r="AR331" s="11"/>
      <c r="AS331" s="113">
        <f>IF(AND(I331="",K331="",AF331="",AL331="",AN331="",O331=""),"",IF(OR(I331="SIM",K331="SIM",AF331="SIM",AL331="SIM",OR(AN331="Dados pessoais",AN331="Dados sensíveis",AN331="Dados pessoais e sensíveis"),O331="Acima de 10.000 titulares por mês",(IF(I331="SIM",2,0)+IF(K331="SIM",2,0)+IF(AF331="SIM",2,0)+IF(OR(AN331="Dados pessoais",AN331="Dados sensíveis",AN331="Dados pessoais e sensíveis"),2,0)+IF(O331="De 1.001 a 10.000 titulares por mês",1,0)+IF(AA331="SIM",1,0)+IF(R331="SIM",1,0)+IF(AL331="SIM",1,0)+IF(AJ331="NÃO",1,0))&gt;=3),"DPIA indicado ou em avaliação em razão de: " &amp; TRIM(IF(I331="SIM","tratamento de dados sensíveis; ","") &amp; IF(K331="SIM","utilização de dados de menores; ","") &amp; IF(AF331="SIM","transferência internacional de dados; ","") &amp; IF(AL331="SIM","utilização de inteligência artificial; ","") &amp; IF(OR(AN331="Dados pessoais",AN331="Dados sensíveis",AN331="Dados pessoais e sensíveis"),"dados inseridos em IA; ","") &amp; IF(O331="Acima de 10.000 titulares por mês","volume crítico de titulares; ","") &amp; IF(O331="De 1.001 a 10.000 titulares por mês","volume moderado de titulares; ","") &amp; IF(AA331="SIM","compartilhamento com terceiros; ","") &amp; IF(R331="SIM","compartilhamento com órgãos governamentais; ","") &amp; IF(AJ331="NÃO","ausência de controle de acesso por perfil; ","")),"DPIA não indicado: Processo de baixa criticidade."))</f>
      </c>
    </row>
    <row x14ac:dyDescent="0.25" r="332" customHeight="1" ht="15.75">
      <c r="A332" s="46"/>
      <c r="B332" s="6"/>
      <c r="C332" s="11"/>
      <c r="D332" s="11"/>
      <c r="E332" s="11"/>
      <c r="F332" s="29"/>
      <c r="G332" s="11"/>
      <c r="H332" s="11"/>
      <c r="I332" s="29"/>
      <c r="J332" s="11"/>
      <c r="K332" s="29"/>
      <c r="L332" s="11"/>
      <c r="M332" s="11"/>
      <c r="N332" s="11"/>
      <c r="O332" s="29"/>
      <c r="P332" s="29"/>
      <c r="Q332" s="11"/>
      <c r="R332" s="29"/>
      <c r="S332" s="11"/>
      <c r="T332" s="6"/>
      <c r="U332" s="29"/>
      <c r="V332" s="11"/>
      <c r="W332" s="11"/>
      <c r="X332" s="29"/>
      <c r="Y332" s="11"/>
      <c r="Z332" s="29"/>
      <c r="AA332" s="29"/>
      <c r="AB332" s="11"/>
      <c r="AC332" s="11"/>
      <c r="AD332" s="29"/>
      <c r="AE332" s="11"/>
      <c r="AF332" s="29"/>
      <c r="AG332" s="11"/>
      <c r="AH332" s="29"/>
      <c r="AI332" s="11"/>
      <c r="AJ332" s="29"/>
      <c r="AK332" s="29"/>
      <c r="AL332" s="29"/>
      <c r="AM332" s="11"/>
      <c r="AN332" s="29"/>
      <c r="AO332" s="29"/>
      <c r="AP332" s="6"/>
      <c r="AQ332" s="113">
        <f>IF(AND(I332="",K332="",AF332="",AL332="",AN332="",O332=""),"",IF(OR(I332="SIM",K332="SIM",AF332="SIM",AL332="SIM",AN332="Dados pessoais",AN332="Dados sensíveis",AN332="Dados pessoais e sensíveis",O332="Acima de 10.000 titulares por mês"),"SIM - Alta criticidade",IF((IF(I332="SIM",2,0)+IF(K332="SIM",2,0)+IF(AF332="SIM",2,0)+IF(OR(AN332="Dados pessoais",AN332="Dados sensíveis",AN332="Dados pessoais e sensíveis"),2,0)+IF(O332="De 1.001 a 10.000 titulares por mês",1,0)+IF(AA332="SIM",1,0)+IF(R332="SIM",1,0)+IF(AL332="SIM",1,0)+IF(AJ332="NÃO",1,0))&gt;=5,"SIM - Alta criticidade",IF((IF(I332="SIM",2,0)+IF(K332="SIM",2,0)+IF(AF332="SIM",2,0)+IF(OR(AN332="Dados pessoais",AN332="Dados sensíveis",AN332="Dados pessoais e sensíveis"),2,0)+IF(O332="De 1.001 a 10.000 titulares por mês",1,0)+IF(AA332="SIM",1,0)+IF(R332="SIM",1,0)+IF(AL332="SIM",1,0)+IF(AJ332="NÃO",1,0))&gt;=3,"Avaliação necessária","NÃO"))))</f>
      </c>
      <c r="AR332" s="11"/>
      <c r="AS332" s="113">
        <f>IF(AND(I332="",K332="",AF332="",AL332="",AN332="",O332=""),"",IF(OR(I332="SIM",K332="SIM",AF332="SIM",AL332="SIM",OR(AN332="Dados pessoais",AN332="Dados sensíveis",AN332="Dados pessoais e sensíveis"),O332="Acima de 10.000 titulares por mês",(IF(I332="SIM",2,0)+IF(K332="SIM",2,0)+IF(AF332="SIM",2,0)+IF(OR(AN332="Dados pessoais",AN332="Dados sensíveis",AN332="Dados pessoais e sensíveis"),2,0)+IF(O332="De 1.001 a 10.000 titulares por mês",1,0)+IF(AA332="SIM",1,0)+IF(R332="SIM",1,0)+IF(AL332="SIM",1,0)+IF(AJ332="NÃO",1,0))&gt;=3),"DPIA indicado ou em avaliação em razão de: " &amp; TRIM(IF(I332="SIM","tratamento de dados sensíveis; ","") &amp; IF(K332="SIM","utilização de dados de menores; ","") &amp; IF(AF332="SIM","transferência internacional de dados; ","") &amp; IF(AL332="SIM","utilização de inteligência artificial; ","") &amp; IF(OR(AN332="Dados pessoais",AN332="Dados sensíveis",AN332="Dados pessoais e sensíveis"),"dados inseridos em IA; ","") &amp; IF(O332="Acima de 10.000 titulares por mês","volume crítico de titulares; ","") &amp; IF(O332="De 1.001 a 10.000 titulares por mês","volume moderado de titulares; ","") &amp; IF(AA332="SIM","compartilhamento com terceiros; ","") &amp; IF(R332="SIM","compartilhamento com órgãos governamentais; ","") &amp; IF(AJ332="NÃO","ausência de controle de acesso por perfil; ","")),"DPIA não indicado: Processo de baixa criticidade."))</f>
      </c>
    </row>
    <row x14ac:dyDescent="0.25" r="333" customHeight="1" ht="15.75">
      <c r="A333" s="46"/>
      <c r="B333" s="6"/>
      <c r="C333" s="11"/>
      <c r="D333" s="11"/>
      <c r="E333" s="11"/>
      <c r="F333" s="29"/>
      <c r="G333" s="11"/>
      <c r="H333" s="11"/>
      <c r="I333" s="29"/>
      <c r="J333" s="11"/>
      <c r="K333" s="29"/>
      <c r="L333" s="11"/>
      <c r="M333" s="11"/>
      <c r="N333" s="11"/>
      <c r="O333" s="29"/>
      <c r="P333" s="29"/>
      <c r="Q333" s="11"/>
      <c r="R333" s="29"/>
      <c r="S333" s="11"/>
      <c r="T333" s="6"/>
      <c r="U333" s="29"/>
      <c r="V333" s="11"/>
      <c r="W333" s="11"/>
      <c r="X333" s="29"/>
      <c r="Y333" s="11"/>
      <c r="Z333" s="29"/>
      <c r="AA333" s="29"/>
      <c r="AB333" s="11"/>
      <c r="AC333" s="11"/>
      <c r="AD333" s="29"/>
      <c r="AE333" s="11"/>
      <c r="AF333" s="29"/>
      <c r="AG333" s="11"/>
      <c r="AH333" s="29"/>
      <c r="AI333" s="11"/>
      <c r="AJ333" s="29"/>
      <c r="AK333" s="29"/>
      <c r="AL333" s="29"/>
      <c r="AM333" s="11"/>
      <c r="AN333" s="29"/>
      <c r="AO333" s="29"/>
      <c r="AP333" s="6"/>
      <c r="AQ333" s="113">
        <f>IF(AND(I333="",K333="",AF333="",AL333="",AN333="",O333=""),"",IF(OR(I333="SIM",K333="SIM",AF333="SIM",AL333="SIM",AN333="Dados pessoais",AN333="Dados sensíveis",AN333="Dados pessoais e sensíveis",O333="Acima de 10.000 titulares por mês"),"SIM - Alta criticidade",IF((IF(I333="SIM",2,0)+IF(K333="SIM",2,0)+IF(AF333="SIM",2,0)+IF(OR(AN333="Dados pessoais",AN333="Dados sensíveis",AN333="Dados pessoais e sensíveis"),2,0)+IF(O333="De 1.001 a 10.000 titulares por mês",1,0)+IF(AA333="SIM",1,0)+IF(R333="SIM",1,0)+IF(AL333="SIM",1,0)+IF(AJ333="NÃO",1,0))&gt;=5,"SIM - Alta criticidade",IF((IF(I333="SIM",2,0)+IF(K333="SIM",2,0)+IF(AF333="SIM",2,0)+IF(OR(AN333="Dados pessoais",AN333="Dados sensíveis",AN333="Dados pessoais e sensíveis"),2,0)+IF(O333="De 1.001 a 10.000 titulares por mês",1,0)+IF(AA333="SIM",1,0)+IF(R333="SIM",1,0)+IF(AL333="SIM",1,0)+IF(AJ333="NÃO",1,0))&gt;=3,"Avaliação necessária","NÃO"))))</f>
      </c>
      <c r="AR333" s="11"/>
      <c r="AS333" s="113">
        <f>IF(AND(I333="",K333="",AF333="",AL333="",AN333="",O333=""),"",IF(OR(I333="SIM",K333="SIM",AF333="SIM",AL333="SIM",OR(AN333="Dados pessoais",AN333="Dados sensíveis",AN333="Dados pessoais e sensíveis"),O333="Acima de 10.000 titulares por mês",(IF(I333="SIM",2,0)+IF(K333="SIM",2,0)+IF(AF333="SIM",2,0)+IF(OR(AN333="Dados pessoais",AN333="Dados sensíveis",AN333="Dados pessoais e sensíveis"),2,0)+IF(O333="De 1.001 a 10.000 titulares por mês",1,0)+IF(AA333="SIM",1,0)+IF(R333="SIM",1,0)+IF(AL333="SIM",1,0)+IF(AJ333="NÃO",1,0))&gt;=3),"DPIA indicado ou em avaliação em razão de: " &amp; TRIM(IF(I333="SIM","tratamento de dados sensíveis; ","") &amp; IF(K333="SIM","utilização de dados de menores; ","") &amp; IF(AF333="SIM","transferência internacional de dados; ","") &amp; IF(AL333="SIM","utilização de inteligência artificial; ","") &amp; IF(OR(AN333="Dados pessoais",AN333="Dados sensíveis",AN333="Dados pessoais e sensíveis"),"dados inseridos em IA; ","") &amp; IF(O333="Acima de 10.000 titulares por mês","volume crítico de titulares; ","") &amp; IF(O333="De 1.001 a 10.000 titulares por mês","volume moderado de titulares; ","") &amp; IF(AA333="SIM","compartilhamento com terceiros; ","") &amp; IF(R333="SIM","compartilhamento com órgãos governamentais; ","") &amp; IF(AJ333="NÃO","ausência de controle de acesso por perfil; ","")),"DPIA não indicado: Processo de baixa criticidade."))</f>
      </c>
    </row>
    <row x14ac:dyDescent="0.25" r="334" customHeight="1" ht="15.75">
      <c r="A334" s="46"/>
      <c r="B334" s="6"/>
      <c r="C334" s="11"/>
      <c r="D334" s="11"/>
      <c r="E334" s="11"/>
      <c r="F334" s="29"/>
      <c r="G334" s="11"/>
      <c r="H334" s="11"/>
      <c r="I334" s="29"/>
      <c r="J334" s="11"/>
      <c r="K334" s="29"/>
      <c r="L334" s="11"/>
      <c r="M334" s="11"/>
      <c r="N334" s="11"/>
      <c r="O334" s="29"/>
      <c r="P334" s="29"/>
      <c r="Q334" s="11"/>
      <c r="R334" s="29"/>
      <c r="S334" s="11"/>
      <c r="T334" s="6"/>
      <c r="U334" s="29"/>
      <c r="V334" s="11"/>
      <c r="W334" s="11"/>
      <c r="X334" s="29"/>
      <c r="Y334" s="11"/>
      <c r="Z334" s="29"/>
      <c r="AA334" s="29"/>
      <c r="AB334" s="11"/>
      <c r="AC334" s="11"/>
      <c r="AD334" s="29"/>
      <c r="AE334" s="11"/>
      <c r="AF334" s="29"/>
      <c r="AG334" s="11"/>
      <c r="AH334" s="29"/>
      <c r="AI334" s="11"/>
      <c r="AJ334" s="29"/>
      <c r="AK334" s="29"/>
      <c r="AL334" s="29"/>
      <c r="AM334" s="11"/>
      <c r="AN334" s="29"/>
      <c r="AO334" s="29"/>
      <c r="AP334" s="6"/>
      <c r="AQ334" s="113">
        <f>IF(AND(I334="",K334="",AF334="",AL334="",AN334="",O334=""),"",IF(OR(I334="SIM",K334="SIM",AF334="SIM",AL334="SIM",AN334="Dados pessoais",AN334="Dados sensíveis",AN334="Dados pessoais e sensíveis",O334="Acima de 10.000 titulares por mês"),"SIM - Alta criticidade",IF((IF(I334="SIM",2,0)+IF(K334="SIM",2,0)+IF(AF334="SIM",2,0)+IF(OR(AN334="Dados pessoais",AN334="Dados sensíveis",AN334="Dados pessoais e sensíveis"),2,0)+IF(O334="De 1.001 a 10.000 titulares por mês",1,0)+IF(AA334="SIM",1,0)+IF(R334="SIM",1,0)+IF(AL334="SIM",1,0)+IF(AJ334="NÃO",1,0))&gt;=5,"SIM - Alta criticidade",IF((IF(I334="SIM",2,0)+IF(K334="SIM",2,0)+IF(AF334="SIM",2,0)+IF(OR(AN334="Dados pessoais",AN334="Dados sensíveis",AN334="Dados pessoais e sensíveis"),2,0)+IF(O334="De 1.001 a 10.000 titulares por mês",1,0)+IF(AA334="SIM",1,0)+IF(R334="SIM",1,0)+IF(AL334="SIM",1,0)+IF(AJ334="NÃO",1,0))&gt;=3,"Avaliação necessária","NÃO"))))</f>
      </c>
      <c r="AR334" s="11"/>
      <c r="AS334" s="113">
        <f>IF(AND(I334="",K334="",AF334="",AL334="",AN334="",O334=""),"",IF(OR(I334="SIM",K334="SIM",AF334="SIM",AL334="SIM",OR(AN334="Dados pessoais",AN334="Dados sensíveis",AN334="Dados pessoais e sensíveis"),O334="Acima de 10.000 titulares por mês",(IF(I334="SIM",2,0)+IF(K334="SIM",2,0)+IF(AF334="SIM",2,0)+IF(OR(AN334="Dados pessoais",AN334="Dados sensíveis",AN334="Dados pessoais e sensíveis"),2,0)+IF(O334="De 1.001 a 10.000 titulares por mês",1,0)+IF(AA334="SIM",1,0)+IF(R334="SIM",1,0)+IF(AL334="SIM",1,0)+IF(AJ334="NÃO",1,0))&gt;=3),"DPIA indicado ou em avaliação em razão de: " &amp; TRIM(IF(I334="SIM","tratamento de dados sensíveis; ","") &amp; IF(K334="SIM","utilização de dados de menores; ","") &amp; IF(AF334="SIM","transferência internacional de dados; ","") &amp; IF(AL334="SIM","utilização de inteligência artificial; ","") &amp; IF(OR(AN334="Dados pessoais",AN334="Dados sensíveis",AN334="Dados pessoais e sensíveis"),"dados inseridos em IA; ","") &amp; IF(O334="Acima de 10.000 titulares por mês","volume crítico de titulares; ","") &amp; IF(O334="De 1.001 a 10.000 titulares por mês","volume moderado de titulares; ","") &amp; IF(AA334="SIM","compartilhamento com terceiros; ","") &amp; IF(R334="SIM","compartilhamento com órgãos governamentais; ","") &amp; IF(AJ334="NÃO","ausência de controle de acesso por perfil; ","")),"DPIA não indicado: Processo de baixa criticidade."))</f>
      </c>
    </row>
    <row x14ac:dyDescent="0.25" r="335" customHeight="1" ht="15.75">
      <c r="A335" s="46"/>
      <c r="B335" s="6"/>
      <c r="C335" s="11"/>
      <c r="D335" s="11"/>
      <c r="E335" s="11"/>
      <c r="F335" s="29"/>
      <c r="G335" s="11"/>
      <c r="H335" s="11"/>
      <c r="I335" s="29"/>
      <c r="J335" s="11"/>
      <c r="K335" s="29"/>
      <c r="L335" s="11"/>
      <c r="M335" s="11"/>
      <c r="N335" s="11"/>
      <c r="O335" s="29"/>
      <c r="P335" s="29"/>
      <c r="Q335" s="11"/>
      <c r="R335" s="29"/>
      <c r="S335" s="11"/>
      <c r="T335" s="6"/>
      <c r="U335" s="29"/>
      <c r="V335" s="11"/>
      <c r="W335" s="11"/>
      <c r="X335" s="29"/>
      <c r="Y335" s="11"/>
      <c r="Z335" s="29"/>
      <c r="AA335" s="29"/>
      <c r="AB335" s="11"/>
      <c r="AC335" s="11"/>
      <c r="AD335" s="29"/>
      <c r="AE335" s="11"/>
      <c r="AF335" s="29"/>
      <c r="AG335" s="11"/>
      <c r="AH335" s="29"/>
      <c r="AI335" s="11"/>
      <c r="AJ335" s="29"/>
      <c r="AK335" s="29"/>
      <c r="AL335" s="29"/>
      <c r="AM335" s="11"/>
      <c r="AN335" s="29"/>
      <c r="AO335" s="29"/>
      <c r="AP335" s="6"/>
      <c r="AQ335" s="113">
        <f>IF(AND(I335="",K335="",AF335="",AL335="",AN335="",O335=""),"",IF(OR(I335="SIM",K335="SIM",AF335="SIM",AL335="SIM",AN335="Dados pessoais",AN335="Dados sensíveis",AN335="Dados pessoais e sensíveis",O335="Acima de 10.000 titulares por mês"),"SIM - Alta criticidade",IF((IF(I335="SIM",2,0)+IF(K335="SIM",2,0)+IF(AF335="SIM",2,0)+IF(OR(AN335="Dados pessoais",AN335="Dados sensíveis",AN335="Dados pessoais e sensíveis"),2,0)+IF(O335="De 1.001 a 10.000 titulares por mês",1,0)+IF(AA335="SIM",1,0)+IF(R335="SIM",1,0)+IF(AL335="SIM",1,0)+IF(AJ335="NÃO",1,0))&gt;=5,"SIM - Alta criticidade",IF((IF(I335="SIM",2,0)+IF(K335="SIM",2,0)+IF(AF335="SIM",2,0)+IF(OR(AN335="Dados pessoais",AN335="Dados sensíveis",AN335="Dados pessoais e sensíveis"),2,0)+IF(O335="De 1.001 a 10.000 titulares por mês",1,0)+IF(AA335="SIM",1,0)+IF(R335="SIM",1,0)+IF(AL335="SIM",1,0)+IF(AJ335="NÃO",1,0))&gt;=3,"Avaliação necessária","NÃO"))))</f>
      </c>
      <c r="AR335" s="11"/>
      <c r="AS335" s="113">
        <f>IF(AND(I335="",K335="",AF335="",AL335="",AN335="",O335=""),"",IF(OR(I335="SIM",K335="SIM",AF335="SIM",AL335="SIM",OR(AN335="Dados pessoais",AN335="Dados sensíveis",AN335="Dados pessoais e sensíveis"),O335="Acima de 10.000 titulares por mês",(IF(I335="SIM",2,0)+IF(K335="SIM",2,0)+IF(AF335="SIM",2,0)+IF(OR(AN335="Dados pessoais",AN335="Dados sensíveis",AN335="Dados pessoais e sensíveis"),2,0)+IF(O335="De 1.001 a 10.000 titulares por mês",1,0)+IF(AA335="SIM",1,0)+IF(R335="SIM",1,0)+IF(AL335="SIM",1,0)+IF(AJ335="NÃO",1,0))&gt;=3),"DPIA indicado ou em avaliação em razão de: " &amp; TRIM(IF(I335="SIM","tratamento de dados sensíveis; ","") &amp; IF(K335="SIM","utilização de dados de menores; ","") &amp; IF(AF335="SIM","transferência internacional de dados; ","") &amp; IF(AL335="SIM","utilização de inteligência artificial; ","") &amp; IF(OR(AN335="Dados pessoais",AN335="Dados sensíveis",AN335="Dados pessoais e sensíveis"),"dados inseridos em IA; ","") &amp; IF(O335="Acima de 10.000 titulares por mês","volume crítico de titulares; ","") &amp; IF(O335="De 1.001 a 10.000 titulares por mês","volume moderado de titulares; ","") &amp; IF(AA335="SIM","compartilhamento com terceiros; ","") &amp; IF(R335="SIM","compartilhamento com órgãos governamentais; ","") &amp; IF(AJ335="NÃO","ausência de controle de acesso por perfil; ","")),"DPIA não indicado: Processo de baixa criticidade."))</f>
      </c>
    </row>
    <row x14ac:dyDescent="0.25" r="336" customHeight="1" ht="15.75">
      <c r="A336" s="46"/>
      <c r="B336" s="6"/>
      <c r="C336" s="11"/>
      <c r="D336" s="11"/>
      <c r="E336" s="11"/>
      <c r="F336" s="29"/>
      <c r="G336" s="11"/>
      <c r="H336" s="11"/>
      <c r="I336" s="29"/>
      <c r="J336" s="11"/>
      <c r="K336" s="29"/>
      <c r="L336" s="11"/>
      <c r="M336" s="11"/>
      <c r="N336" s="11"/>
      <c r="O336" s="29"/>
      <c r="P336" s="29"/>
      <c r="Q336" s="11"/>
      <c r="R336" s="29"/>
      <c r="S336" s="11"/>
      <c r="T336" s="6"/>
      <c r="U336" s="29"/>
      <c r="V336" s="11"/>
      <c r="W336" s="11"/>
      <c r="X336" s="29"/>
      <c r="Y336" s="11"/>
      <c r="Z336" s="29"/>
      <c r="AA336" s="29"/>
      <c r="AB336" s="11"/>
      <c r="AC336" s="11"/>
      <c r="AD336" s="29"/>
      <c r="AE336" s="11"/>
      <c r="AF336" s="29"/>
      <c r="AG336" s="11"/>
      <c r="AH336" s="29"/>
      <c r="AI336" s="11"/>
      <c r="AJ336" s="29"/>
      <c r="AK336" s="29"/>
      <c r="AL336" s="29"/>
      <c r="AM336" s="11"/>
      <c r="AN336" s="29"/>
      <c r="AO336" s="29"/>
      <c r="AP336" s="6"/>
      <c r="AQ336" s="113">
        <f>IF(AND(I336="",K336="",AF336="",AL336="",AN336="",O336=""),"",IF(OR(I336="SIM",K336="SIM",AF336="SIM",AL336="SIM",AN336="Dados pessoais",AN336="Dados sensíveis",AN336="Dados pessoais e sensíveis",O336="Acima de 10.000 titulares por mês"),"SIM - Alta criticidade",IF((IF(I336="SIM",2,0)+IF(K336="SIM",2,0)+IF(AF336="SIM",2,0)+IF(OR(AN336="Dados pessoais",AN336="Dados sensíveis",AN336="Dados pessoais e sensíveis"),2,0)+IF(O336="De 1.001 a 10.000 titulares por mês",1,0)+IF(AA336="SIM",1,0)+IF(R336="SIM",1,0)+IF(AL336="SIM",1,0)+IF(AJ336="NÃO",1,0))&gt;=5,"SIM - Alta criticidade",IF((IF(I336="SIM",2,0)+IF(K336="SIM",2,0)+IF(AF336="SIM",2,0)+IF(OR(AN336="Dados pessoais",AN336="Dados sensíveis",AN336="Dados pessoais e sensíveis"),2,0)+IF(O336="De 1.001 a 10.000 titulares por mês",1,0)+IF(AA336="SIM",1,0)+IF(R336="SIM",1,0)+IF(AL336="SIM",1,0)+IF(AJ336="NÃO",1,0))&gt;=3,"Avaliação necessária","NÃO"))))</f>
      </c>
      <c r="AR336" s="11"/>
      <c r="AS336" s="113">
        <f>IF(AND(I336="",K336="",AF336="",AL336="",AN336="",O336=""),"",IF(OR(I336="SIM",K336="SIM",AF336="SIM",AL336="SIM",OR(AN336="Dados pessoais",AN336="Dados sensíveis",AN336="Dados pessoais e sensíveis"),O336="Acima de 10.000 titulares por mês",(IF(I336="SIM",2,0)+IF(K336="SIM",2,0)+IF(AF336="SIM",2,0)+IF(OR(AN336="Dados pessoais",AN336="Dados sensíveis",AN336="Dados pessoais e sensíveis"),2,0)+IF(O336="De 1.001 a 10.000 titulares por mês",1,0)+IF(AA336="SIM",1,0)+IF(R336="SIM",1,0)+IF(AL336="SIM",1,0)+IF(AJ336="NÃO",1,0))&gt;=3),"DPIA indicado ou em avaliação em razão de: " &amp; TRIM(IF(I336="SIM","tratamento de dados sensíveis; ","") &amp; IF(K336="SIM","utilização de dados de menores; ","") &amp; IF(AF336="SIM","transferência internacional de dados; ","") &amp; IF(AL336="SIM","utilização de inteligência artificial; ","") &amp; IF(OR(AN336="Dados pessoais",AN336="Dados sensíveis",AN336="Dados pessoais e sensíveis"),"dados inseridos em IA; ","") &amp; IF(O336="Acima de 10.000 titulares por mês","volume crítico de titulares; ","") &amp; IF(O336="De 1.001 a 10.000 titulares por mês","volume moderado de titulares; ","") &amp; IF(AA336="SIM","compartilhamento com terceiros; ","") &amp; IF(R336="SIM","compartilhamento com órgãos governamentais; ","") &amp; IF(AJ336="NÃO","ausência de controle de acesso por perfil; ","")),"DPIA não indicado: Processo de baixa criticidade."))</f>
      </c>
    </row>
    <row x14ac:dyDescent="0.25" r="337" customHeight="1" ht="15.75">
      <c r="A337" s="46"/>
      <c r="B337" s="6"/>
      <c r="C337" s="11"/>
      <c r="D337" s="11"/>
      <c r="E337" s="11"/>
      <c r="F337" s="29"/>
      <c r="G337" s="11"/>
      <c r="H337" s="11"/>
      <c r="I337" s="29"/>
      <c r="J337" s="11"/>
      <c r="K337" s="29"/>
      <c r="L337" s="11"/>
      <c r="M337" s="11"/>
      <c r="N337" s="11"/>
      <c r="O337" s="29"/>
      <c r="P337" s="29"/>
      <c r="Q337" s="11"/>
      <c r="R337" s="29"/>
      <c r="S337" s="11"/>
      <c r="T337" s="6"/>
      <c r="U337" s="29"/>
      <c r="V337" s="11"/>
      <c r="W337" s="11"/>
      <c r="X337" s="29"/>
      <c r="Y337" s="11"/>
      <c r="Z337" s="29"/>
      <c r="AA337" s="29"/>
      <c r="AB337" s="11"/>
      <c r="AC337" s="11"/>
      <c r="AD337" s="29"/>
      <c r="AE337" s="11"/>
      <c r="AF337" s="29"/>
      <c r="AG337" s="11"/>
      <c r="AH337" s="29"/>
      <c r="AI337" s="11"/>
      <c r="AJ337" s="29"/>
      <c r="AK337" s="29"/>
      <c r="AL337" s="29"/>
      <c r="AM337" s="11"/>
      <c r="AN337" s="29"/>
      <c r="AO337" s="29"/>
      <c r="AP337" s="6"/>
      <c r="AQ337" s="113">
        <f>IF(AND(I337="",K337="",AF337="",AL337="",AN337="",O337=""),"",IF(OR(I337="SIM",K337="SIM",AF337="SIM",AL337="SIM",AN337="Dados pessoais",AN337="Dados sensíveis",AN337="Dados pessoais e sensíveis",O337="Acima de 10.000 titulares por mês"),"SIM - Alta criticidade",IF((IF(I337="SIM",2,0)+IF(K337="SIM",2,0)+IF(AF337="SIM",2,0)+IF(OR(AN337="Dados pessoais",AN337="Dados sensíveis",AN337="Dados pessoais e sensíveis"),2,0)+IF(O337="De 1.001 a 10.000 titulares por mês",1,0)+IF(AA337="SIM",1,0)+IF(R337="SIM",1,0)+IF(AL337="SIM",1,0)+IF(AJ337="NÃO",1,0))&gt;=5,"SIM - Alta criticidade",IF((IF(I337="SIM",2,0)+IF(K337="SIM",2,0)+IF(AF337="SIM",2,0)+IF(OR(AN337="Dados pessoais",AN337="Dados sensíveis",AN337="Dados pessoais e sensíveis"),2,0)+IF(O337="De 1.001 a 10.000 titulares por mês",1,0)+IF(AA337="SIM",1,0)+IF(R337="SIM",1,0)+IF(AL337="SIM",1,0)+IF(AJ337="NÃO",1,0))&gt;=3,"Avaliação necessária","NÃO"))))</f>
      </c>
      <c r="AR337" s="11"/>
      <c r="AS337" s="113">
        <f>IF(AND(I337="",K337="",AF337="",AL337="",AN337="",O337=""),"",IF(OR(I337="SIM",K337="SIM",AF337="SIM",AL337="SIM",OR(AN337="Dados pessoais",AN337="Dados sensíveis",AN337="Dados pessoais e sensíveis"),O337="Acima de 10.000 titulares por mês",(IF(I337="SIM",2,0)+IF(K337="SIM",2,0)+IF(AF337="SIM",2,0)+IF(OR(AN337="Dados pessoais",AN337="Dados sensíveis",AN337="Dados pessoais e sensíveis"),2,0)+IF(O337="De 1.001 a 10.000 titulares por mês",1,0)+IF(AA337="SIM",1,0)+IF(R337="SIM",1,0)+IF(AL337="SIM",1,0)+IF(AJ337="NÃO",1,0))&gt;=3),"DPIA indicado ou em avaliação em razão de: " &amp; TRIM(IF(I337="SIM","tratamento de dados sensíveis; ","") &amp; IF(K337="SIM","utilização de dados de menores; ","") &amp; IF(AF337="SIM","transferência internacional de dados; ","") &amp; IF(AL337="SIM","utilização de inteligência artificial; ","") &amp; IF(OR(AN337="Dados pessoais",AN337="Dados sensíveis",AN337="Dados pessoais e sensíveis"),"dados inseridos em IA; ","") &amp; IF(O337="Acima de 10.000 titulares por mês","volume crítico de titulares; ","") &amp; IF(O337="De 1.001 a 10.000 titulares por mês","volume moderado de titulares; ","") &amp; IF(AA337="SIM","compartilhamento com terceiros; ","") &amp; IF(R337="SIM","compartilhamento com órgãos governamentais; ","") &amp; IF(AJ337="NÃO","ausência de controle de acesso por perfil; ","")),"DPIA não indicado: Processo de baixa criticidade."))</f>
      </c>
    </row>
    <row x14ac:dyDescent="0.25" r="338" customHeight="1" ht="15.75">
      <c r="A338" s="46"/>
      <c r="B338" s="6"/>
      <c r="C338" s="11"/>
      <c r="D338" s="11"/>
      <c r="E338" s="11"/>
      <c r="F338" s="29"/>
      <c r="G338" s="11"/>
      <c r="H338" s="11"/>
      <c r="I338" s="29"/>
      <c r="J338" s="11"/>
      <c r="K338" s="29"/>
      <c r="L338" s="11"/>
      <c r="M338" s="11"/>
      <c r="N338" s="11"/>
      <c r="O338" s="29"/>
      <c r="P338" s="29"/>
      <c r="Q338" s="11"/>
      <c r="R338" s="29"/>
      <c r="S338" s="11"/>
      <c r="T338" s="6"/>
      <c r="U338" s="29"/>
      <c r="V338" s="11"/>
      <c r="W338" s="11"/>
      <c r="X338" s="29"/>
      <c r="Y338" s="11"/>
      <c r="Z338" s="29"/>
      <c r="AA338" s="29"/>
      <c r="AB338" s="11"/>
      <c r="AC338" s="11"/>
      <c r="AD338" s="29"/>
      <c r="AE338" s="11"/>
      <c r="AF338" s="29"/>
      <c r="AG338" s="11"/>
      <c r="AH338" s="29"/>
      <c r="AI338" s="11"/>
      <c r="AJ338" s="29"/>
      <c r="AK338" s="29"/>
      <c r="AL338" s="29"/>
      <c r="AM338" s="11"/>
      <c r="AN338" s="29"/>
      <c r="AO338" s="29"/>
      <c r="AP338" s="6"/>
      <c r="AQ338" s="113">
        <f>IF(AND(I338="",K338="",AF338="",AL338="",AN338="",O338=""),"",IF(OR(I338="SIM",K338="SIM",AF338="SIM",AL338="SIM",AN338="Dados pessoais",AN338="Dados sensíveis",AN338="Dados pessoais e sensíveis",O338="Acima de 10.000 titulares por mês"),"SIM - Alta criticidade",IF((IF(I338="SIM",2,0)+IF(K338="SIM",2,0)+IF(AF338="SIM",2,0)+IF(OR(AN338="Dados pessoais",AN338="Dados sensíveis",AN338="Dados pessoais e sensíveis"),2,0)+IF(O338="De 1.001 a 10.000 titulares por mês",1,0)+IF(AA338="SIM",1,0)+IF(R338="SIM",1,0)+IF(AL338="SIM",1,0)+IF(AJ338="NÃO",1,0))&gt;=5,"SIM - Alta criticidade",IF((IF(I338="SIM",2,0)+IF(K338="SIM",2,0)+IF(AF338="SIM",2,0)+IF(OR(AN338="Dados pessoais",AN338="Dados sensíveis",AN338="Dados pessoais e sensíveis"),2,0)+IF(O338="De 1.001 a 10.000 titulares por mês",1,0)+IF(AA338="SIM",1,0)+IF(R338="SIM",1,0)+IF(AL338="SIM",1,0)+IF(AJ338="NÃO",1,0))&gt;=3,"Avaliação necessária","NÃO"))))</f>
      </c>
      <c r="AR338" s="11"/>
      <c r="AS338" s="113">
        <f>IF(AND(I338="",K338="",AF338="",AL338="",AN338="",O338=""),"",IF(OR(I338="SIM",K338="SIM",AF338="SIM",AL338="SIM",OR(AN338="Dados pessoais",AN338="Dados sensíveis",AN338="Dados pessoais e sensíveis"),O338="Acima de 10.000 titulares por mês",(IF(I338="SIM",2,0)+IF(K338="SIM",2,0)+IF(AF338="SIM",2,0)+IF(OR(AN338="Dados pessoais",AN338="Dados sensíveis",AN338="Dados pessoais e sensíveis"),2,0)+IF(O338="De 1.001 a 10.000 titulares por mês",1,0)+IF(AA338="SIM",1,0)+IF(R338="SIM",1,0)+IF(AL338="SIM",1,0)+IF(AJ338="NÃO",1,0))&gt;=3),"DPIA indicado ou em avaliação em razão de: " &amp; TRIM(IF(I338="SIM","tratamento de dados sensíveis; ","") &amp; IF(K338="SIM","utilização de dados de menores; ","") &amp; IF(AF338="SIM","transferência internacional de dados; ","") &amp; IF(AL338="SIM","utilização de inteligência artificial; ","") &amp; IF(OR(AN338="Dados pessoais",AN338="Dados sensíveis",AN338="Dados pessoais e sensíveis"),"dados inseridos em IA; ","") &amp; IF(O338="Acima de 10.000 titulares por mês","volume crítico de titulares; ","") &amp; IF(O338="De 1.001 a 10.000 titulares por mês","volume moderado de titulares; ","") &amp; IF(AA338="SIM","compartilhamento com terceiros; ","") &amp; IF(R338="SIM","compartilhamento com órgãos governamentais; ","") &amp; IF(AJ338="NÃO","ausência de controle de acesso por perfil; ","")),"DPIA não indicado: Processo de baixa criticidade."))</f>
      </c>
    </row>
    <row x14ac:dyDescent="0.25" r="339" customHeight="1" ht="15.75">
      <c r="A339" s="46"/>
      <c r="B339" s="6"/>
      <c r="C339" s="11"/>
      <c r="D339" s="11"/>
      <c r="E339" s="11"/>
      <c r="F339" s="29"/>
      <c r="G339" s="11"/>
      <c r="H339" s="11"/>
      <c r="I339" s="29"/>
      <c r="J339" s="11"/>
      <c r="K339" s="29"/>
      <c r="L339" s="11"/>
      <c r="M339" s="11"/>
      <c r="N339" s="11"/>
      <c r="O339" s="29"/>
      <c r="P339" s="29"/>
      <c r="Q339" s="11"/>
      <c r="R339" s="29"/>
      <c r="S339" s="11"/>
      <c r="T339" s="6"/>
      <c r="U339" s="29"/>
      <c r="V339" s="11"/>
      <c r="W339" s="11"/>
      <c r="X339" s="29"/>
      <c r="Y339" s="11"/>
      <c r="Z339" s="29"/>
      <c r="AA339" s="29"/>
      <c r="AB339" s="11"/>
      <c r="AC339" s="11"/>
      <c r="AD339" s="29"/>
      <c r="AE339" s="11"/>
      <c r="AF339" s="29"/>
      <c r="AG339" s="11"/>
      <c r="AH339" s="29"/>
      <c r="AI339" s="11"/>
      <c r="AJ339" s="29"/>
      <c r="AK339" s="29"/>
      <c r="AL339" s="29"/>
      <c r="AM339" s="11"/>
      <c r="AN339" s="29"/>
      <c r="AO339" s="29"/>
      <c r="AP339" s="6"/>
      <c r="AQ339" s="113">
        <f>IF(AND(I339="",K339="",AF339="",AL339="",AN339="",O339=""),"",IF(OR(I339="SIM",K339="SIM",AF339="SIM",AL339="SIM",AN339="Dados pessoais",AN339="Dados sensíveis",AN339="Dados pessoais e sensíveis",O339="Acima de 10.000 titulares por mês"),"SIM - Alta criticidade",IF((IF(I339="SIM",2,0)+IF(K339="SIM",2,0)+IF(AF339="SIM",2,0)+IF(OR(AN339="Dados pessoais",AN339="Dados sensíveis",AN339="Dados pessoais e sensíveis"),2,0)+IF(O339="De 1.001 a 10.000 titulares por mês",1,0)+IF(AA339="SIM",1,0)+IF(R339="SIM",1,0)+IF(AL339="SIM",1,0)+IF(AJ339="NÃO",1,0))&gt;=5,"SIM - Alta criticidade",IF((IF(I339="SIM",2,0)+IF(K339="SIM",2,0)+IF(AF339="SIM",2,0)+IF(OR(AN339="Dados pessoais",AN339="Dados sensíveis",AN339="Dados pessoais e sensíveis"),2,0)+IF(O339="De 1.001 a 10.000 titulares por mês",1,0)+IF(AA339="SIM",1,0)+IF(R339="SIM",1,0)+IF(AL339="SIM",1,0)+IF(AJ339="NÃO",1,0))&gt;=3,"Avaliação necessária","NÃO"))))</f>
      </c>
      <c r="AR339" s="11"/>
      <c r="AS339" s="113">
        <f>IF(AND(I339="",K339="",AF339="",AL339="",AN339="",O339=""),"",IF(OR(I339="SIM",K339="SIM",AF339="SIM",AL339="SIM",OR(AN339="Dados pessoais",AN339="Dados sensíveis",AN339="Dados pessoais e sensíveis"),O339="Acima de 10.000 titulares por mês",(IF(I339="SIM",2,0)+IF(K339="SIM",2,0)+IF(AF339="SIM",2,0)+IF(OR(AN339="Dados pessoais",AN339="Dados sensíveis",AN339="Dados pessoais e sensíveis"),2,0)+IF(O339="De 1.001 a 10.000 titulares por mês",1,0)+IF(AA339="SIM",1,0)+IF(R339="SIM",1,0)+IF(AL339="SIM",1,0)+IF(AJ339="NÃO",1,0))&gt;=3),"DPIA indicado ou em avaliação em razão de: " &amp; TRIM(IF(I339="SIM","tratamento de dados sensíveis; ","") &amp; IF(K339="SIM","utilização de dados de menores; ","") &amp; IF(AF339="SIM","transferência internacional de dados; ","") &amp; IF(AL339="SIM","utilização de inteligência artificial; ","") &amp; IF(OR(AN339="Dados pessoais",AN339="Dados sensíveis",AN339="Dados pessoais e sensíveis"),"dados inseridos em IA; ","") &amp; IF(O339="Acima de 10.000 titulares por mês","volume crítico de titulares; ","") &amp; IF(O339="De 1.001 a 10.000 titulares por mês","volume moderado de titulares; ","") &amp; IF(AA339="SIM","compartilhamento com terceiros; ","") &amp; IF(R339="SIM","compartilhamento com órgãos governamentais; ","") &amp; IF(AJ339="NÃO","ausência de controle de acesso por perfil; ","")),"DPIA não indicado: Processo de baixa criticidade."))</f>
      </c>
    </row>
    <row x14ac:dyDescent="0.25" r="340" customHeight="1" ht="15.75">
      <c r="A340" s="46"/>
      <c r="B340" s="6"/>
      <c r="C340" s="11"/>
      <c r="D340" s="11"/>
      <c r="E340" s="11"/>
      <c r="F340" s="29"/>
      <c r="G340" s="11"/>
      <c r="H340" s="11"/>
      <c r="I340" s="29"/>
      <c r="J340" s="11"/>
      <c r="K340" s="29"/>
      <c r="L340" s="11"/>
      <c r="M340" s="11"/>
      <c r="N340" s="11"/>
      <c r="O340" s="29"/>
      <c r="P340" s="29"/>
      <c r="Q340" s="11"/>
      <c r="R340" s="29"/>
      <c r="S340" s="11"/>
      <c r="T340" s="6"/>
      <c r="U340" s="29"/>
      <c r="V340" s="11"/>
      <c r="W340" s="11"/>
      <c r="X340" s="29"/>
      <c r="Y340" s="11"/>
      <c r="Z340" s="29"/>
      <c r="AA340" s="29"/>
      <c r="AB340" s="11"/>
      <c r="AC340" s="11"/>
      <c r="AD340" s="29"/>
      <c r="AE340" s="11"/>
      <c r="AF340" s="29"/>
      <c r="AG340" s="11"/>
      <c r="AH340" s="29"/>
      <c r="AI340" s="11"/>
      <c r="AJ340" s="29"/>
      <c r="AK340" s="29"/>
      <c r="AL340" s="29"/>
      <c r="AM340" s="11"/>
      <c r="AN340" s="29"/>
      <c r="AO340" s="29"/>
      <c r="AP340" s="6"/>
      <c r="AQ340" s="113">
        <f>IF(AND(I340="",K340="",AF340="",AL340="",AN340="",O340=""),"",IF(OR(I340="SIM",K340="SIM",AF340="SIM",AL340="SIM",AN340="Dados pessoais",AN340="Dados sensíveis",AN340="Dados pessoais e sensíveis",O340="Acima de 10.000 titulares por mês"),"SIM - Alta criticidade",IF((IF(I340="SIM",2,0)+IF(K340="SIM",2,0)+IF(AF340="SIM",2,0)+IF(OR(AN340="Dados pessoais",AN340="Dados sensíveis",AN340="Dados pessoais e sensíveis"),2,0)+IF(O340="De 1.001 a 10.000 titulares por mês",1,0)+IF(AA340="SIM",1,0)+IF(R340="SIM",1,0)+IF(AL340="SIM",1,0)+IF(AJ340="NÃO",1,0))&gt;=5,"SIM - Alta criticidade",IF((IF(I340="SIM",2,0)+IF(K340="SIM",2,0)+IF(AF340="SIM",2,0)+IF(OR(AN340="Dados pessoais",AN340="Dados sensíveis",AN340="Dados pessoais e sensíveis"),2,0)+IF(O340="De 1.001 a 10.000 titulares por mês",1,0)+IF(AA340="SIM",1,0)+IF(R340="SIM",1,0)+IF(AL340="SIM",1,0)+IF(AJ340="NÃO",1,0))&gt;=3,"Avaliação necessária","NÃO"))))</f>
      </c>
      <c r="AR340" s="11"/>
      <c r="AS340" s="113">
        <f>IF(AND(I340="",K340="",AF340="",AL340="",AN340="",O340=""),"",IF(OR(I340="SIM",K340="SIM",AF340="SIM",AL340="SIM",OR(AN340="Dados pessoais",AN340="Dados sensíveis",AN340="Dados pessoais e sensíveis"),O340="Acima de 10.000 titulares por mês",(IF(I340="SIM",2,0)+IF(K340="SIM",2,0)+IF(AF340="SIM",2,0)+IF(OR(AN340="Dados pessoais",AN340="Dados sensíveis",AN340="Dados pessoais e sensíveis"),2,0)+IF(O340="De 1.001 a 10.000 titulares por mês",1,0)+IF(AA340="SIM",1,0)+IF(R340="SIM",1,0)+IF(AL340="SIM",1,0)+IF(AJ340="NÃO",1,0))&gt;=3),"DPIA indicado ou em avaliação em razão de: " &amp; TRIM(IF(I340="SIM","tratamento de dados sensíveis; ","") &amp; IF(K340="SIM","utilização de dados de menores; ","") &amp; IF(AF340="SIM","transferência internacional de dados; ","") &amp; IF(AL340="SIM","utilização de inteligência artificial; ","") &amp; IF(OR(AN340="Dados pessoais",AN340="Dados sensíveis",AN340="Dados pessoais e sensíveis"),"dados inseridos em IA; ","") &amp; IF(O340="Acima de 10.000 titulares por mês","volume crítico de titulares; ","") &amp; IF(O340="De 1.001 a 10.000 titulares por mês","volume moderado de titulares; ","") &amp; IF(AA340="SIM","compartilhamento com terceiros; ","") &amp; IF(R340="SIM","compartilhamento com órgãos governamentais; ","") &amp; IF(AJ340="NÃO","ausência de controle de acesso por perfil; ","")),"DPIA não indicado: Processo de baixa criticidade."))</f>
      </c>
    </row>
    <row x14ac:dyDescent="0.25" r="341" customHeight="1" ht="15.75">
      <c r="A341" s="46"/>
      <c r="B341" s="6"/>
      <c r="C341" s="11"/>
      <c r="D341" s="11"/>
      <c r="E341" s="11"/>
      <c r="F341" s="29"/>
      <c r="G341" s="11"/>
      <c r="H341" s="11"/>
      <c r="I341" s="29"/>
      <c r="J341" s="11"/>
      <c r="K341" s="29"/>
      <c r="L341" s="11"/>
      <c r="M341" s="11"/>
      <c r="N341" s="11"/>
      <c r="O341" s="29"/>
      <c r="P341" s="29"/>
      <c r="Q341" s="11"/>
      <c r="R341" s="29"/>
      <c r="S341" s="11"/>
      <c r="T341" s="6"/>
      <c r="U341" s="29"/>
      <c r="V341" s="11"/>
      <c r="W341" s="11"/>
      <c r="X341" s="29"/>
      <c r="Y341" s="11"/>
      <c r="Z341" s="29"/>
      <c r="AA341" s="29"/>
      <c r="AB341" s="11"/>
      <c r="AC341" s="11"/>
      <c r="AD341" s="29"/>
      <c r="AE341" s="11"/>
      <c r="AF341" s="29"/>
      <c r="AG341" s="11"/>
      <c r="AH341" s="29"/>
      <c r="AI341" s="11"/>
      <c r="AJ341" s="29"/>
      <c r="AK341" s="29"/>
      <c r="AL341" s="29"/>
      <c r="AM341" s="11"/>
      <c r="AN341" s="29"/>
      <c r="AO341" s="29"/>
      <c r="AP341" s="6"/>
      <c r="AQ341" s="113">
        <f>IF(AND(I341="",K341="",AF341="",AL341="",AN341="",O341=""),"",IF(OR(I341="SIM",K341="SIM",AF341="SIM",AL341="SIM",AN341="Dados pessoais",AN341="Dados sensíveis",AN341="Dados pessoais e sensíveis",O341="Acima de 10.000 titulares por mês"),"SIM - Alta criticidade",IF((IF(I341="SIM",2,0)+IF(K341="SIM",2,0)+IF(AF341="SIM",2,0)+IF(OR(AN341="Dados pessoais",AN341="Dados sensíveis",AN341="Dados pessoais e sensíveis"),2,0)+IF(O341="De 1.001 a 10.000 titulares por mês",1,0)+IF(AA341="SIM",1,0)+IF(R341="SIM",1,0)+IF(AL341="SIM",1,0)+IF(AJ341="NÃO",1,0))&gt;=5,"SIM - Alta criticidade",IF((IF(I341="SIM",2,0)+IF(K341="SIM",2,0)+IF(AF341="SIM",2,0)+IF(OR(AN341="Dados pessoais",AN341="Dados sensíveis",AN341="Dados pessoais e sensíveis"),2,0)+IF(O341="De 1.001 a 10.000 titulares por mês",1,0)+IF(AA341="SIM",1,0)+IF(R341="SIM",1,0)+IF(AL341="SIM",1,0)+IF(AJ341="NÃO",1,0))&gt;=3,"Avaliação necessária","NÃO"))))</f>
      </c>
      <c r="AR341" s="11"/>
      <c r="AS341" s="113">
        <f>IF(AND(I341="",K341="",AF341="",AL341="",AN341="",O341=""),"",IF(OR(I341="SIM",K341="SIM",AF341="SIM",AL341="SIM",OR(AN341="Dados pessoais",AN341="Dados sensíveis",AN341="Dados pessoais e sensíveis"),O341="Acima de 10.000 titulares por mês",(IF(I341="SIM",2,0)+IF(K341="SIM",2,0)+IF(AF341="SIM",2,0)+IF(OR(AN341="Dados pessoais",AN341="Dados sensíveis",AN341="Dados pessoais e sensíveis"),2,0)+IF(O341="De 1.001 a 10.000 titulares por mês",1,0)+IF(AA341="SIM",1,0)+IF(R341="SIM",1,0)+IF(AL341="SIM",1,0)+IF(AJ341="NÃO",1,0))&gt;=3),"DPIA indicado ou em avaliação em razão de: " &amp; TRIM(IF(I341="SIM","tratamento de dados sensíveis; ","") &amp; IF(K341="SIM","utilização de dados de menores; ","") &amp; IF(AF341="SIM","transferência internacional de dados; ","") &amp; IF(AL341="SIM","utilização de inteligência artificial; ","") &amp; IF(OR(AN341="Dados pessoais",AN341="Dados sensíveis",AN341="Dados pessoais e sensíveis"),"dados inseridos em IA; ","") &amp; IF(O341="Acima de 10.000 titulares por mês","volume crítico de titulares; ","") &amp; IF(O341="De 1.001 a 10.000 titulares por mês","volume moderado de titulares; ","") &amp; IF(AA341="SIM","compartilhamento com terceiros; ","") &amp; IF(R341="SIM","compartilhamento com órgãos governamentais; ","") &amp; IF(AJ341="NÃO","ausência de controle de acesso por perfil; ","")),"DPIA não indicado: Processo de baixa criticidade."))</f>
      </c>
    </row>
    <row x14ac:dyDescent="0.25" r="342" customHeight="1" ht="15.75">
      <c r="A342" s="46"/>
      <c r="B342" s="6"/>
      <c r="C342" s="11"/>
      <c r="D342" s="11"/>
      <c r="E342" s="11"/>
      <c r="F342" s="29"/>
      <c r="G342" s="11"/>
      <c r="H342" s="11"/>
      <c r="I342" s="29"/>
      <c r="J342" s="11"/>
      <c r="K342" s="29"/>
      <c r="L342" s="11"/>
      <c r="M342" s="11"/>
      <c r="N342" s="11"/>
      <c r="O342" s="29"/>
      <c r="P342" s="29"/>
      <c r="Q342" s="11"/>
      <c r="R342" s="29"/>
      <c r="S342" s="11"/>
      <c r="T342" s="6"/>
      <c r="U342" s="29"/>
      <c r="V342" s="11"/>
      <c r="W342" s="11"/>
      <c r="X342" s="29"/>
      <c r="Y342" s="11"/>
      <c r="Z342" s="29"/>
      <c r="AA342" s="29"/>
      <c r="AB342" s="11"/>
      <c r="AC342" s="11"/>
      <c r="AD342" s="29"/>
      <c r="AE342" s="11"/>
      <c r="AF342" s="29"/>
      <c r="AG342" s="11"/>
      <c r="AH342" s="29"/>
      <c r="AI342" s="11"/>
      <c r="AJ342" s="29"/>
      <c r="AK342" s="29"/>
      <c r="AL342" s="29"/>
      <c r="AM342" s="11"/>
      <c r="AN342" s="29"/>
      <c r="AO342" s="29"/>
      <c r="AP342" s="6"/>
      <c r="AQ342" s="113">
        <f>IF(AND(I342="",K342="",AF342="",AL342="",AN342="",O342=""),"",IF(OR(I342="SIM",K342="SIM",AF342="SIM",AL342="SIM",AN342="Dados pessoais",AN342="Dados sensíveis",AN342="Dados pessoais e sensíveis",O342="Acima de 10.000 titulares por mês"),"SIM - Alta criticidade",IF((IF(I342="SIM",2,0)+IF(K342="SIM",2,0)+IF(AF342="SIM",2,0)+IF(OR(AN342="Dados pessoais",AN342="Dados sensíveis",AN342="Dados pessoais e sensíveis"),2,0)+IF(O342="De 1.001 a 10.000 titulares por mês",1,0)+IF(AA342="SIM",1,0)+IF(R342="SIM",1,0)+IF(AL342="SIM",1,0)+IF(AJ342="NÃO",1,0))&gt;=5,"SIM - Alta criticidade",IF((IF(I342="SIM",2,0)+IF(K342="SIM",2,0)+IF(AF342="SIM",2,0)+IF(OR(AN342="Dados pessoais",AN342="Dados sensíveis",AN342="Dados pessoais e sensíveis"),2,0)+IF(O342="De 1.001 a 10.000 titulares por mês",1,0)+IF(AA342="SIM",1,0)+IF(R342="SIM",1,0)+IF(AL342="SIM",1,0)+IF(AJ342="NÃO",1,0))&gt;=3,"Avaliação necessária","NÃO"))))</f>
      </c>
      <c r="AR342" s="11"/>
      <c r="AS342" s="113">
        <f>IF(AND(I342="",K342="",AF342="",AL342="",AN342="",O342=""),"",IF(OR(I342="SIM",K342="SIM",AF342="SIM",AL342="SIM",OR(AN342="Dados pessoais",AN342="Dados sensíveis",AN342="Dados pessoais e sensíveis"),O342="Acima de 10.000 titulares por mês",(IF(I342="SIM",2,0)+IF(K342="SIM",2,0)+IF(AF342="SIM",2,0)+IF(OR(AN342="Dados pessoais",AN342="Dados sensíveis",AN342="Dados pessoais e sensíveis"),2,0)+IF(O342="De 1.001 a 10.000 titulares por mês",1,0)+IF(AA342="SIM",1,0)+IF(R342="SIM",1,0)+IF(AL342="SIM",1,0)+IF(AJ342="NÃO",1,0))&gt;=3),"DPIA indicado ou em avaliação em razão de: " &amp; TRIM(IF(I342="SIM","tratamento de dados sensíveis; ","") &amp; IF(K342="SIM","utilização de dados de menores; ","") &amp; IF(AF342="SIM","transferência internacional de dados; ","") &amp; IF(AL342="SIM","utilização de inteligência artificial; ","") &amp; IF(OR(AN342="Dados pessoais",AN342="Dados sensíveis",AN342="Dados pessoais e sensíveis"),"dados inseridos em IA; ","") &amp; IF(O342="Acima de 10.000 titulares por mês","volume crítico de titulares; ","") &amp; IF(O342="De 1.001 a 10.000 titulares por mês","volume moderado de titulares; ","") &amp; IF(AA342="SIM","compartilhamento com terceiros; ","") &amp; IF(R342="SIM","compartilhamento com órgãos governamentais; ","") &amp; IF(AJ342="NÃO","ausência de controle de acesso por perfil; ","")),"DPIA não indicado: Processo de baixa criticidade."))</f>
      </c>
    </row>
    <row x14ac:dyDescent="0.25" r="343" customHeight="1" ht="15.75">
      <c r="A343" s="46"/>
      <c r="B343" s="6"/>
      <c r="C343" s="11"/>
      <c r="D343" s="11"/>
      <c r="E343" s="11"/>
      <c r="F343" s="29"/>
      <c r="G343" s="11"/>
      <c r="H343" s="11"/>
      <c r="I343" s="29"/>
      <c r="J343" s="11"/>
      <c r="K343" s="29"/>
      <c r="L343" s="11"/>
      <c r="M343" s="11"/>
      <c r="N343" s="11"/>
      <c r="O343" s="29"/>
      <c r="P343" s="29"/>
      <c r="Q343" s="11"/>
      <c r="R343" s="29"/>
      <c r="S343" s="11"/>
      <c r="T343" s="6"/>
      <c r="U343" s="29"/>
      <c r="V343" s="11"/>
      <c r="W343" s="11"/>
      <c r="X343" s="29"/>
      <c r="Y343" s="11"/>
      <c r="Z343" s="29"/>
      <c r="AA343" s="29"/>
      <c r="AB343" s="11"/>
      <c r="AC343" s="11"/>
      <c r="AD343" s="29"/>
      <c r="AE343" s="11"/>
      <c r="AF343" s="29"/>
      <c r="AG343" s="11"/>
      <c r="AH343" s="29"/>
      <c r="AI343" s="11"/>
      <c r="AJ343" s="29"/>
      <c r="AK343" s="29"/>
      <c r="AL343" s="29"/>
      <c r="AM343" s="11"/>
      <c r="AN343" s="29"/>
      <c r="AO343" s="29"/>
      <c r="AP343" s="6"/>
      <c r="AQ343" s="113">
        <f>IF(AND(I343="",K343="",AF343="",AL343="",AN343="",O343=""),"",IF(OR(I343="SIM",K343="SIM",AF343="SIM",AL343="SIM",AN343="Dados pessoais",AN343="Dados sensíveis",AN343="Dados pessoais e sensíveis",O343="Acima de 10.000 titulares por mês"),"SIM - Alta criticidade",IF((IF(I343="SIM",2,0)+IF(K343="SIM",2,0)+IF(AF343="SIM",2,0)+IF(OR(AN343="Dados pessoais",AN343="Dados sensíveis",AN343="Dados pessoais e sensíveis"),2,0)+IF(O343="De 1.001 a 10.000 titulares por mês",1,0)+IF(AA343="SIM",1,0)+IF(R343="SIM",1,0)+IF(AL343="SIM",1,0)+IF(AJ343="NÃO",1,0))&gt;=5,"SIM - Alta criticidade",IF((IF(I343="SIM",2,0)+IF(K343="SIM",2,0)+IF(AF343="SIM",2,0)+IF(OR(AN343="Dados pessoais",AN343="Dados sensíveis",AN343="Dados pessoais e sensíveis"),2,0)+IF(O343="De 1.001 a 10.000 titulares por mês",1,0)+IF(AA343="SIM",1,0)+IF(R343="SIM",1,0)+IF(AL343="SIM",1,0)+IF(AJ343="NÃO",1,0))&gt;=3,"Avaliação necessária","NÃO"))))</f>
      </c>
      <c r="AR343" s="11"/>
      <c r="AS343" s="113">
        <f>IF(AND(I343="",K343="",AF343="",AL343="",AN343="",O343=""),"",IF(OR(I343="SIM",K343="SIM",AF343="SIM",AL343="SIM",OR(AN343="Dados pessoais",AN343="Dados sensíveis",AN343="Dados pessoais e sensíveis"),O343="Acima de 10.000 titulares por mês",(IF(I343="SIM",2,0)+IF(K343="SIM",2,0)+IF(AF343="SIM",2,0)+IF(OR(AN343="Dados pessoais",AN343="Dados sensíveis",AN343="Dados pessoais e sensíveis"),2,0)+IF(O343="De 1.001 a 10.000 titulares por mês",1,0)+IF(AA343="SIM",1,0)+IF(R343="SIM",1,0)+IF(AL343="SIM",1,0)+IF(AJ343="NÃO",1,0))&gt;=3),"DPIA indicado ou em avaliação em razão de: " &amp; TRIM(IF(I343="SIM","tratamento de dados sensíveis; ","") &amp; IF(K343="SIM","utilização de dados de menores; ","") &amp; IF(AF343="SIM","transferência internacional de dados; ","") &amp; IF(AL343="SIM","utilização de inteligência artificial; ","") &amp; IF(OR(AN343="Dados pessoais",AN343="Dados sensíveis",AN343="Dados pessoais e sensíveis"),"dados inseridos em IA; ","") &amp; IF(O343="Acima de 10.000 titulares por mês","volume crítico de titulares; ","") &amp; IF(O343="De 1.001 a 10.000 titulares por mês","volume moderado de titulares; ","") &amp; IF(AA343="SIM","compartilhamento com terceiros; ","") &amp; IF(R343="SIM","compartilhamento com órgãos governamentais; ","") &amp; IF(AJ343="NÃO","ausência de controle de acesso por perfil; ","")),"DPIA não indicado: Processo de baixa criticidade."))</f>
      </c>
    </row>
    <row x14ac:dyDescent="0.25" r="344" customHeight="1" ht="15.75">
      <c r="A344" s="46"/>
      <c r="B344" s="6"/>
      <c r="C344" s="11"/>
      <c r="D344" s="11"/>
      <c r="E344" s="11"/>
      <c r="F344" s="29"/>
      <c r="G344" s="11"/>
      <c r="H344" s="11"/>
      <c r="I344" s="29"/>
      <c r="J344" s="11"/>
      <c r="K344" s="29"/>
      <c r="L344" s="11"/>
      <c r="M344" s="11"/>
      <c r="N344" s="11"/>
      <c r="O344" s="29"/>
      <c r="P344" s="29"/>
      <c r="Q344" s="11"/>
      <c r="R344" s="29"/>
      <c r="S344" s="11"/>
      <c r="T344" s="6"/>
      <c r="U344" s="29"/>
      <c r="V344" s="11"/>
      <c r="W344" s="11"/>
      <c r="X344" s="29"/>
      <c r="Y344" s="11"/>
      <c r="Z344" s="29"/>
      <c r="AA344" s="29"/>
      <c r="AB344" s="11"/>
      <c r="AC344" s="11"/>
      <c r="AD344" s="29"/>
      <c r="AE344" s="11"/>
      <c r="AF344" s="29"/>
      <c r="AG344" s="11"/>
      <c r="AH344" s="29"/>
      <c r="AI344" s="11"/>
      <c r="AJ344" s="29"/>
      <c r="AK344" s="29"/>
      <c r="AL344" s="29"/>
      <c r="AM344" s="11"/>
      <c r="AN344" s="29"/>
      <c r="AO344" s="29"/>
      <c r="AP344" s="6"/>
      <c r="AQ344" s="113">
        <f>IF(AND(I344="",K344="",AF344="",AL344="",AN344="",O344=""),"",IF(OR(I344="SIM",K344="SIM",AF344="SIM",AL344="SIM",AN344="Dados pessoais",AN344="Dados sensíveis",AN344="Dados pessoais e sensíveis",O344="Acima de 10.000 titulares por mês"),"SIM - Alta criticidade",IF((IF(I344="SIM",2,0)+IF(K344="SIM",2,0)+IF(AF344="SIM",2,0)+IF(OR(AN344="Dados pessoais",AN344="Dados sensíveis",AN344="Dados pessoais e sensíveis"),2,0)+IF(O344="De 1.001 a 10.000 titulares por mês",1,0)+IF(AA344="SIM",1,0)+IF(R344="SIM",1,0)+IF(AL344="SIM",1,0)+IF(AJ344="NÃO",1,0))&gt;=5,"SIM - Alta criticidade",IF((IF(I344="SIM",2,0)+IF(K344="SIM",2,0)+IF(AF344="SIM",2,0)+IF(OR(AN344="Dados pessoais",AN344="Dados sensíveis",AN344="Dados pessoais e sensíveis"),2,0)+IF(O344="De 1.001 a 10.000 titulares por mês",1,0)+IF(AA344="SIM",1,0)+IF(R344="SIM",1,0)+IF(AL344="SIM",1,0)+IF(AJ344="NÃO",1,0))&gt;=3,"Avaliação necessária","NÃO"))))</f>
      </c>
      <c r="AR344" s="11"/>
      <c r="AS344" s="113">
        <f>IF(AND(I344="",K344="",AF344="",AL344="",AN344="",O344=""),"",IF(OR(I344="SIM",K344="SIM",AF344="SIM",AL344="SIM",OR(AN344="Dados pessoais",AN344="Dados sensíveis",AN344="Dados pessoais e sensíveis"),O344="Acima de 10.000 titulares por mês",(IF(I344="SIM",2,0)+IF(K344="SIM",2,0)+IF(AF344="SIM",2,0)+IF(OR(AN344="Dados pessoais",AN344="Dados sensíveis",AN344="Dados pessoais e sensíveis"),2,0)+IF(O344="De 1.001 a 10.000 titulares por mês",1,0)+IF(AA344="SIM",1,0)+IF(R344="SIM",1,0)+IF(AL344="SIM",1,0)+IF(AJ344="NÃO",1,0))&gt;=3),"DPIA indicado ou em avaliação em razão de: " &amp; TRIM(IF(I344="SIM","tratamento de dados sensíveis; ","") &amp; IF(K344="SIM","utilização de dados de menores; ","") &amp; IF(AF344="SIM","transferência internacional de dados; ","") &amp; IF(AL344="SIM","utilização de inteligência artificial; ","") &amp; IF(OR(AN344="Dados pessoais",AN344="Dados sensíveis",AN344="Dados pessoais e sensíveis"),"dados inseridos em IA; ","") &amp; IF(O344="Acima de 10.000 titulares por mês","volume crítico de titulares; ","") &amp; IF(O344="De 1.001 a 10.000 titulares por mês","volume moderado de titulares; ","") &amp; IF(AA344="SIM","compartilhamento com terceiros; ","") &amp; IF(R344="SIM","compartilhamento com órgãos governamentais; ","") &amp; IF(AJ344="NÃO","ausência de controle de acesso por perfil; ","")),"DPIA não indicado: Processo de baixa criticidade."))</f>
      </c>
    </row>
    <row x14ac:dyDescent="0.25" r="345" customHeight="1" ht="15.75">
      <c r="A345" s="46"/>
      <c r="B345" s="6"/>
      <c r="C345" s="11"/>
      <c r="D345" s="11"/>
      <c r="E345" s="11"/>
      <c r="F345" s="29"/>
      <c r="G345" s="11"/>
      <c r="H345" s="11"/>
      <c r="I345" s="29"/>
      <c r="J345" s="11"/>
      <c r="K345" s="29"/>
      <c r="L345" s="11"/>
      <c r="M345" s="11"/>
      <c r="N345" s="11"/>
      <c r="O345" s="29"/>
      <c r="P345" s="29"/>
      <c r="Q345" s="11"/>
      <c r="R345" s="29"/>
      <c r="S345" s="11"/>
      <c r="T345" s="6"/>
      <c r="U345" s="29"/>
      <c r="V345" s="11"/>
      <c r="W345" s="11"/>
      <c r="X345" s="29"/>
      <c r="Y345" s="11"/>
      <c r="Z345" s="29"/>
      <c r="AA345" s="29"/>
      <c r="AB345" s="11"/>
      <c r="AC345" s="11"/>
      <c r="AD345" s="29"/>
      <c r="AE345" s="11"/>
      <c r="AF345" s="29"/>
      <c r="AG345" s="11"/>
      <c r="AH345" s="29"/>
      <c r="AI345" s="11"/>
      <c r="AJ345" s="29"/>
      <c r="AK345" s="29"/>
      <c r="AL345" s="29"/>
      <c r="AM345" s="11"/>
      <c r="AN345" s="29"/>
      <c r="AO345" s="29"/>
      <c r="AP345" s="6"/>
      <c r="AQ345" s="113">
        <f>IF(AND(I345="",K345="",AF345="",AL345="",AN345="",O345=""),"",IF(OR(I345="SIM",K345="SIM",AF345="SIM",AL345="SIM",AN345="Dados pessoais",AN345="Dados sensíveis",AN345="Dados pessoais e sensíveis",O345="Acima de 10.000 titulares por mês"),"SIM - Alta criticidade",IF((IF(I345="SIM",2,0)+IF(K345="SIM",2,0)+IF(AF345="SIM",2,0)+IF(OR(AN345="Dados pessoais",AN345="Dados sensíveis",AN345="Dados pessoais e sensíveis"),2,0)+IF(O345="De 1.001 a 10.000 titulares por mês",1,0)+IF(AA345="SIM",1,0)+IF(R345="SIM",1,0)+IF(AL345="SIM",1,0)+IF(AJ345="NÃO",1,0))&gt;=5,"SIM - Alta criticidade",IF((IF(I345="SIM",2,0)+IF(K345="SIM",2,0)+IF(AF345="SIM",2,0)+IF(OR(AN345="Dados pessoais",AN345="Dados sensíveis",AN345="Dados pessoais e sensíveis"),2,0)+IF(O345="De 1.001 a 10.000 titulares por mês",1,0)+IF(AA345="SIM",1,0)+IF(R345="SIM",1,0)+IF(AL345="SIM",1,0)+IF(AJ345="NÃO",1,0))&gt;=3,"Avaliação necessária","NÃO"))))</f>
      </c>
      <c r="AR345" s="11"/>
      <c r="AS345" s="113">
        <f>IF(AND(I345="",K345="",AF345="",AL345="",AN345="",O345=""),"",IF(OR(I345="SIM",K345="SIM",AF345="SIM",AL345="SIM",OR(AN345="Dados pessoais",AN345="Dados sensíveis",AN345="Dados pessoais e sensíveis"),O345="Acima de 10.000 titulares por mês",(IF(I345="SIM",2,0)+IF(K345="SIM",2,0)+IF(AF345="SIM",2,0)+IF(OR(AN345="Dados pessoais",AN345="Dados sensíveis",AN345="Dados pessoais e sensíveis"),2,0)+IF(O345="De 1.001 a 10.000 titulares por mês",1,0)+IF(AA345="SIM",1,0)+IF(R345="SIM",1,0)+IF(AL345="SIM",1,0)+IF(AJ345="NÃO",1,0))&gt;=3),"DPIA indicado ou em avaliação em razão de: " &amp; TRIM(IF(I345="SIM","tratamento de dados sensíveis; ","") &amp; IF(K345="SIM","utilização de dados de menores; ","") &amp; IF(AF345="SIM","transferência internacional de dados; ","") &amp; IF(AL345="SIM","utilização de inteligência artificial; ","") &amp; IF(OR(AN345="Dados pessoais",AN345="Dados sensíveis",AN345="Dados pessoais e sensíveis"),"dados inseridos em IA; ","") &amp; IF(O345="Acima de 10.000 titulares por mês","volume crítico de titulares; ","") &amp; IF(O345="De 1.001 a 10.000 titulares por mês","volume moderado de titulares; ","") &amp; IF(AA345="SIM","compartilhamento com terceiros; ","") &amp; IF(R345="SIM","compartilhamento com órgãos governamentais; ","") &amp; IF(AJ345="NÃO","ausência de controle de acesso por perfil; ","")),"DPIA não indicado: Processo de baixa criticidade."))</f>
      </c>
    </row>
    <row x14ac:dyDescent="0.25" r="346" customHeight="1" ht="15.75">
      <c r="A346" s="46"/>
      <c r="B346" s="6"/>
      <c r="C346" s="11"/>
      <c r="D346" s="11"/>
      <c r="E346" s="11"/>
      <c r="F346" s="29"/>
      <c r="G346" s="11"/>
      <c r="H346" s="11"/>
      <c r="I346" s="29"/>
      <c r="J346" s="11"/>
      <c r="K346" s="29"/>
      <c r="L346" s="11"/>
      <c r="M346" s="11"/>
      <c r="N346" s="11"/>
      <c r="O346" s="29"/>
      <c r="P346" s="29"/>
      <c r="Q346" s="11"/>
      <c r="R346" s="29"/>
      <c r="S346" s="11"/>
      <c r="T346" s="6"/>
      <c r="U346" s="29"/>
      <c r="V346" s="11"/>
      <c r="W346" s="11"/>
      <c r="X346" s="29"/>
      <c r="Y346" s="11"/>
      <c r="Z346" s="29"/>
      <c r="AA346" s="29"/>
      <c r="AB346" s="11"/>
      <c r="AC346" s="11"/>
      <c r="AD346" s="29"/>
      <c r="AE346" s="11"/>
      <c r="AF346" s="29"/>
      <c r="AG346" s="11"/>
      <c r="AH346" s="29"/>
      <c r="AI346" s="11"/>
      <c r="AJ346" s="29"/>
      <c r="AK346" s="29"/>
      <c r="AL346" s="29"/>
      <c r="AM346" s="11"/>
      <c r="AN346" s="29"/>
      <c r="AO346" s="29"/>
      <c r="AP346" s="6"/>
      <c r="AQ346" s="113">
        <f>IF(AND(I346="",K346="",AF346="",AL346="",AN346="",O346=""),"",IF(OR(I346="SIM",K346="SIM",AF346="SIM",AL346="SIM",AN346="Dados pessoais",AN346="Dados sensíveis",AN346="Dados pessoais e sensíveis",O346="Acima de 10.000 titulares por mês"),"SIM - Alta criticidade",IF((IF(I346="SIM",2,0)+IF(K346="SIM",2,0)+IF(AF346="SIM",2,0)+IF(OR(AN346="Dados pessoais",AN346="Dados sensíveis",AN346="Dados pessoais e sensíveis"),2,0)+IF(O346="De 1.001 a 10.000 titulares por mês",1,0)+IF(AA346="SIM",1,0)+IF(R346="SIM",1,0)+IF(AL346="SIM",1,0)+IF(AJ346="NÃO",1,0))&gt;=5,"SIM - Alta criticidade",IF((IF(I346="SIM",2,0)+IF(K346="SIM",2,0)+IF(AF346="SIM",2,0)+IF(OR(AN346="Dados pessoais",AN346="Dados sensíveis",AN346="Dados pessoais e sensíveis"),2,0)+IF(O346="De 1.001 a 10.000 titulares por mês",1,0)+IF(AA346="SIM",1,0)+IF(R346="SIM",1,0)+IF(AL346="SIM",1,0)+IF(AJ346="NÃO",1,0))&gt;=3,"Avaliação necessária","NÃO"))))</f>
      </c>
      <c r="AR346" s="11"/>
      <c r="AS346" s="113">
        <f>IF(AND(I346="",K346="",AF346="",AL346="",AN346="",O346=""),"",IF(OR(I346="SIM",K346="SIM",AF346="SIM",AL346="SIM",OR(AN346="Dados pessoais",AN346="Dados sensíveis",AN346="Dados pessoais e sensíveis"),O346="Acima de 10.000 titulares por mês",(IF(I346="SIM",2,0)+IF(K346="SIM",2,0)+IF(AF346="SIM",2,0)+IF(OR(AN346="Dados pessoais",AN346="Dados sensíveis",AN346="Dados pessoais e sensíveis"),2,0)+IF(O346="De 1.001 a 10.000 titulares por mês",1,0)+IF(AA346="SIM",1,0)+IF(R346="SIM",1,0)+IF(AL346="SIM",1,0)+IF(AJ346="NÃO",1,0))&gt;=3),"DPIA indicado ou em avaliação em razão de: " &amp; TRIM(IF(I346="SIM","tratamento de dados sensíveis; ","") &amp; IF(K346="SIM","utilização de dados de menores; ","") &amp; IF(AF346="SIM","transferência internacional de dados; ","") &amp; IF(AL346="SIM","utilização de inteligência artificial; ","") &amp; IF(OR(AN346="Dados pessoais",AN346="Dados sensíveis",AN346="Dados pessoais e sensíveis"),"dados inseridos em IA; ","") &amp; IF(O346="Acima de 10.000 titulares por mês","volume crítico de titulares; ","") &amp; IF(O346="De 1.001 a 10.000 titulares por mês","volume moderado de titulares; ","") &amp; IF(AA346="SIM","compartilhamento com terceiros; ","") &amp; IF(R346="SIM","compartilhamento com órgãos governamentais; ","") &amp; IF(AJ346="NÃO","ausência de controle de acesso por perfil; ","")),"DPIA não indicado: Processo de baixa criticidade."))</f>
      </c>
    </row>
    <row x14ac:dyDescent="0.25" r="347" customHeight="1" ht="15.75">
      <c r="A347" s="46"/>
      <c r="B347" s="6"/>
      <c r="C347" s="11"/>
      <c r="D347" s="11"/>
      <c r="E347" s="11"/>
      <c r="F347" s="29"/>
      <c r="G347" s="11"/>
      <c r="H347" s="11"/>
      <c r="I347" s="29"/>
      <c r="J347" s="11"/>
      <c r="K347" s="29"/>
      <c r="L347" s="11"/>
      <c r="M347" s="11"/>
      <c r="N347" s="11"/>
      <c r="O347" s="29"/>
      <c r="P347" s="29"/>
      <c r="Q347" s="11"/>
      <c r="R347" s="29"/>
      <c r="S347" s="11"/>
      <c r="T347" s="6"/>
      <c r="U347" s="29"/>
      <c r="V347" s="11"/>
      <c r="W347" s="11"/>
      <c r="X347" s="29"/>
      <c r="Y347" s="11"/>
      <c r="Z347" s="29"/>
      <c r="AA347" s="29"/>
      <c r="AB347" s="11"/>
      <c r="AC347" s="11"/>
      <c r="AD347" s="29"/>
      <c r="AE347" s="11"/>
      <c r="AF347" s="29"/>
      <c r="AG347" s="11"/>
      <c r="AH347" s="29"/>
      <c r="AI347" s="11"/>
      <c r="AJ347" s="29"/>
      <c r="AK347" s="29"/>
      <c r="AL347" s="29"/>
      <c r="AM347" s="11"/>
      <c r="AN347" s="29"/>
      <c r="AO347" s="29"/>
      <c r="AP347" s="6"/>
      <c r="AQ347" s="113">
        <f>IF(AND(I347="",K347="",AF347="",AL347="",AN347="",O347=""),"",IF(OR(I347="SIM",K347="SIM",AF347="SIM",AL347="SIM",AN347="Dados pessoais",AN347="Dados sensíveis",AN347="Dados pessoais e sensíveis",O347="Acima de 10.000 titulares por mês"),"SIM - Alta criticidade",IF((IF(I347="SIM",2,0)+IF(K347="SIM",2,0)+IF(AF347="SIM",2,0)+IF(OR(AN347="Dados pessoais",AN347="Dados sensíveis",AN347="Dados pessoais e sensíveis"),2,0)+IF(O347="De 1.001 a 10.000 titulares por mês",1,0)+IF(AA347="SIM",1,0)+IF(R347="SIM",1,0)+IF(AL347="SIM",1,0)+IF(AJ347="NÃO",1,0))&gt;=5,"SIM - Alta criticidade",IF((IF(I347="SIM",2,0)+IF(K347="SIM",2,0)+IF(AF347="SIM",2,0)+IF(OR(AN347="Dados pessoais",AN347="Dados sensíveis",AN347="Dados pessoais e sensíveis"),2,0)+IF(O347="De 1.001 a 10.000 titulares por mês",1,0)+IF(AA347="SIM",1,0)+IF(R347="SIM",1,0)+IF(AL347="SIM",1,0)+IF(AJ347="NÃO",1,0))&gt;=3,"Avaliação necessária","NÃO"))))</f>
      </c>
      <c r="AR347" s="11"/>
      <c r="AS347" s="113">
        <f>IF(AND(I347="",K347="",AF347="",AL347="",AN347="",O347=""),"",IF(OR(I347="SIM",K347="SIM",AF347="SIM",AL347="SIM",OR(AN347="Dados pessoais",AN347="Dados sensíveis",AN347="Dados pessoais e sensíveis"),O347="Acima de 10.000 titulares por mês",(IF(I347="SIM",2,0)+IF(K347="SIM",2,0)+IF(AF347="SIM",2,0)+IF(OR(AN347="Dados pessoais",AN347="Dados sensíveis",AN347="Dados pessoais e sensíveis"),2,0)+IF(O347="De 1.001 a 10.000 titulares por mês",1,0)+IF(AA347="SIM",1,0)+IF(R347="SIM",1,0)+IF(AL347="SIM",1,0)+IF(AJ347="NÃO",1,0))&gt;=3),"DPIA indicado ou em avaliação em razão de: " &amp; TRIM(IF(I347="SIM","tratamento de dados sensíveis; ","") &amp; IF(K347="SIM","utilização de dados de menores; ","") &amp; IF(AF347="SIM","transferência internacional de dados; ","") &amp; IF(AL347="SIM","utilização de inteligência artificial; ","") &amp; IF(OR(AN347="Dados pessoais",AN347="Dados sensíveis",AN347="Dados pessoais e sensíveis"),"dados inseridos em IA; ","") &amp; IF(O347="Acima de 10.000 titulares por mês","volume crítico de titulares; ","") &amp; IF(O347="De 1.001 a 10.000 titulares por mês","volume moderado de titulares; ","") &amp; IF(AA347="SIM","compartilhamento com terceiros; ","") &amp; IF(R347="SIM","compartilhamento com órgãos governamentais; ","") &amp; IF(AJ347="NÃO","ausência de controle de acesso por perfil; ","")),"DPIA não indicado: Processo de baixa criticidade."))</f>
      </c>
    </row>
    <row x14ac:dyDescent="0.25" r="348" customHeight="1" ht="15.75">
      <c r="A348" s="46"/>
      <c r="B348" s="6"/>
      <c r="C348" s="11"/>
      <c r="D348" s="11"/>
      <c r="E348" s="11"/>
      <c r="F348" s="29"/>
      <c r="G348" s="11"/>
      <c r="H348" s="11"/>
      <c r="I348" s="29"/>
      <c r="J348" s="11"/>
      <c r="K348" s="29"/>
      <c r="L348" s="11"/>
      <c r="M348" s="11"/>
      <c r="N348" s="11"/>
      <c r="O348" s="29"/>
      <c r="P348" s="29"/>
      <c r="Q348" s="11"/>
      <c r="R348" s="29"/>
      <c r="S348" s="11"/>
      <c r="T348" s="6"/>
      <c r="U348" s="29"/>
      <c r="V348" s="11"/>
      <c r="W348" s="11"/>
      <c r="X348" s="29"/>
      <c r="Y348" s="11"/>
      <c r="Z348" s="29"/>
      <c r="AA348" s="29"/>
      <c r="AB348" s="11"/>
      <c r="AC348" s="11"/>
      <c r="AD348" s="29"/>
      <c r="AE348" s="11"/>
      <c r="AF348" s="29"/>
      <c r="AG348" s="11"/>
      <c r="AH348" s="29"/>
      <c r="AI348" s="11"/>
      <c r="AJ348" s="29"/>
      <c r="AK348" s="29"/>
      <c r="AL348" s="29"/>
      <c r="AM348" s="11"/>
      <c r="AN348" s="29"/>
      <c r="AO348" s="29"/>
      <c r="AP348" s="6"/>
      <c r="AQ348" s="113">
        <f>IF(AND(I348="",K348="",AF348="",AL348="",AN348="",O348=""),"",IF(OR(I348="SIM",K348="SIM",AF348="SIM",AL348="SIM",AN348="Dados pessoais",AN348="Dados sensíveis",AN348="Dados pessoais e sensíveis",O348="Acima de 10.000 titulares por mês"),"SIM - Alta criticidade",IF((IF(I348="SIM",2,0)+IF(K348="SIM",2,0)+IF(AF348="SIM",2,0)+IF(OR(AN348="Dados pessoais",AN348="Dados sensíveis",AN348="Dados pessoais e sensíveis"),2,0)+IF(O348="De 1.001 a 10.000 titulares por mês",1,0)+IF(AA348="SIM",1,0)+IF(R348="SIM",1,0)+IF(AL348="SIM",1,0)+IF(AJ348="NÃO",1,0))&gt;=5,"SIM - Alta criticidade",IF((IF(I348="SIM",2,0)+IF(K348="SIM",2,0)+IF(AF348="SIM",2,0)+IF(OR(AN348="Dados pessoais",AN348="Dados sensíveis",AN348="Dados pessoais e sensíveis"),2,0)+IF(O348="De 1.001 a 10.000 titulares por mês",1,0)+IF(AA348="SIM",1,0)+IF(R348="SIM",1,0)+IF(AL348="SIM",1,0)+IF(AJ348="NÃO",1,0))&gt;=3,"Avaliação necessária","NÃO"))))</f>
      </c>
      <c r="AR348" s="11"/>
      <c r="AS348" s="113">
        <f>IF(AND(I348="",K348="",AF348="",AL348="",AN348="",O348=""),"",IF(OR(I348="SIM",K348="SIM",AF348="SIM",AL348="SIM",OR(AN348="Dados pessoais",AN348="Dados sensíveis",AN348="Dados pessoais e sensíveis"),O348="Acima de 10.000 titulares por mês",(IF(I348="SIM",2,0)+IF(K348="SIM",2,0)+IF(AF348="SIM",2,0)+IF(OR(AN348="Dados pessoais",AN348="Dados sensíveis",AN348="Dados pessoais e sensíveis"),2,0)+IF(O348="De 1.001 a 10.000 titulares por mês",1,0)+IF(AA348="SIM",1,0)+IF(R348="SIM",1,0)+IF(AL348="SIM",1,0)+IF(AJ348="NÃO",1,0))&gt;=3),"DPIA indicado ou em avaliação em razão de: " &amp; TRIM(IF(I348="SIM","tratamento de dados sensíveis; ","") &amp; IF(K348="SIM","utilização de dados de menores; ","") &amp; IF(AF348="SIM","transferência internacional de dados; ","") &amp; IF(AL348="SIM","utilização de inteligência artificial; ","") &amp; IF(OR(AN348="Dados pessoais",AN348="Dados sensíveis",AN348="Dados pessoais e sensíveis"),"dados inseridos em IA; ","") &amp; IF(O348="Acima de 10.000 titulares por mês","volume crítico de titulares; ","") &amp; IF(O348="De 1.001 a 10.000 titulares por mês","volume moderado de titulares; ","") &amp; IF(AA348="SIM","compartilhamento com terceiros; ","") &amp; IF(R348="SIM","compartilhamento com órgãos governamentais; ","") &amp; IF(AJ348="NÃO","ausência de controle de acesso por perfil; ","")),"DPIA não indicado: Processo de baixa criticidade."))</f>
      </c>
    </row>
    <row x14ac:dyDescent="0.25" r="349" customHeight="1" ht="15.75">
      <c r="A349" s="46"/>
      <c r="B349" s="6"/>
      <c r="C349" s="11"/>
      <c r="D349" s="11"/>
      <c r="E349" s="11"/>
      <c r="F349" s="29"/>
      <c r="G349" s="11"/>
      <c r="H349" s="11"/>
      <c r="I349" s="29"/>
      <c r="J349" s="11"/>
      <c r="K349" s="29"/>
      <c r="L349" s="11"/>
      <c r="M349" s="11"/>
      <c r="N349" s="11"/>
      <c r="O349" s="29"/>
      <c r="P349" s="29"/>
      <c r="Q349" s="11"/>
      <c r="R349" s="29"/>
      <c r="S349" s="11"/>
      <c r="T349" s="6"/>
      <c r="U349" s="29"/>
      <c r="V349" s="11"/>
      <c r="W349" s="11"/>
      <c r="X349" s="29"/>
      <c r="Y349" s="11"/>
      <c r="Z349" s="29"/>
      <c r="AA349" s="29"/>
      <c r="AB349" s="11"/>
      <c r="AC349" s="11"/>
      <c r="AD349" s="29"/>
      <c r="AE349" s="11"/>
      <c r="AF349" s="29"/>
      <c r="AG349" s="11"/>
      <c r="AH349" s="29"/>
      <c r="AI349" s="11"/>
      <c r="AJ349" s="29"/>
      <c r="AK349" s="29"/>
      <c r="AL349" s="29"/>
      <c r="AM349" s="11"/>
      <c r="AN349" s="29"/>
      <c r="AO349" s="29"/>
      <c r="AP349" s="6"/>
      <c r="AQ349" s="113">
        <f>IF(AND(I349="",K349="",AF349="",AL349="",AN349="",O349=""),"",IF(OR(I349="SIM",K349="SIM",AF349="SIM",AL349="SIM",AN349="Dados pessoais",AN349="Dados sensíveis",AN349="Dados pessoais e sensíveis",O349="Acima de 10.000 titulares por mês"),"SIM - Alta criticidade",IF((IF(I349="SIM",2,0)+IF(K349="SIM",2,0)+IF(AF349="SIM",2,0)+IF(OR(AN349="Dados pessoais",AN349="Dados sensíveis",AN349="Dados pessoais e sensíveis"),2,0)+IF(O349="De 1.001 a 10.000 titulares por mês",1,0)+IF(AA349="SIM",1,0)+IF(R349="SIM",1,0)+IF(AL349="SIM",1,0)+IF(AJ349="NÃO",1,0))&gt;=5,"SIM - Alta criticidade",IF((IF(I349="SIM",2,0)+IF(K349="SIM",2,0)+IF(AF349="SIM",2,0)+IF(OR(AN349="Dados pessoais",AN349="Dados sensíveis",AN349="Dados pessoais e sensíveis"),2,0)+IF(O349="De 1.001 a 10.000 titulares por mês",1,0)+IF(AA349="SIM",1,0)+IF(R349="SIM",1,0)+IF(AL349="SIM",1,0)+IF(AJ349="NÃO",1,0))&gt;=3,"Avaliação necessária","NÃO"))))</f>
      </c>
      <c r="AR349" s="11"/>
      <c r="AS349" s="113">
        <f>IF(AND(I349="",K349="",AF349="",AL349="",AN349="",O349=""),"",IF(OR(I349="SIM",K349="SIM",AF349="SIM",AL349="SIM",OR(AN349="Dados pessoais",AN349="Dados sensíveis",AN349="Dados pessoais e sensíveis"),O349="Acima de 10.000 titulares por mês",(IF(I349="SIM",2,0)+IF(K349="SIM",2,0)+IF(AF349="SIM",2,0)+IF(OR(AN349="Dados pessoais",AN349="Dados sensíveis",AN349="Dados pessoais e sensíveis"),2,0)+IF(O349="De 1.001 a 10.000 titulares por mês",1,0)+IF(AA349="SIM",1,0)+IF(R349="SIM",1,0)+IF(AL349="SIM",1,0)+IF(AJ349="NÃO",1,0))&gt;=3),"DPIA indicado ou em avaliação em razão de: " &amp; TRIM(IF(I349="SIM","tratamento de dados sensíveis; ","") &amp; IF(K349="SIM","utilização de dados de menores; ","") &amp; IF(AF349="SIM","transferência internacional de dados; ","") &amp; IF(AL349="SIM","utilização de inteligência artificial; ","") &amp; IF(OR(AN349="Dados pessoais",AN349="Dados sensíveis",AN349="Dados pessoais e sensíveis"),"dados inseridos em IA; ","") &amp; IF(O349="Acima de 10.000 titulares por mês","volume crítico de titulares; ","") &amp; IF(O349="De 1.001 a 10.000 titulares por mês","volume moderado de titulares; ","") &amp; IF(AA349="SIM","compartilhamento com terceiros; ","") &amp; IF(R349="SIM","compartilhamento com órgãos governamentais; ","") &amp; IF(AJ349="NÃO","ausência de controle de acesso por perfil; ","")),"DPIA não indicado: Processo de baixa criticidade."))</f>
      </c>
    </row>
    <row x14ac:dyDescent="0.25" r="350" customHeight="1" ht="15.75">
      <c r="A350" s="46"/>
      <c r="B350" s="6"/>
      <c r="C350" s="11"/>
      <c r="D350" s="11"/>
      <c r="E350" s="11"/>
      <c r="F350" s="29"/>
      <c r="G350" s="11"/>
      <c r="H350" s="11"/>
      <c r="I350" s="29"/>
      <c r="J350" s="11"/>
      <c r="K350" s="29"/>
      <c r="L350" s="11"/>
      <c r="M350" s="11"/>
      <c r="N350" s="11"/>
      <c r="O350" s="29"/>
      <c r="P350" s="29"/>
      <c r="Q350" s="11"/>
      <c r="R350" s="29"/>
      <c r="S350" s="11"/>
      <c r="T350" s="6"/>
      <c r="U350" s="29"/>
      <c r="V350" s="11"/>
      <c r="W350" s="11"/>
      <c r="X350" s="29"/>
      <c r="Y350" s="11"/>
      <c r="Z350" s="29"/>
      <c r="AA350" s="29"/>
      <c r="AB350" s="11"/>
      <c r="AC350" s="11"/>
      <c r="AD350" s="29"/>
      <c r="AE350" s="11"/>
      <c r="AF350" s="29"/>
      <c r="AG350" s="11"/>
      <c r="AH350" s="29"/>
      <c r="AI350" s="11"/>
      <c r="AJ350" s="29"/>
      <c r="AK350" s="29"/>
      <c r="AL350" s="29"/>
      <c r="AM350" s="11"/>
      <c r="AN350" s="29"/>
      <c r="AO350" s="29"/>
      <c r="AP350" s="6"/>
      <c r="AQ350" s="113">
        <f>IF(AND(I350="",K350="",AF350="",AL350="",AN350="",O350=""),"",IF(OR(I350="SIM",K350="SIM",AF350="SIM",AL350="SIM",AN350="Dados pessoais",AN350="Dados sensíveis",AN350="Dados pessoais e sensíveis",O350="Acima de 10.000 titulares por mês"),"SIM - Alta criticidade",IF((IF(I350="SIM",2,0)+IF(K350="SIM",2,0)+IF(AF350="SIM",2,0)+IF(OR(AN350="Dados pessoais",AN350="Dados sensíveis",AN350="Dados pessoais e sensíveis"),2,0)+IF(O350="De 1.001 a 10.000 titulares por mês",1,0)+IF(AA350="SIM",1,0)+IF(R350="SIM",1,0)+IF(AL350="SIM",1,0)+IF(AJ350="NÃO",1,0))&gt;=5,"SIM - Alta criticidade",IF((IF(I350="SIM",2,0)+IF(K350="SIM",2,0)+IF(AF350="SIM",2,0)+IF(OR(AN350="Dados pessoais",AN350="Dados sensíveis",AN350="Dados pessoais e sensíveis"),2,0)+IF(O350="De 1.001 a 10.000 titulares por mês",1,0)+IF(AA350="SIM",1,0)+IF(R350="SIM",1,0)+IF(AL350="SIM",1,0)+IF(AJ350="NÃO",1,0))&gt;=3,"Avaliação necessária","NÃO"))))</f>
      </c>
      <c r="AR350" s="11"/>
      <c r="AS350" s="113">
        <f>IF(AND(I350="",K350="",AF350="",AL350="",AN350="",O350=""),"",IF(OR(I350="SIM",K350="SIM",AF350="SIM",AL350="SIM",OR(AN350="Dados pessoais",AN350="Dados sensíveis",AN350="Dados pessoais e sensíveis"),O350="Acima de 10.000 titulares por mês",(IF(I350="SIM",2,0)+IF(K350="SIM",2,0)+IF(AF350="SIM",2,0)+IF(OR(AN350="Dados pessoais",AN350="Dados sensíveis",AN350="Dados pessoais e sensíveis"),2,0)+IF(O350="De 1.001 a 10.000 titulares por mês",1,0)+IF(AA350="SIM",1,0)+IF(R350="SIM",1,0)+IF(AL350="SIM",1,0)+IF(AJ350="NÃO",1,0))&gt;=3),"DPIA indicado ou em avaliação em razão de: " &amp; TRIM(IF(I350="SIM","tratamento de dados sensíveis; ","") &amp; IF(K350="SIM","utilização de dados de menores; ","") &amp; IF(AF350="SIM","transferência internacional de dados; ","") &amp; IF(AL350="SIM","utilização de inteligência artificial; ","") &amp; IF(OR(AN350="Dados pessoais",AN350="Dados sensíveis",AN350="Dados pessoais e sensíveis"),"dados inseridos em IA; ","") &amp; IF(O350="Acima de 10.000 titulares por mês","volume crítico de titulares; ","") &amp; IF(O350="De 1.001 a 10.000 titulares por mês","volume moderado de titulares; ","") &amp; IF(AA350="SIM","compartilhamento com terceiros; ","") &amp; IF(R350="SIM","compartilhamento com órgãos governamentais; ","") &amp; IF(AJ350="NÃO","ausência de controle de acesso por perfil; ","")),"DPIA não indicado: Processo de baixa criticidade."))</f>
      </c>
    </row>
    <row x14ac:dyDescent="0.25" r="351" customHeight="1" ht="15.75">
      <c r="A351" s="46"/>
      <c r="B351" s="6"/>
      <c r="C351" s="11"/>
      <c r="D351" s="11"/>
      <c r="E351" s="11"/>
      <c r="F351" s="29"/>
      <c r="G351" s="11"/>
      <c r="H351" s="11"/>
      <c r="I351" s="29"/>
      <c r="J351" s="11"/>
      <c r="K351" s="29"/>
      <c r="L351" s="11"/>
      <c r="M351" s="11"/>
      <c r="N351" s="11"/>
      <c r="O351" s="29"/>
      <c r="P351" s="29"/>
      <c r="Q351" s="11"/>
      <c r="R351" s="29"/>
      <c r="S351" s="11"/>
      <c r="T351" s="6"/>
      <c r="U351" s="29"/>
      <c r="V351" s="11"/>
      <c r="W351" s="11"/>
      <c r="X351" s="29"/>
      <c r="Y351" s="11"/>
      <c r="Z351" s="29"/>
      <c r="AA351" s="29"/>
      <c r="AB351" s="11"/>
      <c r="AC351" s="11"/>
      <c r="AD351" s="29"/>
      <c r="AE351" s="11"/>
      <c r="AF351" s="29"/>
      <c r="AG351" s="11"/>
      <c r="AH351" s="29"/>
      <c r="AI351" s="11"/>
      <c r="AJ351" s="29"/>
      <c r="AK351" s="29"/>
      <c r="AL351" s="29"/>
      <c r="AM351" s="11"/>
      <c r="AN351" s="29"/>
      <c r="AO351" s="29"/>
      <c r="AP351" s="6"/>
      <c r="AQ351" s="113">
        <f>IF(AND(I351="",K351="",AF351="",AL351="",AN351="",O351=""),"",IF(OR(I351="SIM",K351="SIM",AF351="SIM",AL351="SIM",AN351="Dados pessoais",AN351="Dados sensíveis",AN351="Dados pessoais e sensíveis",O351="Acima de 10.000 titulares por mês"),"SIM - Alta criticidade",IF((IF(I351="SIM",2,0)+IF(K351="SIM",2,0)+IF(AF351="SIM",2,0)+IF(OR(AN351="Dados pessoais",AN351="Dados sensíveis",AN351="Dados pessoais e sensíveis"),2,0)+IF(O351="De 1.001 a 10.000 titulares por mês",1,0)+IF(AA351="SIM",1,0)+IF(R351="SIM",1,0)+IF(AL351="SIM",1,0)+IF(AJ351="NÃO",1,0))&gt;=5,"SIM - Alta criticidade",IF((IF(I351="SIM",2,0)+IF(K351="SIM",2,0)+IF(AF351="SIM",2,0)+IF(OR(AN351="Dados pessoais",AN351="Dados sensíveis",AN351="Dados pessoais e sensíveis"),2,0)+IF(O351="De 1.001 a 10.000 titulares por mês",1,0)+IF(AA351="SIM",1,0)+IF(R351="SIM",1,0)+IF(AL351="SIM",1,0)+IF(AJ351="NÃO",1,0))&gt;=3,"Avaliação necessária","NÃO"))))</f>
      </c>
      <c r="AR351" s="11"/>
      <c r="AS351" s="113">
        <f>IF(AND(I351="",K351="",AF351="",AL351="",AN351="",O351=""),"",IF(OR(I351="SIM",K351="SIM",AF351="SIM",AL351="SIM",OR(AN351="Dados pessoais",AN351="Dados sensíveis",AN351="Dados pessoais e sensíveis"),O351="Acima de 10.000 titulares por mês",(IF(I351="SIM",2,0)+IF(K351="SIM",2,0)+IF(AF351="SIM",2,0)+IF(OR(AN351="Dados pessoais",AN351="Dados sensíveis",AN351="Dados pessoais e sensíveis"),2,0)+IF(O351="De 1.001 a 10.000 titulares por mês",1,0)+IF(AA351="SIM",1,0)+IF(R351="SIM",1,0)+IF(AL351="SIM",1,0)+IF(AJ351="NÃO",1,0))&gt;=3),"DPIA indicado ou em avaliação em razão de: " &amp; TRIM(IF(I351="SIM","tratamento de dados sensíveis; ","") &amp; IF(K351="SIM","utilização de dados de menores; ","") &amp; IF(AF351="SIM","transferência internacional de dados; ","") &amp; IF(AL351="SIM","utilização de inteligência artificial; ","") &amp; IF(OR(AN351="Dados pessoais",AN351="Dados sensíveis",AN351="Dados pessoais e sensíveis"),"dados inseridos em IA; ","") &amp; IF(O351="Acima de 10.000 titulares por mês","volume crítico de titulares; ","") &amp; IF(O351="De 1.001 a 10.000 titulares por mês","volume moderado de titulares; ","") &amp; IF(AA351="SIM","compartilhamento com terceiros; ","") &amp; IF(R351="SIM","compartilhamento com órgãos governamentais; ","") &amp; IF(AJ351="NÃO","ausência de controle de acesso por perfil; ","")),"DPIA não indicado: Processo de baixa criticidade."))</f>
      </c>
    </row>
    <row x14ac:dyDescent="0.25" r="352" customHeight="1" ht="15.75">
      <c r="A352" s="46"/>
      <c r="B352" s="6"/>
      <c r="C352" s="11"/>
      <c r="D352" s="11"/>
      <c r="E352" s="11"/>
      <c r="F352" s="29"/>
      <c r="G352" s="11"/>
      <c r="H352" s="11"/>
      <c r="I352" s="29"/>
      <c r="J352" s="11"/>
      <c r="K352" s="29"/>
      <c r="L352" s="11"/>
      <c r="M352" s="11"/>
      <c r="N352" s="11"/>
      <c r="O352" s="29"/>
      <c r="P352" s="29"/>
      <c r="Q352" s="11"/>
      <c r="R352" s="29"/>
      <c r="S352" s="11"/>
      <c r="T352" s="6"/>
      <c r="U352" s="29"/>
      <c r="V352" s="11"/>
      <c r="W352" s="11"/>
      <c r="X352" s="29"/>
      <c r="Y352" s="11"/>
      <c r="Z352" s="29"/>
      <c r="AA352" s="29"/>
      <c r="AB352" s="11"/>
      <c r="AC352" s="11"/>
      <c r="AD352" s="29"/>
      <c r="AE352" s="11"/>
      <c r="AF352" s="29"/>
      <c r="AG352" s="11"/>
      <c r="AH352" s="29"/>
      <c r="AI352" s="11"/>
      <c r="AJ352" s="29"/>
      <c r="AK352" s="29"/>
      <c r="AL352" s="29"/>
      <c r="AM352" s="11"/>
      <c r="AN352" s="29"/>
      <c r="AO352" s="29"/>
      <c r="AP352" s="6"/>
      <c r="AQ352" s="113">
        <f>IF(AND(I352="",K352="",AF352="",AL352="",AN352="",O352=""),"",IF(OR(I352="SIM",K352="SIM",AF352="SIM",AL352="SIM",AN352="Dados pessoais",AN352="Dados sensíveis",AN352="Dados pessoais e sensíveis",O352="Acima de 10.000 titulares por mês"),"SIM - Alta criticidade",IF((IF(I352="SIM",2,0)+IF(K352="SIM",2,0)+IF(AF352="SIM",2,0)+IF(OR(AN352="Dados pessoais",AN352="Dados sensíveis",AN352="Dados pessoais e sensíveis"),2,0)+IF(O352="De 1.001 a 10.000 titulares por mês",1,0)+IF(AA352="SIM",1,0)+IF(R352="SIM",1,0)+IF(AL352="SIM",1,0)+IF(AJ352="NÃO",1,0))&gt;=5,"SIM - Alta criticidade",IF((IF(I352="SIM",2,0)+IF(K352="SIM",2,0)+IF(AF352="SIM",2,0)+IF(OR(AN352="Dados pessoais",AN352="Dados sensíveis",AN352="Dados pessoais e sensíveis"),2,0)+IF(O352="De 1.001 a 10.000 titulares por mês",1,0)+IF(AA352="SIM",1,0)+IF(R352="SIM",1,0)+IF(AL352="SIM",1,0)+IF(AJ352="NÃO",1,0))&gt;=3,"Avaliação necessária","NÃO"))))</f>
      </c>
      <c r="AR352" s="11"/>
      <c r="AS352" s="113">
        <f>IF(AND(I352="",K352="",AF352="",AL352="",AN352="",O352=""),"",IF(OR(I352="SIM",K352="SIM",AF352="SIM",AL352="SIM",OR(AN352="Dados pessoais",AN352="Dados sensíveis",AN352="Dados pessoais e sensíveis"),O352="Acima de 10.000 titulares por mês",(IF(I352="SIM",2,0)+IF(K352="SIM",2,0)+IF(AF352="SIM",2,0)+IF(OR(AN352="Dados pessoais",AN352="Dados sensíveis",AN352="Dados pessoais e sensíveis"),2,0)+IF(O352="De 1.001 a 10.000 titulares por mês",1,0)+IF(AA352="SIM",1,0)+IF(R352="SIM",1,0)+IF(AL352="SIM",1,0)+IF(AJ352="NÃO",1,0))&gt;=3),"DPIA indicado ou em avaliação em razão de: " &amp; TRIM(IF(I352="SIM","tratamento de dados sensíveis; ","") &amp; IF(K352="SIM","utilização de dados de menores; ","") &amp; IF(AF352="SIM","transferência internacional de dados; ","") &amp; IF(AL352="SIM","utilização de inteligência artificial; ","") &amp; IF(OR(AN352="Dados pessoais",AN352="Dados sensíveis",AN352="Dados pessoais e sensíveis"),"dados inseridos em IA; ","") &amp; IF(O352="Acima de 10.000 titulares por mês","volume crítico de titulares; ","") &amp; IF(O352="De 1.001 a 10.000 titulares por mês","volume moderado de titulares; ","") &amp; IF(AA352="SIM","compartilhamento com terceiros; ","") &amp; IF(R352="SIM","compartilhamento com órgãos governamentais; ","") &amp; IF(AJ352="NÃO","ausência de controle de acesso por perfil; ","")),"DPIA não indicado: Processo de baixa criticidade."))</f>
      </c>
    </row>
    <row x14ac:dyDescent="0.25" r="353" customHeight="1" ht="15.75">
      <c r="A353" s="46"/>
      <c r="B353" s="6"/>
      <c r="C353" s="11"/>
      <c r="D353" s="11"/>
      <c r="E353" s="11"/>
      <c r="F353" s="29"/>
      <c r="G353" s="11"/>
      <c r="H353" s="11"/>
      <c r="I353" s="29"/>
      <c r="J353" s="11"/>
      <c r="K353" s="29"/>
      <c r="L353" s="11"/>
      <c r="M353" s="11"/>
      <c r="N353" s="11"/>
      <c r="O353" s="29"/>
      <c r="P353" s="29"/>
      <c r="Q353" s="11"/>
      <c r="R353" s="29"/>
      <c r="S353" s="11"/>
      <c r="T353" s="6"/>
      <c r="U353" s="29"/>
      <c r="V353" s="11"/>
      <c r="W353" s="11"/>
      <c r="X353" s="29"/>
      <c r="Y353" s="11"/>
      <c r="Z353" s="29"/>
      <c r="AA353" s="29"/>
      <c r="AB353" s="11"/>
      <c r="AC353" s="11"/>
      <c r="AD353" s="29"/>
      <c r="AE353" s="11"/>
      <c r="AF353" s="29"/>
      <c r="AG353" s="11"/>
      <c r="AH353" s="29"/>
      <c r="AI353" s="11"/>
      <c r="AJ353" s="29"/>
      <c r="AK353" s="29"/>
      <c r="AL353" s="29"/>
      <c r="AM353" s="11"/>
      <c r="AN353" s="29"/>
      <c r="AO353" s="29"/>
      <c r="AP353" s="6"/>
      <c r="AQ353" s="113">
        <f>IF(AND(I353="",K353="",AF353="",AL353="",AN353="",O353=""),"",IF(OR(I353="SIM",K353="SIM",AF353="SIM",AL353="SIM",AN353="Dados pessoais",AN353="Dados sensíveis",AN353="Dados pessoais e sensíveis",O353="Acima de 10.000 titulares por mês"),"SIM - Alta criticidade",IF((IF(I353="SIM",2,0)+IF(K353="SIM",2,0)+IF(AF353="SIM",2,0)+IF(OR(AN353="Dados pessoais",AN353="Dados sensíveis",AN353="Dados pessoais e sensíveis"),2,0)+IF(O353="De 1.001 a 10.000 titulares por mês",1,0)+IF(AA353="SIM",1,0)+IF(R353="SIM",1,0)+IF(AL353="SIM",1,0)+IF(AJ353="NÃO",1,0))&gt;=5,"SIM - Alta criticidade",IF((IF(I353="SIM",2,0)+IF(K353="SIM",2,0)+IF(AF353="SIM",2,0)+IF(OR(AN353="Dados pessoais",AN353="Dados sensíveis",AN353="Dados pessoais e sensíveis"),2,0)+IF(O353="De 1.001 a 10.000 titulares por mês",1,0)+IF(AA353="SIM",1,0)+IF(R353="SIM",1,0)+IF(AL353="SIM",1,0)+IF(AJ353="NÃO",1,0))&gt;=3,"Avaliação necessária","NÃO"))))</f>
      </c>
      <c r="AR353" s="11"/>
      <c r="AS353" s="113">
        <f>IF(AND(I353="",K353="",AF353="",AL353="",AN353="",O353=""),"",IF(OR(I353="SIM",K353="SIM",AF353="SIM",AL353="SIM",OR(AN353="Dados pessoais",AN353="Dados sensíveis",AN353="Dados pessoais e sensíveis"),O353="Acima de 10.000 titulares por mês",(IF(I353="SIM",2,0)+IF(K353="SIM",2,0)+IF(AF353="SIM",2,0)+IF(OR(AN353="Dados pessoais",AN353="Dados sensíveis",AN353="Dados pessoais e sensíveis"),2,0)+IF(O353="De 1.001 a 10.000 titulares por mês",1,0)+IF(AA353="SIM",1,0)+IF(R353="SIM",1,0)+IF(AL353="SIM",1,0)+IF(AJ353="NÃO",1,0))&gt;=3),"DPIA indicado ou em avaliação em razão de: " &amp; TRIM(IF(I353="SIM","tratamento de dados sensíveis; ","") &amp; IF(K353="SIM","utilização de dados de menores; ","") &amp; IF(AF353="SIM","transferência internacional de dados; ","") &amp; IF(AL353="SIM","utilização de inteligência artificial; ","") &amp; IF(OR(AN353="Dados pessoais",AN353="Dados sensíveis",AN353="Dados pessoais e sensíveis"),"dados inseridos em IA; ","") &amp; IF(O353="Acima de 10.000 titulares por mês","volume crítico de titulares; ","") &amp; IF(O353="De 1.001 a 10.000 titulares por mês","volume moderado de titulares; ","") &amp; IF(AA353="SIM","compartilhamento com terceiros; ","") &amp; IF(R353="SIM","compartilhamento com órgãos governamentais; ","") &amp; IF(AJ353="NÃO","ausência de controle de acesso por perfil; ","")),"DPIA não indicado: Processo de baixa criticidade."))</f>
      </c>
    </row>
    <row x14ac:dyDescent="0.25" r="354" customHeight="1" ht="15.75">
      <c r="A354" s="46"/>
      <c r="B354" s="6"/>
      <c r="C354" s="11"/>
      <c r="D354" s="11"/>
      <c r="E354" s="11"/>
      <c r="F354" s="29"/>
      <c r="G354" s="11"/>
      <c r="H354" s="11"/>
      <c r="I354" s="29"/>
      <c r="J354" s="11"/>
      <c r="K354" s="29"/>
      <c r="L354" s="11"/>
      <c r="M354" s="11"/>
      <c r="N354" s="11"/>
      <c r="O354" s="29"/>
      <c r="P354" s="29"/>
      <c r="Q354" s="11"/>
      <c r="R354" s="29"/>
      <c r="S354" s="11"/>
      <c r="T354" s="6"/>
      <c r="U354" s="29"/>
      <c r="V354" s="11"/>
      <c r="W354" s="11"/>
      <c r="X354" s="29"/>
      <c r="Y354" s="11"/>
      <c r="Z354" s="29"/>
      <c r="AA354" s="29"/>
      <c r="AB354" s="11"/>
      <c r="AC354" s="11"/>
      <c r="AD354" s="29"/>
      <c r="AE354" s="11"/>
      <c r="AF354" s="29"/>
      <c r="AG354" s="11"/>
      <c r="AH354" s="29"/>
      <c r="AI354" s="11"/>
      <c r="AJ354" s="29"/>
      <c r="AK354" s="29"/>
      <c r="AL354" s="29"/>
      <c r="AM354" s="11"/>
      <c r="AN354" s="29"/>
      <c r="AO354" s="29"/>
      <c r="AP354" s="6"/>
      <c r="AQ354" s="113">
        <f>IF(AND(I354="",K354="",AF354="",AL354="",AN354="",O354=""),"",IF(OR(I354="SIM",K354="SIM",AF354="SIM",AL354="SIM",AN354="Dados pessoais",AN354="Dados sensíveis",AN354="Dados pessoais e sensíveis",O354="Acima de 10.000 titulares por mês"),"SIM - Alta criticidade",IF((IF(I354="SIM",2,0)+IF(K354="SIM",2,0)+IF(AF354="SIM",2,0)+IF(OR(AN354="Dados pessoais",AN354="Dados sensíveis",AN354="Dados pessoais e sensíveis"),2,0)+IF(O354="De 1.001 a 10.000 titulares por mês",1,0)+IF(AA354="SIM",1,0)+IF(R354="SIM",1,0)+IF(AL354="SIM",1,0)+IF(AJ354="NÃO",1,0))&gt;=5,"SIM - Alta criticidade",IF((IF(I354="SIM",2,0)+IF(K354="SIM",2,0)+IF(AF354="SIM",2,0)+IF(OR(AN354="Dados pessoais",AN354="Dados sensíveis",AN354="Dados pessoais e sensíveis"),2,0)+IF(O354="De 1.001 a 10.000 titulares por mês",1,0)+IF(AA354="SIM",1,0)+IF(R354="SIM",1,0)+IF(AL354="SIM",1,0)+IF(AJ354="NÃO",1,0))&gt;=3,"Avaliação necessária","NÃO"))))</f>
      </c>
      <c r="AR354" s="11"/>
      <c r="AS354" s="113">
        <f>IF(AND(I354="",K354="",AF354="",AL354="",AN354="",O354=""),"",IF(OR(I354="SIM",K354="SIM",AF354="SIM",AL354="SIM",OR(AN354="Dados pessoais",AN354="Dados sensíveis",AN354="Dados pessoais e sensíveis"),O354="Acima de 10.000 titulares por mês",(IF(I354="SIM",2,0)+IF(K354="SIM",2,0)+IF(AF354="SIM",2,0)+IF(OR(AN354="Dados pessoais",AN354="Dados sensíveis",AN354="Dados pessoais e sensíveis"),2,0)+IF(O354="De 1.001 a 10.000 titulares por mês",1,0)+IF(AA354="SIM",1,0)+IF(R354="SIM",1,0)+IF(AL354="SIM",1,0)+IF(AJ354="NÃO",1,0))&gt;=3),"DPIA indicado ou em avaliação em razão de: " &amp; TRIM(IF(I354="SIM","tratamento de dados sensíveis; ","") &amp; IF(K354="SIM","utilização de dados de menores; ","") &amp; IF(AF354="SIM","transferência internacional de dados; ","") &amp; IF(AL354="SIM","utilização de inteligência artificial; ","") &amp; IF(OR(AN354="Dados pessoais",AN354="Dados sensíveis",AN354="Dados pessoais e sensíveis"),"dados inseridos em IA; ","") &amp; IF(O354="Acima de 10.000 titulares por mês","volume crítico de titulares; ","") &amp; IF(O354="De 1.001 a 10.000 titulares por mês","volume moderado de titulares; ","") &amp; IF(AA354="SIM","compartilhamento com terceiros; ","") &amp; IF(R354="SIM","compartilhamento com órgãos governamentais; ","") &amp; IF(AJ354="NÃO","ausência de controle de acesso por perfil; ","")),"DPIA não indicado: Processo de baixa criticidade."))</f>
      </c>
    </row>
    <row x14ac:dyDescent="0.25" r="355" customHeight="1" ht="15.75">
      <c r="A355" s="46"/>
      <c r="B355" s="6"/>
      <c r="C355" s="11"/>
      <c r="D355" s="11"/>
      <c r="E355" s="11"/>
      <c r="F355" s="29"/>
      <c r="G355" s="11"/>
      <c r="H355" s="11"/>
      <c r="I355" s="29"/>
      <c r="J355" s="11"/>
      <c r="K355" s="29"/>
      <c r="L355" s="11"/>
      <c r="M355" s="11"/>
      <c r="N355" s="11"/>
      <c r="O355" s="29"/>
      <c r="P355" s="29"/>
      <c r="Q355" s="11"/>
      <c r="R355" s="29"/>
      <c r="S355" s="11"/>
      <c r="T355" s="6"/>
      <c r="U355" s="29"/>
      <c r="V355" s="11"/>
      <c r="W355" s="11"/>
      <c r="X355" s="29"/>
      <c r="Y355" s="11"/>
      <c r="Z355" s="29"/>
      <c r="AA355" s="29"/>
      <c r="AB355" s="11"/>
      <c r="AC355" s="11"/>
      <c r="AD355" s="29"/>
      <c r="AE355" s="11"/>
      <c r="AF355" s="29"/>
      <c r="AG355" s="11"/>
      <c r="AH355" s="29"/>
      <c r="AI355" s="11"/>
      <c r="AJ355" s="29"/>
      <c r="AK355" s="29"/>
      <c r="AL355" s="29"/>
      <c r="AM355" s="11"/>
      <c r="AN355" s="29"/>
      <c r="AO355" s="29"/>
      <c r="AP355" s="6"/>
      <c r="AQ355" s="113">
        <f>IF(AND(I355="",K355="",AF355="",AL355="",AN355="",O355=""),"",IF(OR(I355="SIM",K355="SIM",AF355="SIM",AL355="SIM",AN355="Dados pessoais",AN355="Dados sensíveis",AN355="Dados pessoais e sensíveis",O355="Acima de 10.000 titulares por mês"),"SIM - Alta criticidade",IF((IF(I355="SIM",2,0)+IF(K355="SIM",2,0)+IF(AF355="SIM",2,0)+IF(OR(AN355="Dados pessoais",AN355="Dados sensíveis",AN355="Dados pessoais e sensíveis"),2,0)+IF(O355="De 1.001 a 10.000 titulares por mês",1,0)+IF(AA355="SIM",1,0)+IF(R355="SIM",1,0)+IF(AL355="SIM",1,0)+IF(AJ355="NÃO",1,0))&gt;=5,"SIM - Alta criticidade",IF((IF(I355="SIM",2,0)+IF(K355="SIM",2,0)+IF(AF355="SIM",2,0)+IF(OR(AN355="Dados pessoais",AN355="Dados sensíveis",AN355="Dados pessoais e sensíveis"),2,0)+IF(O355="De 1.001 a 10.000 titulares por mês",1,0)+IF(AA355="SIM",1,0)+IF(R355="SIM",1,0)+IF(AL355="SIM",1,0)+IF(AJ355="NÃO",1,0))&gt;=3,"Avaliação necessária","NÃO"))))</f>
      </c>
      <c r="AR355" s="11"/>
      <c r="AS355" s="113">
        <f>IF(AND(I355="",K355="",AF355="",AL355="",AN355="",O355=""),"",IF(OR(I355="SIM",K355="SIM",AF355="SIM",AL355="SIM",OR(AN355="Dados pessoais",AN355="Dados sensíveis",AN355="Dados pessoais e sensíveis"),O355="Acima de 10.000 titulares por mês",(IF(I355="SIM",2,0)+IF(K355="SIM",2,0)+IF(AF355="SIM",2,0)+IF(OR(AN355="Dados pessoais",AN355="Dados sensíveis",AN355="Dados pessoais e sensíveis"),2,0)+IF(O355="De 1.001 a 10.000 titulares por mês",1,0)+IF(AA355="SIM",1,0)+IF(R355="SIM",1,0)+IF(AL355="SIM",1,0)+IF(AJ355="NÃO",1,0))&gt;=3),"DPIA indicado ou em avaliação em razão de: " &amp; TRIM(IF(I355="SIM","tratamento de dados sensíveis; ","") &amp; IF(K355="SIM","utilização de dados de menores; ","") &amp; IF(AF355="SIM","transferência internacional de dados; ","") &amp; IF(AL355="SIM","utilização de inteligência artificial; ","") &amp; IF(OR(AN355="Dados pessoais",AN355="Dados sensíveis",AN355="Dados pessoais e sensíveis"),"dados inseridos em IA; ","") &amp; IF(O355="Acima de 10.000 titulares por mês","volume crítico de titulares; ","") &amp; IF(O355="De 1.001 a 10.000 titulares por mês","volume moderado de titulares; ","") &amp; IF(AA355="SIM","compartilhamento com terceiros; ","") &amp; IF(R355="SIM","compartilhamento com órgãos governamentais; ","") &amp; IF(AJ355="NÃO","ausência de controle de acesso por perfil; ","")),"DPIA não indicado: Processo de baixa criticidade."))</f>
      </c>
    </row>
    <row x14ac:dyDescent="0.25" r="356" customHeight="1" ht="15.75">
      <c r="A356" s="46"/>
      <c r="B356" s="6"/>
      <c r="C356" s="11"/>
      <c r="D356" s="11"/>
      <c r="E356" s="11"/>
      <c r="F356" s="29"/>
      <c r="G356" s="11"/>
      <c r="H356" s="11"/>
      <c r="I356" s="29"/>
      <c r="J356" s="11"/>
      <c r="K356" s="29"/>
      <c r="L356" s="11"/>
      <c r="M356" s="11"/>
      <c r="N356" s="11"/>
      <c r="O356" s="29"/>
      <c r="P356" s="29"/>
      <c r="Q356" s="11"/>
      <c r="R356" s="29"/>
      <c r="S356" s="11"/>
      <c r="T356" s="6"/>
      <c r="U356" s="29"/>
      <c r="V356" s="11"/>
      <c r="W356" s="11"/>
      <c r="X356" s="29"/>
      <c r="Y356" s="11"/>
      <c r="Z356" s="29"/>
      <c r="AA356" s="29"/>
      <c r="AB356" s="11"/>
      <c r="AC356" s="11"/>
      <c r="AD356" s="29"/>
      <c r="AE356" s="11"/>
      <c r="AF356" s="29"/>
      <c r="AG356" s="11"/>
      <c r="AH356" s="29"/>
      <c r="AI356" s="11"/>
      <c r="AJ356" s="29"/>
      <c r="AK356" s="29"/>
      <c r="AL356" s="29"/>
      <c r="AM356" s="11"/>
      <c r="AN356" s="29"/>
      <c r="AO356" s="29"/>
      <c r="AP356" s="6"/>
      <c r="AQ356" s="113">
        <f>IF(AND(I356="",K356="",AF356="",AL356="",AN356="",O356=""),"",IF(OR(I356="SIM",K356="SIM",AF356="SIM",AL356="SIM",AN356="Dados pessoais",AN356="Dados sensíveis",AN356="Dados pessoais e sensíveis",O356="Acima de 10.000 titulares por mês"),"SIM - Alta criticidade",IF((IF(I356="SIM",2,0)+IF(K356="SIM",2,0)+IF(AF356="SIM",2,0)+IF(OR(AN356="Dados pessoais",AN356="Dados sensíveis",AN356="Dados pessoais e sensíveis"),2,0)+IF(O356="De 1.001 a 10.000 titulares por mês",1,0)+IF(AA356="SIM",1,0)+IF(R356="SIM",1,0)+IF(AL356="SIM",1,0)+IF(AJ356="NÃO",1,0))&gt;=5,"SIM - Alta criticidade",IF((IF(I356="SIM",2,0)+IF(K356="SIM",2,0)+IF(AF356="SIM",2,0)+IF(OR(AN356="Dados pessoais",AN356="Dados sensíveis",AN356="Dados pessoais e sensíveis"),2,0)+IF(O356="De 1.001 a 10.000 titulares por mês",1,0)+IF(AA356="SIM",1,0)+IF(R356="SIM",1,0)+IF(AL356="SIM",1,0)+IF(AJ356="NÃO",1,0))&gt;=3,"Avaliação necessária","NÃO"))))</f>
      </c>
      <c r="AR356" s="11"/>
      <c r="AS356" s="113">
        <f>IF(AND(I356="",K356="",AF356="",AL356="",AN356="",O356=""),"",IF(OR(I356="SIM",K356="SIM",AF356="SIM",AL356="SIM",OR(AN356="Dados pessoais",AN356="Dados sensíveis",AN356="Dados pessoais e sensíveis"),O356="Acima de 10.000 titulares por mês",(IF(I356="SIM",2,0)+IF(K356="SIM",2,0)+IF(AF356="SIM",2,0)+IF(OR(AN356="Dados pessoais",AN356="Dados sensíveis",AN356="Dados pessoais e sensíveis"),2,0)+IF(O356="De 1.001 a 10.000 titulares por mês",1,0)+IF(AA356="SIM",1,0)+IF(R356="SIM",1,0)+IF(AL356="SIM",1,0)+IF(AJ356="NÃO",1,0))&gt;=3),"DPIA indicado ou em avaliação em razão de: " &amp; TRIM(IF(I356="SIM","tratamento de dados sensíveis; ","") &amp; IF(K356="SIM","utilização de dados de menores; ","") &amp; IF(AF356="SIM","transferência internacional de dados; ","") &amp; IF(AL356="SIM","utilização de inteligência artificial; ","") &amp; IF(OR(AN356="Dados pessoais",AN356="Dados sensíveis",AN356="Dados pessoais e sensíveis"),"dados inseridos em IA; ","") &amp; IF(O356="Acima de 10.000 titulares por mês","volume crítico de titulares; ","") &amp; IF(O356="De 1.001 a 10.000 titulares por mês","volume moderado de titulares; ","") &amp; IF(AA356="SIM","compartilhamento com terceiros; ","") &amp; IF(R356="SIM","compartilhamento com órgãos governamentais; ","") &amp; IF(AJ356="NÃO","ausência de controle de acesso por perfil; ","")),"DPIA não indicado: Processo de baixa criticidade."))</f>
      </c>
    </row>
    <row x14ac:dyDescent="0.25" r="357" customHeight="1" ht="15.75">
      <c r="A357" s="46"/>
      <c r="B357" s="6"/>
      <c r="C357" s="11"/>
      <c r="D357" s="11"/>
      <c r="E357" s="11"/>
      <c r="F357" s="29"/>
      <c r="G357" s="11"/>
      <c r="H357" s="11"/>
      <c r="I357" s="29"/>
      <c r="J357" s="11"/>
      <c r="K357" s="29"/>
      <c r="L357" s="11"/>
      <c r="M357" s="11"/>
      <c r="N357" s="11"/>
      <c r="O357" s="29"/>
      <c r="P357" s="29"/>
      <c r="Q357" s="11"/>
      <c r="R357" s="29"/>
      <c r="S357" s="11"/>
      <c r="T357" s="6"/>
      <c r="U357" s="29"/>
      <c r="V357" s="11"/>
      <c r="W357" s="11"/>
      <c r="X357" s="29"/>
      <c r="Y357" s="11"/>
      <c r="Z357" s="29"/>
      <c r="AA357" s="29"/>
      <c r="AB357" s="11"/>
      <c r="AC357" s="11"/>
      <c r="AD357" s="29"/>
      <c r="AE357" s="11"/>
      <c r="AF357" s="29"/>
      <c r="AG357" s="11"/>
      <c r="AH357" s="29"/>
      <c r="AI357" s="11"/>
      <c r="AJ357" s="29"/>
      <c r="AK357" s="29"/>
      <c r="AL357" s="29"/>
      <c r="AM357" s="11"/>
      <c r="AN357" s="29"/>
      <c r="AO357" s="29"/>
      <c r="AP357" s="6"/>
      <c r="AQ357" s="113">
        <f>IF(AND(I357="",K357="",AF357="",AL357="",AN357="",O357=""),"",IF(OR(I357="SIM",K357="SIM",AF357="SIM",AL357="SIM",AN357="Dados pessoais",AN357="Dados sensíveis",AN357="Dados pessoais e sensíveis",O357="Acima de 10.000 titulares por mês"),"SIM - Alta criticidade",IF((IF(I357="SIM",2,0)+IF(K357="SIM",2,0)+IF(AF357="SIM",2,0)+IF(OR(AN357="Dados pessoais",AN357="Dados sensíveis",AN357="Dados pessoais e sensíveis"),2,0)+IF(O357="De 1.001 a 10.000 titulares por mês",1,0)+IF(AA357="SIM",1,0)+IF(R357="SIM",1,0)+IF(AL357="SIM",1,0)+IF(AJ357="NÃO",1,0))&gt;=5,"SIM - Alta criticidade",IF((IF(I357="SIM",2,0)+IF(K357="SIM",2,0)+IF(AF357="SIM",2,0)+IF(OR(AN357="Dados pessoais",AN357="Dados sensíveis",AN357="Dados pessoais e sensíveis"),2,0)+IF(O357="De 1.001 a 10.000 titulares por mês",1,0)+IF(AA357="SIM",1,0)+IF(R357="SIM",1,0)+IF(AL357="SIM",1,0)+IF(AJ357="NÃO",1,0))&gt;=3,"Avaliação necessária","NÃO"))))</f>
      </c>
      <c r="AR357" s="11"/>
      <c r="AS357" s="113">
        <f>IF(AND(I357="",K357="",AF357="",AL357="",AN357="",O357=""),"",IF(OR(I357="SIM",K357="SIM",AF357="SIM",AL357="SIM",OR(AN357="Dados pessoais",AN357="Dados sensíveis",AN357="Dados pessoais e sensíveis"),O357="Acima de 10.000 titulares por mês",(IF(I357="SIM",2,0)+IF(K357="SIM",2,0)+IF(AF357="SIM",2,0)+IF(OR(AN357="Dados pessoais",AN357="Dados sensíveis",AN357="Dados pessoais e sensíveis"),2,0)+IF(O357="De 1.001 a 10.000 titulares por mês",1,0)+IF(AA357="SIM",1,0)+IF(R357="SIM",1,0)+IF(AL357="SIM",1,0)+IF(AJ357="NÃO",1,0))&gt;=3),"DPIA indicado ou em avaliação em razão de: " &amp; TRIM(IF(I357="SIM","tratamento de dados sensíveis; ","") &amp; IF(K357="SIM","utilização de dados de menores; ","") &amp; IF(AF357="SIM","transferência internacional de dados; ","") &amp; IF(AL357="SIM","utilização de inteligência artificial; ","") &amp; IF(OR(AN357="Dados pessoais",AN357="Dados sensíveis",AN357="Dados pessoais e sensíveis"),"dados inseridos em IA; ","") &amp; IF(O357="Acima de 10.000 titulares por mês","volume crítico de titulares; ","") &amp; IF(O357="De 1.001 a 10.000 titulares por mês","volume moderado de titulares; ","") &amp; IF(AA357="SIM","compartilhamento com terceiros; ","") &amp; IF(R357="SIM","compartilhamento com órgãos governamentais; ","") &amp; IF(AJ357="NÃO","ausência de controle de acesso por perfil; ","")),"DPIA não indicado: Processo de baixa criticidade."))</f>
      </c>
    </row>
    <row x14ac:dyDescent="0.25" r="358" customHeight="1" ht="15.75">
      <c r="A358" s="46"/>
      <c r="B358" s="6"/>
      <c r="C358" s="11"/>
      <c r="D358" s="11"/>
      <c r="E358" s="11"/>
      <c r="F358" s="29"/>
      <c r="G358" s="11"/>
      <c r="H358" s="11"/>
      <c r="I358" s="29"/>
      <c r="J358" s="11"/>
      <c r="K358" s="29"/>
      <c r="L358" s="11"/>
      <c r="M358" s="11"/>
      <c r="N358" s="11"/>
      <c r="O358" s="29"/>
      <c r="P358" s="29"/>
      <c r="Q358" s="11"/>
      <c r="R358" s="29"/>
      <c r="S358" s="11"/>
      <c r="T358" s="6"/>
      <c r="U358" s="29"/>
      <c r="V358" s="11"/>
      <c r="W358" s="11"/>
      <c r="X358" s="29"/>
      <c r="Y358" s="11"/>
      <c r="Z358" s="29"/>
      <c r="AA358" s="29"/>
      <c r="AB358" s="11"/>
      <c r="AC358" s="11"/>
      <c r="AD358" s="29"/>
      <c r="AE358" s="11"/>
      <c r="AF358" s="29"/>
      <c r="AG358" s="11"/>
      <c r="AH358" s="29"/>
      <c r="AI358" s="11"/>
      <c r="AJ358" s="29"/>
      <c r="AK358" s="29"/>
      <c r="AL358" s="29"/>
      <c r="AM358" s="11"/>
      <c r="AN358" s="29"/>
      <c r="AO358" s="29"/>
      <c r="AP358" s="6"/>
      <c r="AQ358" s="113">
        <f>IF(AND(I358="",K358="",AF358="",AL358="",AN358="",O358=""),"",IF(OR(I358="SIM",K358="SIM",AF358="SIM",AL358="SIM",AN358="Dados pessoais",AN358="Dados sensíveis",AN358="Dados pessoais e sensíveis",O358="Acima de 10.000 titulares por mês"),"SIM - Alta criticidade",IF((IF(I358="SIM",2,0)+IF(K358="SIM",2,0)+IF(AF358="SIM",2,0)+IF(OR(AN358="Dados pessoais",AN358="Dados sensíveis",AN358="Dados pessoais e sensíveis"),2,0)+IF(O358="De 1.001 a 10.000 titulares por mês",1,0)+IF(AA358="SIM",1,0)+IF(R358="SIM",1,0)+IF(AL358="SIM",1,0)+IF(AJ358="NÃO",1,0))&gt;=5,"SIM - Alta criticidade",IF((IF(I358="SIM",2,0)+IF(K358="SIM",2,0)+IF(AF358="SIM",2,0)+IF(OR(AN358="Dados pessoais",AN358="Dados sensíveis",AN358="Dados pessoais e sensíveis"),2,0)+IF(O358="De 1.001 a 10.000 titulares por mês",1,0)+IF(AA358="SIM",1,0)+IF(R358="SIM",1,0)+IF(AL358="SIM",1,0)+IF(AJ358="NÃO",1,0))&gt;=3,"Avaliação necessária","NÃO"))))</f>
      </c>
      <c r="AR358" s="11"/>
      <c r="AS358" s="113">
        <f>IF(AND(I358="",K358="",AF358="",AL358="",AN358="",O358=""),"",IF(OR(I358="SIM",K358="SIM",AF358="SIM",AL358="SIM",OR(AN358="Dados pessoais",AN358="Dados sensíveis",AN358="Dados pessoais e sensíveis"),O358="Acima de 10.000 titulares por mês",(IF(I358="SIM",2,0)+IF(K358="SIM",2,0)+IF(AF358="SIM",2,0)+IF(OR(AN358="Dados pessoais",AN358="Dados sensíveis",AN358="Dados pessoais e sensíveis"),2,0)+IF(O358="De 1.001 a 10.000 titulares por mês",1,0)+IF(AA358="SIM",1,0)+IF(R358="SIM",1,0)+IF(AL358="SIM",1,0)+IF(AJ358="NÃO",1,0))&gt;=3),"DPIA indicado ou em avaliação em razão de: " &amp; TRIM(IF(I358="SIM","tratamento de dados sensíveis; ","") &amp; IF(K358="SIM","utilização de dados de menores; ","") &amp; IF(AF358="SIM","transferência internacional de dados; ","") &amp; IF(AL358="SIM","utilização de inteligência artificial; ","") &amp; IF(OR(AN358="Dados pessoais",AN358="Dados sensíveis",AN358="Dados pessoais e sensíveis"),"dados inseridos em IA; ","") &amp; IF(O358="Acima de 10.000 titulares por mês","volume crítico de titulares; ","") &amp; IF(O358="De 1.001 a 10.000 titulares por mês","volume moderado de titulares; ","") &amp; IF(AA358="SIM","compartilhamento com terceiros; ","") &amp; IF(R358="SIM","compartilhamento com órgãos governamentais; ","") &amp; IF(AJ358="NÃO","ausência de controle de acesso por perfil; ","")),"DPIA não indicado: Processo de baixa criticidade."))</f>
      </c>
    </row>
    <row x14ac:dyDescent="0.25" r="359" customHeight="1" ht="15.75">
      <c r="A359" s="46"/>
      <c r="B359" s="6"/>
      <c r="C359" s="11"/>
      <c r="D359" s="11"/>
      <c r="E359" s="11"/>
      <c r="F359" s="29"/>
      <c r="G359" s="11"/>
      <c r="H359" s="11"/>
      <c r="I359" s="29"/>
      <c r="J359" s="11"/>
      <c r="K359" s="29"/>
      <c r="L359" s="11"/>
      <c r="M359" s="11"/>
      <c r="N359" s="11"/>
      <c r="O359" s="29"/>
      <c r="P359" s="29"/>
      <c r="Q359" s="11"/>
      <c r="R359" s="29"/>
      <c r="S359" s="11"/>
      <c r="T359" s="6"/>
      <c r="U359" s="29"/>
      <c r="V359" s="11"/>
      <c r="W359" s="11"/>
      <c r="X359" s="29"/>
      <c r="Y359" s="11"/>
      <c r="Z359" s="29"/>
      <c r="AA359" s="29"/>
      <c r="AB359" s="11"/>
      <c r="AC359" s="11"/>
      <c r="AD359" s="29"/>
      <c r="AE359" s="11"/>
      <c r="AF359" s="29"/>
      <c r="AG359" s="11"/>
      <c r="AH359" s="29"/>
      <c r="AI359" s="11"/>
      <c r="AJ359" s="29"/>
      <c r="AK359" s="29"/>
      <c r="AL359" s="29"/>
      <c r="AM359" s="11"/>
      <c r="AN359" s="29"/>
      <c r="AO359" s="29"/>
      <c r="AP359" s="6"/>
      <c r="AQ359" s="113">
        <f>IF(AND(I359="",K359="",AF359="",AL359="",AN359="",O359=""),"",IF(OR(I359="SIM",K359="SIM",AF359="SIM",AL359="SIM",AN359="Dados pessoais",AN359="Dados sensíveis",AN359="Dados pessoais e sensíveis",O359="Acima de 10.000 titulares por mês"),"SIM - Alta criticidade",IF((IF(I359="SIM",2,0)+IF(K359="SIM",2,0)+IF(AF359="SIM",2,0)+IF(OR(AN359="Dados pessoais",AN359="Dados sensíveis",AN359="Dados pessoais e sensíveis"),2,0)+IF(O359="De 1.001 a 10.000 titulares por mês",1,0)+IF(AA359="SIM",1,0)+IF(R359="SIM",1,0)+IF(AL359="SIM",1,0)+IF(AJ359="NÃO",1,0))&gt;=5,"SIM - Alta criticidade",IF((IF(I359="SIM",2,0)+IF(K359="SIM",2,0)+IF(AF359="SIM",2,0)+IF(OR(AN359="Dados pessoais",AN359="Dados sensíveis",AN359="Dados pessoais e sensíveis"),2,0)+IF(O359="De 1.001 a 10.000 titulares por mês",1,0)+IF(AA359="SIM",1,0)+IF(R359="SIM",1,0)+IF(AL359="SIM",1,0)+IF(AJ359="NÃO",1,0))&gt;=3,"Avaliação necessária","NÃO"))))</f>
      </c>
      <c r="AR359" s="11"/>
      <c r="AS359" s="113">
        <f>IF(AND(I359="",K359="",AF359="",AL359="",AN359="",O359=""),"",IF(OR(I359="SIM",K359="SIM",AF359="SIM",AL359="SIM",OR(AN359="Dados pessoais",AN359="Dados sensíveis",AN359="Dados pessoais e sensíveis"),O359="Acima de 10.000 titulares por mês",(IF(I359="SIM",2,0)+IF(K359="SIM",2,0)+IF(AF359="SIM",2,0)+IF(OR(AN359="Dados pessoais",AN359="Dados sensíveis",AN359="Dados pessoais e sensíveis"),2,0)+IF(O359="De 1.001 a 10.000 titulares por mês",1,0)+IF(AA359="SIM",1,0)+IF(R359="SIM",1,0)+IF(AL359="SIM",1,0)+IF(AJ359="NÃO",1,0))&gt;=3),"DPIA indicado ou em avaliação em razão de: " &amp; TRIM(IF(I359="SIM","tratamento de dados sensíveis; ","") &amp; IF(K359="SIM","utilização de dados de menores; ","") &amp; IF(AF359="SIM","transferência internacional de dados; ","") &amp; IF(AL359="SIM","utilização de inteligência artificial; ","") &amp; IF(OR(AN359="Dados pessoais",AN359="Dados sensíveis",AN359="Dados pessoais e sensíveis"),"dados inseridos em IA; ","") &amp; IF(O359="Acima de 10.000 titulares por mês","volume crítico de titulares; ","") &amp; IF(O359="De 1.001 a 10.000 titulares por mês","volume moderado de titulares; ","") &amp; IF(AA359="SIM","compartilhamento com terceiros; ","") &amp; IF(R359="SIM","compartilhamento com órgãos governamentais; ","") &amp; IF(AJ359="NÃO","ausência de controle de acesso por perfil; ","")),"DPIA não indicado: Processo de baixa criticidade."))</f>
      </c>
    </row>
    <row x14ac:dyDescent="0.25" r="360" customHeight="1" ht="15.75">
      <c r="A360" s="46"/>
      <c r="B360" s="6"/>
      <c r="C360" s="11"/>
      <c r="D360" s="11"/>
      <c r="E360" s="11"/>
      <c r="F360" s="29"/>
      <c r="G360" s="11"/>
      <c r="H360" s="11"/>
      <c r="I360" s="29"/>
      <c r="J360" s="11"/>
      <c r="K360" s="29"/>
      <c r="L360" s="11"/>
      <c r="M360" s="11"/>
      <c r="N360" s="11"/>
      <c r="O360" s="29"/>
      <c r="P360" s="29"/>
      <c r="Q360" s="11"/>
      <c r="R360" s="29"/>
      <c r="S360" s="11"/>
      <c r="T360" s="6"/>
      <c r="U360" s="29"/>
      <c r="V360" s="11"/>
      <c r="W360" s="11"/>
      <c r="X360" s="29"/>
      <c r="Y360" s="11"/>
      <c r="Z360" s="29"/>
      <c r="AA360" s="29"/>
      <c r="AB360" s="11"/>
      <c r="AC360" s="11"/>
      <c r="AD360" s="29"/>
      <c r="AE360" s="11"/>
      <c r="AF360" s="29"/>
      <c r="AG360" s="11"/>
      <c r="AH360" s="29"/>
      <c r="AI360" s="11"/>
      <c r="AJ360" s="29"/>
      <c r="AK360" s="29"/>
      <c r="AL360" s="29"/>
      <c r="AM360" s="11"/>
      <c r="AN360" s="29"/>
      <c r="AO360" s="29"/>
      <c r="AP360" s="6"/>
      <c r="AQ360" s="113">
        <f>IF(AND(I360="",K360="",AF360="",AL360="",AN360="",O360=""),"",IF(OR(I360="SIM",K360="SIM",AF360="SIM",AL360="SIM",AN360="Dados pessoais",AN360="Dados sensíveis",AN360="Dados pessoais e sensíveis",O360="Acima de 10.000 titulares por mês"),"SIM - Alta criticidade",IF((IF(I360="SIM",2,0)+IF(K360="SIM",2,0)+IF(AF360="SIM",2,0)+IF(OR(AN360="Dados pessoais",AN360="Dados sensíveis",AN360="Dados pessoais e sensíveis"),2,0)+IF(O360="De 1.001 a 10.000 titulares por mês",1,0)+IF(AA360="SIM",1,0)+IF(R360="SIM",1,0)+IF(AL360="SIM",1,0)+IF(AJ360="NÃO",1,0))&gt;=5,"SIM - Alta criticidade",IF((IF(I360="SIM",2,0)+IF(K360="SIM",2,0)+IF(AF360="SIM",2,0)+IF(OR(AN360="Dados pessoais",AN360="Dados sensíveis",AN360="Dados pessoais e sensíveis"),2,0)+IF(O360="De 1.001 a 10.000 titulares por mês",1,0)+IF(AA360="SIM",1,0)+IF(R360="SIM",1,0)+IF(AL360="SIM",1,0)+IF(AJ360="NÃO",1,0))&gt;=3,"Avaliação necessária","NÃO"))))</f>
      </c>
      <c r="AR360" s="11"/>
      <c r="AS360" s="113">
        <f>IF(AND(I360="",K360="",AF360="",AL360="",AN360="",O360=""),"",IF(OR(I360="SIM",K360="SIM",AF360="SIM",AL360="SIM",OR(AN360="Dados pessoais",AN360="Dados sensíveis",AN360="Dados pessoais e sensíveis"),O360="Acima de 10.000 titulares por mês",(IF(I360="SIM",2,0)+IF(K360="SIM",2,0)+IF(AF360="SIM",2,0)+IF(OR(AN360="Dados pessoais",AN360="Dados sensíveis",AN360="Dados pessoais e sensíveis"),2,0)+IF(O360="De 1.001 a 10.000 titulares por mês",1,0)+IF(AA360="SIM",1,0)+IF(R360="SIM",1,0)+IF(AL360="SIM",1,0)+IF(AJ360="NÃO",1,0))&gt;=3),"DPIA indicado ou em avaliação em razão de: " &amp; TRIM(IF(I360="SIM","tratamento de dados sensíveis; ","") &amp; IF(K360="SIM","utilização de dados de menores; ","") &amp; IF(AF360="SIM","transferência internacional de dados; ","") &amp; IF(AL360="SIM","utilização de inteligência artificial; ","") &amp; IF(OR(AN360="Dados pessoais",AN360="Dados sensíveis",AN360="Dados pessoais e sensíveis"),"dados inseridos em IA; ","") &amp; IF(O360="Acima de 10.000 titulares por mês","volume crítico de titulares; ","") &amp; IF(O360="De 1.001 a 10.000 titulares por mês","volume moderado de titulares; ","") &amp; IF(AA360="SIM","compartilhamento com terceiros; ","") &amp; IF(R360="SIM","compartilhamento com órgãos governamentais; ","") &amp; IF(AJ360="NÃO","ausência de controle de acesso por perfil; ","")),"DPIA não indicado: Processo de baixa criticidade."))</f>
      </c>
    </row>
    <row x14ac:dyDescent="0.25" r="361" customHeight="1" ht="15.75">
      <c r="A361" s="46"/>
      <c r="B361" s="6"/>
      <c r="C361" s="11"/>
      <c r="D361" s="11"/>
      <c r="E361" s="11"/>
      <c r="F361" s="29"/>
      <c r="G361" s="11"/>
      <c r="H361" s="11"/>
      <c r="I361" s="29"/>
      <c r="J361" s="11"/>
      <c r="K361" s="29"/>
      <c r="L361" s="11"/>
      <c r="M361" s="11"/>
      <c r="N361" s="11"/>
      <c r="O361" s="29"/>
      <c r="P361" s="29"/>
      <c r="Q361" s="11"/>
      <c r="R361" s="29"/>
      <c r="S361" s="11"/>
      <c r="T361" s="6"/>
      <c r="U361" s="29"/>
      <c r="V361" s="11"/>
      <c r="W361" s="11"/>
      <c r="X361" s="29"/>
      <c r="Y361" s="11"/>
      <c r="Z361" s="29"/>
      <c r="AA361" s="29"/>
      <c r="AB361" s="11"/>
      <c r="AC361" s="11"/>
      <c r="AD361" s="29"/>
      <c r="AE361" s="11"/>
      <c r="AF361" s="29"/>
      <c r="AG361" s="11"/>
      <c r="AH361" s="29"/>
      <c r="AI361" s="11"/>
      <c r="AJ361" s="29"/>
      <c r="AK361" s="29"/>
      <c r="AL361" s="29"/>
      <c r="AM361" s="11"/>
      <c r="AN361" s="29"/>
      <c r="AO361" s="29"/>
      <c r="AP361" s="6"/>
      <c r="AQ361" s="113">
        <f>IF(AND(I361="",K361="",AF361="",AL361="",AN361="",O361=""),"",IF(OR(I361="SIM",K361="SIM",AF361="SIM",AL361="SIM",AN361="Dados pessoais",AN361="Dados sensíveis",AN361="Dados pessoais e sensíveis",O361="Acima de 10.000 titulares por mês"),"SIM - Alta criticidade",IF((IF(I361="SIM",2,0)+IF(K361="SIM",2,0)+IF(AF361="SIM",2,0)+IF(OR(AN361="Dados pessoais",AN361="Dados sensíveis",AN361="Dados pessoais e sensíveis"),2,0)+IF(O361="De 1.001 a 10.000 titulares por mês",1,0)+IF(AA361="SIM",1,0)+IF(R361="SIM",1,0)+IF(AL361="SIM",1,0)+IF(AJ361="NÃO",1,0))&gt;=5,"SIM - Alta criticidade",IF((IF(I361="SIM",2,0)+IF(K361="SIM",2,0)+IF(AF361="SIM",2,0)+IF(OR(AN361="Dados pessoais",AN361="Dados sensíveis",AN361="Dados pessoais e sensíveis"),2,0)+IF(O361="De 1.001 a 10.000 titulares por mês",1,0)+IF(AA361="SIM",1,0)+IF(R361="SIM",1,0)+IF(AL361="SIM",1,0)+IF(AJ361="NÃO",1,0))&gt;=3,"Avaliação necessária","NÃO"))))</f>
      </c>
      <c r="AR361" s="11"/>
      <c r="AS361" s="113">
        <f>IF(AND(I361="",K361="",AF361="",AL361="",AN361="",O361=""),"",IF(OR(I361="SIM",K361="SIM",AF361="SIM",AL361="SIM",OR(AN361="Dados pessoais",AN361="Dados sensíveis",AN361="Dados pessoais e sensíveis"),O361="Acima de 10.000 titulares por mês",(IF(I361="SIM",2,0)+IF(K361="SIM",2,0)+IF(AF361="SIM",2,0)+IF(OR(AN361="Dados pessoais",AN361="Dados sensíveis",AN361="Dados pessoais e sensíveis"),2,0)+IF(O361="De 1.001 a 10.000 titulares por mês",1,0)+IF(AA361="SIM",1,0)+IF(R361="SIM",1,0)+IF(AL361="SIM",1,0)+IF(AJ361="NÃO",1,0))&gt;=3),"DPIA indicado ou em avaliação em razão de: " &amp; TRIM(IF(I361="SIM","tratamento de dados sensíveis; ","") &amp; IF(K361="SIM","utilização de dados de menores; ","") &amp; IF(AF361="SIM","transferência internacional de dados; ","") &amp; IF(AL361="SIM","utilização de inteligência artificial; ","") &amp; IF(OR(AN361="Dados pessoais",AN361="Dados sensíveis",AN361="Dados pessoais e sensíveis"),"dados inseridos em IA; ","") &amp; IF(O361="Acima de 10.000 titulares por mês","volume crítico de titulares; ","") &amp; IF(O361="De 1.001 a 10.000 titulares por mês","volume moderado de titulares; ","") &amp; IF(AA361="SIM","compartilhamento com terceiros; ","") &amp; IF(R361="SIM","compartilhamento com órgãos governamentais; ","") &amp; IF(AJ361="NÃO","ausência de controle de acesso por perfil; ","")),"DPIA não indicado: Processo de baixa criticidade."))</f>
      </c>
    </row>
    <row x14ac:dyDescent="0.25" r="362" customHeight="1" ht="15.75">
      <c r="A362" s="46"/>
      <c r="B362" s="6"/>
      <c r="C362" s="11"/>
      <c r="D362" s="11"/>
      <c r="E362" s="11"/>
      <c r="F362" s="29"/>
      <c r="G362" s="11"/>
      <c r="H362" s="11"/>
      <c r="I362" s="29"/>
      <c r="J362" s="11"/>
      <c r="K362" s="29"/>
      <c r="L362" s="11"/>
      <c r="M362" s="11"/>
      <c r="N362" s="11"/>
      <c r="O362" s="29"/>
      <c r="P362" s="29"/>
      <c r="Q362" s="11"/>
      <c r="R362" s="29"/>
      <c r="S362" s="11"/>
      <c r="T362" s="6"/>
      <c r="U362" s="29"/>
      <c r="V362" s="11"/>
      <c r="W362" s="11"/>
      <c r="X362" s="29"/>
      <c r="Y362" s="11"/>
      <c r="Z362" s="29"/>
      <c r="AA362" s="29"/>
      <c r="AB362" s="11"/>
      <c r="AC362" s="11"/>
      <c r="AD362" s="29"/>
      <c r="AE362" s="11"/>
      <c r="AF362" s="29"/>
      <c r="AG362" s="11"/>
      <c r="AH362" s="29"/>
      <c r="AI362" s="11"/>
      <c r="AJ362" s="29"/>
      <c r="AK362" s="29"/>
      <c r="AL362" s="29"/>
      <c r="AM362" s="11"/>
      <c r="AN362" s="29"/>
      <c r="AO362" s="29"/>
      <c r="AP362" s="6"/>
      <c r="AQ362" s="113">
        <f>IF(AND(I362="",K362="",AF362="",AL362="",AN362="",O362=""),"",IF(OR(I362="SIM",K362="SIM",AF362="SIM",AL362="SIM",AN362="Dados pessoais",AN362="Dados sensíveis",AN362="Dados pessoais e sensíveis",O362="Acima de 10.000 titulares por mês"),"SIM - Alta criticidade",IF((IF(I362="SIM",2,0)+IF(K362="SIM",2,0)+IF(AF362="SIM",2,0)+IF(OR(AN362="Dados pessoais",AN362="Dados sensíveis",AN362="Dados pessoais e sensíveis"),2,0)+IF(O362="De 1.001 a 10.000 titulares por mês",1,0)+IF(AA362="SIM",1,0)+IF(R362="SIM",1,0)+IF(AL362="SIM",1,0)+IF(AJ362="NÃO",1,0))&gt;=5,"SIM - Alta criticidade",IF((IF(I362="SIM",2,0)+IF(K362="SIM",2,0)+IF(AF362="SIM",2,0)+IF(OR(AN362="Dados pessoais",AN362="Dados sensíveis",AN362="Dados pessoais e sensíveis"),2,0)+IF(O362="De 1.001 a 10.000 titulares por mês",1,0)+IF(AA362="SIM",1,0)+IF(R362="SIM",1,0)+IF(AL362="SIM",1,0)+IF(AJ362="NÃO",1,0))&gt;=3,"Avaliação necessária","NÃO"))))</f>
      </c>
      <c r="AR362" s="11"/>
      <c r="AS362" s="113">
        <f>IF(AND(I362="",K362="",AF362="",AL362="",AN362="",O362=""),"",IF(OR(I362="SIM",K362="SIM",AF362="SIM",AL362="SIM",OR(AN362="Dados pessoais",AN362="Dados sensíveis",AN362="Dados pessoais e sensíveis"),O362="Acima de 10.000 titulares por mês",(IF(I362="SIM",2,0)+IF(K362="SIM",2,0)+IF(AF362="SIM",2,0)+IF(OR(AN362="Dados pessoais",AN362="Dados sensíveis",AN362="Dados pessoais e sensíveis"),2,0)+IF(O362="De 1.001 a 10.000 titulares por mês",1,0)+IF(AA362="SIM",1,0)+IF(R362="SIM",1,0)+IF(AL362="SIM",1,0)+IF(AJ362="NÃO",1,0))&gt;=3),"DPIA indicado ou em avaliação em razão de: " &amp; TRIM(IF(I362="SIM","tratamento de dados sensíveis; ","") &amp; IF(K362="SIM","utilização de dados de menores; ","") &amp; IF(AF362="SIM","transferência internacional de dados; ","") &amp; IF(AL362="SIM","utilização de inteligência artificial; ","") &amp; IF(OR(AN362="Dados pessoais",AN362="Dados sensíveis",AN362="Dados pessoais e sensíveis"),"dados inseridos em IA; ","") &amp; IF(O362="Acima de 10.000 titulares por mês","volume crítico de titulares; ","") &amp; IF(O362="De 1.001 a 10.000 titulares por mês","volume moderado de titulares; ","") &amp; IF(AA362="SIM","compartilhamento com terceiros; ","") &amp; IF(R362="SIM","compartilhamento com órgãos governamentais; ","") &amp; IF(AJ362="NÃO","ausência de controle de acesso por perfil; ","")),"DPIA não indicado: Processo de baixa criticidade."))</f>
      </c>
    </row>
    <row x14ac:dyDescent="0.25" r="363" customHeight="1" ht="15.75">
      <c r="A363" s="46"/>
      <c r="B363" s="6"/>
      <c r="C363" s="11"/>
      <c r="D363" s="11"/>
      <c r="E363" s="11"/>
      <c r="F363" s="29"/>
      <c r="G363" s="11"/>
      <c r="H363" s="11"/>
      <c r="I363" s="29"/>
      <c r="J363" s="11"/>
      <c r="K363" s="29"/>
      <c r="L363" s="11"/>
      <c r="M363" s="11"/>
      <c r="N363" s="11"/>
      <c r="O363" s="29"/>
      <c r="P363" s="29"/>
      <c r="Q363" s="11"/>
      <c r="R363" s="29"/>
      <c r="S363" s="11"/>
      <c r="T363" s="6"/>
      <c r="U363" s="29"/>
      <c r="V363" s="11"/>
      <c r="W363" s="11"/>
      <c r="X363" s="29"/>
      <c r="Y363" s="11"/>
      <c r="Z363" s="29"/>
      <c r="AA363" s="29"/>
      <c r="AB363" s="11"/>
      <c r="AC363" s="11"/>
      <c r="AD363" s="29"/>
      <c r="AE363" s="11"/>
      <c r="AF363" s="29"/>
      <c r="AG363" s="11"/>
      <c r="AH363" s="29"/>
      <c r="AI363" s="11"/>
      <c r="AJ363" s="29"/>
      <c r="AK363" s="29"/>
      <c r="AL363" s="29"/>
      <c r="AM363" s="11"/>
      <c r="AN363" s="29"/>
      <c r="AO363" s="29"/>
      <c r="AP363" s="6"/>
      <c r="AQ363" s="113">
        <f>IF(AND(I363="",K363="",AF363="",AL363="",AN363="",O363=""),"",IF(OR(I363="SIM",K363="SIM",AF363="SIM",AL363="SIM",AN363="Dados pessoais",AN363="Dados sensíveis",AN363="Dados pessoais e sensíveis",O363="Acima de 10.000 titulares por mês"),"SIM - Alta criticidade",IF((IF(I363="SIM",2,0)+IF(K363="SIM",2,0)+IF(AF363="SIM",2,0)+IF(OR(AN363="Dados pessoais",AN363="Dados sensíveis",AN363="Dados pessoais e sensíveis"),2,0)+IF(O363="De 1.001 a 10.000 titulares por mês",1,0)+IF(AA363="SIM",1,0)+IF(R363="SIM",1,0)+IF(AL363="SIM",1,0)+IF(AJ363="NÃO",1,0))&gt;=5,"SIM - Alta criticidade",IF((IF(I363="SIM",2,0)+IF(K363="SIM",2,0)+IF(AF363="SIM",2,0)+IF(OR(AN363="Dados pessoais",AN363="Dados sensíveis",AN363="Dados pessoais e sensíveis"),2,0)+IF(O363="De 1.001 a 10.000 titulares por mês",1,0)+IF(AA363="SIM",1,0)+IF(R363="SIM",1,0)+IF(AL363="SIM",1,0)+IF(AJ363="NÃO",1,0))&gt;=3,"Avaliação necessária","NÃO"))))</f>
      </c>
      <c r="AR363" s="11"/>
      <c r="AS363" s="113">
        <f>IF(AND(I363="",K363="",AF363="",AL363="",AN363="",O363=""),"",IF(OR(I363="SIM",K363="SIM",AF363="SIM",AL363="SIM",OR(AN363="Dados pessoais",AN363="Dados sensíveis",AN363="Dados pessoais e sensíveis"),O363="Acima de 10.000 titulares por mês",(IF(I363="SIM",2,0)+IF(K363="SIM",2,0)+IF(AF363="SIM",2,0)+IF(OR(AN363="Dados pessoais",AN363="Dados sensíveis",AN363="Dados pessoais e sensíveis"),2,0)+IF(O363="De 1.001 a 10.000 titulares por mês",1,0)+IF(AA363="SIM",1,0)+IF(R363="SIM",1,0)+IF(AL363="SIM",1,0)+IF(AJ363="NÃO",1,0))&gt;=3),"DPIA indicado ou em avaliação em razão de: " &amp; TRIM(IF(I363="SIM","tratamento de dados sensíveis; ","") &amp; IF(K363="SIM","utilização de dados de menores; ","") &amp; IF(AF363="SIM","transferência internacional de dados; ","") &amp; IF(AL363="SIM","utilização de inteligência artificial; ","") &amp; IF(OR(AN363="Dados pessoais",AN363="Dados sensíveis",AN363="Dados pessoais e sensíveis"),"dados inseridos em IA; ","") &amp; IF(O363="Acima de 10.000 titulares por mês","volume crítico de titulares; ","") &amp; IF(O363="De 1.001 a 10.000 titulares por mês","volume moderado de titulares; ","") &amp; IF(AA363="SIM","compartilhamento com terceiros; ","") &amp; IF(R363="SIM","compartilhamento com órgãos governamentais; ","") &amp; IF(AJ363="NÃO","ausência de controle de acesso por perfil; ","")),"DPIA não indicado: Processo de baixa criticidade."))</f>
      </c>
    </row>
    <row x14ac:dyDescent="0.25" r="364" customHeight="1" ht="15.75">
      <c r="A364" s="46"/>
      <c r="B364" s="6"/>
      <c r="C364" s="11"/>
      <c r="D364" s="11"/>
      <c r="E364" s="11"/>
      <c r="F364" s="29"/>
      <c r="G364" s="11"/>
      <c r="H364" s="11"/>
      <c r="I364" s="29"/>
      <c r="J364" s="11"/>
      <c r="K364" s="29"/>
      <c r="L364" s="11"/>
      <c r="M364" s="11"/>
      <c r="N364" s="11"/>
      <c r="O364" s="29"/>
      <c r="P364" s="29"/>
      <c r="Q364" s="11"/>
      <c r="R364" s="29"/>
      <c r="S364" s="11"/>
      <c r="T364" s="6"/>
      <c r="U364" s="29"/>
      <c r="V364" s="11"/>
      <c r="W364" s="11"/>
      <c r="X364" s="29"/>
      <c r="Y364" s="11"/>
      <c r="Z364" s="29"/>
      <c r="AA364" s="29"/>
      <c r="AB364" s="11"/>
      <c r="AC364" s="11"/>
      <c r="AD364" s="29"/>
      <c r="AE364" s="11"/>
      <c r="AF364" s="29"/>
      <c r="AG364" s="11"/>
      <c r="AH364" s="29"/>
      <c r="AI364" s="11"/>
      <c r="AJ364" s="29"/>
      <c r="AK364" s="29"/>
      <c r="AL364" s="29"/>
      <c r="AM364" s="11"/>
      <c r="AN364" s="29"/>
      <c r="AO364" s="29"/>
      <c r="AP364" s="6"/>
      <c r="AQ364" s="113">
        <f>IF(AND(I364="",K364="",AF364="",AL364="",AN364="",O364=""),"",IF(OR(I364="SIM",K364="SIM",AF364="SIM",AL364="SIM",AN364="Dados pessoais",AN364="Dados sensíveis",AN364="Dados pessoais e sensíveis",O364="Acima de 10.000 titulares por mês"),"SIM - Alta criticidade",IF((IF(I364="SIM",2,0)+IF(K364="SIM",2,0)+IF(AF364="SIM",2,0)+IF(OR(AN364="Dados pessoais",AN364="Dados sensíveis",AN364="Dados pessoais e sensíveis"),2,0)+IF(O364="De 1.001 a 10.000 titulares por mês",1,0)+IF(AA364="SIM",1,0)+IF(R364="SIM",1,0)+IF(AL364="SIM",1,0)+IF(AJ364="NÃO",1,0))&gt;=5,"SIM - Alta criticidade",IF((IF(I364="SIM",2,0)+IF(K364="SIM",2,0)+IF(AF364="SIM",2,0)+IF(OR(AN364="Dados pessoais",AN364="Dados sensíveis",AN364="Dados pessoais e sensíveis"),2,0)+IF(O364="De 1.001 a 10.000 titulares por mês",1,0)+IF(AA364="SIM",1,0)+IF(R364="SIM",1,0)+IF(AL364="SIM",1,0)+IF(AJ364="NÃO",1,0))&gt;=3,"Avaliação necessária","NÃO"))))</f>
      </c>
      <c r="AR364" s="11"/>
      <c r="AS364" s="113">
        <f>IF(AND(I364="",K364="",AF364="",AL364="",AN364="",O364=""),"",IF(OR(I364="SIM",K364="SIM",AF364="SIM",AL364="SIM",OR(AN364="Dados pessoais",AN364="Dados sensíveis",AN364="Dados pessoais e sensíveis"),O364="Acima de 10.000 titulares por mês",(IF(I364="SIM",2,0)+IF(K364="SIM",2,0)+IF(AF364="SIM",2,0)+IF(OR(AN364="Dados pessoais",AN364="Dados sensíveis",AN364="Dados pessoais e sensíveis"),2,0)+IF(O364="De 1.001 a 10.000 titulares por mês",1,0)+IF(AA364="SIM",1,0)+IF(R364="SIM",1,0)+IF(AL364="SIM",1,0)+IF(AJ364="NÃO",1,0))&gt;=3),"DPIA indicado ou em avaliação em razão de: " &amp; TRIM(IF(I364="SIM","tratamento de dados sensíveis; ","") &amp; IF(K364="SIM","utilização de dados de menores; ","") &amp; IF(AF364="SIM","transferência internacional de dados; ","") &amp; IF(AL364="SIM","utilização de inteligência artificial; ","") &amp; IF(OR(AN364="Dados pessoais",AN364="Dados sensíveis",AN364="Dados pessoais e sensíveis"),"dados inseridos em IA; ","") &amp; IF(O364="Acima de 10.000 titulares por mês","volume crítico de titulares; ","") &amp; IF(O364="De 1.001 a 10.000 titulares por mês","volume moderado de titulares; ","") &amp; IF(AA364="SIM","compartilhamento com terceiros; ","") &amp; IF(R364="SIM","compartilhamento com órgãos governamentais; ","") &amp; IF(AJ364="NÃO","ausência de controle de acesso por perfil; ","")),"DPIA não indicado: Processo de baixa criticidade."))</f>
      </c>
    </row>
    <row x14ac:dyDescent="0.25" r="365" customHeight="1" ht="15.75">
      <c r="A365" s="46"/>
      <c r="B365" s="6"/>
      <c r="C365" s="11"/>
      <c r="D365" s="11"/>
      <c r="E365" s="11"/>
      <c r="F365" s="29"/>
      <c r="G365" s="11"/>
      <c r="H365" s="11"/>
      <c r="I365" s="29"/>
      <c r="J365" s="11"/>
      <c r="K365" s="29"/>
      <c r="L365" s="11"/>
      <c r="M365" s="11"/>
      <c r="N365" s="11"/>
      <c r="O365" s="29"/>
      <c r="P365" s="29"/>
      <c r="Q365" s="11"/>
      <c r="R365" s="29"/>
      <c r="S365" s="11"/>
      <c r="T365" s="6"/>
      <c r="U365" s="29"/>
      <c r="V365" s="11"/>
      <c r="W365" s="11"/>
      <c r="X365" s="29"/>
      <c r="Y365" s="11"/>
      <c r="Z365" s="29"/>
      <c r="AA365" s="29"/>
      <c r="AB365" s="11"/>
      <c r="AC365" s="11"/>
      <c r="AD365" s="29"/>
      <c r="AE365" s="11"/>
      <c r="AF365" s="29"/>
      <c r="AG365" s="11"/>
      <c r="AH365" s="29"/>
      <c r="AI365" s="11"/>
      <c r="AJ365" s="29"/>
      <c r="AK365" s="29"/>
      <c r="AL365" s="29"/>
      <c r="AM365" s="11"/>
      <c r="AN365" s="29"/>
      <c r="AO365" s="29"/>
      <c r="AP365" s="6"/>
      <c r="AQ365" s="113">
        <f>IF(AND(I365="",K365="",AF365="",AL365="",AN365="",O365=""),"",IF(OR(I365="SIM",K365="SIM",AF365="SIM",AL365="SIM",AN365="Dados pessoais",AN365="Dados sensíveis",AN365="Dados pessoais e sensíveis",O365="Acima de 10.000 titulares por mês"),"SIM - Alta criticidade",IF((IF(I365="SIM",2,0)+IF(K365="SIM",2,0)+IF(AF365="SIM",2,0)+IF(OR(AN365="Dados pessoais",AN365="Dados sensíveis",AN365="Dados pessoais e sensíveis"),2,0)+IF(O365="De 1.001 a 10.000 titulares por mês",1,0)+IF(AA365="SIM",1,0)+IF(R365="SIM",1,0)+IF(AL365="SIM",1,0)+IF(AJ365="NÃO",1,0))&gt;=5,"SIM - Alta criticidade",IF((IF(I365="SIM",2,0)+IF(K365="SIM",2,0)+IF(AF365="SIM",2,0)+IF(OR(AN365="Dados pessoais",AN365="Dados sensíveis",AN365="Dados pessoais e sensíveis"),2,0)+IF(O365="De 1.001 a 10.000 titulares por mês",1,0)+IF(AA365="SIM",1,0)+IF(R365="SIM",1,0)+IF(AL365="SIM",1,0)+IF(AJ365="NÃO",1,0))&gt;=3,"Avaliação necessária","NÃO"))))</f>
      </c>
      <c r="AR365" s="11"/>
      <c r="AS365" s="113">
        <f>IF(AND(I365="",K365="",AF365="",AL365="",AN365="",O365=""),"",IF(OR(I365="SIM",K365="SIM",AF365="SIM",AL365="SIM",OR(AN365="Dados pessoais",AN365="Dados sensíveis",AN365="Dados pessoais e sensíveis"),O365="Acima de 10.000 titulares por mês",(IF(I365="SIM",2,0)+IF(K365="SIM",2,0)+IF(AF365="SIM",2,0)+IF(OR(AN365="Dados pessoais",AN365="Dados sensíveis",AN365="Dados pessoais e sensíveis"),2,0)+IF(O365="De 1.001 a 10.000 titulares por mês",1,0)+IF(AA365="SIM",1,0)+IF(R365="SIM",1,0)+IF(AL365="SIM",1,0)+IF(AJ365="NÃO",1,0))&gt;=3),"DPIA indicado ou em avaliação em razão de: " &amp; TRIM(IF(I365="SIM","tratamento de dados sensíveis; ","") &amp; IF(K365="SIM","utilização de dados de menores; ","") &amp; IF(AF365="SIM","transferência internacional de dados; ","") &amp; IF(AL365="SIM","utilização de inteligência artificial; ","") &amp; IF(OR(AN365="Dados pessoais",AN365="Dados sensíveis",AN365="Dados pessoais e sensíveis"),"dados inseridos em IA; ","") &amp; IF(O365="Acima de 10.000 titulares por mês","volume crítico de titulares; ","") &amp; IF(O365="De 1.001 a 10.000 titulares por mês","volume moderado de titulares; ","") &amp; IF(AA365="SIM","compartilhamento com terceiros; ","") &amp; IF(R365="SIM","compartilhamento com órgãos governamentais; ","") &amp; IF(AJ365="NÃO","ausência de controle de acesso por perfil; ","")),"DPIA não indicado: Processo de baixa criticidade."))</f>
      </c>
    </row>
    <row x14ac:dyDescent="0.25" r="366" customHeight="1" ht="15.75">
      <c r="A366" s="46"/>
      <c r="B366" s="6"/>
      <c r="C366" s="11"/>
      <c r="D366" s="11"/>
      <c r="E366" s="11"/>
      <c r="F366" s="29"/>
      <c r="G366" s="11"/>
      <c r="H366" s="11"/>
      <c r="I366" s="29"/>
      <c r="J366" s="11"/>
      <c r="K366" s="29"/>
      <c r="L366" s="11"/>
      <c r="M366" s="11"/>
      <c r="N366" s="11"/>
      <c r="O366" s="29"/>
      <c r="P366" s="29"/>
      <c r="Q366" s="11"/>
      <c r="R366" s="29"/>
      <c r="S366" s="11"/>
      <c r="T366" s="6"/>
      <c r="U366" s="29"/>
      <c r="V366" s="11"/>
      <c r="W366" s="11"/>
      <c r="X366" s="29"/>
      <c r="Y366" s="11"/>
      <c r="Z366" s="29"/>
      <c r="AA366" s="29"/>
      <c r="AB366" s="11"/>
      <c r="AC366" s="11"/>
      <c r="AD366" s="29"/>
      <c r="AE366" s="11"/>
      <c r="AF366" s="29"/>
      <c r="AG366" s="11"/>
      <c r="AH366" s="29"/>
      <c r="AI366" s="11"/>
      <c r="AJ366" s="29"/>
      <c r="AK366" s="29"/>
      <c r="AL366" s="29"/>
      <c r="AM366" s="11"/>
      <c r="AN366" s="29"/>
      <c r="AO366" s="29"/>
      <c r="AP366" s="6"/>
      <c r="AQ366" s="113">
        <f>IF(AND(I366="",K366="",AF366="",AL366="",AN366="",O366=""),"",IF(OR(I366="SIM",K366="SIM",AF366="SIM",AL366="SIM",AN366="Dados pessoais",AN366="Dados sensíveis",AN366="Dados pessoais e sensíveis",O366="Acima de 10.000 titulares por mês"),"SIM - Alta criticidade",IF((IF(I366="SIM",2,0)+IF(K366="SIM",2,0)+IF(AF366="SIM",2,0)+IF(OR(AN366="Dados pessoais",AN366="Dados sensíveis",AN366="Dados pessoais e sensíveis"),2,0)+IF(O366="De 1.001 a 10.000 titulares por mês",1,0)+IF(AA366="SIM",1,0)+IF(R366="SIM",1,0)+IF(AL366="SIM",1,0)+IF(AJ366="NÃO",1,0))&gt;=5,"SIM - Alta criticidade",IF((IF(I366="SIM",2,0)+IF(K366="SIM",2,0)+IF(AF366="SIM",2,0)+IF(OR(AN366="Dados pessoais",AN366="Dados sensíveis",AN366="Dados pessoais e sensíveis"),2,0)+IF(O366="De 1.001 a 10.000 titulares por mês",1,0)+IF(AA366="SIM",1,0)+IF(R366="SIM",1,0)+IF(AL366="SIM",1,0)+IF(AJ366="NÃO",1,0))&gt;=3,"Avaliação necessária","NÃO"))))</f>
      </c>
      <c r="AR366" s="11"/>
      <c r="AS366" s="113">
        <f>IF(AND(I366="",K366="",AF366="",AL366="",AN366="",O366=""),"",IF(OR(I366="SIM",K366="SIM",AF366="SIM",AL366="SIM",OR(AN366="Dados pessoais",AN366="Dados sensíveis",AN366="Dados pessoais e sensíveis"),O366="Acima de 10.000 titulares por mês",(IF(I366="SIM",2,0)+IF(K366="SIM",2,0)+IF(AF366="SIM",2,0)+IF(OR(AN366="Dados pessoais",AN366="Dados sensíveis",AN366="Dados pessoais e sensíveis"),2,0)+IF(O366="De 1.001 a 10.000 titulares por mês",1,0)+IF(AA366="SIM",1,0)+IF(R366="SIM",1,0)+IF(AL366="SIM",1,0)+IF(AJ366="NÃO",1,0))&gt;=3),"DPIA indicado ou em avaliação em razão de: " &amp; TRIM(IF(I366="SIM","tratamento de dados sensíveis; ","") &amp; IF(K366="SIM","utilização de dados de menores; ","") &amp; IF(AF366="SIM","transferência internacional de dados; ","") &amp; IF(AL366="SIM","utilização de inteligência artificial; ","") &amp; IF(OR(AN366="Dados pessoais",AN366="Dados sensíveis",AN366="Dados pessoais e sensíveis"),"dados inseridos em IA; ","") &amp; IF(O366="Acima de 10.000 titulares por mês","volume crítico de titulares; ","") &amp; IF(O366="De 1.001 a 10.000 titulares por mês","volume moderado de titulares; ","") &amp; IF(AA366="SIM","compartilhamento com terceiros; ","") &amp; IF(R366="SIM","compartilhamento com órgãos governamentais; ","") &amp; IF(AJ366="NÃO","ausência de controle de acesso por perfil; ","")),"DPIA não indicado: Processo de baixa criticidade."))</f>
      </c>
    </row>
    <row x14ac:dyDescent="0.25" r="367" customHeight="1" ht="15.75">
      <c r="A367" s="46"/>
      <c r="B367" s="6"/>
      <c r="C367" s="11"/>
      <c r="D367" s="11"/>
      <c r="E367" s="11"/>
      <c r="F367" s="29"/>
      <c r="G367" s="11"/>
      <c r="H367" s="11"/>
      <c r="I367" s="29"/>
      <c r="J367" s="11"/>
      <c r="K367" s="29"/>
      <c r="L367" s="11"/>
      <c r="M367" s="11"/>
      <c r="N367" s="11"/>
      <c r="O367" s="29"/>
      <c r="P367" s="29"/>
      <c r="Q367" s="11"/>
      <c r="R367" s="29"/>
      <c r="S367" s="11"/>
      <c r="T367" s="6"/>
      <c r="U367" s="29"/>
      <c r="V367" s="11"/>
      <c r="W367" s="11"/>
      <c r="X367" s="29"/>
      <c r="Y367" s="11"/>
      <c r="Z367" s="29"/>
      <c r="AA367" s="29"/>
      <c r="AB367" s="11"/>
      <c r="AC367" s="11"/>
      <c r="AD367" s="29"/>
      <c r="AE367" s="11"/>
      <c r="AF367" s="29"/>
      <c r="AG367" s="11"/>
      <c r="AH367" s="29"/>
      <c r="AI367" s="11"/>
      <c r="AJ367" s="29"/>
      <c r="AK367" s="29"/>
      <c r="AL367" s="29"/>
      <c r="AM367" s="11"/>
      <c r="AN367" s="29"/>
      <c r="AO367" s="29"/>
      <c r="AP367" s="6"/>
      <c r="AQ367" s="113">
        <f>IF(AND(I367="",K367="",AF367="",AL367="",AN367="",O367=""),"",IF(OR(I367="SIM",K367="SIM",AF367="SIM",AL367="SIM",AN367="Dados pessoais",AN367="Dados sensíveis",AN367="Dados pessoais e sensíveis",O367="Acima de 10.000 titulares por mês"),"SIM - Alta criticidade",IF((IF(I367="SIM",2,0)+IF(K367="SIM",2,0)+IF(AF367="SIM",2,0)+IF(OR(AN367="Dados pessoais",AN367="Dados sensíveis",AN367="Dados pessoais e sensíveis"),2,0)+IF(O367="De 1.001 a 10.000 titulares por mês",1,0)+IF(AA367="SIM",1,0)+IF(R367="SIM",1,0)+IF(AL367="SIM",1,0)+IF(AJ367="NÃO",1,0))&gt;=5,"SIM - Alta criticidade",IF((IF(I367="SIM",2,0)+IF(K367="SIM",2,0)+IF(AF367="SIM",2,0)+IF(OR(AN367="Dados pessoais",AN367="Dados sensíveis",AN367="Dados pessoais e sensíveis"),2,0)+IF(O367="De 1.001 a 10.000 titulares por mês",1,0)+IF(AA367="SIM",1,0)+IF(R367="SIM",1,0)+IF(AL367="SIM",1,0)+IF(AJ367="NÃO",1,0))&gt;=3,"Avaliação necessária","NÃO"))))</f>
      </c>
      <c r="AR367" s="11"/>
      <c r="AS367" s="113">
        <f>IF(AND(I367="",K367="",AF367="",AL367="",AN367="",O367=""),"",IF(OR(I367="SIM",K367="SIM",AF367="SIM",AL367="SIM",OR(AN367="Dados pessoais",AN367="Dados sensíveis",AN367="Dados pessoais e sensíveis"),O367="Acima de 10.000 titulares por mês",(IF(I367="SIM",2,0)+IF(K367="SIM",2,0)+IF(AF367="SIM",2,0)+IF(OR(AN367="Dados pessoais",AN367="Dados sensíveis",AN367="Dados pessoais e sensíveis"),2,0)+IF(O367="De 1.001 a 10.000 titulares por mês",1,0)+IF(AA367="SIM",1,0)+IF(R367="SIM",1,0)+IF(AL367="SIM",1,0)+IF(AJ367="NÃO",1,0))&gt;=3),"DPIA indicado ou em avaliação em razão de: " &amp; TRIM(IF(I367="SIM","tratamento de dados sensíveis; ","") &amp; IF(K367="SIM","utilização de dados de menores; ","") &amp; IF(AF367="SIM","transferência internacional de dados; ","") &amp; IF(AL367="SIM","utilização de inteligência artificial; ","") &amp; IF(OR(AN367="Dados pessoais",AN367="Dados sensíveis",AN367="Dados pessoais e sensíveis"),"dados inseridos em IA; ","") &amp; IF(O367="Acima de 10.000 titulares por mês","volume crítico de titulares; ","") &amp; IF(O367="De 1.001 a 10.000 titulares por mês","volume moderado de titulares; ","") &amp; IF(AA367="SIM","compartilhamento com terceiros; ","") &amp; IF(R367="SIM","compartilhamento com órgãos governamentais; ","") &amp; IF(AJ367="NÃO","ausência de controle de acesso por perfil; ","")),"DPIA não indicado: Processo de baixa criticidade."))</f>
      </c>
    </row>
    <row x14ac:dyDescent="0.25" r="368" customHeight="1" ht="15.75">
      <c r="A368" s="46"/>
      <c r="B368" s="6"/>
      <c r="C368" s="11"/>
      <c r="D368" s="11"/>
      <c r="E368" s="11"/>
      <c r="F368" s="29"/>
      <c r="G368" s="11"/>
      <c r="H368" s="11"/>
      <c r="I368" s="29"/>
      <c r="J368" s="11"/>
      <c r="K368" s="29"/>
      <c r="L368" s="11"/>
      <c r="M368" s="11"/>
      <c r="N368" s="11"/>
      <c r="O368" s="29"/>
      <c r="P368" s="29"/>
      <c r="Q368" s="11"/>
      <c r="R368" s="29"/>
      <c r="S368" s="11"/>
      <c r="T368" s="6"/>
      <c r="U368" s="29"/>
      <c r="V368" s="11"/>
      <c r="W368" s="11"/>
      <c r="X368" s="29"/>
      <c r="Y368" s="11"/>
      <c r="Z368" s="29"/>
      <c r="AA368" s="29"/>
      <c r="AB368" s="11"/>
      <c r="AC368" s="11"/>
      <c r="AD368" s="29"/>
      <c r="AE368" s="11"/>
      <c r="AF368" s="29"/>
      <c r="AG368" s="11"/>
      <c r="AH368" s="29"/>
      <c r="AI368" s="11"/>
      <c r="AJ368" s="29"/>
      <c r="AK368" s="29"/>
      <c r="AL368" s="29"/>
      <c r="AM368" s="11"/>
      <c r="AN368" s="29"/>
      <c r="AO368" s="29"/>
      <c r="AP368" s="6"/>
      <c r="AQ368" s="113">
        <f>IF(AND(I368="",K368="",AF368="",AL368="",AN368="",O368=""),"",IF(OR(I368="SIM",K368="SIM",AF368="SIM",AL368="SIM",AN368="Dados pessoais",AN368="Dados sensíveis",AN368="Dados pessoais e sensíveis",O368="Acima de 10.000 titulares por mês"),"SIM - Alta criticidade",IF((IF(I368="SIM",2,0)+IF(K368="SIM",2,0)+IF(AF368="SIM",2,0)+IF(OR(AN368="Dados pessoais",AN368="Dados sensíveis",AN368="Dados pessoais e sensíveis"),2,0)+IF(O368="De 1.001 a 10.000 titulares por mês",1,0)+IF(AA368="SIM",1,0)+IF(R368="SIM",1,0)+IF(AL368="SIM",1,0)+IF(AJ368="NÃO",1,0))&gt;=5,"SIM - Alta criticidade",IF((IF(I368="SIM",2,0)+IF(K368="SIM",2,0)+IF(AF368="SIM",2,0)+IF(OR(AN368="Dados pessoais",AN368="Dados sensíveis",AN368="Dados pessoais e sensíveis"),2,0)+IF(O368="De 1.001 a 10.000 titulares por mês",1,0)+IF(AA368="SIM",1,0)+IF(R368="SIM",1,0)+IF(AL368="SIM",1,0)+IF(AJ368="NÃO",1,0))&gt;=3,"Avaliação necessária","NÃO"))))</f>
      </c>
      <c r="AR368" s="11"/>
      <c r="AS368" s="113">
        <f>IF(AND(I368="",K368="",AF368="",AL368="",AN368="",O368=""),"",IF(OR(I368="SIM",K368="SIM",AF368="SIM",AL368="SIM",OR(AN368="Dados pessoais",AN368="Dados sensíveis",AN368="Dados pessoais e sensíveis"),O368="Acima de 10.000 titulares por mês",(IF(I368="SIM",2,0)+IF(K368="SIM",2,0)+IF(AF368="SIM",2,0)+IF(OR(AN368="Dados pessoais",AN368="Dados sensíveis",AN368="Dados pessoais e sensíveis"),2,0)+IF(O368="De 1.001 a 10.000 titulares por mês",1,0)+IF(AA368="SIM",1,0)+IF(R368="SIM",1,0)+IF(AL368="SIM",1,0)+IF(AJ368="NÃO",1,0))&gt;=3),"DPIA indicado ou em avaliação em razão de: " &amp; TRIM(IF(I368="SIM","tratamento de dados sensíveis; ","") &amp; IF(K368="SIM","utilização de dados de menores; ","") &amp; IF(AF368="SIM","transferência internacional de dados; ","") &amp; IF(AL368="SIM","utilização de inteligência artificial; ","") &amp; IF(OR(AN368="Dados pessoais",AN368="Dados sensíveis",AN368="Dados pessoais e sensíveis"),"dados inseridos em IA; ","") &amp; IF(O368="Acima de 10.000 titulares por mês","volume crítico de titulares; ","") &amp; IF(O368="De 1.001 a 10.000 titulares por mês","volume moderado de titulares; ","") &amp; IF(AA368="SIM","compartilhamento com terceiros; ","") &amp; IF(R368="SIM","compartilhamento com órgãos governamentais; ","") &amp; IF(AJ368="NÃO","ausência de controle de acesso por perfil; ","")),"DPIA não indicado: Processo de baixa criticidade."))</f>
      </c>
    </row>
    <row x14ac:dyDescent="0.25" r="369" customHeight="1" ht="15.75">
      <c r="A369" s="46"/>
      <c r="B369" s="6"/>
      <c r="C369" s="11"/>
      <c r="D369" s="11"/>
      <c r="E369" s="11"/>
      <c r="F369" s="29"/>
      <c r="G369" s="11"/>
      <c r="H369" s="11"/>
      <c r="I369" s="29"/>
      <c r="J369" s="11"/>
      <c r="K369" s="29"/>
      <c r="L369" s="11"/>
      <c r="M369" s="11"/>
      <c r="N369" s="11"/>
      <c r="O369" s="29"/>
      <c r="P369" s="29"/>
      <c r="Q369" s="11"/>
      <c r="R369" s="29"/>
      <c r="S369" s="11"/>
      <c r="T369" s="6"/>
      <c r="U369" s="29"/>
      <c r="V369" s="11"/>
      <c r="W369" s="11"/>
      <c r="X369" s="29"/>
      <c r="Y369" s="11"/>
      <c r="Z369" s="29"/>
      <c r="AA369" s="29"/>
      <c r="AB369" s="11"/>
      <c r="AC369" s="11"/>
      <c r="AD369" s="29"/>
      <c r="AE369" s="11"/>
      <c r="AF369" s="29"/>
      <c r="AG369" s="11"/>
      <c r="AH369" s="29"/>
      <c r="AI369" s="11"/>
      <c r="AJ369" s="29"/>
      <c r="AK369" s="29"/>
      <c r="AL369" s="29"/>
      <c r="AM369" s="11"/>
      <c r="AN369" s="29"/>
      <c r="AO369" s="29"/>
      <c r="AP369" s="6"/>
      <c r="AQ369" s="113">
        <f>IF(AND(I369="",K369="",AF369="",AL369="",AN369="",O369=""),"",IF(OR(I369="SIM",K369="SIM",AF369="SIM",AL369="SIM",AN369="Dados pessoais",AN369="Dados sensíveis",AN369="Dados pessoais e sensíveis",O369="Acima de 10.000 titulares por mês"),"SIM - Alta criticidade",IF((IF(I369="SIM",2,0)+IF(K369="SIM",2,0)+IF(AF369="SIM",2,0)+IF(OR(AN369="Dados pessoais",AN369="Dados sensíveis",AN369="Dados pessoais e sensíveis"),2,0)+IF(O369="De 1.001 a 10.000 titulares por mês",1,0)+IF(AA369="SIM",1,0)+IF(R369="SIM",1,0)+IF(AL369="SIM",1,0)+IF(AJ369="NÃO",1,0))&gt;=5,"SIM - Alta criticidade",IF((IF(I369="SIM",2,0)+IF(K369="SIM",2,0)+IF(AF369="SIM",2,0)+IF(OR(AN369="Dados pessoais",AN369="Dados sensíveis",AN369="Dados pessoais e sensíveis"),2,0)+IF(O369="De 1.001 a 10.000 titulares por mês",1,0)+IF(AA369="SIM",1,0)+IF(R369="SIM",1,0)+IF(AL369="SIM",1,0)+IF(AJ369="NÃO",1,0))&gt;=3,"Avaliação necessária","NÃO"))))</f>
      </c>
      <c r="AR369" s="11"/>
      <c r="AS369" s="113">
        <f>IF(AND(I369="",K369="",AF369="",AL369="",AN369="",O369=""),"",IF(OR(I369="SIM",K369="SIM",AF369="SIM",AL369="SIM",OR(AN369="Dados pessoais",AN369="Dados sensíveis",AN369="Dados pessoais e sensíveis"),O369="Acima de 10.000 titulares por mês",(IF(I369="SIM",2,0)+IF(K369="SIM",2,0)+IF(AF369="SIM",2,0)+IF(OR(AN369="Dados pessoais",AN369="Dados sensíveis",AN369="Dados pessoais e sensíveis"),2,0)+IF(O369="De 1.001 a 10.000 titulares por mês",1,0)+IF(AA369="SIM",1,0)+IF(R369="SIM",1,0)+IF(AL369="SIM",1,0)+IF(AJ369="NÃO",1,0))&gt;=3),"DPIA indicado ou em avaliação em razão de: " &amp; TRIM(IF(I369="SIM","tratamento de dados sensíveis; ","") &amp; IF(K369="SIM","utilização de dados de menores; ","") &amp; IF(AF369="SIM","transferência internacional de dados; ","") &amp; IF(AL369="SIM","utilização de inteligência artificial; ","") &amp; IF(OR(AN369="Dados pessoais",AN369="Dados sensíveis",AN369="Dados pessoais e sensíveis"),"dados inseridos em IA; ","") &amp; IF(O369="Acima de 10.000 titulares por mês","volume crítico de titulares; ","") &amp; IF(O369="De 1.001 a 10.000 titulares por mês","volume moderado de titulares; ","") &amp; IF(AA369="SIM","compartilhamento com terceiros; ","") &amp; IF(R369="SIM","compartilhamento com órgãos governamentais; ","") &amp; IF(AJ369="NÃO","ausência de controle de acesso por perfil; ","")),"DPIA não indicado: Processo de baixa criticidade."))</f>
      </c>
    </row>
    <row x14ac:dyDescent="0.25" r="370" customHeight="1" ht="15.75">
      <c r="A370" s="46"/>
      <c r="B370" s="6"/>
      <c r="C370" s="11"/>
      <c r="D370" s="11"/>
      <c r="E370" s="11"/>
      <c r="F370" s="29"/>
      <c r="G370" s="11"/>
      <c r="H370" s="11"/>
      <c r="I370" s="29"/>
      <c r="J370" s="11"/>
      <c r="K370" s="29"/>
      <c r="L370" s="11"/>
      <c r="M370" s="11"/>
      <c r="N370" s="11"/>
      <c r="O370" s="29"/>
      <c r="P370" s="29"/>
      <c r="Q370" s="11"/>
      <c r="R370" s="29"/>
      <c r="S370" s="11"/>
      <c r="T370" s="6"/>
      <c r="U370" s="29"/>
      <c r="V370" s="11"/>
      <c r="W370" s="11"/>
      <c r="X370" s="29"/>
      <c r="Y370" s="11"/>
      <c r="Z370" s="29"/>
      <c r="AA370" s="29"/>
      <c r="AB370" s="11"/>
      <c r="AC370" s="11"/>
      <c r="AD370" s="29"/>
      <c r="AE370" s="11"/>
      <c r="AF370" s="29"/>
      <c r="AG370" s="11"/>
      <c r="AH370" s="29"/>
      <c r="AI370" s="11"/>
      <c r="AJ370" s="29"/>
      <c r="AK370" s="29"/>
      <c r="AL370" s="29"/>
      <c r="AM370" s="11"/>
      <c r="AN370" s="29"/>
      <c r="AO370" s="29"/>
      <c r="AP370" s="6"/>
      <c r="AQ370" s="113">
        <f>IF(AND(I370="",K370="",AF370="",AL370="",AN370="",O370=""),"",IF(OR(I370="SIM",K370="SIM",AF370="SIM",AL370="SIM",AN370="Dados pessoais",AN370="Dados sensíveis",AN370="Dados pessoais e sensíveis",O370="Acima de 10.000 titulares por mês"),"SIM - Alta criticidade",IF((IF(I370="SIM",2,0)+IF(K370="SIM",2,0)+IF(AF370="SIM",2,0)+IF(OR(AN370="Dados pessoais",AN370="Dados sensíveis",AN370="Dados pessoais e sensíveis"),2,0)+IF(O370="De 1.001 a 10.000 titulares por mês",1,0)+IF(AA370="SIM",1,0)+IF(R370="SIM",1,0)+IF(AL370="SIM",1,0)+IF(AJ370="NÃO",1,0))&gt;=5,"SIM - Alta criticidade",IF((IF(I370="SIM",2,0)+IF(K370="SIM",2,0)+IF(AF370="SIM",2,0)+IF(OR(AN370="Dados pessoais",AN370="Dados sensíveis",AN370="Dados pessoais e sensíveis"),2,0)+IF(O370="De 1.001 a 10.000 titulares por mês",1,0)+IF(AA370="SIM",1,0)+IF(R370="SIM",1,0)+IF(AL370="SIM",1,0)+IF(AJ370="NÃO",1,0))&gt;=3,"Avaliação necessária","NÃO"))))</f>
      </c>
      <c r="AR370" s="11"/>
      <c r="AS370" s="113">
        <f>IF(AND(I370="",K370="",AF370="",AL370="",AN370="",O370=""),"",IF(OR(I370="SIM",K370="SIM",AF370="SIM",AL370="SIM",OR(AN370="Dados pessoais",AN370="Dados sensíveis",AN370="Dados pessoais e sensíveis"),O370="Acima de 10.000 titulares por mês",(IF(I370="SIM",2,0)+IF(K370="SIM",2,0)+IF(AF370="SIM",2,0)+IF(OR(AN370="Dados pessoais",AN370="Dados sensíveis",AN370="Dados pessoais e sensíveis"),2,0)+IF(O370="De 1.001 a 10.000 titulares por mês",1,0)+IF(AA370="SIM",1,0)+IF(R370="SIM",1,0)+IF(AL370="SIM",1,0)+IF(AJ370="NÃO",1,0))&gt;=3),"DPIA indicado ou em avaliação em razão de: " &amp; TRIM(IF(I370="SIM","tratamento de dados sensíveis; ","") &amp; IF(K370="SIM","utilização de dados de menores; ","") &amp; IF(AF370="SIM","transferência internacional de dados; ","") &amp; IF(AL370="SIM","utilização de inteligência artificial; ","") &amp; IF(OR(AN370="Dados pessoais",AN370="Dados sensíveis",AN370="Dados pessoais e sensíveis"),"dados inseridos em IA; ","") &amp; IF(O370="Acima de 10.000 titulares por mês","volume crítico de titulares; ","") &amp; IF(O370="De 1.001 a 10.000 titulares por mês","volume moderado de titulares; ","") &amp; IF(AA370="SIM","compartilhamento com terceiros; ","") &amp; IF(R370="SIM","compartilhamento com órgãos governamentais; ","") &amp; IF(AJ370="NÃO","ausência de controle de acesso por perfil; ","")),"DPIA não indicado: Processo de baixa criticidade."))</f>
      </c>
    </row>
    <row x14ac:dyDescent="0.25" r="371" customHeight="1" ht="15.75">
      <c r="A371" s="46"/>
      <c r="B371" s="6"/>
      <c r="C371" s="11"/>
      <c r="D371" s="11"/>
      <c r="E371" s="11"/>
      <c r="F371" s="29"/>
      <c r="G371" s="11"/>
      <c r="H371" s="11"/>
      <c r="I371" s="29"/>
      <c r="J371" s="11"/>
      <c r="K371" s="29"/>
      <c r="L371" s="11"/>
      <c r="M371" s="11"/>
      <c r="N371" s="11"/>
      <c r="O371" s="29"/>
      <c r="P371" s="29"/>
      <c r="Q371" s="11"/>
      <c r="R371" s="29"/>
      <c r="S371" s="11"/>
      <c r="T371" s="6"/>
      <c r="U371" s="29"/>
      <c r="V371" s="11"/>
      <c r="W371" s="11"/>
      <c r="X371" s="29"/>
      <c r="Y371" s="11"/>
      <c r="Z371" s="29"/>
      <c r="AA371" s="29"/>
      <c r="AB371" s="11"/>
      <c r="AC371" s="11"/>
      <c r="AD371" s="29"/>
      <c r="AE371" s="11"/>
      <c r="AF371" s="29"/>
      <c r="AG371" s="11"/>
      <c r="AH371" s="29"/>
      <c r="AI371" s="11"/>
      <c r="AJ371" s="29"/>
      <c r="AK371" s="29"/>
      <c r="AL371" s="29"/>
      <c r="AM371" s="11"/>
      <c r="AN371" s="29"/>
      <c r="AO371" s="29"/>
      <c r="AP371" s="6"/>
      <c r="AQ371" s="113">
        <f>IF(AND(I371="",K371="",AF371="",AL371="",AN371="",O371=""),"",IF(OR(I371="SIM",K371="SIM",AF371="SIM",AL371="SIM",AN371="Dados pessoais",AN371="Dados sensíveis",AN371="Dados pessoais e sensíveis",O371="Acima de 10.000 titulares por mês"),"SIM - Alta criticidade",IF((IF(I371="SIM",2,0)+IF(K371="SIM",2,0)+IF(AF371="SIM",2,0)+IF(OR(AN371="Dados pessoais",AN371="Dados sensíveis",AN371="Dados pessoais e sensíveis"),2,0)+IF(O371="De 1.001 a 10.000 titulares por mês",1,0)+IF(AA371="SIM",1,0)+IF(R371="SIM",1,0)+IF(AL371="SIM",1,0)+IF(AJ371="NÃO",1,0))&gt;=5,"SIM - Alta criticidade",IF((IF(I371="SIM",2,0)+IF(K371="SIM",2,0)+IF(AF371="SIM",2,0)+IF(OR(AN371="Dados pessoais",AN371="Dados sensíveis",AN371="Dados pessoais e sensíveis"),2,0)+IF(O371="De 1.001 a 10.000 titulares por mês",1,0)+IF(AA371="SIM",1,0)+IF(R371="SIM",1,0)+IF(AL371="SIM",1,0)+IF(AJ371="NÃO",1,0))&gt;=3,"Avaliação necessária","NÃO"))))</f>
      </c>
      <c r="AR371" s="11"/>
      <c r="AS371" s="113">
        <f>IF(AND(I371="",K371="",AF371="",AL371="",AN371="",O371=""),"",IF(OR(I371="SIM",K371="SIM",AF371="SIM",AL371="SIM",OR(AN371="Dados pessoais",AN371="Dados sensíveis",AN371="Dados pessoais e sensíveis"),O371="Acima de 10.000 titulares por mês",(IF(I371="SIM",2,0)+IF(K371="SIM",2,0)+IF(AF371="SIM",2,0)+IF(OR(AN371="Dados pessoais",AN371="Dados sensíveis",AN371="Dados pessoais e sensíveis"),2,0)+IF(O371="De 1.001 a 10.000 titulares por mês",1,0)+IF(AA371="SIM",1,0)+IF(R371="SIM",1,0)+IF(AL371="SIM",1,0)+IF(AJ371="NÃO",1,0))&gt;=3),"DPIA indicado ou em avaliação em razão de: " &amp; TRIM(IF(I371="SIM","tratamento de dados sensíveis; ","") &amp; IF(K371="SIM","utilização de dados de menores; ","") &amp; IF(AF371="SIM","transferência internacional de dados; ","") &amp; IF(AL371="SIM","utilização de inteligência artificial; ","") &amp; IF(OR(AN371="Dados pessoais",AN371="Dados sensíveis",AN371="Dados pessoais e sensíveis"),"dados inseridos em IA; ","") &amp; IF(O371="Acima de 10.000 titulares por mês","volume crítico de titulares; ","") &amp; IF(O371="De 1.001 a 10.000 titulares por mês","volume moderado de titulares; ","") &amp; IF(AA371="SIM","compartilhamento com terceiros; ","") &amp; IF(R371="SIM","compartilhamento com órgãos governamentais; ","") &amp; IF(AJ371="NÃO","ausência de controle de acesso por perfil; ","")),"DPIA não indicado: Processo de baixa criticidade."))</f>
      </c>
    </row>
    <row x14ac:dyDescent="0.25" r="372" customHeight="1" ht="15.75">
      <c r="A372" s="46"/>
      <c r="B372" s="6"/>
      <c r="C372" s="11"/>
      <c r="D372" s="11"/>
      <c r="E372" s="11"/>
      <c r="F372" s="29"/>
      <c r="G372" s="11"/>
      <c r="H372" s="11"/>
      <c r="I372" s="29"/>
      <c r="J372" s="11"/>
      <c r="K372" s="29"/>
      <c r="L372" s="11"/>
      <c r="M372" s="11"/>
      <c r="N372" s="11"/>
      <c r="O372" s="29"/>
      <c r="P372" s="29"/>
      <c r="Q372" s="11"/>
      <c r="R372" s="29"/>
      <c r="S372" s="11"/>
      <c r="T372" s="6"/>
      <c r="U372" s="29"/>
      <c r="V372" s="11"/>
      <c r="W372" s="11"/>
      <c r="X372" s="29"/>
      <c r="Y372" s="11"/>
      <c r="Z372" s="29"/>
      <c r="AA372" s="29"/>
      <c r="AB372" s="11"/>
      <c r="AC372" s="11"/>
      <c r="AD372" s="29"/>
      <c r="AE372" s="11"/>
      <c r="AF372" s="29"/>
      <c r="AG372" s="11"/>
      <c r="AH372" s="29"/>
      <c r="AI372" s="11"/>
      <c r="AJ372" s="29"/>
      <c r="AK372" s="29"/>
      <c r="AL372" s="29"/>
      <c r="AM372" s="11"/>
      <c r="AN372" s="29"/>
      <c r="AO372" s="29"/>
      <c r="AP372" s="6"/>
      <c r="AQ372" s="113">
        <f>IF(AND(I372="",K372="",AF372="",AL372="",AN372="",O372=""),"",IF(OR(I372="SIM",K372="SIM",AF372="SIM",AL372="SIM",AN372="Dados pessoais",AN372="Dados sensíveis",AN372="Dados pessoais e sensíveis",O372="Acima de 10.000 titulares por mês"),"SIM - Alta criticidade",IF((IF(I372="SIM",2,0)+IF(K372="SIM",2,0)+IF(AF372="SIM",2,0)+IF(OR(AN372="Dados pessoais",AN372="Dados sensíveis",AN372="Dados pessoais e sensíveis"),2,0)+IF(O372="De 1.001 a 10.000 titulares por mês",1,0)+IF(AA372="SIM",1,0)+IF(R372="SIM",1,0)+IF(AL372="SIM",1,0)+IF(AJ372="NÃO",1,0))&gt;=5,"SIM - Alta criticidade",IF((IF(I372="SIM",2,0)+IF(K372="SIM",2,0)+IF(AF372="SIM",2,0)+IF(OR(AN372="Dados pessoais",AN372="Dados sensíveis",AN372="Dados pessoais e sensíveis"),2,0)+IF(O372="De 1.001 a 10.000 titulares por mês",1,0)+IF(AA372="SIM",1,0)+IF(R372="SIM",1,0)+IF(AL372="SIM",1,0)+IF(AJ372="NÃO",1,0))&gt;=3,"Avaliação necessária","NÃO"))))</f>
      </c>
      <c r="AR372" s="11"/>
      <c r="AS372" s="113">
        <f>IF(AND(I372="",K372="",AF372="",AL372="",AN372="",O372=""),"",IF(OR(I372="SIM",K372="SIM",AF372="SIM",AL372="SIM",OR(AN372="Dados pessoais",AN372="Dados sensíveis",AN372="Dados pessoais e sensíveis"),O372="Acima de 10.000 titulares por mês",(IF(I372="SIM",2,0)+IF(K372="SIM",2,0)+IF(AF372="SIM",2,0)+IF(OR(AN372="Dados pessoais",AN372="Dados sensíveis",AN372="Dados pessoais e sensíveis"),2,0)+IF(O372="De 1.001 a 10.000 titulares por mês",1,0)+IF(AA372="SIM",1,0)+IF(R372="SIM",1,0)+IF(AL372="SIM",1,0)+IF(AJ372="NÃO",1,0))&gt;=3),"DPIA indicado ou em avaliação em razão de: " &amp; TRIM(IF(I372="SIM","tratamento de dados sensíveis; ","") &amp; IF(K372="SIM","utilização de dados de menores; ","") &amp; IF(AF372="SIM","transferência internacional de dados; ","") &amp; IF(AL372="SIM","utilização de inteligência artificial; ","") &amp; IF(OR(AN372="Dados pessoais",AN372="Dados sensíveis",AN372="Dados pessoais e sensíveis"),"dados inseridos em IA; ","") &amp; IF(O372="Acima de 10.000 titulares por mês","volume crítico de titulares; ","") &amp; IF(O372="De 1.001 a 10.000 titulares por mês","volume moderado de titulares; ","") &amp; IF(AA372="SIM","compartilhamento com terceiros; ","") &amp; IF(R372="SIM","compartilhamento com órgãos governamentais; ","") &amp; IF(AJ372="NÃO","ausência de controle de acesso por perfil; ","")),"DPIA não indicado: Processo de baixa criticidade."))</f>
      </c>
    </row>
    <row x14ac:dyDescent="0.25" r="373" customHeight="1" ht="15.75">
      <c r="A373" s="46"/>
      <c r="B373" s="6"/>
      <c r="C373" s="11"/>
      <c r="D373" s="11"/>
      <c r="E373" s="11"/>
      <c r="F373" s="29"/>
      <c r="G373" s="11"/>
      <c r="H373" s="11"/>
      <c r="I373" s="29"/>
      <c r="J373" s="11"/>
      <c r="K373" s="29"/>
      <c r="L373" s="11"/>
      <c r="M373" s="11"/>
      <c r="N373" s="11"/>
      <c r="O373" s="29"/>
      <c r="P373" s="29"/>
      <c r="Q373" s="11"/>
      <c r="R373" s="29"/>
      <c r="S373" s="11"/>
      <c r="T373" s="6"/>
      <c r="U373" s="29"/>
      <c r="V373" s="11"/>
      <c r="W373" s="11"/>
      <c r="X373" s="29"/>
      <c r="Y373" s="11"/>
      <c r="Z373" s="29"/>
      <c r="AA373" s="29"/>
      <c r="AB373" s="11"/>
      <c r="AC373" s="11"/>
      <c r="AD373" s="29"/>
      <c r="AE373" s="11"/>
      <c r="AF373" s="29"/>
      <c r="AG373" s="11"/>
      <c r="AH373" s="29"/>
      <c r="AI373" s="11"/>
      <c r="AJ373" s="29"/>
      <c r="AK373" s="29"/>
      <c r="AL373" s="29"/>
      <c r="AM373" s="11"/>
      <c r="AN373" s="29"/>
      <c r="AO373" s="29"/>
      <c r="AP373" s="6"/>
      <c r="AQ373" s="113">
        <f>IF(AND(I373="",K373="",AF373="",AL373="",AN373="",O373=""),"",IF(OR(I373="SIM",K373="SIM",AF373="SIM",AL373="SIM",AN373="Dados pessoais",AN373="Dados sensíveis",AN373="Dados pessoais e sensíveis",O373="Acima de 10.000 titulares por mês"),"SIM - Alta criticidade",IF((IF(I373="SIM",2,0)+IF(K373="SIM",2,0)+IF(AF373="SIM",2,0)+IF(OR(AN373="Dados pessoais",AN373="Dados sensíveis",AN373="Dados pessoais e sensíveis"),2,0)+IF(O373="De 1.001 a 10.000 titulares por mês",1,0)+IF(AA373="SIM",1,0)+IF(R373="SIM",1,0)+IF(AL373="SIM",1,0)+IF(AJ373="NÃO",1,0))&gt;=5,"SIM - Alta criticidade",IF((IF(I373="SIM",2,0)+IF(K373="SIM",2,0)+IF(AF373="SIM",2,0)+IF(OR(AN373="Dados pessoais",AN373="Dados sensíveis",AN373="Dados pessoais e sensíveis"),2,0)+IF(O373="De 1.001 a 10.000 titulares por mês",1,0)+IF(AA373="SIM",1,0)+IF(R373="SIM",1,0)+IF(AL373="SIM",1,0)+IF(AJ373="NÃO",1,0))&gt;=3,"Avaliação necessária","NÃO"))))</f>
      </c>
      <c r="AR373" s="11"/>
      <c r="AS373" s="113">
        <f>IF(AND(I373="",K373="",AF373="",AL373="",AN373="",O373=""),"",IF(OR(I373="SIM",K373="SIM",AF373="SIM",AL373="SIM",OR(AN373="Dados pessoais",AN373="Dados sensíveis",AN373="Dados pessoais e sensíveis"),O373="Acima de 10.000 titulares por mês",(IF(I373="SIM",2,0)+IF(K373="SIM",2,0)+IF(AF373="SIM",2,0)+IF(OR(AN373="Dados pessoais",AN373="Dados sensíveis",AN373="Dados pessoais e sensíveis"),2,0)+IF(O373="De 1.001 a 10.000 titulares por mês",1,0)+IF(AA373="SIM",1,0)+IF(R373="SIM",1,0)+IF(AL373="SIM",1,0)+IF(AJ373="NÃO",1,0))&gt;=3),"DPIA indicado ou em avaliação em razão de: " &amp; TRIM(IF(I373="SIM","tratamento de dados sensíveis; ","") &amp; IF(K373="SIM","utilização de dados de menores; ","") &amp; IF(AF373="SIM","transferência internacional de dados; ","") &amp; IF(AL373="SIM","utilização de inteligência artificial; ","") &amp; IF(OR(AN373="Dados pessoais",AN373="Dados sensíveis",AN373="Dados pessoais e sensíveis"),"dados inseridos em IA; ","") &amp; IF(O373="Acima de 10.000 titulares por mês","volume crítico de titulares; ","") &amp; IF(O373="De 1.001 a 10.000 titulares por mês","volume moderado de titulares; ","") &amp; IF(AA373="SIM","compartilhamento com terceiros; ","") &amp; IF(R373="SIM","compartilhamento com órgãos governamentais; ","") &amp; IF(AJ373="NÃO","ausência de controle de acesso por perfil; ","")),"DPIA não indicado: Processo de baixa criticidade."))</f>
      </c>
    </row>
    <row x14ac:dyDescent="0.25" r="374" customHeight="1" ht="15.75">
      <c r="A374" s="46"/>
      <c r="B374" s="6"/>
      <c r="C374" s="11"/>
      <c r="D374" s="11"/>
      <c r="E374" s="11"/>
      <c r="F374" s="29"/>
      <c r="G374" s="11"/>
      <c r="H374" s="11"/>
      <c r="I374" s="29"/>
      <c r="J374" s="11"/>
      <c r="K374" s="29"/>
      <c r="L374" s="11"/>
      <c r="M374" s="11"/>
      <c r="N374" s="11"/>
      <c r="O374" s="29"/>
      <c r="P374" s="29"/>
      <c r="Q374" s="11"/>
      <c r="R374" s="29"/>
      <c r="S374" s="11"/>
      <c r="T374" s="6"/>
      <c r="U374" s="29"/>
      <c r="V374" s="11"/>
      <c r="W374" s="11"/>
      <c r="X374" s="29"/>
      <c r="Y374" s="11"/>
      <c r="Z374" s="29"/>
      <c r="AA374" s="29"/>
      <c r="AB374" s="11"/>
      <c r="AC374" s="11"/>
      <c r="AD374" s="29"/>
      <c r="AE374" s="11"/>
      <c r="AF374" s="29"/>
      <c r="AG374" s="11"/>
      <c r="AH374" s="29"/>
      <c r="AI374" s="11"/>
      <c r="AJ374" s="29"/>
      <c r="AK374" s="29"/>
      <c r="AL374" s="29"/>
      <c r="AM374" s="11"/>
      <c r="AN374" s="29"/>
      <c r="AO374" s="29"/>
      <c r="AP374" s="6"/>
      <c r="AQ374" s="113">
        <f>IF(AND(I374="",K374="",AF374="",AL374="",AN374="",O374=""),"",IF(OR(I374="SIM",K374="SIM",AF374="SIM",AL374="SIM",AN374="Dados pessoais",AN374="Dados sensíveis",AN374="Dados pessoais e sensíveis",O374="Acima de 10.000 titulares por mês"),"SIM - Alta criticidade",IF((IF(I374="SIM",2,0)+IF(K374="SIM",2,0)+IF(AF374="SIM",2,0)+IF(OR(AN374="Dados pessoais",AN374="Dados sensíveis",AN374="Dados pessoais e sensíveis"),2,0)+IF(O374="De 1.001 a 10.000 titulares por mês",1,0)+IF(AA374="SIM",1,0)+IF(R374="SIM",1,0)+IF(AL374="SIM",1,0)+IF(AJ374="NÃO",1,0))&gt;=5,"SIM - Alta criticidade",IF((IF(I374="SIM",2,0)+IF(K374="SIM",2,0)+IF(AF374="SIM",2,0)+IF(OR(AN374="Dados pessoais",AN374="Dados sensíveis",AN374="Dados pessoais e sensíveis"),2,0)+IF(O374="De 1.001 a 10.000 titulares por mês",1,0)+IF(AA374="SIM",1,0)+IF(R374="SIM",1,0)+IF(AL374="SIM",1,0)+IF(AJ374="NÃO",1,0))&gt;=3,"Avaliação necessária","NÃO"))))</f>
      </c>
      <c r="AR374" s="11"/>
      <c r="AS374" s="113">
        <f>IF(AND(I374="",K374="",AF374="",AL374="",AN374="",O374=""),"",IF(OR(I374="SIM",K374="SIM",AF374="SIM",AL374="SIM",OR(AN374="Dados pessoais",AN374="Dados sensíveis",AN374="Dados pessoais e sensíveis"),O374="Acima de 10.000 titulares por mês",(IF(I374="SIM",2,0)+IF(K374="SIM",2,0)+IF(AF374="SIM",2,0)+IF(OR(AN374="Dados pessoais",AN374="Dados sensíveis",AN374="Dados pessoais e sensíveis"),2,0)+IF(O374="De 1.001 a 10.000 titulares por mês",1,0)+IF(AA374="SIM",1,0)+IF(R374="SIM",1,0)+IF(AL374="SIM",1,0)+IF(AJ374="NÃO",1,0))&gt;=3),"DPIA indicado ou em avaliação em razão de: " &amp; TRIM(IF(I374="SIM","tratamento de dados sensíveis; ","") &amp; IF(K374="SIM","utilização de dados de menores; ","") &amp; IF(AF374="SIM","transferência internacional de dados; ","") &amp; IF(AL374="SIM","utilização de inteligência artificial; ","") &amp; IF(OR(AN374="Dados pessoais",AN374="Dados sensíveis",AN374="Dados pessoais e sensíveis"),"dados inseridos em IA; ","") &amp; IF(O374="Acima de 10.000 titulares por mês","volume crítico de titulares; ","") &amp; IF(O374="De 1.001 a 10.000 titulares por mês","volume moderado de titulares; ","") &amp; IF(AA374="SIM","compartilhamento com terceiros; ","") &amp; IF(R374="SIM","compartilhamento com órgãos governamentais; ","") &amp; IF(AJ374="NÃO","ausência de controle de acesso por perfil; ","")),"DPIA não indicado: Processo de baixa criticidade."))</f>
      </c>
    </row>
    <row x14ac:dyDescent="0.25" r="375" customHeight="1" ht="15.75">
      <c r="A375" s="46"/>
      <c r="B375" s="6"/>
      <c r="C375" s="11"/>
      <c r="D375" s="11"/>
      <c r="E375" s="11"/>
      <c r="F375" s="29"/>
      <c r="G375" s="11"/>
      <c r="H375" s="11"/>
      <c r="I375" s="29"/>
      <c r="J375" s="11"/>
      <c r="K375" s="29"/>
      <c r="L375" s="11"/>
      <c r="M375" s="11"/>
      <c r="N375" s="11"/>
      <c r="O375" s="29"/>
      <c r="P375" s="29"/>
      <c r="Q375" s="11"/>
      <c r="R375" s="29"/>
      <c r="S375" s="11"/>
      <c r="T375" s="6"/>
      <c r="U375" s="29"/>
      <c r="V375" s="11"/>
      <c r="W375" s="11"/>
      <c r="X375" s="29"/>
      <c r="Y375" s="11"/>
      <c r="Z375" s="29"/>
      <c r="AA375" s="29"/>
      <c r="AB375" s="11"/>
      <c r="AC375" s="11"/>
      <c r="AD375" s="29"/>
      <c r="AE375" s="11"/>
      <c r="AF375" s="29"/>
      <c r="AG375" s="11"/>
      <c r="AH375" s="29"/>
      <c r="AI375" s="11"/>
      <c r="AJ375" s="29"/>
      <c r="AK375" s="29"/>
      <c r="AL375" s="29"/>
      <c r="AM375" s="11"/>
      <c r="AN375" s="29"/>
      <c r="AO375" s="29"/>
      <c r="AP375" s="6"/>
      <c r="AQ375" s="113">
        <f>IF(AND(I375="",K375="",AF375="",AL375="",AN375="",O375=""),"",IF(OR(I375="SIM",K375="SIM",AF375="SIM",AL375="SIM",AN375="Dados pessoais",AN375="Dados sensíveis",AN375="Dados pessoais e sensíveis",O375="Acima de 10.000 titulares por mês"),"SIM - Alta criticidade",IF((IF(I375="SIM",2,0)+IF(K375="SIM",2,0)+IF(AF375="SIM",2,0)+IF(OR(AN375="Dados pessoais",AN375="Dados sensíveis",AN375="Dados pessoais e sensíveis"),2,0)+IF(O375="De 1.001 a 10.000 titulares por mês",1,0)+IF(AA375="SIM",1,0)+IF(R375="SIM",1,0)+IF(AL375="SIM",1,0)+IF(AJ375="NÃO",1,0))&gt;=5,"SIM - Alta criticidade",IF((IF(I375="SIM",2,0)+IF(K375="SIM",2,0)+IF(AF375="SIM",2,0)+IF(OR(AN375="Dados pessoais",AN375="Dados sensíveis",AN375="Dados pessoais e sensíveis"),2,0)+IF(O375="De 1.001 a 10.000 titulares por mês",1,0)+IF(AA375="SIM",1,0)+IF(R375="SIM",1,0)+IF(AL375="SIM",1,0)+IF(AJ375="NÃO",1,0))&gt;=3,"Avaliação necessária","NÃO"))))</f>
      </c>
      <c r="AR375" s="11"/>
      <c r="AS375" s="113">
        <f>IF(AND(I375="",K375="",AF375="",AL375="",AN375="",O375=""),"",IF(OR(I375="SIM",K375="SIM",AF375="SIM",AL375="SIM",OR(AN375="Dados pessoais",AN375="Dados sensíveis",AN375="Dados pessoais e sensíveis"),O375="Acima de 10.000 titulares por mês",(IF(I375="SIM",2,0)+IF(K375="SIM",2,0)+IF(AF375="SIM",2,0)+IF(OR(AN375="Dados pessoais",AN375="Dados sensíveis",AN375="Dados pessoais e sensíveis"),2,0)+IF(O375="De 1.001 a 10.000 titulares por mês",1,0)+IF(AA375="SIM",1,0)+IF(R375="SIM",1,0)+IF(AL375="SIM",1,0)+IF(AJ375="NÃO",1,0))&gt;=3),"DPIA indicado ou em avaliação em razão de: " &amp; TRIM(IF(I375="SIM","tratamento de dados sensíveis; ","") &amp; IF(K375="SIM","utilização de dados de menores; ","") &amp; IF(AF375="SIM","transferência internacional de dados; ","") &amp; IF(AL375="SIM","utilização de inteligência artificial; ","") &amp; IF(OR(AN375="Dados pessoais",AN375="Dados sensíveis",AN375="Dados pessoais e sensíveis"),"dados inseridos em IA; ","") &amp; IF(O375="Acima de 10.000 titulares por mês","volume crítico de titulares; ","") &amp; IF(O375="De 1.001 a 10.000 titulares por mês","volume moderado de titulares; ","") &amp; IF(AA375="SIM","compartilhamento com terceiros; ","") &amp; IF(R375="SIM","compartilhamento com órgãos governamentais; ","") &amp; IF(AJ375="NÃO","ausência de controle de acesso por perfil; ","")),"DPIA não indicado: Processo de baixa criticidade."))</f>
      </c>
    </row>
    <row x14ac:dyDescent="0.25" r="376" customHeight="1" ht="15.75">
      <c r="A376" s="46"/>
      <c r="B376" s="6"/>
      <c r="C376" s="11"/>
      <c r="D376" s="11"/>
      <c r="E376" s="11"/>
      <c r="F376" s="29"/>
      <c r="G376" s="11"/>
      <c r="H376" s="11"/>
      <c r="I376" s="29"/>
      <c r="J376" s="11"/>
      <c r="K376" s="29"/>
      <c r="L376" s="11"/>
      <c r="M376" s="11"/>
      <c r="N376" s="11"/>
      <c r="O376" s="29"/>
      <c r="P376" s="29"/>
      <c r="Q376" s="11"/>
      <c r="R376" s="29"/>
      <c r="S376" s="11"/>
      <c r="T376" s="6"/>
      <c r="U376" s="29"/>
      <c r="V376" s="11"/>
      <c r="W376" s="11"/>
      <c r="X376" s="29"/>
      <c r="Y376" s="11"/>
      <c r="Z376" s="29"/>
      <c r="AA376" s="29"/>
      <c r="AB376" s="11"/>
      <c r="AC376" s="11"/>
      <c r="AD376" s="29"/>
      <c r="AE376" s="11"/>
      <c r="AF376" s="29"/>
      <c r="AG376" s="11"/>
      <c r="AH376" s="29"/>
      <c r="AI376" s="11"/>
      <c r="AJ376" s="29"/>
      <c r="AK376" s="29"/>
      <c r="AL376" s="29"/>
      <c r="AM376" s="11"/>
      <c r="AN376" s="29"/>
      <c r="AO376" s="29"/>
      <c r="AP376" s="6"/>
      <c r="AQ376" s="113">
        <f>IF(AND(I376="",K376="",AF376="",AL376="",AN376="",O376=""),"",IF(OR(I376="SIM",K376="SIM",AF376="SIM",AL376="SIM",AN376="Dados pessoais",AN376="Dados sensíveis",AN376="Dados pessoais e sensíveis",O376="Acima de 10.000 titulares por mês"),"SIM - Alta criticidade",IF((IF(I376="SIM",2,0)+IF(K376="SIM",2,0)+IF(AF376="SIM",2,0)+IF(OR(AN376="Dados pessoais",AN376="Dados sensíveis",AN376="Dados pessoais e sensíveis"),2,0)+IF(O376="De 1.001 a 10.000 titulares por mês",1,0)+IF(AA376="SIM",1,0)+IF(R376="SIM",1,0)+IF(AL376="SIM",1,0)+IF(AJ376="NÃO",1,0))&gt;=5,"SIM - Alta criticidade",IF((IF(I376="SIM",2,0)+IF(K376="SIM",2,0)+IF(AF376="SIM",2,0)+IF(OR(AN376="Dados pessoais",AN376="Dados sensíveis",AN376="Dados pessoais e sensíveis"),2,0)+IF(O376="De 1.001 a 10.000 titulares por mês",1,0)+IF(AA376="SIM",1,0)+IF(R376="SIM",1,0)+IF(AL376="SIM",1,0)+IF(AJ376="NÃO",1,0))&gt;=3,"Avaliação necessária","NÃO"))))</f>
      </c>
      <c r="AR376" s="11"/>
      <c r="AS376" s="113">
        <f>IF(AND(I376="",K376="",AF376="",AL376="",AN376="",O376=""),"",IF(OR(I376="SIM",K376="SIM",AF376="SIM",AL376="SIM",OR(AN376="Dados pessoais",AN376="Dados sensíveis",AN376="Dados pessoais e sensíveis"),O376="Acima de 10.000 titulares por mês",(IF(I376="SIM",2,0)+IF(K376="SIM",2,0)+IF(AF376="SIM",2,0)+IF(OR(AN376="Dados pessoais",AN376="Dados sensíveis",AN376="Dados pessoais e sensíveis"),2,0)+IF(O376="De 1.001 a 10.000 titulares por mês",1,0)+IF(AA376="SIM",1,0)+IF(R376="SIM",1,0)+IF(AL376="SIM",1,0)+IF(AJ376="NÃO",1,0))&gt;=3),"DPIA indicado ou em avaliação em razão de: " &amp; TRIM(IF(I376="SIM","tratamento de dados sensíveis; ","") &amp; IF(K376="SIM","utilização de dados de menores; ","") &amp; IF(AF376="SIM","transferência internacional de dados; ","") &amp; IF(AL376="SIM","utilização de inteligência artificial; ","") &amp; IF(OR(AN376="Dados pessoais",AN376="Dados sensíveis",AN376="Dados pessoais e sensíveis"),"dados inseridos em IA; ","") &amp; IF(O376="Acima de 10.000 titulares por mês","volume crítico de titulares; ","") &amp; IF(O376="De 1.001 a 10.000 titulares por mês","volume moderado de titulares; ","") &amp; IF(AA376="SIM","compartilhamento com terceiros; ","") &amp; IF(R376="SIM","compartilhamento com órgãos governamentais; ","") &amp; IF(AJ376="NÃO","ausência de controle de acesso por perfil; ","")),"DPIA não indicado: Processo de baixa criticidade."))</f>
      </c>
    </row>
    <row x14ac:dyDescent="0.25" r="377" customHeight="1" ht="15.75">
      <c r="A377" s="46"/>
      <c r="B377" s="6"/>
      <c r="C377" s="11"/>
      <c r="D377" s="11"/>
      <c r="E377" s="11"/>
      <c r="F377" s="29"/>
      <c r="G377" s="11"/>
      <c r="H377" s="11"/>
      <c r="I377" s="29"/>
      <c r="J377" s="11"/>
      <c r="K377" s="29"/>
      <c r="L377" s="11"/>
      <c r="M377" s="11"/>
      <c r="N377" s="11"/>
      <c r="O377" s="29"/>
      <c r="P377" s="29"/>
      <c r="Q377" s="11"/>
      <c r="R377" s="29"/>
      <c r="S377" s="11"/>
      <c r="T377" s="6"/>
      <c r="U377" s="29"/>
      <c r="V377" s="11"/>
      <c r="W377" s="11"/>
      <c r="X377" s="29"/>
      <c r="Y377" s="11"/>
      <c r="Z377" s="29"/>
      <c r="AA377" s="29"/>
      <c r="AB377" s="11"/>
      <c r="AC377" s="11"/>
      <c r="AD377" s="29"/>
      <c r="AE377" s="11"/>
      <c r="AF377" s="29"/>
      <c r="AG377" s="11"/>
      <c r="AH377" s="29"/>
      <c r="AI377" s="11"/>
      <c r="AJ377" s="29"/>
      <c r="AK377" s="29"/>
      <c r="AL377" s="29"/>
      <c r="AM377" s="11"/>
      <c r="AN377" s="29"/>
      <c r="AO377" s="29"/>
      <c r="AP377" s="6"/>
      <c r="AQ377" s="113">
        <f>IF(AND(I377="",K377="",AF377="",AL377="",AN377="",O377=""),"",IF(OR(I377="SIM",K377="SIM",AF377="SIM",AL377="SIM",AN377="Dados pessoais",AN377="Dados sensíveis",AN377="Dados pessoais e sensíveis",O377="Acima de 10.000 titulares por mês"),"SIM - Alta criticidade",IF((IF(I377="SIM",2,0)+IF(K377="SIM",2,0)+IF(AF377="SIM",2,0)+IF(OR(AN377="Dados pessoais",AN377="Dados sensíveis",AN377="Dados pessoais e sensíveis"),2,0)+IF(O377="De 1.001 a 10.000 titulares por mês",1,0)+IF(AA377="SIM",1,0)+IF(R377="SIM",1,0)+IF(AL377="SIM",1,0)+IF(AJ377="NÃO",1,0))&gt;=5,"SIM - Alta criticidade",IF((IF(I377="SIM",2,0)+IF(K377="SIM",2,0)+IF(AF377="SIM",2,0)+IF(OR(AN377="Dados pessoais",AN377="Dados sensíveis",AN377="Dados pessoais e sensíveis"),2,0)+IF(O377="De 1.001 a 10.000 titulares por mês",1,0)+IF(AA377="SIM",1,0)+IF(R377="SIM",1,0)+IF(AL377="SIM",1,0)+IF(AJ377="NÃO",1,0))&gt;=3,"Avaliação necessária","NÃO"))))</f>
      </c>
      <c r="AR377" s="11"/>
      <c r="AS377" s="113">
        <f>IF(AND(I377="",K377="",AF377="",AL377="",AN377="",O377=""),"",IF(OR(I377="SIM",K377="SIM",AF377="SIM",AL377="SIM",OR(AN377="Dados pessoais",AN377="Dados sensíveis",AN377="Dados pessoais e sensíveis"),O377="Acima de 10.000 titulares por mês",(IF(I377="SIM",2,0)+IF(K377="SIM",2,0)+IF(AF377="SIM",2,0)+IF(OR(AN377="Dados pessoais",AN377="Dados sensíveis",AN377="Dados pessoais e sensíveis"),2,0)+IF(O377="De 1.001 a 10.000 titulares por mês",1,0)+IF(AA377="SIM",1,0)+IF(R377="SIM",1,0)+IF(AL377="SIM",1,0)+IF(AJ377="NÃO",1,0))&gt;=3),"DPIA indicado ou em avaliação em razão de: " &amp; TRIM(IF(I377="SIM","tratamento de dados sensíveis; ","") &amp; IF(K377="SIM","utilização de dados de menores; ","") &amp; IF(AF377="SIM","transferência internacional de dados; ","") &amp; IF(AL377="SIM","utilização de inteligência artificial; ","") &amp; IF(OR(AN377="Dados pessoais",AN377="Dados sensíveis",AN377="Dados pessoais e sensíveis"),"dados inseridos em IA; ","") &amp; IF(O377="Acima de 10.000 titulares por mês","volume crítico de titulares; ","") &amp; IF(O377="De 1.001 a 10.000 titulares por mês","volume moderado de titulares; ","") &amp; IF(AA377="SIM","compartilhamento com terceiros; ","") &amp; IF(R377="SIM","compartilhamento com órgãos governamentais; ","") &amp; IF(AJ377="NÃO","ausência de controle de acesso por perfil; ","")),"DPIA não indicado: Processo de baixa criticidade."))</f>
      </c>
    </row>
    <row x14ac:dyDescent="0.25" r="378" customHeight="1" ht="15.75">
      <c r="A378" s="46"/>
      <c r="B378" s="6"/>
      <c r="C378" s="11"/>
      <c r="D378" s="11"/>
      <c r="E378" s="11"/>
      <c r="F378" s="29"/>
      <c r="G378" s="11"/>
      <c r="H378" s="11"/>
      <c r="I378" s="29"/>
      <c r="J378" s="11"/>
      <c r="K378" s="29"/>
      <c r="L378" s="11"/>
      <c r="M378" s="11"/>
      <c r="N378" s="11"/>
      <c r="O378" s="29"/>
      <c r="P378" s="29"/>
      <c r="Q378" s="11"/>
      <c r="R378" s="29"/>
      <c r="S378" s="11"/>
      <c r="T378" s="6"/>
      <c r="U378" s="29"/>
      <c r="V378" s="11"/>
      <c r="W378" s="11"/>
      <c r="X378" s="29"/>
      <c r="Y378" s="11"/>
      <c r="Z378" s="29"/>
      <c r="AA378" s="29"/>
      <c r="AB378" s="11"/>
      <c r="AC378" s="11"/>
      <c r="AD378" s="29"/>
      <c r="AE378" s="11"/>
      <c r="AF378" s="29"/>
      <c r="AG378" s="11"/>
      <c r="AH378" s="29"/>
      <c r="AI378" s="11"/>
      <c r="AJ378" s="29"/>
      <c r="AK378" s="29"/>
      <c r="AL378" s="29"/>
      <c r="AM378" s="11"/>
      <c r="AN378" s="29"/>
      <c r="AO378" s="29"/>
      <c r="AP378" s="6"/>
      <c r="AQ378" s="113">
        <f>IF(AND(I378="",K378="",AF378="",AL378="",AN378="",O378=""),"",IF(OR(I378="SIM",K378="SIM",AF378="SIM",AL378="SIM",AN378="Dados pessoais",AN378="Dados sensíveis",AN378="Dados pessoais e sensíveis",O378="Acima de 10.000 titulares por mês"),"SIM - Alta criticidade",IF((IF(I378="SIM",2,0)+IF(K378="SIM",2,0)+IF(AF378="SIM",2,0)+IF(OR(AN378="Dados pessoais",AN378="Dados sensíveis",AN378="Dados pessoais e sensíveis"),2,0)+IF(O378="De 1.001 a 10.000 titulares por mês",1,0)+IF(AA378="SIM",1,0)+IF(R378="SIM",1,0)+IF(AL378="SIM",1,0)+IF(AJ378="NÃO",1,0))&gt;=5,"SIM - Alta criticidade",IF((IF(I378="SIM",2,0)+IF(K378="SIM",2,0)+IF(AF378="SIM",2,0)+IF(OR(AN378="Dados pessoais",AN378="Dados sensíveis",AN378="Dados pessoais e sensíveis"),2,0)+IF(O378="De 1.001 a 10.000 titulares por mês",1,0)+IF(AA378="SIM",1,0)+IF(R378="SIM",1,0)+IF(AL378="SIM",1,0)+IF(AJ378="NÃO",1,0))&gt;=3,"Avaliação necessária","NÃO"))))</f>
      </c>
      <c r="AR378" s="11"/>
      <c r="AS378" s="113">
        <f>IF(AND(I378="",K378="",AF378="",AL378="",AN378="",O378=""),"",IF(OR(I378="SIM",K378="SIM",AF378="SIM",AL378="SIM",OR(AN378="Dados pessoais",AN378="Dados sensíveis",AN378="Dados pessoais e sensíveis"),O378="Acima de 10.000 titulares por mês",(IF(I378="SIM",2,0)+IF(K378="SIM",2,0)+IF(AF378="SIM",2,0)+IF(OR(AN378="Dados pessoais",AN378="Dados sensíveis",AN378="Dados pessoais e sensíveis"),2,0)+IF(O378="De 1.001 a 10.000 titulares por mês",1,0)+IF(AA378="SIM",1,0)+IF(R378="SIM",1,0)+IF(AL378="SIM",1,0)+IF(AJ378="NÃO",1,0))&gt;=3),"DPIA indicado ou em avaliação em razão de: " &amp; TRIM(IF(I378="SIM","tratamento de dados sensíveis; ","") &amp; IF(K378="SIM","utilização de dados de menores; ","") &amp; IF(AF378="SIM","transferência internacional de dados; ","") &amp; IF(AL378="SIM","utilização de inteligência artificial; ","") &amp; IF(OR(AN378="Dados pessoais",AN378="Dados sensíveis",AN378="Dados pessoais e sensíveis"),"dados inseridos em IA; ","") &amp; IF(O378="Acima de 10.000 titulares por mês","volume crítico de titulares; ","") &amp; IF(O378="De 1.001 a 10.000 titulares por mês","volume moderado de titulares; ","") &amp; IF(AA378="SIM","compartilhamento com terceiros; ","") &amp; IF(R378="SIM","compartilhamento com órgãos governamentais; ","") &amp; IF(AJ378="NÃO","ausência de controle de acesso por perfil; ","")),"DPIA não indicado: Processo de baixa criticidade."))</f>
      </c>
    </row>
    <row x14ac:dyDescent="0.25" r="379" customHeight="1" ht="15.75">
      <c r="A379" s="46"/>
      <c r="B379" s="6"/>
      <c r="C379" s="11"/>
      <c r="D379" s="11"/>
      <c r="E379" s="11"/>
      <c r="F379" s="29"/>
      <c r="G379" s="11"/>
      <c r="H379" s="11"/>
      <c r="I379" s="29"/>
      <c r="J379" s="11"/>
      <c r="K379" s="29"/>
      <c r="L379" s="11"/>
      <c r="M379" s="11"/>
      <c r="N379" s="11"/>
      <c r="O379" s="29"/>
      <c r="P379" s="29"/>
      <c r="Q379" s="11"/>
      <c r="R379" s="29"/>
      <c r="S379" s="11"/>
      <c r="T379" s="6"/>
      <c r="U379" s="29"/>
      <c r="V379" s="11"/>
      <c r="W379" s="11"/>
      <c r="X379" s="29"/>
      <c r="Y379" s="11"/>
      <c r="Z379" s="29"/>
      <c r="AA379" s="29"/>
      <c r="AB379" s="11"/>
      <c r="AC379" s="11"/>
      <c r="AD379" s="29"/>
      <c r="AE379" s="11"/>
      <c r="AF379" s="29"/>
      <c r="AG379" s="11"/>
      <c r="AH379" s="29"/>
      <c r="AI379" s="11"/>
      <c r="AJ379" s="29"/>
      <c r="AK379" s="29"/>
      <c r="AL379" s="29"/>
      <c r="AM379" s="11"/>
      <c r="AN379" s="29"/>
      <c r="AO379" s="29"/>
      <c r="AP379" s="6"/>
      <c r="AQ379" s="113">
        <f>IF(AND(I379="",K379="",AF379="",AL379="",AN379="",O379=""),"",IF(OR(I379="SIM",K379="SIM",AF379="SIM",AL379="SIM",AN379="Dados pessoais",AN379="Dados sensíveis",AN379="Dados pessoais e sensíveis",O379="Acima de 10.000 titulares por mês"),"SIM - Alta criticidade",IF((IF(I379="SIM",2,0)+IF(K379="SIM",2,0)+IF(AF379="SIM",2,0)+IF(OR(AN379="Dados pessoais",AN379="Dados sensíveis",AN379="Dados pessoais e sensíveis"),2,0)+IF(O379="De 1.001 a 10.000 titulares por mês",1,0)+IF(AA379="SIM",1,0)+IF(R379="SIM",1,0)+IF(AL379="SIM",1,0)+IF(AJ379="NÃO",1,0))&gt;=5,"SIM - Alta criticidade",IF((IF(I379="SIM",2,0)+IF(K379="SIM",2,0)+IF(AF379="SIM",2,0)+IF(OR(AN379="Dados pessoais",AN379="Dados sensíveis",AN379="Dados pessoais e sensíveis"),2,0)+IF(O379="De 1.001 a 10.000 titulares por mês",1,0)+IF(AA379="SIM",1,0)+IF(R379="SIM",1,0)+IF(AL379="SIM",1,0)+IF(AJ379="NÃO",1,0))&gt;=3,"Avaliação necessária","NÃO"))))</f>
      </c>
      <c r="AR379" s="11"/>
      <c r="AS379" s="113">
        <f>IF(AND(I379="",K379="",AF379="",AL379="",AN379="",O379=""),"",IF(OR(I379="SIM",K379="SIM",AF379="SIM",AL379="SIM",OR(AN379="Dados pessoais",AN379="Dados sensíveis",AN379="Dados pessoais e sensíveis"),O379="Acima de 10.000 titulares por mês",(IF(I379="SIM",2,0)+IF(K379="SIM",2,0)+IF(AF379="SIM",2,0)+IF(OR(AN379="Dados pessoais",AN379="Dados sensíveis",AN379="Dados pessoais e sensíveis"),2,0)+IF(O379="De 1.001 a 10.000 titulares por mês",1,0)+IF(AA379="SIM",1,0)+IF(R379="SIM",1,0)+IF(AL379="SIM",1,0)+IF(AJ379="NÃO",1,0))&gt;=3),"DPIA indicado ou em avaliação em razão de: " &amp; TRIM(IF(I379="SIM","tratamento de dados sensíveis; ","") &amp; IF(K379="SIM","utilização de dados de menores; ","") &amp; IF(AF379="SIM","transferência internacional de dados; ","") &amp; IF(AL379="SIM","utilização de inteligência artificial; ","") &amp; IF(OR(AN379="Dados pessoais",AN379="Dados sensíveis",AN379="Dados pessoais e sensíveis"),"dados inseridos em IA; ","") &amp; IF(O379="Acima de 10.000 titulares por mês","volume crítico de titulares; ","") &amp; IF(O379="De 1.001 a 10.000 titulares por mês","volume moderado de titulares; ","") &amp; IF(AA379="SIM","compartilhamento com terceiros; ","") &amp; IF(R379="SIM","compartilhamento com órgãos governamentais; ","") &amp; IF(AJ379="NÃO","ausência de controle de acesso por perfil; ","")),"DPIA não indicado: Processo de baixa criticidade."))</f>
      </c>
    </row>
    <row x14ac:dyDescent="0.25" r="380" customHeight="1" ht="15.75">
      <c r="A380" s="46"/>
      <c r="B380" s="6"/>
      <c r="C380" s="11"/>
      <c r="D380" s="11"/>
      <c r="E380" s="11"/>
      <c r="F380" s="29"/>
      <c r="G380" s="11"/>
      <c r="H380" s="11"/>
      <c r="I380" s="29"/>
      <c r="J380" s="11"/>
      <c r="K380" s="29"/>
      <c r="L380" s="11"/>
      <c r="M380" s="11"/>
      <c r="N380" s="11"/>
      <c r="O380" s="29"/>
      <c r="P380" s="29"/>
      <c r="Q380" s="11"/>
      <c r="R380" s="29"/>
      <c r="S380" s="11"/>
      <c r="T380" s="6"/>
      <c r="U380" s="29"/>
      <c r="V380" s="11"/>
      <c r="W380" s="11"/>
      <c r="X380" s="29"/>
      <c r="Y380" s="11"/>
      <c r="Z380" s="29"/>
      <c r="AA380" s="29"/>
      <c r="AB380" s="11"/>
      <c r="AC380" s="11"/>
      <c r="AD380" s="29"/>
      <c r="AE380" s="11"/>
      <c r="AF380" s="29"/>
      <c r="AG380" s="11"/>
      <c r="AH380" s="29"/>
      <c r="AI380" s="11"/>
      <c r="AJ380" s="29"/>
      <c r="AK380" s="29"/>
      <c r="AL380" s="29"/>
      <c r="AM380" s="11"/>
      <c r="AN380" s="29"/>
      <c r="AO380" s="29"/>
      <c r="AP380" s="6"/>
      <c r="AQ380" s="113">
        <f>IF(AND(I380="",K380="",AF380="",AL380="",AN380="",O380=""),"",IF(OR(I380="SIM",K380="SIM",AF380="SIM",AL380="SIM",AN380="Dados pessoais",AN380="Dados sensíveis",AN380="Dados pessoais e sensíveis",O380="Acima de 10.000 titulares por mês"),"SIM - Alta criticidade",IF((IF(I380="SIM",2,0)+IF(K380="SIM",2,0)+IF(AF380="SIM",2,0)+IF(OR(AN380="Dados pessoais",AN380="Dados sensíveis",AN380="Dados pessoais e sensíveis"),2,0)+IF(O380="De 1.001 a 10.000 titulares por mês",1,0)+IF(AA380="SIM",1,0)+IF(R380="SIM",1,0)+IF(AL380="SIM",1,0)+IF(AJ380="NÃO",1,0))&gt;=5,"SIM - Alta criticidade",IF((IF(I380="SIM",2,0)+IF(K380="SIM",2,0)+IF(AF380="SIM",2,0)+IF(OR(AN380="Dados pessoais",AN380="Dados sensíveis",AN380="Dados pessoais e sensíveis"),2,0)+IF(O380="De 1.001 a 10.000 titulares por mês",1,0)+IF(AA380="SIM",1,0)+IF(R380="SIM",1,0)+IF(AL380="SIM",1,0)+IF(AJ380="NÃO",1,0))&gt;=3,"Avaliação necessária","NÃO"))))</f>
      </c>
      <c r="AR380" s="11"/>
      <c r="AS380" s="113">
        <f>IF(AND(I380="",K380="",AF380="",AL380="",AN380="",O380=""),"",IF(OR(I380="SIM",K380="SIM",AF380="SIM",AL380="SIM",OR(AN380="Dados pessoais",AN380="Dados sensíveis",AN380="Dados pessoais e sensíveis"),O380="Acima de 10.000 titulares por mês",(IF(I380="SIM",2,0)+IF(K380="SIM",2,0)+IF(AF380="SIM",2,0)+IF(OR(AN380="Dados pessoais",AN380="Dados sensíveis",AN380="Dados pessoais e sensíveis"),2,0)+IF(O380="De 1.001 a 10.000 titulares por mês",1,0)+IF(AA380="SIM",1,0)+IF(R380="SIM",1,0)+IF(AL380="SIM",1,0)+IF(AJ380="NÃO",1,0))&gt;=3),"DPIA indicado ou em avaliação em razão de: " &amp; TRIM(IF(I380="SIM","tratamento de dados sensíveis; ","") &amp; IF(K380="SIM","utilização de dados de menores; ","") &amp; IF(AF380="SIM","transferência internacional de dados; ","") &amp; IF(AL380="SIM","utilização de inteligência artificial; ","") &amp; IF(OR(AN380="Dados pessoais",AN380="Dados sensíveis",AN380="Dados pessoais e sensíveis"),"dados inseridos em IA; ","") &amp; IF(O380="Acima de 10.000 titulares por mês","volume crítico de titulares; ","") &amp; IF(O380="De 1.001 a 10.000 titulares por mês","volume moderado de titulares; ","") &amp; IF(AA380="SIM","compartilhamento com terceiros; ","") &amp; IF(R380="SIM","compartilhamento com órgãos governamentais; ","") &amp; IF(AJ380="NÃO","ausência de controle de acesso por perfil; ","")),"DPIA não indicado: Processo de baixa criticidade."))</f>
      </c>
    </row>
    <row x14ac:dyDescent="0.25" r="381" customHeight="1" ht="15.75">
      <c r="A381" s="46"/>
      <c r="B381" s="6"/>
      <c r="C381" s="11"/>
      <c r="D381" s="11"/>
      <c r="E381" s="11"/>
      <c r="F381" s="29"/>
      <c r="G381" s="11"/>
      <c r="H381" s="11"/>
      <c r="I381" s="29"/>
      <c r="J381" s="11"/>
      <c r="K381" s="29"/>
      <c r="L381" s="11"/>
      <c r="M381" s="11"/>
      <c r="N381" s="11"/>
      <c r="O381" s="29"/>
      <c r="P381" s="29"/>
      <c r="Q381" s="11"/>
      <c r="R381" s="29"/>
      <c r="S381" s="11"/>
      <c r="T381" s="6"/>
      <c r="U381" s="29"/>
      <c r="V381" s="11"/>
      <c r="W381" s="11"/>
      <c r="X381" s="29"/>
      <c r="Y381" s="11"/>
      <c r="Z381" s="29"/>
      <c r="AA381" s="29"/>
      <c r="AB381" s="11"/>
      <c r="AC381" s="11"/>
      <c r="AD381" s="29"/>
      <c r="AE381" s="11"/>
      <c r="AF381" s="29"/>
      <c r="AG381" s="11"/>
      <c r="AH381" s="29"/>
      <c r="AI381" s="11"/>
      <c r="AJ381" s="29"/>
      <c r="AK381" s="29"/>
      <c r="AL381" s="29"/>
      <c r="AM381" s="11"/>
      <c r="AN381" s="29"/>
      <c r="AO381" s="29"/>
      <c r="AP381" s="6"/>
      <c r="AQ381" s="113">
        <f>IF(AND(I381="",K381="",AF381="",AL381="",AN381="",O381=""),"",IF(OR(I381="SIM",K381="SIM",AF381="SIM",AL381="SIM",AN381="Dados pessoais",AN381="Dados sensíveis",AN381="Dados pessoais e sensíveis",O381="Acima de 10.000 titulares por mês"),"SIM - Alta criticidade",IF((IF(I381="SIM",2,0)+IF(K381="SIM",2,0)+IF(AF381="SIM",2,0)+IF(OR(AN381="Dados pessoais",AN381="Dados sensíveis",AN381="Dados pessoais e sensíveis"),2,0)+IF(O381="De 1.001 a 10.000 titulares por mês",1,0)+IF(AA381="SIM",1,0)+IF(R381="SIM",1,0)+IF(AL381="SIM",1,0)+IF(AJ381="NÃO",1,0))&gt;=5,"SIM - Alta criticidade",IF((IF(I381="SIM",2,0)+IF(K381="SIM",2,0)+IF(AF381="SIM",2,0)+IF(OR(AN381="Dados pessoais",AN381="Dados sensíveis",AN381="Dados pessoais e sensíveis"),2,0)+IF(O381="De 1.001 a 10.000 titulares por mês",1,0)+IF(AA381="SIM",1,0)+IF(R381="SIM",1,0)+IF(AL381="SIM",1,0)+IF(AJ381="NÃO",1,0))&gt;=3,"Avaliação necessária","NÃO"))))</f>
      </c>
      <c r="AR381" s="11"/>
      <c r="AS381" s="113">
        <f>IF(AND(I381="",K381="",AF381="",AL381="",AN381="",O381=""),"",IF(OR(I381="SIM",K381="SIM",AF381="SIM",AL381="SIM",OR(AN381="Dados pessoais",AN381="Dados sensíveis",AN381="Dados pessoais e sensíveis"),O381="Acima de 10.000 titulares por mês",(IF(I381="SIM",2,0)+IF(K381="SIM",2,0)+IF(AF381="SIM",2,0)+IF(OR(AN381="Dados pessoais",AN381="Dados sensíveis",AN381="Dados pessoais e sensíveis"),2,0)+IF(O381="De 1.001 a 10.000 titulares por mês",1,0)+IF(AA381="SIM",1,0)+IF(R381="SIM",1,0)+IF(AL381="SIM",1,0)+IF(AJ381="NÃO",1,0))&gt;=3),"DPIA indicado ou em avaliação em razão de: " &amp; TRIM(IF(I381="SIM","tratamento de dados sensíveis; ","") &amp; IF(K381="SIM","utilização de dados de menores; ","") &amp; IF(AF381="SIM","transferência internacional de dados; ","") &amp; IF(AL381="SIM","utilização de inteligência artificial; ","") &amp; IF(OR(AN381="Dados pessoais",AN381="Dados sensíveis",AN381="Dados pessoais e sensíveis"),"dados inseridos em IA; ","") &amp; IF(O381="Acima de 10.000 titulares por mês","volume crítico de titulares; ","") &amp; IF(O381="De 1.001 a 10.000 titulares por mês","volume moderado de titulares; ","") &amp; IF(AA381="SIM","compartilhamento com terceiros; ","") &amp; IF(R381="SIM","compartilhamento com órgãos governamentais; ","") &amp; IF(AJ381="NÃO","ausência de controle de acesso por perfil; ","")),"DPIA não indicado: Processo de baixa criticidade."))</f>
      </c>
    </row>
    <row x14ac:dyDescent="0.25" r="382" customHeight="1" ht="15.75">
      <c r="A382" s="46"/>
      <c r="B382" s="6"/>
      <c r="C382" s="11"/>
      <c r="D382" s="11"/>
      <c r="E382" s="11"/>
      <c r="F382" s="29"/>
      <c r="G382" s="11"/>
      <c r="H382" s="11"/>
      <c r="I382" s="29"/>
      <c r="J382" s="11"/>
      <c r="K382" s="29"/>
      <c r="L382" s="11"/>
      <c r="M382" s="11"/>
      <c r="N382" s="11"/>
      <c r="O382" s="29"/>
      <c r="P382" s="29"/>
      <c r="Q382" s="11"/>
      <c r="R382" s="29"/>
      <c r="S382" s="11"/>
      <c r="T382" s="6"/>
      <c r="U382" s="29"/>
      <c r="V382" s="11"/>
      <c r="W382" s="11"/>
      <c r="X382" s="29"/>
      <c r="Y382" s="11"/>
      <c r="Z382" s="29"/>
      <c r="AA382" s="29"/>
      <c r="AB382" s="11"/>
      <c r="AC382" s="11"/>
      <c r="AD382" s="29"/>
      <c r="AE382" s="11"/>
      <c r="AF382" s="29"/>
      <c r="AG382" s="11"/>
      <c r="AH382" s="29"/>
      <c r="AI382" s="11"/>
      <c r="AJ382" s="29"/>
      <c r="AK382" s="29"/>
      <c r="AL382" s="29"/>
      <c r="AM382" s="11"/>
      <c r="AN382" s="29"/>
      <c r="AO382" s="29"/>
      <c r="AP382" s="6"/>
      <c r="AQ382" s="113">
        <f>IF(AND(I382="",K382="",AF382="",AL382="",AN382="",O382=""),"",IF(OR(I382="SIM",K382="SIM",AF382="SIM",AL382="SIM",AN382="Dados pessoais",AN382="Dados sensíveis",AN382="Dados pessoais e sensíveis",O382="Acima de 10.000 titulares por mês"),"SIM - Alta criticidade",IF((IF(I382="SIM",2,0)+IF(K382="SIM",2,0)+IF(AF382="SIM",2,0)+IF(OR(AN382="Dados pessoais",AN382="Dados sensíveis",AN382="Dados pessoais e sensíveis"),2,0)+IF(O382="De 1.001 a 10.000 titulares por mês",1,0)+IF(AA382="SIM",1,0)+IF(R382="SIM",1,0)+IF(AL382="SIM",1,0)+IF(AJ382="NÃO",1,0))&gt;=5,"SIM - Alta criticidade",IF((IF(I382="SIM",2,0)+IF(K382="SIM",2,0)+IF(AF382="SIM",2,0)+IF(OR(AN382="Dados pessoais",AN382="Dados sensíveis",AN382="Dados pessoais e sensíveis"),2,0)+IF(O382="De 1.001 a 10.000 titulares por mês",1,0)+IF(AA382="SIM",1,0)+IF(R382="SIM",1,0)+IF(AL382="SIM",1,0)+IF(AJ382="NÃO",1,0))&gt;=3,"Avaliação necessária","NÃO"))))</f>
      </c>
      <c r="AR382" s="11"/>
      <c r="AS382" s="113">
        <f>IF(AND(I382="",K382="",AF382="",AL382="",AN382="",O382=""),"",IF(OR(I382="SIM",K382="SIM",AF382="SIM",AL382="SIM",OR(AN382="Dados pessoais",AN382="Dados sensíveis",AN382="Dados pessoais e sensíveis"),O382="Acima de 10.000 titulares por mês",(IF(I382="SIM",2,0)+IF(K382="SIM",2,0)+IF(AF382="SIM",2,0)+IF(OR(AN382="Dados pessoais",AN382="Dados sensíveis",AN382="Dados pessoais e sensíveis"),2,0)+IF(O382="De 1.001 a 10.000 titulares por mês",1,0)+IF(AA382="SIM",1,0)+IF(R382="SIM",1,0)+IF(AL382="SIM",1,0)+IF(AJ382="NÃO",1,0))&gt;=3),"DPIA indicado ou em avaliação em razão de: " &amp; TRIM(IF(I382="SIM","tratamento de dados sensíveis; ","") &amp; IF(K382="SIM","utilização de dados de menores; ","") &amp; IF(AF382="SIM","transferência internacional de dados; ","") &amp; IF(AL382="SIM","utilização de inteligência artificial; ","") &amp; IF(OR(AN382="Dados pessoais",AN382="Dados sensíveis",AN382="Dados pessoais e sensíveis"),"dados inseridos em IA; ","") &amp; IF(O382="Acima de 10.000 titulares por mês","volume crítico de titulares; ","") &amp; IF(O382="De 1.001 a 10.000 titulares por mês","volume moderado de titulares; ","") &amp; IF(AA382="SIM","compartilhamento com terceiros; ","") &amp; IF(R382="SIM","compartilhamento com órgãos governamentais; ","") &amp; IF(AJ382="NÃO","ausência de controle de acesso por perfil; ","")),"DPIA não indicado: Processo de baixa criticidade."))</f>
      </c>
    </row>
    <row x14ac:dyDescent="0.25" r="383" customHeight="1" ht="15.75">
      <c r="A383" s="46"/>
      <c r="B383" s="6"/>
      <c r="C383" s="11"/>
      <c r="D383" s="11"/>
      <c r="E383" s="11"/>
      <c r="F383" s="29"/>
      <c r="G383" s="11"/>
      <c r="H383" s="11"/>
      <c r="I383" s="29"/>
      <c r="J383" s="11"/>
      <c r="K383" s="29"/>
      <c r="L383" s="11"/>
      <c r="M383" s="11"/>
      <c r="N383" s="11"/>
      <c r="O383" s="29"/>
      <c r="P383" s="29"/>
      <c r="Q383" s="11"/>
      <c r="R383" s="29"/>
      <c r="S383" s="11"/>
      <c r="T383" s="6"/>
      <c r="U383" s="29"/>
      <c r="V383" s="11"/>
      <c r="W383" s="11"/>
      <c r="X383" s="29"/>
      <c r="Y383" s="11"/>
      <c r="Z383" s="29"/>
      <c r="AA383" s="29"/>
      <c r="AB383" s="11"/>
      <c r="AC383" s="11"/>
      <c r="AD383" s="29"/>
      <c r="AE383" s="11"/>
      <c r="AF383" s="29"/>
      <c r="AG383" s="11"/>
      <c r="AH383" s="29"/>
      <c r="AI383" s="11"/>
      <c r="AJ383" s="29"/>
      <c r="AK383" s="29"/>
      <c r="AL383" s="29"/>
      <c r="AM383" s="11"/>
      <c r="AN383" s="29"/>
      <c r="AO383" s="29"/>
      <c r="AP383" s="6"/>
      <c r="AQ383" s="113">
        <f>IF(AND(I383="",K383="",AF383="",AL383="",AN383="",O383=""),"",IF(OR(I383="SIM",K383="SIM",AF383="SIM",AL383="SIM",AN383="Dados pessoais",AN383="Dados sensíveis",AN383="Dados pessoais e sensíveis",O383="Acima de 10.000 titulares por mês"),"SIM - Alta criticidade",IF((IF(I383="SIM",2,0)+IF(K383="SIM",2,0)+IF(AF383="SIM",2,0)+IF(OR(AN383="Dados pessoais",AN383="Dados sensíveis",AN383="Dados pessoais e sensíveis"),2,0)+IF(O383="De 1.001 a 10.000 titulares por mês",1,0)+IF(AA383="SIM",1,0)+IF(R383="SIM",1,0)+IF(AL383="SIM",1,0)+IF(AJ383="NÃO",1,0))&gt;=5,"SIM - Alta criticidade",IF((IF(I383="SIM",2,0)+IF(K383="SIM",2,0)+IF(AF383="SIM",2,0)+IF(OR(AN383="Dados pessoais",AN383="Dados sensíveis",AN383="Dados pessoais e sensíveis"),2,0)+IF(O383="De 1.001 a 10.000 titulares por mês",1,0)+IF(AA383="SIM",1,0)+IF(R383="SIM",1,0)+IF(AL383="SIM",1,0)+IF(AJ383="NÃO",1,0))&gt;=3,"Avaliação necessária","NÃO"))))</f>
      </c>
      <c r="AR383" s="11"/>
      <c r="AS383" s="113">
        <f>IF(AND(I383="",K383="",AF383="",AL383="",AN383="",O383=""),"",IF(OR(I383="SIM",K383="SIM",AF383="SIM",AL383="SIM",OR(AN383="Dados pessoais",AN383="Dados sensíveis",AN383="Dados pessoais e sensíveis"),O383="Acima de 10.000 titulares por mês",(IF(I383="SIM",2,0)+IF(K383="SIM",2,0)+IF(AF383="SIM",2,0)+IF(OR(AN383="Dados pessoais",AN383="Dados sensíveis",AN383="Dados pessoais e sensíveis"),2,0)+IF(O383="De 1.001 a 10.000 titulares por mês",1,0)+IF(AA383="SIM",1,0)+IF(R383="SIM",1,0)+IF(AL383="SIM",1,0)+IF(AJ383="NÃO",1,0))&gt;=3),"DPIA indicado ou em avaliação em razão de: " &amp; TRIM(IF(I383="SIM","tratamento de dados sensíveis; ","") &amp; IF(K383="SIM","utilização de dados de menores; ","") &amp; IF(AF383="SIM","transferência internacional de dados; ","") &amp; IF(AL383="SIM","utilização de inteligência artificial; ","") &amp; IF(OR(AN383="Dados pessoais",AN383="Dados sensíveis",AN383="Dados pessoais e sensíveis"),"dados inseridos em IA; ","") &amp; IF(O383="Acima de 10.000 titulares por mês","volume crítico de titulares; ","") &amp; IF(O383="De 1.001 a 10.000 titulares por mês","volume moderado de titulares; ","") &amp; IF(AA383="SIM","compartilhamento com terceiros; ","") &amp; IF(R383="SIM","compartilhamento com órgãos governamentais; ","") &amp; IF(AJ383="NÃO","ausência de controle de acesso por perfil; ","")),"DPIA não indicado: Processo de baixa criticidade."))</f>
      </c>
    </row>
    <row x14ac:dyDescent="0.25" r="384" customHeight="1" ht="15.75">
      <c r="A384" s="46"/>
      <c r="B384" s="6"/>
      <c r="C384" s="11"/>
      <c r="D384" s="11"/>
      <c r="E384" s="11"/>
      <c r="F384" s="29"/>
      <c r="G384" s="11"/>
      <c r="H384" s="11"/>
      <c r="I384" s="29"/>
      <c r="J384" s="11"/>
      <c r="K384" s="29"/>
      <c r="L384" s="11"/>
      <c r="M384" s="11"/>
      <c r="N384" s="11"/>
      <c r="O384" s="29"/>
      <c r="P384" s="29"/>
      <c r="Q384" s="11"/>
      <c r="R384" s="29"/>
      <c r="S384" s="11"/>
      <c r="T384" s="6"/>
      <c r="U384" s="29"/>
      <c r="V384" s="11"/>
      <c r="W384" s="11"/>
      <c r="X384" s="29"/>
      <c r="Y384" s="11"/>
      <c r="Z384" s="29"/>
      <c r="AA384" s="29"/>
      <c r="AB384" s="11"/>
      <c r="AC384" s="11"/>
      <c r="AD384" s="29"/>
      <c r="AE384" s="11"/>
      <c r="AF384" s="29"/>
      <c r="AG384" s="11"/>
      <c r="AH384" s="29"/>
      <c r="AI384" s="11"/>
      <c r="AJ384" s="29"/>
      <c r="AK384" s="29"/>
      <c r="AL384" s="29"/>
      <c r="AM384" s="11"/>
      <c r="AN384" s="29"/>
      <c r="AO384" s="29"/>
      <c r="AP384" s="6"/>
      <c r="AQ384" s="113">
        <f>IF(AND(I384="",K384="",AF384="",AL384="",AN384="",O384=""),"",IF(OR(I384="SIM",K384="SIM",AF384="SIM",AL384="SIM",AN384="Dados pessoais",AN384="Dados sensíveis",AN384="Dados pessoais e sensíveis",O384="Acima de 10.000 titulares por mês"),"SIM - Alta criticidade",IF((IF(I384="SIM",2,0)+IF(K384="SIM",2,0)+IF(AF384="SIM",2,0)+IF(OR(AN384="Dados pessoais",AN384="Dados sensíveis",AN384="Dados pessoais e sensíveis"),2,0)+IF(O384="De 1.001 a 10.000 titulares por mês",1,0)+IF(AA384="SIM",1,0)+IF(R384="SIM",1,0)+IF(AL384="SIM",1,0)+IF(AJ384="NÃO",1,0))&gt;=5,"SIM - Alta criticidade",IF((IF(I384="SIM",2,0)+IF(K384="SIM",2,0)+IF(AF384="SIM",2,0)+IF(OR(AN384="Dados pessoais",AN384="Dados sensíveis",AN384="Dados pessoais e sensíveis"),2,0)+IF(O384="De 1.001 a 10.000 titulares por mês",1,0)+IF(AA384="SIM",1,0)+IF(R384="SIM",1,0)+IF(AL384="SIM",1,0)+IF(AJ384="NÃO",1,0))&gt;=3,"Avaliação necessária","NÃO"))))</f>
      </c>
      <c r="AR384" s="11"/>
      <c r="AS384" s="113">
        <f>IF(AND(I384="",K384="",AF384="",AL384="",AN384="",O384=""),"",IF(OR(I384="SIM",K384="SIM",AF384="SIM",AL384="SIM",OR(AN384="Dados pessoais",AN384="Dados sensíveis",AN384="Dados pessoais e sensíveis"),O384="Acima de 10.000 titulares por mês",(IF(I384="SIM",2,0)+IF(K384="SIM",2,0)+IF(AF384="SIM",2,0)+IF(OR(AN384="Dados pessoais",AN384="Dados sensíveis",AN384="Dados pessoais e sensíveis"),2,0)+IF(O384="De 1.001 a 10.000 titulares por mês",1,0)+IF(AA384="SIM",1,0)+IF(R384="SIM",1,0)+IF(AL384="SIM",1,0)+IF(AJ384="NÃO",1,0))&gt;=3),"DPIA indicado ou em avaliação em razão de: " &amp; TRIM(IF(I384="SIM","tratamento de dados sensíveis; ","") &amp; IF(K384="SIM","utilização de dados de menores; ","") &amp; IF(AF384="SIM","transferência internacional de dados; ","") &amp; IF(AL384="SIM","utilização de inteligência artificial; ","") &amp; IF(OR(AN384="Dados pessoais",AN384="Dados sensíveis",AN384="Dados pessoais e sensíveis"),"dados inseridos em IA; ","") &amp; IF(O384="Acima de 10.000 titulares por mês","volume crítico de titulares; ","") &amp; IF(O384="De 1.001 a 10.000 titulares por mês","volume moderado de titulares; ","") &amp; IF(AA384="SIM","compartilhamento com terceiros; ","") &amp; IF(R384="SIM","compartilhamento com órgãos governamentais; ","") &amp; IF(AJ384="NÃO","ausência de controle de acesso por perfil; ","")),"DPIA não indicado: Processo de baixa criticidade."))</f>
      </c>
    </row>
    <row x14ac:dyDescent="0.25" r="385" customHeight="1" ht="15.75">
      <c r="A385" s="46"/>
      <c r="B385" s="6"/>
      <c r="C385" s="11"/>
      <c r="D385" s="11"/>
      <c r="E385" s="11"/>
      <c r="F385" s="29"/>
      <c r="G385" s="11"/>
      <c r="H385" s="11"/>
      <c r="I385" s="29"/>
      <c r="J385" s="11"/>
      <c r="K385" s="29"/>
      <c r="L385" s="11"/>
      <c r="M385" s="11"/>
      <c r="N385" s="11"/>
      <c r="O385" s="29"/>
      <c r="P385" s="29"/>
      <c r="Q385" s="11"/>
      <c r="R385" s="29"/>
      <c r="S385" s="11"/>
      <c r="T385" s="6"/>
      <c r="U385" s="29"/>
      <c r="V385" s="11"/>
      <c r="W385" s="11"/>
      <c r="X385" s="29"/>
      <c r="Y385" s="11"/>
      <c r="Z385" s="29"/>
      <c r="AA385" s="29"/>
      <c r="AB385" s="11"/>
      <c r="AC385" s="11"/>
      <c r="AD385" s="29"/>
      <c r="AE385" s="11"/>
      <c r="AF385" s="29"/>
      <c r="AG385" s="11"/>
      <c r="AH385" s="29"/>
      <c r="AI385" s="11"/>
      <c r="AJ385" s="29"/>
      <c r="AK385" s="29"/>
      <c r="AL385" s="29"/>
      <c r="AM385" s="11"/>
      <c r="AN385" s="29"/>
      <c r="AO385" s="29"/>
      <c r="AP385" s="6"/>
      <c r="AQ385" s="113">
        <f>IF(AND(I385="",K385="",AF385="",AL385="",AN385="",O385=""),"",IF(OR(I385="SIM",K385="SIM",AF385="SIM",AL385="SIM",AN385="Dados pessoais",AN385="Dados sensíveis",AN385="Dados pessoais e sensíveis",O385="Acima de 10.000 titulares por mês"),"SIM - Alta criticidade",IF((IF(I385="SIM",2,0)+IF(K385="SIM",2,0)+IF(AF385="SIM",2,0)+IF(OR(AN385="Dados pessoais",AN385="Dados sensíveis",AN385="Dados pessoais e sensíveis"),2,0)+IF(O385="De 1.001 a 10.000 titulares por mês",1,0)+IF(AA385="SIM",1,0)+IF(R385="SIM",1,0)+IF(AL385="SIM",1,0)+IF(AJ385="NÃO",1,0))&gt;=5,"SIM - Alta criticidade",IF((IF(I385="SIM",2,0)+IF(K385="SIM",2,0)+IF(AF385="SIM",2,0)+IF(OR(AN385="Dados pessoais",AN385="Dados sensíveis",AN385="Dados pessoais e sensíveis"),2,0)+IF(O385="De 1.001 a 10.000 titulares por mês",1,0)+IF(AA385="SIM",1,0)+IF(R385="SIM",1,0)+IF(AL385="SIM",1,0)+IF(AJ385="NÃO",1,0))&gt;=3,"Avaliação necessária","NÃO"))))</f>
      </c>
      <c r="AR385" s="11"/>
      <c r="AS385" s="113">
        <f>IF(AND(I385="",K385="",AF385="",AL385="",AN385="",O385=""),"",IF(OR(I385="SIM",K385="SIM",AF385="SIM",AL385="SIM",OR(AN385="Dados pessoais",AN385="Dados sensíveis",AN385="Dados pessoais e sensíveis"),O385="Acima de 10.000 titulares por mês",(IF(I385="SIM",2,0)+IF(K385="SIM",2,0)+IF(AF385="SIM",2,0)+IF(OR(AN385="Dados pessoais",AN385="Dados sensíveis",AN385="Dados pessoais e sensíveis"),2,0)+IF(O385="De 1.001 a 10.000 titulares por mês",1,0)+IF(AA385="SIM",1,0)+IF(R385="SIM",1,0)+IF(AL385="SIM",1,0)+IF(AJ385="NÃO",1,0))&gt;=3),"DPIA indicado ou em avaliação em razão de: " &amp; TRIM(IF(I385="SIM","tratamento de dados sensíveis; ","") &amp; IF(K385="SIM","utilização de dados de menores; ","") &amp; IF(AF385="SIM","transferência internacional de dados; ","") &amp; IF(AL385="SIM","utilização de inteligência artificial; ","") &amp; IF(OR(AN385="Dados pessoais",AN385="Dados sensíveis",AN385="Dados pessoais e sensíveis"),"dados inseridos em IA; ","") &amp; IF(O385="Acima de 10.000 titulares por mês","volume crítico de titulares; ","") &amp; IF(O385="De 1.001 a 10.000 titulares por mês","volume moderado de titulares; ","") &amp; IF(AA385="SIM","compartilhamento com terceiros; ","") &amp; IF(R385="SIM","compartilhamento com órgãos governamentais; ","") &amp; IF(AJ385="NÃO","ausência de controle de acesso por perfil; ","")),"DPIA não indicado: Processo de baixa criticidade."))</f>
      </c>
    </row>
    <row x14ac:dyDescent="0.25" r="386" customHeight="1" ht="15.75">
      <c r="A386" s="46"/>
      <c r="B386" s="6"/>
      <c r="C386" s="11"/>
      <c r="D386" s="11"/>
      <c r="E386" s="11"/>
      <c r="F386" s="29"/>
      <c r="G386" s="11"/>
      <c r="H386" s="11"/>
      <c r="I386" s="29"/>
      <c r="J386" s="11"/>
      <c r="K386" s="29"/>
      <c r="L386" s="11"/>
      <c r="M386" s="11"/>
      <c r="N386" s="11"/>
      <c r="O386" s="29"/>
      <c r="P386" s="29"/>
      <c r="Q386" s="11"/>
      <c r="R386" s="29"/>
      <c r="S386" s="11"/>
      <c r="T386" s="6"/>
      <c r="U386" s="29"/>
      <c r="V386" s="11"/>
      <c r="W386" s="11"/>
      <c r="X386" s="29"/>
      <c r="Y386" s="11"/>
      <c r="Z386" s="29"/>
      <c r="AA386" s="29"/>
      <c r="AB386" s="11"/>
      <c r="AC386" s="11"/>
      <c r="AD386" s="29"/>
      <c r="AE386" s="11"/>
      <c r="AF386" s="29"/>
      <c r="AG386" s="11"/>
      <c r="AH386" s="29"/>
      <c r="AI386" s="11"/>
      <c r="AJ386" s="29"/>
      <c r="AK386" s="29"/>
      <c r="AL386" s="29"/>
      <c r="AM386" s="11"/>
      <c r="AN386" s="29"/>
      <c r="AO386" s="29"/>
      <c r="AP386" s="6"/>
      <c r="AQ386" s="113">
        <f>IF(AND(I386="",K386="",AF386="",AL386="",AN386="",O386=""),"",IF(OR(I386="SIM",K386="SIM",AF386="SIM",AL386="SIM",AN386="Dados pessoais",AN386="Dados sensíveis",AN386="Dados pessoais e sensíveis",O386="Acima de 10.000 titulares por mês"),"SIM - Alta criticidade",IF((IF(I386="SIM",2,0)+IF(K386="SIM",2,0)+IF(AF386="SIM",2,0)+IF(OR(AN386="Dados pessoais",AN386="Dados sensíveis",AN386="Dados pessoais e sensíveis"),2,0)+IF(O386="De 1.001 a 10.000 titulares por mês",1,0)+IF(AA386="SIM",1,0)+IF(R386="SIM",1,0)+IF(AL386="SIM",1,0)+IF(AJ386="NÃO",1,0))&gt;=5,"SIM - Alta criticidade",IF((IF(I386="SIM",2,0)+IF(K386="SIM",2,0)+IF(AF386="SIM",2,0)+IF(OR(AN386="Dados pessoais",AN386="Dados sensíveis",AN386="Dados pessoais e sensíveis"),2,0)+IF(O386="De 1.001 a 10.000 titulares por mês",1,0)+IF(AA386="SIM",1,0)+IF(R386="SIM",1,0)+IF(AL386="SIM",1,0)+IF(AJ386="NÃO",1,0))&gt;=3,"Avaliação necessária","NÃO"))))</f>
      </c>
      <c r="AR386" s="11"/>
      <c r="AS386" s="113">
        <f>IF(AND(I386="",K386="",AF386="",AL386="",AN386="",O386=""),"",IF(OR(I386="SIM",K386="SIM",AF386="SIM",AL386="SIM",OR(AN386="Dados pessoais",AN386="Dados sensíveis",AN386="Dados pessoais e sensíveis"),O386="Acima de 10.000 titulares por mês",(IF(I386="SIM",2,0)+IF(K386="SIM",2,0)+IF(AF386="SIM",2,0)+IF(OR(AN386="Dados pessoais",AN386="Dados sensíveis",AN386="Dados pessoais e sensíveis"),2,0)+IF(O386="De 1.001 a 10.000 titulares por mês",1,0)+IF(AA386="SIM",1,0)+IF(R386="SIM",1,0)+IF(AL386="SIM",1,0)+IF(AJ386="NÃO",1,0))&gt;=3),"DPIA indicado ou em avaliação em razão de: " &amp; TRIM(IF(I386="SIM","tratamento de dados sensíveis; ","") &amp; IF(K386="SIM","utilização de dados de menores; ","") &amp; IF(AF386="SIM","transferência internacional de dados; ","") &amp; IF(AL386="SIM","utilização de inteligência artificial; ","") &amp; IF(OR(AN386="Dados pessoais",AN386="Dados sensíveis",AN386="Dados pessoais e sensíveis"),"dados inseridos em IA; ","") &amp; IF(O386="Acima de 10.000 titulares por mês","volume crítico de titulares; ","") &amp; IF(O386="De 1.001 a 10.000 titulares por mês","volume moderado de titulares; ","") &amp; IF(AA386="SIM","compartilhamento com terceiros; ","") &amp; IF(R386="SIM","compartilhamento com órgãos governamentais; ","") &amp; IF(AJ386="NÃO","ausência de controle de acesso por perfil; ","")),"DPIA não indicado: Processo de baixa criticidade."))</f>
      </c>
    </row>
    <row x14ac:dyDescent="0.25" r="387" customHeight="1" ht="15.75">
      <c r="A387" s="46"/>
      <c r="B387" s="6"/>
      <c r="C387" s="11"/>
      <c r="D387" s="11"/>
      <c r="E387" s="11"/>
      <c r="F387" s="29"/>
      <c r="G387" s="11"/>
      <c r="H387" s="11"/>
      <c r="I387" s="29"/>
      <c r="J387" s="11"/>
      <c r="K387" s="29"/>
      <c r="L387" s="11"/>
      <c r="M387" s="11"/>
      <c r="N387" s="11"/>
      <c r="O387" s="29"/>
      <c r="P387" s="29"/>
      <c r="Q387" s="11"/>
      <c r="R387" s="29"/>
      <c r="S387" s="11"/>
      <c r="T387" s="6"/>
      <c r="U387" s="29"/>
      <c r="V387" s="11"/>
      <c r="W387" s="11"/>
      <c r="X387" s="29"/>
      <c r="Y387" s="11"/>
      <c r="Z387" s="29"/>
      <c r="AA387" s="29"/>
      <c r="AB387" s="11"/>
      <c r="AC387" s="11"/>
      <c r="AD387" s="29"/>
      <c r="AE387" s="11"/>
      <c r="AF387" s="29"/>
      <c r="AG387" s="11"/>
      <c r="AH387" s="29"/>
      <c r="AI387" s="11"/>
      <c r="AJ387" s="29"/>
      <c r="AK387" s="29"/>
      <c r="AL387" s="29"/>
      <c r="AM387" s="11"/>
      <c r="AN387" s="29"/>
      <c r="AO387" s="29"/>
      <c r="AP387" s="6"/>
      <c r="AQ387" s="113">
        <f>IF(AND(I387="",K387="",AF387="",AL387="",AN387="",O387=""),"",IF(OR(I387="SIM",K387="SIM",AF387="SIM",AL387="SIM",AN387="Dados pessoais",AN387="Dados sensíveis",AN387="Dados pessoais e sensíveis",O387="Acima de 10.000 titulares por mês"),"SIM - Alta criticidade",IF((IF(I387="SIM",2,0)+IF(K387="SIM",2,0)+IF(AF387="SIM",2,0)+IF(OR(AN387="Dados pessoais",AN387="Dados sensíveis",AN387="Dados pessoais e sensíveis"),2,0)+IF(O387="De 1.001 a 10.000 titulares por mês",1,0)+IF(AA387="SIM",1,0)+IF(R387="SIM",1,0)+IF(AL387="SIM",1,0)+IF(AJ387="NÃO",1,0))&gt;=5,"SIM - Alta criticidade",IF((IF(I387="SIM",2,0)+IF(K387="SIM",2,0)+IF(AF387="SIM",2,0)+IF(OR(AN387="Dados pessoais",AN387="Dados sensíveis",AN387="Dados pessoais e sensíveis"),2,0)+IF(O387="De 1.001 a 10.000 titulares por mês",1,0)+IF(AA387="SIM",1,0)+IF(R387="SIM",1,0)+IF(AL387="SIM",1,0)+IF(AJ387="NÃO",1,0))&gt;=3,"Avaliação necessária","NÃO"))))</f>
      </c>
      <c r="AR387" s="11"/>
      <c r="AS387" s="113">
        <f>IF(AND(I387="",K387="",AF387="",AL387="",AN387="",O387=""),"",IF(OR(I387="SIM",K387="SIM",AF387="SIM",AL387="SIM",OR(AN387="Dados pessoais",AN387="Dados sensíveis",AN387="Dados pessoais e sensíveis"),O387="Acima de 10.000 titulares por mês",(IF(I387="SIM",2,0)+IF(K387="SIM",2,0)+IF(AF387="SIM",2,0)+IF(OR(AN387="Dados pessoais",AN387="Dados sensíveis",AN387="Dados pessoais e sensíveis"),2,0)+IF(O387="De 1.001 a 10.000 titulares por mês",1,0)+IF(AA387="SIM",1,0)+IF(R387="SIM",1,0)+IF(AL387="SIM",1,0)+IF(AJ387="NÃO",1,0))&gt;=3),"DPIA indicado ou em avaliação em razão de: " &amp; TRIM(IF(I387="SIM","tratamento de dados sensíveis; ","") &amp; IF(K387="SIM","utilização de dados de menores; ","") &amp; IF(AF387="SIM","transferência internacional de dados; ","") &amp; IF(AL387="SIM","utilização de inteligência artificial; ","") &amp; IF(OR(AN387="Dados pessoais",AN387="Dados sensíveis",AN387="Dados pessoais e sensíveis"),"dados inseridos em IA; ","") &amp; IF(O387="Acima de 10.000 titulares por mês","volume crítico de titulares; ","") &amp; IF(O387="De 1.001 a 10.000 titulares por mês","volume moderado de titulares; ","") &amp; IF(AA387="SIM","compartilhamento com terceiros; ","") &amp; IF(R387="SIM","compartilhamento com órgãos governamentais; ","") &amp; IF(AJ387="NÃO","ausência de controle de acesso por perfil; ","")),"DPIA não indicado: Processo de baixa criticidade."))</f>
      </c>
    </row>
    <row x14ac:dyDescent="0.25" r="388" customHeight="1" ht="15.75">
      <c r="A388" s="46"/>
      <c r="B388" s="6"/>
      <c r="C388" s="11"/>
      <c r="D388" s="11"/>
      <c r="E388" s="11"/>
      <c r="F388" s="29"/>
      <c r="G388" s="11"/>
      <c r="H388" s="11"/>
      <c r="I388" s="29"/>
      <c r="J388" s="11"/>
      <c r="K388" s="29"/>
      <c r="L388" s="11"/>
      <c r="M388" s="11"/>
      <c r="N388" s="11"/>
      <c r="O388" s="29"/>
      <c r="P388" s="29"/>
      <c r="Q388" s="11"/>
      <c r="R388" s="29"/>
      <c r="S388" s="11"/>
      <c r="T388" s="6"/>
      <c r="U388" s="29"/>
      <c r="V388" s="11"/>
      <c r="W388" s="11"/>
      <c r="X388" s="29"/>
      <c r="Y388" s="11"/>
      <c r="Z388" s="29"/>
      <c r="AA388" s="29"/>
      <c r="AB388" s="11"/>
      <c r="AC388" s="11"/>
      <c r="AD388" s="29"/>
      <c r="AE388" s="11"/>
      <c r="AF388" s="29"/>
      <c r="AG388" s="11"/>
      <c r="AH388" s="29"/>
      <c r="AI388" s="11"/>
      <c r="AJ388" s="29"/>
      <c r="AK388" s="29"/>
      <c r="AL388" s="29"/>
      <c r="AM388" s="11"/>
      <c r="AN388" s="29"/>
      <c r="AO388" s="29"/>
      <c r="AP388" s="6"/>
      <c r="AQ388" s="113">
        <f>IF(AND(I388="",K388="",AF388="",AL388="",AN388="",O388=""),"",IF(OR(I388="SIM",K388="SIM",AF388="SIM",AL388="SIM",AN388="Dados pessoais",AN388="Dados sensíveis",AN388="Dados pessoais e sensíveis",O388="Acima de 10.000 titulares por mês"),"SIM - Alta criticidade",IF((IF(I388="SIM",2,0)+IF(K388="SIM",2,0)+IF(AF388="SIM",2,0)+IF(OR(AN388="Dados pessoais",AN388="Dados sensíveis",AN388="Dados pessoais e sensíveis"),2,0)+IF(O388="De 1.001 a 10.000 titulares por mês",1,0)+IF(AA388="SIM",1,0)+IF(R388="SIM",1,0)+IF(AL388="SIM",1,0)+IF(AJ388="NÃO",1,0))&gt;=5,"SIM - Alta criticidade",IF((IF(I388="SIM",2,0)+IF(K388="SIM",2,0)+IF(AF388="SIM",2,0)+IF(OR(AN388="Dados pessoais",AN388="Dados sensíveis",AN388="Dados pessoais e sensíveis"),2,0)+IF(O388="De 1.001 a 10.000 titulares por mês",1,0)+IF(AA388="SIM",1,0)+IF(R388="SIM",1,0)+IF(AL388="SIM",1,0)+IF(AJ388="NÃO",1,0))&gt;=3,"Avaliação necessária","NÃO"))))</f>
      </c>
      <c r="AR388" s="11"/>
      <c r="AS388" s="113">
        <f>IF(AND(I388="",K388="",AF388="",AL388="",AN388="",O388=""),"",IF(OR(I388="SIM",K388="SIM",AF388="SIM",AL388="SIM",OR(AN388="Dados pessoais",AN388="Dados sensíveis",AN388="Dados pessoais e sensíveis"),O388="Acima de 10.000 titulares por mês",(IF(I388="SIM",2,0)+IF(K388="SIM",2,0)+IF(AF388="SIM",2,0)+IF(OR(AN388="Dados pessoais",AN388="Dados sensíveis",AN388="Dados pessoais e sensíveis"),2,0)+IF(O388="De 1.001 a 10.000 titulares por mês",1,0)+IF(AA388="SIM",1,0)+IF(R388="SIM",1,0)+IF(AL388="SIM",1,0)+IF(AJ388="NÃO",1,0))&gt;=3),"DPIA indicado ou em avaliação em razão de: " &amp; TRIM(IF(I388="SIM","tratamento de dados sensíveis; ","") &amp; IF(K388="SIM","utilização de dados de menores; ","") &amp; IF(AF388="SIM","transferência internacional de dados; ","") &amp; IF(AL388="SIM","utilização de inteligência artificial; ","") &amp; IF(OR(AN388="Dados pessoais",AN388="Dados sensíveis",AN388="Dados pessoais e sensíveis"),"dados inseridos em IA; ","") &amp; IF(O388="Acima de 10.000 titulares por mês","volume crítico de titulares; ","") &amp; IF(O388="De 1.001 a 10.000 titulares por mês","volume moderado de titulares; ","") &amp; IF(AA388="SIM","compartilhamento com terceiros; ","") &amp; IF(R388="SIM","compartilhamento com órgãos governamentais; ","") &amp; IF(AJ388="NÃO","ausência de controle de acesso por perfil; ","")),"DPIA não indicado: Processo de baixa criticidade."))</f>
      </c>
    </row>
    <row x14ac:dyDescent="0.25" r="389" customHeight="1" ht="15.75">
      <c r="A389" s="46"/>
      <c r="B389" s="6"/>
      <c r="C389" s="11"/>
      <c r="D389" s="11"/>
      <c r="E389" s="11"/>
      <c r="F389" s="29"/>
      <c r="G389" s="11"/>
      <c r="H389" s="11"/>
      <c r="I389" s="29"/>
      <c r="J389" s="11"/>
      <c r="K389" s="29"/>
      <c r="L389" s="11"/>
      <c r="M389" s="11"/>
      <c r="N389" s="11"/>
      <c r="O389" s="29"/>
      <c r="P389" s="29"/>
      <c r="Q389" s="11"/>
      <c r="R389" s="29"/>
      <c r="S389" s="11"/>
      <c r="T389" s="6"/>
      <c r="U389" s="29"/>
      <c r="V389" s="11"/>
      <c r="W389" s="11"/>
      <c r="X389" s="29"/>
      <c r="Y389" s="11"/>
      <c r="Z389" s="29"/>
      <c r="AA389" s="29"/>
      <c r="AB389" s="11"/>
      <c r="AC389" s="11"/>
      <c r="AD389" s="29"/>
      <c r="AE389" s="11"/>
      <c r="AF389" s="29"/>
      <c r="AG389" s="11"/>
      <c r="AH389" s="29"/>
      <c r="AI389" s="11"/>
      <c r="AJ389" s="29"/>
      <c r="AK389" s="29"/>
      <c r="AL389" s="29"/>
      <c r="AM389" s="11"/>
      <c r="AN389" s="29"/>
      <c r="AO389" s="29"/>
      <c r="AP389" s="6"/>
      <c r="AQ389" s="113">
        <f>IF(AND(I389="",K389="",AF389="",AL389="",AN389="",O389=""),"",IF(OR(I389="SIM",K389="SIM",AF389="SIM",AL389="SIM",AN389="Dados pessoais",AN389="Dados sensíveis",AN389="Dados pessoais e sensíveis",O389="Acima de 10.000 titulares por mês"),"SIM - Alta criticidade",IF((IF(I389="SIM",2,0)+IF(K389="SIM",2,0)+IF(AF389="SIM",2,0)+IF(OR(AN389="Dados pessoais",AN389="Dados sensíveis",AN389="Dados pessoais e sensíveis"),2,0)+IF(O389="De 1.001 a 10.000 titulares por mês",1,0)+IF(AA389="SIM",1,0)+IF(R389="SIM",1,0)+IF(AL389="SIM",1,0)+IF(AJ389="NÃO",1,0))&gt;=5,"SIM - Alta criticidade",IF((IF(I389="SIM",2,0)+IF(K389="SIM",2,0)+IF(AF389="SIM",2,0)+IF(OR(AN389="Dados pessoais",AN389="Dados sensíveis",AN389="Dados pessoais e sensíveis"),2,0)+IF(O389="De 1.001 a 10.000 titulares por mês",1,0)+IF(AA389="SIM",1,0)+IF(R389="SIM",1,0)+IF(AL389="SIM",1,0)+IF(AJ389="NÃO",1,0))&gt;=3,"Avaliação necessária","NÃO"))))</f>
      </c>
      <c r="AR389" s="11"/>
      <c r="AS389" s="113">
        <f>IF(AND(I389="",K389="",AF389="",AL389="",AN389="",O389=""),"",IF(OR(I389="SIM",K389="SIM",AF389="SIM",AL389="SIM",OR(AN389="Dados pessoais",AN389="Dados sensíveis",AN389="Dados pessoais e sensíveis"),O389="Acima de 10.000 titulares por mês",(IF(I389="SIM",2,0)+IF(K389="SIM",2,0)+IF(AF389="SIM",2,0)+IF(OR(AN389="Dados pessoais",AN389="Dados sensíveis",AN389="Dados pessoais e sensíveis"),2,0)+IF(O389="De 1.001 a 10.000 titulares por mês",1,0)+IF(AA389="SIM",1,0)+IF(R389="SIM",1,0)+IF(AL389="SIM",1,0)+IF(AJ389="NÃO",1,0))&gt;=3),"DPIA indicado ou em avaliação em razão de: " &amp; TRIM(IF(I389="SIM","tratamento de dados sensíveis; ","") &amp; IF(K389="SIM","utilização de dados de menores; ","") &amp; IF(AF389="SIM","transferência internacional de dados; ","") &amp; IF(AL389="SIM","utilização de inteligência artificial; ","") &amp; IF(OR(AN389="Dados pessoais",AN389="Dados sensíveis",AN389="Dados pessoais e sensíveis"),"dados inseridos em IA; ","") &amp; IF(O389="Acima de 10.000 titulares por mês","volume crítico de titulares; ","") &amp; IF(O389="De 1.001 a 10.000 titulares por mês","volume moderado de titulares; ","") &amp; IF(AA389="SIM","compartilhamento com terceiros; ","") &amp; IF(R389="SIM","compartilhamento com órgãos governamentais; ","") &amp; IF(AJ389="NÃO","ausência de controle de acesso por perfil; ","")),"DPIA não indicado: Processo de baixa criticidade."))</f>
      </c>
    </row>
    <row x14ac:dyDescent="0.25" r="390" customHeight="1" ht="15.75">
      <c r="A390" s="46"/>
      <c r="B390" s="6"/>
      <c r="C390" s="11"/>
      <c r="D390" s="11"/>
      <c r="E390" s="11"/>
      <c r="F390" s="29"/>
      <c r="G390" s="11"/>
      <c r="H390" s="11"/>
      <c r="I390" s="29"/>
      <c r="J390" s="11"/>
      <c r="K390" s="29"/>
      <c r="L390" s="11"/>
      <c r="M390" s="11"/>
      <c r="N390" s="11"/>
      <c r="O390" s="29"/>
      <c r="P390" s="29"/>
      <c r="Q390" s="11"/>
      <c r="R390" s="29"/>
      <c r="S390" s="11"/>
      <c r="T390" s="6"/>
      <c r="U390" s="29"/>
      <c r="V390" s="11"/>
      <c r="W390" s="11"/>
      <c r="X390" s="29"/>
      <c r="Y390" s="11"/>
      <c r="Z390" s="29"/>
      <c r="AA390" s="29"/>
      <c r="AB390" s="11"/>
      <c r="AC390" s="11"/>
      <c r="AD390" s="29"/>
      <c r="AE390" s="11"/>
      <c r="AF390" s="29"/>
      <c r="AG390" s="11"/>
      <c r="AH390" s="29"/>
      <c r="AI390" s="11"/>
      <c r="AJ390" s="29"/>
      <c r="AK390" s="29"/>
      <c r="AL390" s="29"/>
      <c r="AM390" s="11"/>
      <c r="AN390" s="29"/>
      <c r="AO390" s="29"/>
      <c r="AP390" s="6"/>
      <c r="AQ390" s="113">
        <f>IF(AND(I390="",K390="",AF390="",AL390="",AN390="",O390=""),"",IF(OR(I390="SIM",K390="SIM",AF390="SIM",AL390="SIM",AN390="Dados pessoais",AN390="Dados sensíveis",AN390="Dados pessoais e sensíveis",O390="Acima de 10.000 titulares por mês"),"SIM - Alta criticidade",IF((IF(I390="SIM",2,0)+IF(K390="SIM",2,0)+IF(AF390="SIM",2,0)+IF(OR(AN390="Dados pessoais",AN390="Dados sensíveis",AN390="Dados pessoais e sensíveis"),2,0)+IF(O390="De 1.001 a 10.000 titulares por mês",1,0)+IF(AA390="SIM",1,0)+IF(R390="SIM",1,0)+IF(AL390="SIM",1,0)+IF(AJ390="NÃO",1,0))&gt;=5,"SIM - Alta criticidade",IF((IF(I390="SIM",2,0)+IF(K390="SIM",2,0)+IF(AF390="SIM",2,0)+IF(OR(AN390="Dados pessoais",AN390="Dados sensíveis",AN390="Dados pessoais e sensíveis"),2,0)+IF(O390="De 1.001 a 10.000 titulares por mês",1,0)+IF(AA390="SIM",1,0)+IF(R390="SIM",1,0)+IF(AL390="SIM",1,0)+IF(AJ390="NÃO",1,0))&gt;=3,"Avaliação necessária","NÃO"))))</f>
      </c>
      <c r="AR390" s="11"/>
      <c r="AS390" s="113">
        <f>IF(AND(I390="",K390="",AF390="",AL390="",AN390="",O390=""),"",IF(OR(I390="SIM",K390="SIM",AF390="SIM",AL390="SIM",OR(AN390="Dados pessoais",AN390="Dados sensíveis",AN390="Dados pessoais e sensíveis"),O390="Acima de 10.000 titulares por mês",(IF(I390="SIM",2,0)+IF(K390="SIM",2,0)+IF(AF390="SIM",2,0)+IF(OR(AN390="Dados pessoais",AN390="Dados sensíveis",AN390="Dados pessoais e sensíveis"),2,0)+IF(O390="De 1.001 a 10.000 titulares por mês",1,0)+IF(AA390="SIM",1,0)+IF(R390="SIM",1,0)+IF(AL390="SIM",1,0)+IF(AJ390="NÃO",1,0))&gt;=3),"DPIA indicado ou em avaliação em razão de: " &amp; TRIM(IF(I390="SIM","tratamento de dados sensíveis; ","") &amp; IF(K390="SIM","utilização de dados de menores; ","") &amp; IF(AF390="SIM","transferência internacional de dados; ","") &amp; IF(AL390="SIM","utilização de inteligência artificial; ","") &amp; IF(OR(AN390="Dados pessoais",AN390="Dados sensíveis",AN390="Dados pessoais e sensíveis"),"dados inseridos em IA; ","") &amp; IF(O390="Acima de 10.000 titulares por mês","volume crítico de titulares; ","") &amp; IF(O390="De 1.001 a 10.000 titulares por mês","volume moderado de titulares; ","") &amp; IF(AA390="SIM","compartilhamento com terceiros; ","") &amp; IF(R390="SIM","compartilhamento com órgãos governamentais; ","") &amp; IF(AJ390="NÃO","ausência de controle de acesso por perfil; ","")),"DPIA não indicado: Processo de baixa criticidade."))</f>
      </c>
    </row>
    <row x14ac:dyDescent="0.25" r="391" customHeight="1" ht="15.75">
      <c r="A391" s="46"/>
      <c r="B391" s="6"/>
      <c r="C391" s="11"/>
      <c r="D391" s="11"/>
      <c r="E391" s="11"/>
      <c r="F391" s="29"/>
      <c r="G391" s="11"/>
      <c r="H391" s="11"/>
      <c r="I391" s="29"/>
      <c r="J391" s="11"/>
      <c r="K391" s="29"/>
      <c r="L391" s="11"/>
      <c r="M391" s="11"/>
      <c r="N391" s="11"/>
      <c r="O391" s="29"/>
      <c r="P391" s="29"/>
      <c r="Q391" s="11"/>
      <c r="R391" s="29"/>
      <c r="S391" s="11"/>
      <c r="T391" s="6"/>
      <c r="U391" s="29"/>
      <c r="V391" s="11"/>
      <c r="W391" s="11"/>
      <c r="X391" s="29"/>
      <c r="Y391" s="11"/>
      <c r="Z391" s="29"/>
      <c r="AA391" s="29"/>
      <c r="AB391" s="11"/>
      <c r="AC391" s="11"/>
      <c r="AD391" s="29"/>
      <c r="AE391" s="11"/>
      <c r="AF391" s="29"/>
      <c r="AG391" s="11"/>
      <c r="AH391" s="29"/>
      <c r="AI391" s="11"/>
      <c r="AJ391" s="29"/>
      <c r="AK391" s="29"/>
      <c r="AL391" s="29"/>
      <c r="AM391" s="11"/>
      <c r="AN391" s="29"/>
      <c r="AO391" s="29"/>
      <c r="AP391" s="6"/>
      <c r="AQ391" s="113">
        <f>IF(AND(I391="",K391="",AF391="",AL391="",AN391="",O391=""),"",IF(OR(I391="SIM",K391="SIM",AF391="SIM",AL391="SIM",AN391="Dados pessoais",AN391="Dados sensíveis",AN391="Dados pessoais e sensíveis",O391="Acima de 10.000 titulares por mês"),"SIM - Alta criticidade",IF((IF(I391="SIM",2,0)+IF(K391="SIM",2,0)+IF(AF391="SIM",2,0)+IF(OR(AN391="Dados pessoais",AN391="Dados sensíveis",AN391="Dados pessoais e sensíveis"),2,0)+IF(O391="De 1.001 a 10.000 titulares por mês",1,0)+IF(AA391="SIM",1,0)+IF(R391="SIM",1,0)+IF(AL391="SIM",1,0)+IF(AJ391="NÃO",1,0))&gt;=5,"SIM - Alta criticidade",IF((IF(I391="SIM",2,0)+IF(K391="SIM",2,0)+IF(AF391="SIM",2,0)+IF(OR(AN391="Dados pessoais",AN391="Dados sensíveis",AN391="Dados pessoais e sensíveis"),2,0)+IF(O391="De 1.001 a 10.000 titulares por mês",1,0)+IF(AA391="SIM",1,0)+IF(R391="SIM",1,0)+IF(AL391="SIM",1,0)+IF(AJ391="NÃO",1,0))&gt;=3,"Avaliação necessária","NÃO"))))</f>
      </c>
      <c r="AR391" s="11"/>
      <c r="AS391" s="113">
        <f>IF(AND(I391="",K391="",AF391="",AL391="",AN391="",O391=""),"",IF(OR(I391="SIM",K391="SIM",AF391="SIM",AL391="SIM",OR(AN391="Dados pessoais",AN391="Dados sensíveis",AN391="Dados pessoais e sensíveis"),O391="Acima de 10.000 titulares por mês",(IF(I391="SIM",2,0)+IF(K391="SIM",2,0)+IF(AF391="SIM",2,0)+IF(OR(AN391="Dados pessoais",AN391="Dados sensíveis",AN391="Dados pessoais e sensíveis"),2,0)+IF(O391="De 1.001 a 10.000 titulares por mês",1,0)+IF(AA391="SIM",1,0)+IF(R391="SIM",1,0)+IF(AL391="SIM",1,0)+IF(AJ391="NÃO",1,0))&gt;=3),"DPIA indicado ou em avaliação em razão de: " &amp; TRIM(IF(I391="SIM","tratamento de dados sensíveis; ","") &amp; IF(K391="SIM","utilização de dados de menores; ","") &amp; IF(AF391="SIM","transferência internacional de dados; ","") &amp; IF(AL391="SIM","utilização de inteligência artificial; ","") &amp; IF(OR(AN391="Dados pessoais",AN391="Dados sensíveis",AN391="Dados pessoais e sensíveis"),"dados inseridos em IA; ","") &amp; IF(O391="Acima de 10.000 titulares por mês","volume crítico de titulares; ","") &amp; IF(O391="De 1.001 a 10.000 titulares por mês","volume moderado de titulares; ","") &amp; IF(AA391="SIM","compartilhamento com terceiros; ","") &amp; IF(R391="SIM","compartilhamento com órgãos governamentais; ","") &amp; IF(AJ391="NÃO","ausência de controle de acesso por perfil; ","")),"DPIA não indicado: Processo de baixa criticidade."))</f>
      </c>
    </row>
    <row x14ac:dyDescent="0.25" r="392" customHeight="1" ht="15.75">
      <c r="A392" s="46"/>
      <c r="B392" s="6"/>
      <c r="C392" s="11"/>
      <c r="D392" s="11"/>
      <c r="E392" s="11"/>
      <c r="F392" s="29"/>
      <c r="G392" s="11"/>
      <c r="H392" s="11"/>
      <c r="I392" s="29"/>
      <c r="J392" s="11"/>
      <c r="K392" s="29"/>
      <c r="L392" s="11"/>
      <c r="M392" s="11"/>
      <c r="N392" s="11"/>
      <c r="O392" s="29"/>
      <c r="P392" s="29"/>
      <c r="Q392" s="11"/>
      <c r="R392" s="29"/>
      <c r="S392" s="11"/>
      <c r="T392" s="6"/>
      <c r="U392" s="29"/>
      <c r="V392" s="11"/>
      <c r="W392" s="11"/>
      <c r="X392" s="29"/>
      <c r="Y392" s="11"/>
      <c r="Z392" s="29"/>
      <c r="AA392" s="29"/>
      <c r="AB392" s="11"/>
      <c r="AC392" s="11"/>
      <c r="AD392" s="29"/>
      <c r="AE392" s="11"/>
      <c r="AF392" s="29"/>
      <c r="AG392" s="11"/>
      <c r="AH392" s="29"/>
      <c r="AI392" s="11"/>
      <c r="AJ392" s="29"/>
      <c r="AK392" s="29"/>
      <c r="AL392" s="29"/>
      <c r="AM392" s="11"/>
      <c r="AN392" s="29"/>
      <c r="AO392" s="29"/>
      <c r="AP392" s="6"/>
      <c r="AQ392" s="113">
        <f>IF(AND(I392="",K392="",AF392="",AL392="",AN392="",O392=""),"",IF(OR(I392="SIM",K392="SIM",AF392="SIM",AL392="SIM",AN392="Dados pessoais",AN392="Dados sensíveis",AN392="Dados pessoais e sensíveis",O392="Acima de 10.000 titulares por mês"),"SIM - Alta criticidade",IF((IF(I392="SIM",2,0)+IF(K392="SIM",2,0)+IF(AF392="SIM",2,0)+IF(OR(AN392="Dados pessoais",AN392="Dados sensíveis",AN392="Dados pessoais e sensíveis"),2,0)+IF(O392="De 1.001 a 10.000 titulares por mês",1,0)+IF(AA392="SIM",1,0)+IF(R392="SIM",1,0)+IF(AL392="SIM",1,0)+IF(AJ392="NÃO",1,0))&gt;=5,"SIM - Alta criticidade",IF((IF(I392="SIM",2,0)+IF(K392="SIM",2,0)+IF(AF392="SIM",2,0)+IF(OR(AN392="Dados pessoais",AN392="Dados sensíveis",AN392="Dados pessoais e sensíveis"),2,0)+IF(O392="De 1.001 a 10.000 titulares por mês",1,0)+IF(AA392="SIM",1,0)+IF(R392="SIM",1,0)+IF(AL392="SIM",1,0)+IF(AJ392="NÃO",1,0))&gt;=3,"Avaliação necessária","NÃO"))))</f>
      </c>
      <c r="AR392" s="11"/>
      <c r="AS392" s="113">
        <f>IF(AND(I392="",K392="",AF392="",AL392="",AN392="",O392=""),"",IF(OR(I392="SIM",K392="SIM",AF392="SIM",AL392="SIM",OR(AN392="Dados pessoais",AN392="Dados sensíveis",AN392="Dados pessoais e sensíveis"),O392="Acima de 10.000 titulares por mês",(IF(I392="SIM",2,0)+IF(K392="SIM",2,0)+IF(AF392="SIM",2,0)+IF(OR(AN392="Dados pessoais",AN392="Dados sensíveis",AN392="Dados pessoais e sensíveis"),2,0)+IF(O392="De 1.001 a 10.000 titulares por mês",1,0)+IF(AA392="SIM",1,0)+IF(R392="SIM",1,0)+IF(AL392="SIM",1,0)+IF(AJ392="NÃO",1,0))&gt;=3),"DPIA indicado ou em avaliação em razão de: " &amp; TRIM(IF(I392="SIM","tratamento de dados sensíveis; ","") &amp; IF(K392="SIM","utilização de dados de menores; ","") &amp; IF(AF392="SIM","transferência internacional de dados; ","") &amp; IF(AL392="SIM","utilização de inteligência artificial; ","") &amp; IF(OR(AN392="Dados pessoais",AN392="Dados sensíveis",AN392="Dados pessoais e sensíveis"),"dados inseridos em IA; ","") &amp; IF(O392="Acima de 10.000 titulares por mês","volume crítico de titulares; ","") &amp; IF(O392="De 1.001 a 10.000 titulares por mês","volume moderado de titulares; ","") &amp; IF(AA392="SIM","compartilhamento com terceiros; ","") &amp; IF(R392="SIM","compartilhamento com órgãos governamentais; ","") &amp; IF(AJ392="NÃO","ausência de controle de acesso por perfil; ","")),"DPIA não indicado: Processo de baixa criticidade."))</f>
      </c>
    </row>
    <row x14ac:dyDescent="0.25" r="393" customHeight="1" ht="15.75">
      <c r="A393" s="46"/>
      <c r="B393" s="6"/>
      <c r="C393" s="11"/>
      <c r="D393" s="11"/>
      <c r="E393" s="11"/>
      <c r="F393" s="29"/>
      <c r="G393" s="11"/>
      <c r="H393" s="11"/>
      <c r="I393" s="29"/>
      <c r="J393" s="11"/>
      <c r="K393" s="29"/>
      <c r="L393" s="11"/>
      <c r="M393" s="11"/>
      <c r="N393" s="11"/>
      <c r="O393" s="29"/>
      <c r="P393" s="29"/>
      <c r="Q393" s="11"/>
      <c r="R393" s="29"/>
      <c r="S393" s="11"/>
      <c r="T393" s="6"/>
      <c r="U393" s="29"/>
      <c r="V393" s="11"/>
      <c r="W393" s="11"/>
      <c r="X393" s="29"/>
      <c r="Y393" s="11"/>
      <c r="Z393" s="29"/>
      <c r="AA393" s="29"/>
      <c r="AB393" s="11"/>
      <c r="AC393" s="11"/>
      <c r="AD393" s="29"/>
      <c r="AE393" s="11"/>
      <c r="AF393" s="29"/>
      <c r="AG393" s="11"/>
      <c r="AH393" s="29"/>
      <c r="AI393" s="11"/>
      <c r="AJ393" s="29"/>
      <c r="AK393" s="29"/>
      <c r="AL393" s="29"/>
      <c r="AM393" s="11"/>
      <c r="AN393" s="29"/>
      <c r="AO393" s="29"/>
      <c r="AP393" s="6"/>
      <c r="AQ393" s="113">
        <f>IF(AND(I393="",K393="",AF393="",AL393="",AN393="",O393=""),"",IF(OR(I393="SIM",K393="SIM",AF393="SIM",AL393="SIM",AN393="Dados pessoais",AN393="Dados sensíveis",AN393="Dados pessoais e sensíveis",O393="Acima de 10.000 titulares por mês"),"SIM - Alta criticidade",IF((IF(I393="SIM",2,0)+IF(K393="SIM",2,0)+IF(AF393="SIM",2,0)+IF(OR(AN393="Dados pessoais",AN393="Dados sensíveis",AN393="Dados pessoais e sensíveis"),2,0)+IF(O393="De 1.001 a 10.000 titulares por mês",1,0)+IF(AA393="SIM",1,0)+IF(R393="SIM",1,0)+IF(AL393="SIM",1,0)+IF(AJ393="NÃO",1,0))&gt;=5,"SIM - Alta criticidade",IF((IF(I393="SIM",2,0)+IF(K393="SIM",2,0)+IF(AF393="SIM",2,0)+IF(OR(AN393="Dados pessoais",AN393="Dados sensíveis",AN393="Dados pessoais e sensíveis"),2,0)+IF(O393="De 1.001 a 10.000 titulares por mês",1,0)+IF(AA393="SIM",1,0)+IF(R393="SIM",1,0)+IF(AL393="SIM",1,0)+IF(AJ393="NÃO",1,0))&gt;=3,"Avaliação necessária","NÃO"))))</f>
      </c>
      <c r="AR393" s="11"/>
      <c r="AS393" s="113">
        <f>IF(AND(I393="",K393="",AF393="",AL393="",AN393="",O393=""),"",IF(OR(I393="SIM",K393="SIM",AF393="SIM",AL393="SIM",OR(AN393="Dados pessoais",AN393="Dados sensíveis",AN393="Dados pessoais e sensíveis"),O393="Acima de 10.000 titulares por mês",(IF(I393="SIM",2,0)+IF(K393="SIM",2,0)+IF(AF393="SIM",2,0)+IF(OR(AN393="Dados pessoais",AN393="Dados sensíveis",AN393="Dados pessoais e sensíveis"),2,0)+IF(O393="De 1.001 a 10.000 titulares por mês",1,0)+IF(AA393="SIM",1,0)+IF(R393="SIM",1,0)+IF(AL393="SIM",1,0)+IF(AJ393="NÃO",1,0))&gt;=3),"DPIA indicado ou em avaliação em razão de: " &amp; TRIM(IF(I393="SIM","tratamento de dados sensíveis; ","") &amp; IF(K393="SIM","utilização de dados de menores; ","") &amp; IF(AF393="SIM","transferência internacional de dados; ","") &amp; IF(AL393="SIM","utilização de inteligência artificial; ","") &amp; IF(OR(AN393="Dados pessoais",AN393="Dados sensíveis",AN393="Dados pessoais e sensíveis"),"dados inseridos em IA; ","") &amp; IF(O393="Acima de 10.000 titulares por mês","volume crítico de titulares; ","") &amp; IF(O393="De 1.001 a 10.000 titulares por mês","volume moderado de titulares; ","") &amp; IF(AA393="SIM","compartilhamento com terceiros; ","") &amp; IF(R393="SIM","compartilhamento com órgãos governamentais; ","") &amp; IF(AJ393="NÃO","ausência de controle de acesso por perfil; ","")),"DPIA não indicado: Processo de baixa criticidade."))</f>
      </c>
    </row>
    <row x14ac:dyDescent="0.25" r="394" customHeight="1" ht="15.75">
      <c r="A394" s="46"/>
      <c r="B394" s="6"/>
      <c r="C394" s="11"/>
      <c r="D394" s="11"/>
      <c r="E394" s="11"/>
      <c r="F394" s="29"/>
      <c r="G394" s="11"/>
      <c r="H394" s="11"/>
      <c r="I394" s="29"/>
      <c r="J394" s="11"/>
      <c r="K394" s="29"/>
      <c r="L394" s="11"/>
      <c r="M394" s="11"/>
      <c r="N394" s="11"/>
      <c r="O394" s="29"/>
      <c r="P394" s="29"/>
      <c r="Q394" s="11"/>
      <c r="R394" s="29"/>
      <c r="S394" s="11"/>
      <c r="T394" s="6"/>
      <c r="U394" s="29"/>
      <c r="V394" s="11"/>
      <c r="W394" s="11"/>
      <c r="X394" s="29"/>
      <c r="Y394" s="11"/>
      <c r="Z394" s="29"/>
      <c r="AA394" s="29"/>
      <c r="AB394" s="11"/>
      <c r="AC394" s="11"/>
      <c r="AD394" s="29"/>
      <c r="AE394" s="11"/>
      <c r="AF394" s="29"/>
      <c r="AG394" s="11"/>
      <c r="AH394" s="29"/>
      <c r="AI394" s="11"/>
      <c r="AJ394" s="29"/>
      <c r="AK394" s="29"/>
      <c r="AL394" s="29"/>
      <c r="AM394" s="11"/>
      <c r="AN394" s="29"/>
      <c r="AO394" s="29"/>
      <c r="AP394" s="6"/>
      <c r="AQ394" s="113">
        <f>IF(AND(I394="",K394="",AF394="",AL394="",AN394="",O394=""),"",IF(OR(I394="SIM",K394="SIM",AF394="SIM",AL394="SIM",AN394="Dados pessoais",AN394="Dados sensíveis",AN394="Dados pessoais e sensíveis",O394="Acima de 10.000 titulares por mês"),"SIM - Alta criticidade",IF((IF(I394="SIM",2,0)+IF(K394="SIM",2,0)+IF(AF394="SIM",2,0)+IF(OR(AN394="Dados pessoais",AN394="Dados sensíveis",AN394="Dados pessoais e sensíveis"),2,0)+IF(O394="De 1.001 a 10.000 titulares por mês",1,0)+IF(AA394="SIM",1,0)+IF(R394="SIM",1,0)+IF(AL394="SIM",1,0)+IF(AJ394="NÃO",1,0))&gt;=5,"SIM - Alta criticidade",IF((IF(I394="SIM",2,0)+IF(K394="SIM",2,0)+IF(AF394="SIM",2,0)+IF(OR(AN394="Dados pessoais",AN394="Dados sensíveis",AN394="Dados pessoais e sensíveis"),2,0)+IF(O394="De 1.001 a 10.000 titulares por mês",1,0)+IF(AA394="SIM",1,0)+IF(R394="SIM",1,0)+IF(AL394="SIM",1,0)+IF(AJ394="NÃO",1,0))&gt;=3,"Avaliação necessária","NÃO"))))</f>
      </c>
      <c r="AR394" s="11"/>
      <c r="AS394" s="113">
        <f>IF(AND(I394="",K394="",AF394="",AL394="",AN394="",O394=""),"",IF(OR(I394="SIM",K394="SIM",AF394="SIM",AL394="SIM",OR(AN394="Dados pessoais",AN394="Dados sensíveis",AN394="Dados pessoais e sensíveis"),O394="Acima de 10.000 titulares por mês",(IF(I394="SIM",2,0)+IF(K394="SIM",2,0)+IF(AF394="SIM",2,0)+IF(OR(AN394="Dados pessoais",AN394="Dados sensíveis",AN394="Dados pessoais e sensíveis"),2,0)+IF(O394="De 1.001 a 10.000 titulares por mês",1,0)+IF(AA394="SIM",1,0)+IF(R394="SIM",1,0)+IF(AL394="SIM",1,0)+IF(AJ394="NÃO",1,0))&gt;=3),"DPIA indicado ou em avaliação em razão de: " &amp; TRIM(IF(I394="SIM","tratamento de dados sensíveis; ","") &amp; IF(K394="SIM","utilização de dados de menores; ","") &amp; IF(AF394="SIM","transferência internacional de dados; ","") &amp; IF(AL394="SIM","utilização de inteligência artificial; ","") &amp; IF(OR(AN394="Dados pessoais",AN394="Dados sensíveis",AN394="Dados pessoais e sensíveis"),"dados inseridos em IA; ","") &amp; IF(O394="Acima de 10.000 titulares por mês","volume crítico de titulares; ","") &amp; IF(O394="De 1.001 a 10.000 titulares por mês","volume moderado de titulares; ","") &amp; IF(AA394="SIM","compartilhamento com terceiros; ","") &amp; IF(R394="SIM","compartilhamento com órgãos governamentais; ","") &amp; IF(AJ394="NÃO","ausência de controle de acesso por perfil; ","")),"DPIA não indicado: Processo de baixa criticidade."))</f>
      </c>
    </row>
    <row x14ac:dyDescent="0.25" r="395" customHeight="1" ht="15.75">
      <c r="A395" s="46"/>
      <c r="B395" s="6"/>
      <c r="C395" s="11"/>
      <c r="D395" s="11"/>
      <c r="E395" s="11"/>
      <c r="F395" s="29"/>
      <c r="G395" s="11"/>
      <c r="H395" s="11"/>
      <c r="I395" s="29"/>
      <c r="J395" s="11"/>
      <c r="K395" s="29"/>
      <c r="L395" s="11"/>
      <c r="M395" s="11"/>
      <c r="N395" s="11"/>
      <c r="O395" s="29"/>
      <c r="P395" s="29"/>
      <c r="Q395" s="11"/>
      <c r="R395" s="29"/>
      <c r="S395" s="11"/>
      <c r="T395" s="6"/>
      <c r="U395" s="29"/>
      <c r="V395" s="11"/>
      <c r="W395" s="11"/>
      <c r="X395" s="29"/>
      <c r="Y395" s="11"/>
      <c r="Z395" s="29"/>
      <c r="AA395" s="29"/>
      <c r="AB395" s="11"/>
      <c r="AC395" s="11"/>
      <c r="AD395" s="29"/>
      <c r="AE395" s="11"/>
      <c r="AF395" s="29"/>
      <c r="AG395" s="11"/>
      <c r="AH395" s="29"/>
      <c r="AI395" s="11"/>
      <c r="AJ395" s="29"/>
      <c r="AK395" s="29"/>
      <c r="AL395" s="29"/>
      <c r="AM395" s="11"/>
      <c r="AN395" s="29"/>
      <c r="AO395" s="29"/>
      <c r="AP395" s="6"/>
      <c r="AQ395" s="113">
        <f>IF(AND(I395="",K395="",AF395="",AL395="",AN395="",O395=""),"",IF(OR(I395="SIM",K395="SIM",AF395="SIM",AL395="SIM",AN395="Dados pessoais",AN395="Dados sensíveis",AN395="Dados pessoais e sensíveis",O395="Acima de 10.000 titulares por mês"),"SIM - Alta criticidade",IF((IF(I395="SIM",2,0)+IF(K395="SIM",2,0)+IF(AF395="SIM",2,0)+IF(OR(AN395="Dados pessoais",AN395="Dados sensíveis",AN395="Dados pessoais e sensíveis"),2,0)+IF(O395="De 1.001 a 10.000 titulares por mês",1,0)+IF(AA395="SIM",1,0)+IF(R395="SIM",1,0)+IF(AL395="SIM",1,0)+IF(AJ395="NÃO",1,0))&gt;=5,"SIM - Alta criticidade",IF((IF(I395="SIM",2,0)+IF(K395="SIM",2,0)+IF(AF395="SIM",2,0)+IF(OR(AN395="Dados pessoais",AN395="Dados sensíveis",AN395="Dados pessoais e sensíveis"),2,0)+IF(O395="De 1.001 a 10.000 titulares por mês",1,0)+IF(AA395="SIM",1,0)+IF(R395="SIM",1,0)+IF(AL395="SIM",1,0)+IF(AJ395="NÃO",1,0))&gt;=3,"Avaliação necessária","NÃO"))))</f>
      </c>
      <c r="AR395" s="11"/>
      <c r="AS395" s="113">
        <f>IF(AND(I395="",K395="",AF395="",AL395="",AN395="",O395=""),"",IF(OR(I395="SIM",K395="SIM",AF395="SIM",AL395="SIM",OR(AN395="Dados pessoais",AN395="Dados sensíveis",AN395="Dados pessoais e sensíveis"),O395="Acima de 10.000 titulares por mês",(IF(I395="SIM",2,0)+IF(K395="SIM",2,0)+IF(AF395="SIM",2,0)+IF(OR(AN395="Dados pessoais",AN395="Dados sensíveis",AN395="Dados pessoais e sensíveis"),2,0)+IF(O395="De 1.001 a 10.000 titulares por mês",1,0)+IF(AA395="SIM",1,0)+IF(R395="SIM",1,0)+IF(AL395="SIM",1,0)+IF(AJ395="NÃO",1,0))&gt;=3),"DPIA indicado ou em avaliação em razão de: " &amp; TRIM(IF(I395="SIM","tratamento de dados sensíveis; ","") &amp; IF(K395="SIM","utilização de dados de menores; ","") &amp; IF(AF395="SIM","transferência internacional de dados; ","") &amp; IF(AL395="SIM","utilização de inteligência artificial; ","") &amp; IF(OR(AN395="Dados pessoais",AN395="Dados sensíveis",AN395="Dados pessoais e sensíveis"),"dados inseridos em IA; ","") &amp; IF(O395="Acima de 10.000 titulares por mês","volume crítico de titulares; ","") &amp; IF(O395="De 1.001 a 10.000 titulares por mês","volume moderado de titulares; ","") &amp; IF(AA395="SIM","compartilhamento com terceiros; ","") &amp; IF(R395="SIM","compartilhamento com órgãos governamentais; ","") &amp; IF(AJ395="NÃO","ausência de controle de acesso por perfil; ","")),"DPIA não indicado: Processo de baixa criticidade."))</f>
      </c>
    </row>
    <row x14ac:dyDescent="0.25" r="396" customHeight="1" ht="15.75">
      <c r="A396" s="46"/>
      <c r="B396" s="6"/>
      <c r="C396" s="11"/>
      <c r="D396" s="11"/>
      <c r="E396" s="11"/>
      <c r="F396" s="29"/>
      <c r="G396" s="11"/>
      <c r="H396" s="11"/>
      <c r="I396" s="29"/>
      <c r="J396" s="11"/>
      <c r="K396" s="29"/>
      <c r="L396" s="11"/>
      <c r="M396" s="11"/>
      <c r="N396" s="11"/>
      <c r="O396" s="29"/>
      <c r="P396" s="29"/>
      <c r="Q396" s="11"/>
      <c r="R396" s="29"/>
      <c r="S396" s="11"/>
      <c r="T396" s="6"/>
      <c r="U396" s="29"/>
      <c r="V396" s="11"/>
      <c r="W396" s="11"/>
      <c r="X396" s="29"/>
      <c r="Y396" s="11"/>
      <c r="Z396" s="29"/>
      <c r="AA396" s="29"/>
      <c r="AB396" s="11"/>
      <c r="AC396" s="11"/>
      <c r="AD396" s="29"/>
      <c r="AE396" s="11"/>
      <c r="AF396" s="29"/>
      <c r="AG396" s="11"/>
      <c r="AH396" s="29"/>
      <c r="AI396" s="11"/>
      <c r="AJ396" s="29"/>
      <c r="AK396" s="29"/>
      <c r="AL396" s="29"/>
      <c r="AM396" s="11"/>
      <c r="AN396" s="29"/>
      <c r="AO396" s="29"/>
      <c r="AP396" s="6"/>
      <c r="AQ396" s="113">
        <f>IF(AND(I396="",K396="",AF396="",AL396="",AN396="",O396=""),"",IF(OR(I396="SIM",K396="SIM",AF396="SIM",AL396="SIM",AN396="Dados pessoais",AN396="Dados sensíveis",AN396="Dados pessoais e sensíveis",O396="Acima de 10.000 titulares por mês"),"SIM - Alta criticidade",IF((IF(I396="SIM",2,0)+IF(K396="SIM",2,0)+IF(AF396="SIM",2,0)+IF(OR(AN396="Dados pessoais",AN396="Dados sensíveis",AN396="Dados pessoais e sensíveis"),2,0)+IF(O396="De 1.001 a 10.000 titulares por mês",1,0)+IF(AA396="SIM",1,0)+IF(R396="SIM",1,0)+IF(AL396="SIM",1,0)+IF(AJ396="NÃO",1,0))&gt;=5,"SIM - Alta criticidade",IF((IF(I396="SIM",2,0)+IF(K396="SIM",2,0)+IF(AF396="SIM",2,0)+IF(OR(AN396="Dados pessoais",AN396="Dados sensíveis",AN396="Dados pessoais e sensíveis"),2,0)+IF(O396="De 1.001 a 10.000 titulares por mês",1,0)+IF(AA396="SIM",1,0)+IF(R396="SIM",1,0)+IF(AL396="SIM",1,0)+IF(AJ396="NÃO",1,0))&gt;=3,"Avaliação necessária","NÃO"))))</f>
      </c>
      <c r="AR396" s="11"/>
      <c r="AS396" s="113">
        <f>IF(AND(I396="",K396="",AF396="",AL396="",AN396="",O396=""),"",IF(OR(I396="SIM",K396="SIM",AF396="SIM",AL396="SIM",OR(AN396="Dados pessoais",AN396="Dados sensíveis",AN396="Dados pessoais e sensíveis"),O396="Acima de 10.000 titulares por mês",(IF(I396="SIM",2,0)+IF(K396="SIM",2,0)+IF(AF396="SIM",2,0)+IF(OR(AN396="Dados pessoais",AN396="Dados sensíveis",AN396="Dados pessoais e sensíveis"),2,0)+IF(O396="De 1.001 a 10.000 titulares por mês",1,0)+IF(AA396="SIM",1,0)+IF(R396="SIM",1,0)+IF(AL396="SIM",1,0)+IF(AJ396="NÃO",1,0))&gt;=3),"DPIA indicado ou em avaliação em razão de: " &amp; TRIM(IF(I396="SIM","tratamento de dados sensíveis; ","") &amp; IF(K396="SIM","utilização de dados de menores; ","") &amp; IF(AF396="SIM","transferência internacional de dados; ","") &amp; IF(AL396="SIM","utilização de inteligência artificial; ","") &amp; IF(OR(AN396="Dados pessoais",AN396="Dados sensíveis",AN396="Dados pessoais e sensíveis"),"dados inseridos em IA; ","") &amp; IF(O396="Acima de 10.000 titulares por mês","volume crítico de titulares; ","") &amp; IF(O396="De 1.001 a 10.000 titulares por mês","volume moderado de titulares; ","") &amp; IF(AA396="SIM","compartilhamento com terceiros; ","") &amp; IF(R396="SIM","compartilhamento com órgãos governamentais; ","") &amp; IF(AJ396="NÃO","ausência de controle de acesso por perfil; ","")),"DPIA não indicado: Processo de baixa criticidade."))</f>
      </c>
    </row>
    <row x14ac:dyDescent="0.25" r="397" customHeight="1" ht="15.75">
      <c r="A397" s="46"/>
      <c r="B397" s="6"/>
      <c r="C397" s="11"/>
      <c r="D397" s="11"/>
      <c r="E397" s="11"/>
      <c r="F397" s="29"/>
      <c r="G397" s="11"/>
      <c r="H397" s="11"/>
      <c r="I397" s="29"/>
      <c r="J397" s="11"/>
      <c r="K397" s="29"/>
      <c r="L397" s="11"/>
      <c r="M397" s="11"/>
      <c r="N397" s="11"/>
      <c r="O397" s="29"/>
      <c r="P397" s="29"/>
      <c r="Q397" s="11"/>
      <c r="R397" s="29"/>
      <c r="S397" s="11"/>
      <c r="T397" s="6"/>
      <c r="U397" s="29"/>
      <c r="V397" s="11"/>
      <c r="W397" s="11"/>
      <c r="X397" s="29"/>
      <c r="Y397" s="11"/>
      <c r="Z397" s="29"/>
      <c r="AA397" s="29"/>
      <c r="AB397" s="11"/>
      <c r="AC397" s="11"/>
      <c r="AD397" s="29"/>
      <c r="AE397" s="11"/>
      <c r="AF397" s="29"/>
      <c r="AG397" s="11"/>
      <c r="AH397" s="29"/>
      <c r="AI397" s="11"/>
      <c r="AJ397" s="29"/>
      <c r="AK397" s="29"/>
      <c r="AL397" s="29"/>
      <c r="AM397" s="11"/>
      <c r="AN397" s="29"/>
      <c r="AO397" s="29"/>
      <c r="AP397" s="6"/>
      <c r="AQ397" s="113">
        <f>IF(AND(I397="",K397="",AF397="",AL397="",AN397="",O397=""),"",IF(OR(I397="SIM",K397="SIM",AF397="SIM",AL397="SIM",AN397="Dados pessoais",AN397="Dados sensíveis",AN397="Dados pessoais e sensíveis",O397="Acima de 10.000 titulares por mês"),"SIM - Alta criticidade",IF((IF(I397="SIM",2,0)+IF(K397="SIM",2,0)+IF(AF397="SIM",2,0)+IF(OR(AN397="Dados pessoais",AN397="Dados sensíveis",AN397="Dados pessoais e sensíveis"),2,0)+IF(O397="De 1.001 a 10.000 titulares por mês",1,0)+IF(AA397="SIM",1,0)+IF(R397="SIM",1,0)+IF(AL397="SIM",1,0)+IF(AJ397="NÃO",1,0))&gt;=5,"SIM - Alta criticidade",IF((IF(I397="SIM",2,0)+IF(K397="SIM",2,0)+IF(AF397="SIM",2,0)+IF(OR(AN397="Dados pessoais",AN397="Dados sensíveis",AN397="Dados pessoais e sensíveis"),2,0)+IF(O397="De 1.001 a 10.000 titulares por mês",1,0)+IF(AA397="SIM",1,0)+IF(R397="SIM",1,0)+IF(AL397="SIM",1,0)+IF(AJ397="NÃO",1,0))&gt;=3,"Avaliação necessária","NÃO"))))</f>
      </c>
      <c r="AR397" s="11"/>
      <c r="AS397" s="113">
        <f>IF(AND(I397="",K397="",AF397="",AL397="",AN397="",O397=""),"",IF(OR(I397="SIM",K397="SIM",AF397="SIM",AL397="SIM",OR(AN397="Dados pessoais",AN397="Dados sensíveis",AN397="Dados pessoais e sensíveis"),O397="Acima de 10.000 titulares por mês",(IF(I397="SIM",2,0)+IF(K397="SIM",2,0)+IF(AF397="SIM",2,0)+IF(OR(AN397="Dados pessoais",AN397="Dados sensíveis",AN397="Dados pessoais e sensíveis"),2,0)+IF(O397="De 1.001 a 10.000 titulares por mês",1,0)+IF(AA397="SIM",1,0)+IF(R397="SIM",1,0)+IF(AL397="SIM",1,0)+IF(AJ397="NÃO",1,0))&gt;=3),"DPIA indicado ou em avaliação em razão de: " &amp; TRIM(IF(I397="SIM","tratamento de dados sensíveis; ","") &amp; IF(K397="SIM","utilização de dados de menores; ","") &amp; IF(AF397="SIM","transferência internacional de dados; ","") &amp; IF(AL397="SIM","utilização de inteligência artificial; ","") &amp; IF(OR(AN397="Dados pessoais",AN397="Dados sensíveis",AN397="Dados pessoais e sensíveis"),"dados inseridos em IA; ","") &amp; IF(O397="Acima de 10.000 titulares por mês","volume crítico de titulares; ","") &amp; IF(O397="De 1.001 a 10.000 titulares por mês","volume moderado de titulares; ","") &amp; IF(AA397="SIM","compartilhamento com terceiros; ","") &amp; IF(R397="SIM","compartilhamento com órgãos governamentais; ","") &amp; IF(AJ397="NÃO","ausência de controle de acesso por perfil; ","")),"DPIA não indicado: Processo de baixa criticidade."))</f>
      </c>
    </row>
    <row x14ac:dyDescent="0.25" r="398" customHeight="1" ht="15.75">
      <c r="A398" s="46"/>
      <c r="B398" s="6"/>
      <c r="C398" s="11"/>
      <c r="D398" s="11"/>
      <c r="E398" s="11"/>
      <c r="F398" s="29"/>
      <c r="G398" s="11"/>
      <c r="H398" s="11"/>
      <c r="I398" s="29"/>
      <c r="J398" s="11"/>
      <c r="K398" s="29"/>
      <c r="L398" s="11"/>
      <c r="M398" s="11"/>
      <c r="N398" s="11"/>
      <c r="O398" s="29"/>
      <c r="P398" s="29"/>
      <c r="Q398" s="11"/>
      <c r="R398" s="29"/>
      <c r="S398" s="11"/>
      <c r="T398" s="6"/>
      <c r="U398" s="29"/>
      <c r="V398" s="11"/>
      <c r="W398" s="11"/>
      <c r="X398" s="29"/>
      <c r="Y398" s="11"/>
      <c r="Z398" s="29"/>
      <c r="AA398" s="29"/>
      <c r="AB398" s="11"/>
      <c r="AC398" s="11"/>
      <c r="AD398" s="29"/>
      <c r="AE398" s="11"/>
      <c r="AF398" s="29"/>
      <c r="AG398" s="11"/>
      <c r="AH398" s="29"/>
      <c r="AI398" s="11"/>
      <c r="AJ398" s="29"/>
      <c r="AK398" s="29"/>
      <c r="AL398" s="29"/>
      <c r="AM398" s="11"/>
      <c r="AN398" s="29"/>
      <c r="AO398" s="29"/>
      <c r="AP398" s="6"/>
      <c r="AQ398" s="113">
        <f>IF(AND(I398="",K398="",AF398="",AL398="",AN398="",O398=""),"",IF(OR(I398="SIM",K398="SIM",AF398="SIM",AL398="SIM",AN398="Dados pessoais",AN398="Dados sensíveis",AN398="Dados pessoais e sensíveis",O398="Acima de 10.000 titulares por mês"),"SIM - Alta criticidade",IF((IF(I398="SIM",2,0)+IF(K398="SIM",2,0)+IF(AF398="SIM",2,0)+IF(OR(AN398="Dados pessoais",AN398="Dados sensíveis",AN398="Dados pessoais e sensíveis"),2,0)+IF(O398="De 1.001 a 10.000 titulares por mês",1,0)+IF(AA398="SIM",1,0)+IF(R398="SIM",1,0)+IF(AL398="SIM",1,0)+IF(AJ398="NÃO",1,0))&gt;=5,"SIM - Alta criticidade",IF((IF(I398="SIM",2,0)+IF(K398="SIM",2,0)+IF(AF398="SIM",2,0)+IF(OR(AN398="Dados pessoais",AN398="Dados sensíveis",AN398="Dados pessoais e sensíveis"),2,0)+IF(O398="De 1.001 a 10.000 titulares por mês",1,0)+IF(AA398="SIM",1,0)+IF(R398="SIM",1,0)+IF(AL398="SIM",1,0)+IF(AJ398="NÃO",1,0))&gt;=3,"Avaliação necessária","NÃO"))))</f>
      </c>
      <c r="AR398" s="11"/>
      <c r="AS398" s="113">
        <f>IF(AND(I398="",K398="",AF398="",AL398="",AN398="",O398=""),"",IF(OR(I398="SIM",K398="SIM",AF398="SIM",AL398="SIM",OR(AN398="Dados pessoais",AN398="Dados sensíveis",AN398="Dados pessoais e sensíveis"),O398="Acima de 10.000 titulares por mês",(IF(I398="SIM",2,0)+IF(K398="SIM",2,0)+IF(AF398="SIM",2,0)+IF(OR(AN398="Dados pessoais",AN398="Dados sensíveis",AN398="Dados pessoais e sensíveis"),2,0)+IF(O398="De 1.001 a 10.000 titulares por mês",1,0)+IF(AA398="SIM",1,0)+IF(R398="SIM",1,0)+IF(AL398="SIM",1,0)+IF(AJ398="NÃO",1,0))&gt;=3),"DPIA indicado ou em avaliação em razão de: " &amp; TRIM(IF(I398="SIM","tratamento de dados sensíveis; ","") &amp; IF(K398="SIM","utilização de dados de menores; ","") &amp; IF(AF398="SIM","transferência internacional de dados; ","") &amp; IF(AL398="SIM","utilização de inteligência artificial; ","") &amp; IF(OR(AN398="Dados pessoais",AN398="Dados sensíveis",AN398="Dados pessoais e sensíveis"),"dados inseridos em IA; ","") &amp; IF(O398="Acima de 10.000 titulares por mês","volume crítico de titulares; ","") &amp; IF(O398="De 1.001 a 10.000 titulares por mês","volume moderado de titulares; ","") &amp; IF(AA398="SIM","compartilhamento com terceiros; ","") &amp; IF(R398="SIM","compartilhamento com órgãos governamentais; ","") &amp; IF(AJ398="NÃO","ausência de controle de acesso por perfil; ","")),"DPIA não indicado: Processo de baixa criticidade."))</f>
      </c>
    </row>
    <row x14ac:dyDescent="0.25" r="399" customHeight="1" ht="15.75">
      <c r="A399" s="46"/>
      <c r="B399" s="6"/>
      <c r="C399" s="11"/>
      <c r="D399" s="11"/>
      <c r="E399" s="11"/>
      <c r="F399" s="29"/>
      <c r="G399" s="11"/>
      <c r="H399" s="11"/>
      <c r="I399" s="29"/>
      <c r="J399" s="11"/>
      <c r="K399" s="29"/>
      <c r="L399" s="11"/>
      <c r="M399" s="11"/>
      <c r="N399" s="11"/>
      <c r="O399" s="29"/>
      <c r="P399" s="29"/>
      <c r="Q399" s="11"/>
      <c r="R399" s="29"/>
      <c r="S399" s="11"/>
      <c r="T399" s="6"/>
      <c r="U399" s="29"/>
      <c r="V399" s="11"/>
      <c r="W399" s="11"/>
      <c r="X399" s="29"/>
      <c r="Y399" s="11"/>
      <c r="Z399" s="29"/>
      <c r="AA399" s="29"/>
      <c r="AB399" s="11"/>
      <c r="AC399" s="11"/>
      <c r="AD399" s="29"/>
      <c r="AE399" s="11"/>
      <c r="AF399" s="29"/>
      <c r="AG399" s="11"/>
      <c r="AH399" s="29"/>
      <c r="AI399" s="11"/>
      <c r="AJ399" s="29"/>
      <c r="AK399" s="29"/>
      <c r="AL399" s="29"/>
      <c r="AM399" s="11"/>
      <c r="AN399" s="29"/>
      <c r="AO399" s="29"/>
      <c r="AP399" s="6"/>
      <c r="AQ399" s="113">
        <f>IF(AND(I399="",K399="",AF399="",AL399="",AN399="",O399=""),"",IF(OR(I399="SIM",K399="SIM",AF399="SIM",AL399="SIM",AN399="Dados pessoais",AN399="Dados sensíveis",AN399="Dados pessoais e sensíveis",O399="Acima de 10.000 titulares por mês"),"SIM - Alta criticidade",IF((IF(I399="SIM",2,0)+IF(K399="SIM",2,0)+IF(AF399="SIM",2,0)+IF(OR(AN399="Dados pessoais",AN399="Dados sensíveis",AN399="Dados pessoais e sensíveis"),2,0)+IF(O399="De 1.001 a 10.000 titulares por mês",1,0)+IF(AA399="SIM",1,0)+IF(R399="SIM",1,0)+IF(AL399="SIM",1,0)+IF(AJ399="NÃO",1,0))&gt;=5,"SIM - Alta criticidade",IF((IF(I399="SIM",2,0)+IF(K399="SIM",2,0)+IF(AF399="SIM",2,0)+IF(OR(AN399="Dados pessoais",AN399="Dados sensíveis",AN399="Dados pessoais e sensíveis"),2,0)+IF(O399="De 1.001 a 10.000 titulares por mês",1,0)+IF(AA399="SIM",1,0)+IF(R399="SIM",1,0)+IF(AL399="SIM",1,0)+IF(AJ399="NÃO",1,0))&gt;=3,"Avaliação necessária","NÃO"))))</f>
      </c>
      <c r="AR399" s="11"/>
      <c r="AS399" s="113">
        <f>IF(AND(I399="",K399="",AF399="",AL399="",AN399="",O399=""),"",IF(OR(I399="SIM",K399="SIM",AF399="SIM",AL399="SIM",OR(AN399="Dados pessoais",AN399="Dados sensíveis",AN399="Dados pessoais e sensíveis"),O399="Acima de 10.000 titulares por mês",(IF(I399="SIM",2,0)+IF(K399="SIM",2,0)+IF(AF399="SIM",2,0)+IF(OR(AN399="Dados pessoais",AN399="Dados sensíveis",AN399="Dados pessoais e sensíveis"),2,0)+IF(O399="De 1.001 a 10.000 titulares por mês",1,0)+IF(AA399="SIM",1,0)+IF(R399="SIM",1,0)+IF(AL399="SIM",1,0)+IF(AJ399="NÃO",1,0))&gt;=3),"DPIA indicado ou em avaliação em razão de: " &amp; TRIM(IF(I399="SIM","tratamento de dados sensíveis; ","") &amp; IF(K399="SIM","utilização de dados de menores; ","") &amp; IF(AF399="SIM","transferência internacional de dados; ","") &amp; IF(AL399="SIM","utilização de inteligência artificial; ","") &amp; IF(OR(AN399="Dados pessoais",AN399="Dados sensíveis",AN399="Dados pessoais e sensíveis"),"dados inseridos em IA; ","") &amp; IF(O399="Acima de 10.000 titulares por mês","volume crítico de titulares; ","") &amp; IF(O399="De 1.001 a 10.000 titulares por mês","volume moderado de titulares; ","") &amp; IF(AA399="SIM","compartilhamento com terceiros; ","") &amp; IF(R399="SIM","compartilhamento com órgãos governamentais; ","") &amp; IF(AJ399="NÃO","ausência de controle de acesso por perfil; ","")),"DPIA não indicado: Processo de baixa criticidade."))</f>
      </c>
    </row>
    <row x14ac:dyDescent="0.25" r="400" customHeight="1" ht="15.75">
      <c r="A400" s="46"/>
      <c r="B400" s="6"/>
      <c r="C400" s="11"/>
      <c r="D400" s="11"/>
      <c r="E400" s="11"/>
      <c r="F400" s="29"/>
      <c r="G400" s="11"/>
      <c r="H400" s="11"/>
      <c r="I400" s="29"/>
      <c r="J400" s="11"/>
      <c r="K400" s="29"/>
      <c r="L400" s="11"/>
      <c r="M400" s="11"/>
      <c r="N400" s="11"/>
      <c r="O400" s="29"/>
      <c r="P400" s="29"/>
      <c r="Q400" s="11"/>
      <c r="R400" s="29"/>
      <c r="S400" s="11"/>
      <c r="T400" s="6"/>
      <c r="U400" s="29"/>
      <c r="V400" s="11"/>
      <c r="W400" s="11"/>
      <c r="X400" s="29"/>
      <c r="Y400" s="11"/>
      <c r="Z400" s="29"/>
      <c r="AA400" s="29"/>
      <c r="AB400" s="11"/>
      <c r="AC400" s="11"/>
      <c r="AD400" s="29"/>
      <c r="AE400" s="11"/>
      <c r="AF400" s="29"/>
      <c r="AG400" s="11"/>
      <c r="AH400" s="29"/>
      <c r="AI400" s="11"/>
      <c r="AJ400" s="29"/>
      <c r="AK400" s="29"/>
      <c r="AL400" s="29"/>
      <c r="AM400" s="11"/>
      <c r="AN400" s="29"/>
      <c r="AO400" s="29"/>
      <c r="AP400" s="6"/>
      <c r="AQ400" s="113">
        <f>IF(AND(I400="",K400="",AF400="",AL400="",AN400="",O400=""),"",IF(OR(I400="SIM",K400="SIM",AF400="SIM",AL400="SIM",AN400="Dados pessoais",AN400="Dados sensíveis",AN400="Dados pessoais e sensíveis",O400="Acima de 10.000 titulares por mês"),"SIM - Alta criticidade",IF((IF(I400="SIM",2,0)+IF(K400="SIM",2,0)+IF(AF400="SIM",2,0)+IF(OR(AN400="Dados pessoais",AN400="Dados sensíveis",AN400="Dados pessoais e sensíveis"),2,0)+IF(O400="De 1.001 a 10.000 titulares por mês",1,0)+IF(AA400="SIM",1,0)+IF(R400="SIM",1,0)+IF(AL400="SIM",1,0)+IF(AJ400="NÃO",1,0))&gt;=5,"SIM - Alta criticidade",IF((IF(I400="SIM",2,0)+IF(K400="SIM",2,0)+IF(AF400="SIM",2,0)+IF(OR(AN400="Dados pessoais",AN400="Dados sensíveis",AN400="Dados pessoais e sensíveis"),2,0)+IF(O400="De 1.001 a 10.000 titulares por mês",1,0)+IF(AA400="SIM",1,0)+IF(R400="SIM",1,0)+IF(AL400="SIM",1,0)+IF(AJ400="NÃO",1,0))&gt;=3,"Avaliação necessária","NÃO"))))</f>
      </c>
      <c r="AR400" s="11"/>
      <c r="AS400" s="113">
        <f>IF(AND(I400="",K400="",AF400="",AL400="",AN400="",O400=""),"",IF(OR(I400="SIM",K400="SIM",AF400="SIM",AL400="SIM",OR(AN400="Dados pessoais",AN400="Dados sensíveis",AN400="Dados pessoais e sensíveis"),O400="Acima de 10.000 titulares por mês",(IF(I400="SIM",2,0)+IF(K400="SIM",2,0)+IF(AF400="SIM",2,0)+IF(OR(AN400="Dados pessoais",AN400="Dados sensíveis",AN400="Dados pessoais e sensíveis"),2,0)+IF(O400="De 1.001 a 10.000 titulares por mês",1,0)+IF(AA400="SIM",1,0)+IF(R400="SIM",1,0)+IF(AL400="SIM",1,0)+IF(AJ400="NÃO",1,0))&gt;=3),"DPIA indicado ou em avaliação em razão de: " &amp; TRIM(IF(I400="SIM","tratamento de dados sensíveis; ","") &amp; IF(K400="SIM","utilização de dados de menores; ","") &amp; IF(AF400="SIM","transferência internacional de dados; ","") &amp; IF(AL400="SIM","utilização de inteligência artificial; ","") &amp; IF(OR(AN400="Dados pessoais",AN400="Dados sensíveis",AN400="Dados pessoais e sensíveis"),"dados inseridos em IA; ","") &amp; IF(O400="Acima de 10.000 titulares por mês","volume crítico de titulares; ","") &amp; IF(O400="De 1.001 a 10.000 titulares por mês","volume moderado de titulares; ","") &amp; IF(AA400="SIM","compartilhamento com terceiros; ","") &amp; IF(R400="SIM","compartilhamento com órgãos governamentais; ","") &amp; IF(AJ400="NÃO","ausência de controle de acesso por perfil; ","")),"DPIA não indicado: Processo de baixa criticidade."))</f>
      </c>
    </row>
    <row x14ac:dyDescent="0.25" r="401" customHeight="1" ht="15.75">
      <c r="A401" s="46"/>
      <c r="B401" s="6"/>
      <c r="C401" s="11"/>
      <c r="D401" s="11"/>
      <c r="E401" s="11"/>
      <c r="F401" s="29"/>
      <c r="G401" s="11"/>
      <c r="H401" s="11"/>
      <c r="I401" s="29"/>
      <c r="J401" s="11"/>
      <c r="K401" s="29"/>
      <c r="L401" s="11"/>
      <c r="M401" s="11"/>
      <c r="N401" s="11"/>
      <c r="O401" s="29"/>
      <c r="P401" s="29"/>
      <c r="Q401" s="11"/>
      <c r="R401" s="29"/>
      <c r="S401" s="11"/>
      <c r="T401" s="6"/>
      <c r="U401" s="29"/>
      <c r="V401" s="11"/>
      <c r="W401" s="11"/>
      <c r="X401" s="29"/>
      <c r="Y401" s="11"/>
      <c r="Z401" s="29"/>
      <c r="AA401" s="29"/>
      <c r="AB401" s="11"/>
      <c r="AC401" s="11"/>
      <c r="AD401" s="29"/>
      <c r="AE401" s="11"/>
      <c r="AF401" s="29"/>
      <c r="AG401" s="11"/>
      <c r="AH401" s="29"/>
      <c r="AI401" s="11"/>
      <c r="AJ401" s="29"/>
      <c r="AK401" s="29"/>
      <c r="AL401" s="29"/>
      <c r="AM401" s="11"/>
      <c r="AN401" s="29"/>
      <c r="AO401" s="29"/>
      <c r="AP401" s="6"/>
      <c r="AQ401" s="113">
        <f>IF(AND(I401="",K401="",AF401="",AL401="",AN401="",O401=""),"",IF(OR(I401="SIM",K401="SIM",AF401="SIM",AL401="SIM",AN401="Dados pessoais",AN401="Dados sensíveis",AN401="Dados pessoais e sensíveis",O401="Acima de 10.000 titulares por mês"),"SIM - Alta criticidade",IF((IF(I401="SIM",2,0)+IF(K401="SIM",2,0)+IF(AF401="SIM",2,0)+IF(OR(AN401="Dados pessoais",AN401="Dados sensíveis",AN401="Dados pessoais e sensíveis"),2,0)+IF(O401="De 1.001 a 10.000 titulares por mês",1,0)+IF(AA401="SIM",1,0)+IF(R401="SIM",1,0)+IF(AL401="SIM",1,0)+IF(AJ401="NÃO",1,0))&gt;=5,"SIM - Alta criticidade",IF((IF(I401="SIM",2,0)+IF(K401="SIM",2,0)+IF(AF401="SIM",2,0)+IF(OR(AN401="Dados pessoais",AN401="Dados sensíveis",AN401="Dados pessoais e sensíveis"),2,0)+IF(O401="De 1.001 a 10.000 titulares por mês",1,0)+IF(AA401="SIM",1,0)+IF(R401="SIM",1,0)+IF(AL401="SIM",1,0)+IF(AJ401="NÃO",1,0))&gt;=3,"Avaliação necessária","NÃO"))))</f>
      </c>
      <c r="AR401" s="11"/>
      <c r="AS401" s="113">
        <f>IF(AND(I401="",K401="",AF401="",AL401="",AN401="",O401=""),"",IF(OR(I401="SIM",K401="SIM",AF401="SIM",AL401="SIM",OR(AN401="Dados pessoais",AN401="Dados sensíveis",AN401="Dados pessoais e sensíveis"),O401="Acima de 10.000 titulares por mês",(IF(I401="SIM",2,0)+IF(K401="SIM",2,0)+IF(AF401="SIM",2,0)+IF(OR(AN401="Dados pessoais",AN401="Dados sensíveis",AN401="Dados pessoais e sensíveis"),2,0)+IF(O401="De 1.001 a 10.000 titulares por mês",1,0)+IF(AA401="SIM",1,0)+IF(R401="SIM",1,0)+IF(AL401="SIM",1,0)+IF(AJ401="NÃO",1,0))&gt;=3),"DPIA indicado ou em avaliação em razão de: " &amp; TRIM(IF(I401="SIM","tratamento de dados sensíveis; ","") &amp; IF(K401="SIM","utilização de dados de menores; ","") &amp; IF(AF401="SIM","transferência internacional de dados; ","") &amp; IF(AL401="SIM","utilização de inteligência artificial; ","") &amp; IF(OR(AN401="Dados pessoais",AN401="Dados sensíveis",AN401="Dados pessoais e sensíveis"),"dados inseridos em IA; ","") &amp; IF(O401="Acima de 10.000 titulares por mês","volume crítico de titulares; ","") &amp; IF(O401="De 1.001 a 10.000 titulares por mês","volume moderado de titulares; ","") &amp; IF(AA401="SIM","compartilhamento com terceiros; ","") &amp; IF(R401="SIM","compartilhamento com órgãos governamentais; ","") &amp; IF(AJ401="NÃO","ausência de controle de acesso por perfil; ","")),"DPIA não indicado: Processo de baixa criticidade."))</f>
      </c>
    </row>
    <row x14ac:dyDescent="0.25" r="402" customHeight="1" ht="15.75">
      <c r="A402" s="46"/>
      <c r="B402" s="6"/>
      <c r="C402" s="11"/>
      <c r="D402" s="11"/>
      <c r="E402" s="11"/>
      <c r="F402" s="29"/>
      <c r="G402" s="11"/>
      <c r="H402" s="11"/>
      <c r="I402" s="29"/>
      <c r="J402" s="11"/>
      <c r="K402" s="29"/>
      <c r="L402" s="11"/>
      <c r="M402" s="11"/>
      <c r="N402" s="11"/>
      <c r="O402" s="29"/>
      <c r="P402" s="29"/>
      <c r="Q402" s="11"/>
      <c r="R402" s="29"/>
      <c r="S402" s="11"/>
      <c r="T402" s="6"/>
      <c r="U402" s="29"/>
      <c r="V402" s="11"/>
      <c r="W402" s="11"/>
      <c r="X402" s="29"/>
      <c r="Y402" s="11"/>
      <c r="Z402" s="29"/>
      <c r="AA402" s="29"/>
      <c r="AB402" s="11"/>
      <c r="AC402" s="11"/>
      <c r="AD402" s="29"/>
      <c r="AE402" s="11"/>
      <c r="AF402" s="29"/>
      <c r="AG402" s="11"/>
      <c r="AH402" s="29"/>
      <c r="AI402" s="11"/>
      <c r="AJ402" s="29"/>
      <c r="AK402" s="29"/>
      <c r="AL402" s="29"/>
      <c r="AM402" s="11"/>
      <c r="AN402" s="29"/>
      <c r="AO402" s="29"/>
      <c r="AP402" s="6"/>
      <c r="AQ402" s="113">
        <f>IF(AND(I402="",K402="",AF402="",AL402="",AN402="",O402=""),"",IF(OR(I402="SIM",K402="SIM",AF402="SIM",AL402="SIM",AN402="Dados pessoais",AN402="Dados sensíveis",AN402="Dados pessoais e sensíveis",O402="Acima de 10.000 titulares por mês"),"SIM - Alta criticidade",IF((IF(I402="SIM",2,0)+IF(K402="SIM",2,0)+IF(AF402="SIM",2,0)+IF(OR(AN402="Dados pessoais",AN402="Dados sensíveis",AN402="Dados pessoais e sensíveis"),2,0)+IF(O402="De 1.001 a 10.000 titulares por mês",1,0)+IF(AA402="SIM",1,0)+IF(R402="SIM",1,0)+IF(AL402="SIM",1,0)+IF(AJ402="NÃO",1,0))&gt;=5,"SIM - Alta criticidade",IF((IF(I402="SIM",2,0)+IF(K402="SIM",2,0)+IF(AF402="SIM",2,0)+IF(OR(AN402="Dados pessoais",AN402="Dados sensíveis",AN402="Dados pessoais e sensíveis"),2,0)+IF(O402="De 1.001 a 10.000 titulares por mês",1,0)+IF(AA402="SIM",1,0)+IF(R402="SIM",1,0)+IF(AL402="SIM",1,0)+IF(AJ402="NÃO",1,0))&gt;=3,"Avaliação necessária","NÃO"))))</f>
      </c>
      <c r="AR402" s="11"/>
      <c r="AS402" s="113">
        <f>IF(AND(I402="",K402="",AF402="",AL402="",AN402="",O402=""),"",IF(OR(I402="SIM",K402="SIM",AF402="SIM",AL402="SIM",OR(AN402="Dados pessoais",AN402="Dados sensíveis",AN402="Dados pessoais e sensíveis"),O402="Acima de 10.000 titulares por mês",(IF(I402="SIM",2,0)+IF(K402="SIM",2,0)+IF(AF402="SIM",2,0)+IF(OR(AN402="Dados pessoais",AN402="Dados sensíveis",AN402="Dados pessoais e sensíveis"),2,0)+IF(O402="De 1.001 a 10.000 titulares por mês",1,0)+IF(AA402="SIM",1,0)+IF(R402="SIM",1,0)+IF(AL402="SIM",1,0)+IF(AJ402="NÃO",1,0))&gt;=3),"DPIA indicado ou em avaliação em razão de: " &amp; TRIM(IF(I402="SIM","tratamento de dados sensíveis; ","") &amp; IF(K402="SIM","utilização de dados de menores; ","") &amp; IF(AF402="SIM","transferência internacional de dados; ","") &amp; IF(AL402="SIM","utilização de inteligência artificial; ","") &amp; IF(OR(AN402="Dados pessoais",AN402="Dados sensíveis",AN402="Dados pessoais e sensíveis"),"dados inseridos em IA; ","") &amp; IF(O402="Acima de 10.000 titulares por mês","volume crítico de titulares; ","") &amp; IF(O402="De 1.001 a 10.000 titulares por mês","volume moderado de titulares; ","") &amp; IF(AA402="SIM","compartilhamento com terceiros; ","") &amp; IF(R402="SIM","compartilhamento com órgãos governamentais; ","") &amp; IF(AJ402="NÃO","ausência de controle de acesso por perfil; ","")),"DPIA não indicado: Processo de baixa criticidade."))</f>
      </c>
    </row>
    <row x14ac:dyDescent="0.25" r="403" customHeight="1" ht="15.75">
      <c r="A403" s="46"/>
      <c r="B403" s="6"/>
      <c r="C403" s="11"/>
      <c r="D403" s="11"/>
      <c r="E403" s="11"/>
      <c r="F403" s="29"/>
      <c r="G403" s="11"/>
      <c r="H403" s="11"/>
      <c r="I403" s="29"/>
      <c r="J403" s="11"/>
      <c r="K403" s="29"/>
      <c r="L403" s="11"/>
      <c r="M403" s="11"/>
      <c r="N403" s="11"/>
      <c r="O403" s="29"/>
      <c r="P403" s="29"/>
      <c r="Q403" s="11"/>
      <c r="R403" s="29"/>
      <c r="S403" s="11"/>
      <c r="T403" s="6"/>
      <c r="U403" s="29"/>
      <c r="V403" s="11"/>
      <c r="W403" s="11"/>
      <c r="X403" s="29"/>
      <c r="Y403" s="11"/>
      <c r="Z403" s="29"/>
      <c r="AA403" s="29"/>
      <c r="AB403" s="11"/>
      <c r="AC403" s="11"/>
      <c r="AD403" s="29"/>
      <c r="AE403" s="11"/>
      <c r="AF403" s="29"/>
      <c r="AG403" s="11"/>
      <c r="AH403" s="29"/>
      <c r="AI403" s="11"/>
      <c r="AJ403" s="29"/>
      <c r="AK403" s="29"/>
      <c r="AL403" s="29"/>
      <c r="AM403" s="11"/>
      <c r="AN403" s="29"/>
      <c r="AO403" s="29"/>
      <c r="AP403" s="6"/>
      <c r="AQ403" s="113">
        <f>IF(AND(I403="",K403="",AF403="",AL403="",AN403="",O403=""),"",IF(OR(I403="SIM",K403="SIM",AF403="SIM",AL403="SIM",AN403="Dados pessoais",AN403="Dados sensíveis",AN403="Dados pessoais e sensíveis",O403="Acima de 10.000 titulares por mês"),"SIM - Alta criticidade",IF((IF(I403="SIM",2,0)+IF(K403="SIM",2,0)+IF(AF403="SIM",2,0)+IF(OR(AN403="Dados pessoais",AN403="Dados sensíveis",AN403="Dados pessoais e sensíveis"),2,0)+IF(O403="De 1.001 a 10.000 titulares por mês",1,0)+IF(AA403="SIM",1,0)+IF(R403="SIM",1,0)+IF(AL403="SIM",1,0)+IF(AJ403="NÃO",1,0))&gt;=5,"SIM - Alta criticidade",IF((IF(I403="SIM",2,0)+IF(K403="SIM",2,0)+IF(AF403="SIM",2,0)+IF(OR(AN403="Dados pessoais",AN403="Dados sensíveis",AN403="Dados pessoais e sensíveis"),2,0)+IF(O403="De 1.001 a 10.000 titulares por mês",1,0)+IF(AA403="SIM",1,0)+IF(R403="SIM",1,0)+IF(AL403="SIM",1,0)+IF(AJ403="NÃO",1,0))&gt;=3,"Avaliação necessária","NÃO"))))</f>
      </c>
      <c r="AR403" s="11"/>
      <c r="AS403" s="113">
        <f>IF(AND(I403="",K403="",AF403="",AL403="",AN403="",O403=""),"",IF(OR(I403="SIM",K403="SIM",AF403="SIM",AL403="SIM",OR(AN403="Dados pessoais",AN403="Dados sensíveis",AN403="Dados pessoais e sensíveis"),O403="Acima de 10.000 titulares por mês",(IF(I403="SIM",2,0)+IF(K403="SIM",2,0)+IF(AF403="SIM",2,0)+IF(OR(AN403="Dados pessoais",AN403="Dados sensíveis",AN403="Dados pessoais e sensíveis"),2,0)+IF(O403="De 1.001 a 10.000 titulares por mês",1,0)+IF(AA403="SIM",1,0)+IF(R403="SIM",1,0)+IF(AL403="SIM",1,0)+IF(AJ403="NÃO",1,0))&gt;=3),"DPIA indicado ou em avaliação em razão de: " &amp; TRIM(IF(I403="SIM","tratamento de dados sensíveis; ","") &amp; IF(K403="SIM","utilização de dados de menores; ","") &amp; IF(AF403="SIM","transferência internacional de dados; ","") &amp; IF(AL403="SIM","utilização de inteligência artificial; ","") &amp; IF(OR(AN403="Dados pessoais",AN403="Dados sensíveis",AN403="Dados pessoais e sensíveis"),"dados inseridos em IA; ","") &amp; IF(O403="Acima de 10.000 titulares por mês","volume crítico de titulares; ","") &amp; IF(O403="De 1.001 a 10.000 titulares por mês","volume moderado de titulares; ","") &amp; IF(AA403="SIM","compartilhamento com terceiros; ","") &amp; IF(R403="SIM","compartilhamento com órgãos governamentais; ","") &amp; IF(AJ403="NÃO","ausência de controle de acesso por perfil; ","")),"DPIA não indicado: Processo de baixa criticidade."))</f>
      </c>
    </row>
    <row x14ac:dyDescent="0.25" r="404" customHeight="1" ht="15.75">
      <c r="A404" s="46"/>
      <c r="B404" s="6"/>
      <c r="C404" s="11"/>
      <c r="D404" s="11"/>
      <c r="E404" s="11"/>
      <c r="F404" s="29"/>
      <c r="G404" s="11"/>
      <c r="H404" s="11"/>
      <c r="I404" s="29"/>
      <c r="J404" s="11"/>
      <c r="K404" s="29"/>
      <c r="L404" s="11"/>
      <c r="M404" s="11"/>
      <c r="N404" s="11"/>
      <c r="O404" s="29"/>
      <c r="P404" s="29"/>
      <c r="Q404" s="11"/>
      <c r="R404" s="29"/>
      <c r="S404" s="11"/>
      <c r="T404" s="6"/>
      <c r="U404" s="29"/>
      <c r="V404" s="11"/>
      <c r="W404" s="11"/>
      <c r="X404" s="29"/>
      <c r="Y404" s="11"/>
      <c r="Z404" s="29"/>
      <c r="AA404" s="29"/>
      <c r="AB404" s="11"/>
      <c r="AC404" s="11"/>
      <c r="AD404" s="29"/>
      <c r="AE404" s="11"/>
      <c r="AF404" s="29"/>
      <c r="AG404" s="11"/>
      <c r="AH404" s="29"/>
      <c r="AI404" s="11"/>
      <c r="AJ404" s="29"/>
      <c r="AK404" s="29"/>
      <c r="AL404" s="29"/>
      <c r="AM404" s="11"/>
      <c r="AN404" s="29"/>
      <c r="AO404" s="29"/>
      <c r="AP404" s="6"/>
      <c r="AQ404" s="113">
        <f>IF(AND(I404="",K404="",AF404="",AL404="",AN404="",O404=""),"",IF(OR(I404="SIM",K404="SIM",AF404="SIM",AL404="SIM",AN404="Dados pessoais",AN404="Dados sensíveis",AN404="Dados pessoais e sensíveis",O404="Acima de 10.000 titulares por mês"),"SIM - Alta criticidade",IF((IF(I404="SIM",2,0)+IF(K404="SIM",2,0)+IF(AF404="SIM",2,0)+IF(OR(AN404="Dados pessoais",AN404="Dados sensíveis",AN404="Dados pessoais e sensíveis"),2,0)+IF(O404="De 1.001 a 10.000 titulares por mês",1,0)+IF(AA404="SIM",1,0)+IF(R404="SIM",1,0)+IF(AL404="SIM",1,0)+IF(AJ404="NÃO",1,0))&gt;=5,"SIM - Alta criticidade",IF((IF(I404="SIM",2,0)+IF(K404="SIM",2,0)+IF(AF404="SIM",2,0)+IF(OR(AN404="Dados pessoais",AN404="Dados sensíveis",AN404="Dados pessoais e sensíveis"),2,0)+IF(O404="De 1.001 a 10.000 titulares por mês",1,0)+IF(AA404="SIM",1,0)+IF(R404="SIM",1,0)+IF(AL404="SIM",1,0)+IF(AJ404="NÃO",1,0))&gt;=3,"Avaliação necessária","NÃO"))))</f>
      </c>
      <c r="AR404" s="11"/>
      <c r="AS404" s="113">
        <f>IF(AND(I404="",K404="",AF404="",AL404="",AN404="",O404=""),"",IF(OR(I404="SIM",K404="SIM",AF404="SIM",AL404="SIM",OR(AN404="Dados pessoais",AN404="Dados sensíveis",AN404="Dados pessoais e sensíveis"),O404="Acima de 10.000 titulares por mês",(IF(I404="SIM",2,0)+IF(K404="SIM",2,0)+IF(AF404="SIM",2,0)+IF(OR(AN404="Dados pessoais",AN404="Dados sensíveis",AN404="Dados pessoais e sensíveis"),2,0)+IF(O404="De 1.001 a 10.000 titulares por mês",1,0)+IF(AA404="SIM",1,0)+IF(R404="SIM",1,0)+IF(AL404="SIM",1,0)+IF(AJ404="NÃO",1,0))&gt;=3),"DPIA indicado ou em avaliação em razão de: " &amp; TRIM(IF(I404="SIM","tratamento de dados sensíveis; ","") &amp; IF(K404="SIM","utilização de dados de menores; ","") &amp; IF(AF404="SIM","transferência internacional de dados; ","") &amp; IF(AL404="SIM","utilização de inteligência artificial; ","") &amp; IF(OR(AN404="Dados pessoais",AN404="Dados sensíveis",AN404="Dados pessoais e sensíveis"),"dados inseridos em IA; ","") &amp; IF(O404="Acima de 10.000 titulares por mês","volume crítico de titulares; ","") &amp; IF(O404="De 1.001 a 10.000 titulares por mês","volume moderado de titulares; ","") &amp; IF(AA404="SIM","compartilhamento com terceiros; ","") &amp; IF(R404="SIM","compartilhamento com órgãos governamentais; ","") &amp; IF(AJ404="NÃO","ausência de controle de acesso por perfil; ","")),"DPIA não indicado: Processo de baixa criticidade."))</f>
      </c>
    </row>
    <row x14ac:dyDescent="0.25" r="405" customHeight="1" ht="15.75">
      <c r="A405" s="46"/>
      <c r="B405" s="6"/>
      <c r="C405" s="11"/>
      <c r="D405" s="11"/>
      <c r="E405" s="11"/>
      <c r="F405" s="29"/>
      <c r="G405" s="11"/>
      <c r="H405" s="11"/>
      <c r="I405" s="29"/>
      <c r="J405" s="11"/>
      <c r="K405" s="29"/>
      <c r="L405" s="11"/>
      <c r="M405" s="11"/>
      <c r="N405" s="11"/>
      <c r="O405" s="29"/>
      <c r="P405" s="29"/>
      <c r="Q405" s="11"/>
      <c r="R405" s="29"/>
      <c r="S405" s="11"/>
      <c r="T405" s="6"/>
      <c r="U405" s="29"/>
      <c r="V405" s="11"/>
      <c r="W405" s="11"/>
      <c r="X405" s="29"/>
      <c r="Y405" s="11"/>
      <c r="Z405" s="29"/>
      <c r="AA405" s="29"/>
      <c r="AB405" s="11"/>
      <c r="AC405" s="11"/>
      <c r="AD405" s="29"/>
      <c r="AE405" s="11"/>
      <c r="AF405" s="29"/>
      <c r="AG405" s="11"/>
      <c r="AH405" s="29"/>
      <c r="AI405" s="11"/>
      <c r="AJ405" s="29"/>
      <c r="AK405" s="29"/>
      <c r="AL405" s="29"/>
      <c r="AM405" s="11"/>
      <c r="AN405" s="29"/>
      <c r="AO405" s="29"/>
      <c r="AP405" s="6"/>
      <c r="AQ405" s="113">
        <f>IF(AND(I405="",K405="",AF405="",AL405="",AN405="",O405=""),"",IF(OR(I405="SIM",K405="SIM",AF405="SIM",AL405="SIM",AN405="Dados pessoais",AN405="Dados sensíveis",AN405="Dados pessoais e sensíveis",O405="Acima de 10.000 titulares por mês"),"SIM - Alta criticidade",IF((IF(I405="SIM",2,0)+IF(K405="SIM",2,0)+IF(AF405="SIM",2,0)+IF(OR(AN405="Dados pessoais",AN405="Dados sensíveis",AN405="Dados pessoais e sensíveis"),2,0)+IF(O405="De 1.001 a 10.000 titulares por mês",1,0)+IF(AA405="SIM",1,0)+IF(R405="SIM",1,0)+IF(AL405="SIM",1,0)+IF(AJ405="NÃO",1,0))&gt;=5,"SIM - Alta criticidade",IF((IF(I405="SIM",2,0)+IF(K405="SIM",2,0)+IF(AF405="SIM",2,0)+IF(OR(AN405="Dados pessoais",AN405="Dados sensíveis",AN405="Dados pessoais e sensíveis"),2,0)+IF(O405="De 1.001 a 10.000 titulares por mês",1,0)+IF(AA405="SIM",1,0)+IF(R405="SIM",1,0)+IF(AL405="SIM",1,0)+IF(AJ405="NÃO",1,0))&gt;=3,"Avaliação necessária","NÃO"))))</f>
      </c>
      <c r="AR405" s="11"/>
      <c r="AS405" s="113">
        <f>IF(AND(I405="",K405="",AF405="",AL405="",AN405="",O405=""),"",IF(OR(I405="SIM",K405="SIM",AF405="SIM",AL405="SIM",OR(AN405="Dados pessoais",AN405="Dados sensíveis",AN405="Dados pessoais e sensíveis"),O405="Acima de 10.000 titulares por mês",(IF(I405="SIM",2,0)+IF(K405="SIM",2,0)+IF(AF405="SIM",2,0)+IF(OR(AN405="Dados pessoais",AN405="Dados sensíveis",AN405="Dados pessoais e sensíveis"),2,0)+IF(O405="De 1.001 a 10.000 titulares por mês",1,0)+IF(AA405="SIM",1,0)+IF(R405="SIM",1,0)+IF(AL405="SIM",1,0)+IF(AJ405="NÃO",1,0))&gt;=3),"DPIA indicado ou em avaliação em razão de: " &amp; TRIM(IF(I405="SIM","tratamento de dados sensíveis; ","") &amp; IF(K405="SIM","utilização de dados de menores; ","") &amp; IF(AF405="SIM","transferência internacional de dados; ","") &amp; IF(AL405="SIM","utilização de inteligência artificial; ","") &amp; IF(OR(AN405="Dados pessoais",AN405="Dados sensíveis",AN405="Dados pessoais e sensíveis"),"dados inseridos em IA; ","") &amp; IF(O405="Acima de 10.000 titulares por mês","volume crítico de titulares; ","") &amp; IF(O405="De 1.001 a 10.000 titulares por mês","volume moderado de titulares; ","") &amp; IF(AA405="SIM","compartilhamento com terceiros; ","") &amp; IF(R405="SIM","compartilhamento com órgãos governamentais; ","") &amp; IF(AJ405="NÃO","ausência de controle de acesso por perfil; ","")),"DPIA não indicado: Processo de baixa criticidade."))</f>
      </c>
    </row>
    <row x14ac:dyDescent="0.25" r="406" customHeight="1" ht="15.75">
      <c r="A406" s="46"/>
      <c r="B406" s="6"/>
      <c r="C406" s="11"/>
      <c r="D406" s="11"/>
      <c r="E406" s="11"/>
      <c r="F406" s="29"/>
      <c r="G406" s="11"/>
      <c r="H406" s="11"/>
      <c r="I406" s="29"/>
      <c r="J406" s="11"/>
      <c r="K406" s="29"/>
      <c r="L406" s="11"/>
      <c r="M406" s="11"/>
      <c r="N406" s="11"/>
      <c r="O406" s="29"/>
      <c r="P406" s="29"/>
      <c r="Q406" s="11"/>
      <c r="R406" s="29"/>
      <c r="S406" s="11"/>
      <c r="T406" s="6"/>
      <c r="U406" s="29"/>
      <c r="V406" s="11"/>
      <c r="W406" s="11"/>
      <c r="X406" s="29"/>
      <c r="Y406" s="11"/>
      <c r="Z406" s="29"/>
      <c r="AA406" s="29"/>
      <c r="AB406" s="11"/>
      <c r="AC406" s="11"/>
      <c r="AD406" s="29"/>
      <c r="AE406" s="11"/>
      <c r="AF406" s="29"/>
      <c r="AG406" s="11"/>
      <c r="AH406" s="29"/>
      <c r="AI406" s="11"/>
      <c r="AJ406" s="29"/>
      <c r="AK406" s="29"/>
      <c r="AL406" s="29"/>
      <c r="AM406" s="11"/>
      <c r="AN406" s="29"/>
      <c r="AO406" s="29"/>
      <c r="AP406" s="6"/>
      <c r="AQ406" s="113">
        <f>IF(AND(I406="",K406="",AF406="",AL406="",AN406="",O406=""),"",IF(OR(I406="SIM",K406="SIM",AF406="SIM",AL406="SIM",AN406="Dados pessoais",AN406="Dados sensíveis",AN406="Dados pessoais e sensíveis",O406="Acima de 10.000 titulares por mês"),"SIM - Alta criticidade",IF((IF(I406="SIM",2,0)+IF(K406="SIM",2,0)+IF(AF406="SIM",2,0)+IF(OR(AN406="Dados pessoais",AN406="Dados sensíveis",AN406="Dados pessoais e sensíveis"),2,0)+IF(O406="De 1.001 a 10.000 titulares por mês",1,0)+IF(AA406="SIM",1,0)+IF(R406="SIM",1,0)+IF(AL406="SIM",1,0)+IF(AJ406="NÃO",1,0))&gt;=5,"SIM - Alta criticidade",IF((IF(I406="SIM",2,0)+IF(K406="SIM",2,0)+IF(AF406="SIM",2,0)+IF(OR(AN406="Dados pessoais",AN406="Dados sensíveis",AN406="Dados pessoais e sensíveis"),2,0)+IF(O406="De 1.001 a 10.000 titulares por mês",1,0)+IF(AA406="SIM",1,0)+IF(R406="SIM",1,0)+IF(AL406="SIM",1,0)+IF(AJ406="NÃO",1,0))&gt;=3,"Avaliação necessária","NÃO"))))</f>
      </c>
      <c r="AR406" s="11"/>
      <c r="AS406" s="113">
        <f>IF(AND(I406="",K406="",AF406="",AL406="",AN406="",O406=""),"",IF(OR(I406="SIM",K406="SIM",AF406="SIM",AL406="SIM",OR(AN406="Dados pessoais",AN406="Dados sensíveis",AN406="Dados pessoais e sensíveis"),O406="Acima de 10.000 titulares por mês",(IF(I406="SIM",2,0)+IF(K406="SIM",2,0)+IF(AF406="SIM",2,0)+IF(OR(AN406="Dados pessoais",AN406="Dados sensíveis",AN406="Dados pessoais e sensíveis"),2,0)+IF(O406="De 1.001 a 10.000 titulares por mês",1,0)+IF(AA406="SIM",1,0)+IF(R406="SIM",1,0)+IF(AL406="SIM",1,0)+IF(AJ406="NÃO",1,0))&gt;=3),"DPIA indicado ou em avaliação em razão de: " &amp; TRIM(IF(I406="SIM","tratamento de dados sensíveis; ","") &amp; IF(K406="SIM","utilização de dados de menores; ","") &amp; IF(AF406="SIM","transferência internacional de dados; ","") &amp; IF(AL406="SIM","utilização de inteligência artificial; ","") &amp; IF(OR(AN406="Dados pessoais",AN406="Dados sensíveis",AN406="Dados pessoais e sensíveis"),"dados inseridos em IA; ","") &amp; IF(O406="Acima de 10.000 titulares por mês","volume crítico de titulares; ","") &amp; IF(O406="De 1.001 a 10.000 titulares por mês","volume moderado de titulares; ","") &amp; IF(AA406="SIM","compartilhamento com terceiros; ","") &amp; IF(R406="SIM","compartilhamento com órgãos governamentais; ","") &amp; IF(AJ406="NÃO","ausência de controle de acesso por perfil; ","")),"DPIA não indicado: Processo de baixa criticidade."))</f>
      </c>
    </row>
    <row x14ac:dyDescent="0.25" r="407" customHeight="1" ht="15.75">
      <c r="A407" s="46"/>
      <c r="B407" s="6"/>
      <c r="C407" s="11"/>
      <c r="D407" s="11"/>
      <c r="E407" s="11"/>
      <c r="F407" s="29"/>
      <c r="G407" s="11"/>
      <c r="H407" s="11"/>
      <c r="I407" s="29"/>
      <c r="J407" s="11"/>
      <c r="K407" s="29"/>
      <c r="L407" s="11"/>
      <c r="M407" s="11"/>
      <c r="N407" s="11"/>
      <c r="O407" s="29"/>
      <c r="P407" s="29"/>
      <c r="Q407" s="11"/>
      <c r="R407" s="29"/>
      <c r="S407" s="11"/>
      <c r="T407" s="6"/>
      <c r="U407" s="29"/>
      <c r="V407" s="11"/>
      <c r="W407" s="11"/>
      <c r="X407" s="29"/>
      <c r="Y407" s="11"/>
      <c r="Z407" s="29"/>
      <c r="AA407" s="29"/>
      <c r="AB407" s="11"/>
      <c r="AC407" s="11"/>
      <c r="AD407" s="29"/>
      <c r="AE407" s="11"/>
      <c r="AF407" s="29"/>
      <c r="AG407" s="11"/>
      <c r="AH407" s="29"/>
      <c r="AI407" s="11"/>
      <c r="AJ407" s="29"/>
      <c r="AK407" s="29"/>
      <c r="AL407" s="29"/>
      <c r="AM407" s="11"/>
      <c r="AN407" s="29"/>
      <c r="AO407" s="29"/>
      <c r="AP407" s="6"/>
      <c r="AQ407" s="113">
        <f>IF(AND(I407="",K407="",AF407="",AL407="",AN407="",O407=""),"",IF(OR(I407="SIM",K407="SIM",AF407="SIM",AL407="SIM",AN407="Dados pessoais",AN407="Dados sensíveis",AN407="Dados pessoais e sensíveis",O407="Acima de 10.000 titulares por mês"),"SIM - Alta criticidade",IF((IF(I407="SIM",2,0)+IF(K407="SIM",2,0)+IF(AF407="SIM",2,0)+IF(OR(AN407="Dados pessoais",AN407="Dados sensíveis",AN407="Dados pessoais e sensíveis"),2,0)+IF(O407="De 1.001 a 10.000 titulares por mês",1,0)+IF(AA407="SIM",1,0)+IF(R407="SIM",1,0)+IF(AL407="SIM",1,0)+IF(AJ407="NÃO",1,0))&gt;=5,"SIM - Alta criticidade",IF((IF(I407="SIM",2,0)+IF(K407="SIM",2,0)+IF(AF407="SIM",2,0)+IF(OR(AN407="Dados pessoais",AN407="Dados sensíveis",AN407="Dados pessoais e sensíveis"),2,0)+IF(O407="De 1.001 a 10.000 titulares por mês",1,0)+IF(AA407="SIM",1,0)+IF(R407="SIM",1,0)+IF(AL407="SIM",1,0)+IF(AJ407="NÃO",1,0))&gt;=3,"Avaliação necessária","NÃO"))))</f>
      </c>
      <c r="AR407" s="11"/>
      <c r="AS407" s="113">
        <f>IF(AND(I407="",K407="",AF407="",AL407="",AN407="",O407=""),"",IF(OR(I407="SIM",K407="SIM",AF407="SIM",AL407="SIM",OR(AN407="Dados pessoais",AN407="Dados sensíveis",AN407="Dados pessoais e sensíveis"),O407="Acima de 10.000 titulares por mês",(IF(I407="SIM",2,0)+IF(K407="SIM",2,0)+IF(AF407="SIM",2,0)+IF(OR(AN407="Dados pessoais",AN407="Dados sensíveis",AN407="Dados pessoais e sensíveis"),2,0)+IF(O407="De 1.001 a 10.000 titulares por mês",1,0)+IF(AA407="SIM",1,0)+IF(R407="SIM",1,0)+IF(AL407="SIM",1,0)+IF(AJ407="NÃO",1,0))&gt;=3),"DPIA indicado ou em avaliação em razão de: " &amp; TRIM(IF(I407="SIM","tratamento de dados sensíveis; ","") &amp; IF(K407="SIM","utilização de dados de menores; ","") &amp; IF(AF407="SIM","transferência internacional de dados; ","") &amp; IF(AL407="SIM","utilização de inteligência artificial; ","") &amp; IF(OR(AN407="Dados pessoais",AN407="Dados sensíveis",AN407="Dados pessoais e sensíveis"),"dados inseridos em IA; ","") &amp; IF(O407="Acima de 10.000 titulares por mês","volume crítico de titulares; ","") &amp; IF(O407="De 1.001 a 10.000 titulares por mês","volume moderado de titulares; ","") &amp; IF(AA407="SIM","compartilhamento com terceiros; ","") &amp; IF(R407="SIM","compartilhamento com órgãos governamentais; ","") &amp; IF(AJ407="NÃO","ausência de controle de acesso por perfil; ","")),"DPIA não indicado: Processo de baixa criticidade."))</f>
      </c>
    </row>
    <row x14ac:dyDescent="0.25" r="408" customHeight="1" ht="15.75">
      <c r="A408" s="46"/>
      <c r="B408" s="6"/>
      <c r="C408" s="11"/>
      <c r="D408" s="11"/>
      <c r="E408" s="11"/>
      <c r="F408" s="29"/>
      <c r="G408" s="11"/>
      <c r="H408" s="11"/>
      <c r="I408" s="29"/>
      <c r="J408" s="11"/>
      <c r="K408" s="29"/>
      <c r="L408" s="11"/>
      <c r="M408" s="11"/>
      <c r="N408" s="11"/>
      <c r="O408" s="29"/>
      <c r="P408" s="29"/>
      <c r="Q408" s="11"/>
      <c r="R408" s="29"/>
      <c r="S408" s="11"/>
      <c r="T408" s="6"/>
      <c r="U408" s="29"/>
      <c r="V408" s="11"/>
      <c r="W408" s="11"/>
      <c r="X408" s="29"/>
      <c r="Y408" s="11"/>
      <c r="Z408" s="29"/>
      <c r="AA408" s="29"/>
      <c r="AB408" s="11"/>
      <c r="AC408" s="11"/>
      <c r="AD408" s="29"/>
      <c r="AE408" s="11"/>
      <c r="AF408" s="29"/>
      <c r="AG408" s="11"/>
      <c r="AH408" s="29"/>
      <c r="AI408" s="11"/>
      <c r="AJ408" s="29"/>
      <c r="AK408" s="29"/>
      <c r="AL408" s="29"/>
      <c r="AM408" s="11"/>
      <c r="AN408" s="29"/>
      <c r="AO408" s="29"/>
      <c r="AP408" s="6"/>
      <c r="AQ408" s="113">
        <f>IF(AND(I408="",K408="",AF408="",AL408="",AN408="",O408=""),"",IF(OR(I408="SIM",K408="SIM",AF408="SIM",AL408="SIM",AN408="Dados pessoais",AN408="Dados sensíveis",AN408="Dados pessoais e sensíveis",O408="Acima de 10.000 titulares por mês"),"SIM - Alta criticidade",IF((IF(I408="SIM",2,0)+IF(K408="SIM",2,0)+IF(AF408="SIM",2,0)+IF(OR(AN408="Dados pessoais",AN408="Dados sensíveis",AN408="Dados pessoais e sensíveis"),2,0)+IF(O408="De 1.001 a 10.000 titulares por mês",1,0)+IF(AA408="SIM",1,0)+IF(R408="SIM",1,0)+IF(AL408="SIM",1,0)+IF(AJ408="NÃO",1,0))&gt;=5,"SIM - Alta criticidade",IF((IF(I408="SIM",2,0)+IF(K408="SIM",2,0)+IF(AF408="SIM",2,0)+IF(OR(AN408="Dados pessoais",AN408="Dados sensíveis",AN408="Dados pessoais e sensíveis"),2,0)+IF(O408="De 1.001 a 10.000 titulares por mês",1,0)+IF(AA408="SIM",1,0)+IF(R408="SIM",1,0)+IF(AL408="SIM",1,0)+IF(AJ408="NÃO",1,0))&gt;=3,"Avaliação necessária","NÃO"))))</f>
      </c>
      <c r="AR408" s="11"/>
      <c r="AS408" s="113">
        <f>IF(AND(I408="",K408="",AF408="",AL408="",AN408="",O408=""),"",IF(OR(I408="SIM",K408="SIM",AF408="SIM",AL408="SIM",OR(AN408="Dados pessoais",AN408="Dados sensíveis",AN408="Dados pessoais e sensíveis"),O408="Acima de 10.000 titulares por mês",(IF(I408="SIM",2,0)+IF(K408="SIM",2,0)+IF(AF408="SIM",2,0)+IF(OR(AN408="Dados pessoais",AN408="Dados sensíveis",AN408="Dados pessoais e sensíveis"),2,0)+IF(O408="De 1.001 a 10.000 titulares por mês",1,0)+IF(AA408="SIM",1,0)+IF(R408="SIM",1,0)+IF(AL408="SIM",1,0)+IF(AJ408="NÃO",1,0))&gt;=3),"DPIA indicado ou em avaliação em razão de: " &amp; TRIM(IF(I408="SIM","tratamento de dados sensíveis; ","") &amp; IF(K408="SIM","utilização de dados de menores; ","") &amp; IF(AF408="SIM","transferência internacional de dados; ","") &amp; IF(AL408="SIM","utilização de inteligência artificial; ","") &amp; IF(OR(AN408="Dados pessoais",AN408="Dados sensíveis",AN408="Dados pessoais e sensíveis"),"dados inseridos em IA; ","") &amp; IF(O408="Acima de 10.000 titulares por mês","volume crítico de titulares; ","") &amp; IF(O408="De 1.001 a 10.000 titulares por mês","volume moderado de titulares; ","") &amp; IF(AA408="SIM","compartilhamento com terceiros; ","") &amp; IF(R408="SIM","compartilhamento com órgãos governamentais; ","") &amp; IF(AJ408="NÃO","ausência de controle de acesso por perfil; ","")),"DPIA não indicado: Processo de baixa criticidade."))</f>
      </c>
    </row>
    <row x14ac:dyDescent="0.25" r="409" customHeight="1" ht="15.75">
      <c r="A409" s="46"/>
      <c r="B409" s="6"/>
      <c r="C409" s="11"/>
      <c r="D409" s="11"/>
      <c r="E409" s="11"/>
      <c r="F409" s="29"/>
      <c r="G409" s="11"/>
      <c r="H409" s="11"/>
      <c r="I409" s="29"/>
      <c r="J409" s="11"/>
      <c r="K409" s="29"/>
      <c r="L409" s="11"/>
      <c r="M409" s="11"/>
      <c r="N409" s="11"/>
      <c r="O409" s="29"/>
      <c r="P409" s="29"/>
      <c r="Q409" s="11"/>
      <c r="R409" s="29"/>
      <c r="S409" s="11"/>
      <c r="T409" s="6"/>
      <c r="U409" s="29"/>
      <c r="V409" s="11"/>
      <c r="W409" s="11"/>
      <c r="X409" s="29"/>
      <c r="Y409" s="11"/>
      <c r="Z409" s="29"/>
      <c r="AA409" s="29"/>
      <c r="AB409" s="11"/>
      <c r="AC409" s="11"/>
      <c r="AD409" s="29"/>
      <c r="AE409" s="11"/>
      <c r="AF409" s="29"/>
      <c r="AG409" s="11"/>
      <c r="AH409" s="29"/>
      <c r="AI409" s="11"/>
      <c r="AJ409" s="29"/>
      <c r="AK409" s="29"/>
      <c r="AL409" s="29"/>
      <c r="AM409" s="11"/>
      <c r="AN409" s="29"/>
      <c r="AO409" s="29"/>
      <c r="AP409" s="6"/>
      <c r="AQ409" s="113">
        <f>IF(AND(I409="",K409="",AF409="",AL409="",AN409="",O409=""),"",IF(OR(I409="SIM",K409="SIM",AF409="SIM",AL409="SIM",AN409="Dados pessoais",AN409="Dados sensíveis",AN409="Dados pessoais e sensíveis",O409="Acima de 10.000 titulares por mês"),"SIM - Alta criticidade",IF((IF(I409="SIM",2,0)+IF(K409="SIM",2,0)+IF(AF409="SIM",2,0)+IF(OR(AN409="Dados pessoais",AN409="Dados sensíveis",AN409="Dados pessoais e sensíveis"),2,0)+IF(O409="De 1.001 a 10.000 titulares por mês",1,0)+IF(AA409="SIM",1,0)+IF(R409="SIM",1,0)+IF(AL409="SIM",1,0)+IF(AJ409="NÃO",1,0))&gt;=5,"SIM - Alta criticidade",IF((IF(I409="SIM",2,0)+IF(K409="SIM",2,0)+IF(AF409="SIM",2,0)+IF(OR(AN409="Dados pessoais",AN409="Dados sensíveis",AN409="Dados pessoais e sensíveis"),2,0)+IF(O409="De 1.001 a 10.000 titulares por mês",1,0)+IF(AA409="SIM",1,0)+IF(R409="SIM",1,0)+IF(AL409="SIM",1,0)+IF(AJ409="NÃO",1,0))&gt;=3,"Avaliação necessária","NÃO"))))</f>
      </c>
      <c r="AR409" s="11"/>
      <c r="AS409" s="113">
        <f>IF(AND(I409="",K409="",AF409="",AL409="",AN409="",O409=""),"",IF(OR(I409="SIM",K409="SIM",AF409="SIM",AL409="SIM",OR(AN409="Dados pessoais",AN409="Dados sensíveis",AN409="Dados pessoais e sensíveis"),O409="Acima de 10.000 titulares por mês",(IF(I409="SIM",2,0)+IF(K409="SIM",2,0)+IF(AF409="SIM",2,0)+IF(OR(AN409="Dados pessoais",AN409="Dados sensíveis",AN409="Dados pessoais e sensíveis"),2,0)+IF(O409="De 1.001 a 10.000 titulares por mês",1,0)+IF(AA409="SIM",1,0)+IF(R409="SIM",1,0)+IF(AL409="SIM",1,0)+IF(AJ409="NÃO",1,0))&gt;=3),"DPIA indicado ou em avaliação em razão de: " &amp; TRIM(IF(I409="SIM","tratamento de dados sensíveis; ","") &amp; IF(K409="SIM","utilização de dados de menores; ","") &amp; IF(AF409="SIM","transferência internacional de dados; ","") &amp; IF(AL409="SIM","utilização de inteligência artificial; ","") &amp; IF(OR(AN409="Dados pessoais",AN409="Dados sensíveis",AN409="Dados pessoais e sensíveis"),"dados inseridos em IA; ","") &amp; IF(O409="Acima de 10.000 titulares por mês","volume crítico de titulares; ","") &amp; IF(O409="De 1.001 a 10.000 titulares por mês","volume moderado de titulares; ","") &amp; IF(AA409="SIM","compartilhamento com terceiros; ","") &amp; IF(R409="SIM","compartilhamento com órgãos governamentais; ","") &amp; IF(AJ409="NÃO","ausência de controle de acesso por perfil; ","")),"DPIA não indicado: Processo de baixa criticidade."))</f>
      </c>
    </row>
    <row x14ac:dyDescent="0.25" r="410" customHeight="1" ht="15.75">
      <c r="A410" s="46"/>
      <c r="B410" s="6"/>
      <c r="C410" s="11"/>
      <c r="D410" s="11"/>
      <c r="E410" s="11"/>
      <c r="F410" s="29"/>
      <c r="G410" s="11"/>
      <c r="H410" s="11"/>
      <c r="I410" s="29"/>
      <c r="J410" s="11"/>
      <c r="K410" s="29"/>
      <c r="L410" s="11"/>
      <c r="M410" s="11"/>
      <c r="N410" s="11"/>
      <c r="O410" s="29"/>
      <c r="P410" s="29"/>
      <c r="Q410" s="11"/>
      <c r="R410" s="29"/>
      <c r="S410" s="11"/>
      <c r="T410" s="6"/>
      <c r="U410" s="29"/>
      <c r="V410" s="11"/>
      <c r="W410" s="11"/>
      <c r="X410" s="29"/>
      <c r="Y410" s="11"/>
      <c r="Z410" s="29"/>
      <c r="AA410" s="29"/>
      <c r="AB410" s="11"/>
      <c r="AC410" s="11"/>
      <c r="AD410" s="29"/>
      <c r="AE410" s="11"/>
      <c r="AF410" s="29"/>
      <c r="AG410" s="11"/>
      <c r="AH410" s="29"/>
      <c r="AI410" s="11"/>
      <c r="AJ410" s="29"/>
      <c r="AK410" s="29"/>
      <c r="AL410" s="29"/>
      <c r="AM410" s="11"/>
      <c r="AN410" s="29"/>
      <c r="AO410" s="29"/>
      <c r="AP410" s="6"/>
      <c r="AQ410" s="113">
        <f>IF(AND(I410="",K410="",AF410="",AL410="",AN410="",O410=""),"",IF(OR(I410="SIM",K410="SIM",AF410="SIM",AL410="SIM",AN410="Dados pessoais",AN410="Dados sensíveis",AN410="Dados pessoais e sensíveis",O410="Acima de 10.000 titulares por mês"),"SIM - Alta criticidade",IF((IF(I410="SIM",2,0)+IF(K410="SIM",2,0)+IF(AF410="SIM",2,0)+IF(OR(AN410="Dados pessoais",AN410="Dados sensíveis",AN410="Dados pessoais e sensíveis"),2,0)+IF(O410="De 1.001 a 10.000 titulares por mês",1,0)+IF(AA410="SIM",1,0)+IF(R410="SIM",1,0)+IF(AL410="SIM",1,0)+IF(AJ410="NÃO",1,0))&gt;=5,"SIM - Alta criticidade",IF((IF(I410="SIM",2,0)+IF(K410="SIM",2,0)+IF(AF410="SIM",2,0)+IF(OR(AN410="Dados pessoais",AN410="Dados sensíveis",AN410="Dados pessoais e sensíveis"),2,0)+IF(O410="De 1.001 a 10.000 titulares por mês",1,0)+IF(AA410="SIM",1,0)+IF(R410="SIM",1,0)+IF(AL410="SIM",1,0)+IF(AJ410="NÃO",1,0))&gt;=3,"Avaliação necessária","NÃO"))))</f>
      </c>
      <c r="AR410" s="11"/>
      <c r="AS410" s="113">
        <f>IF(AND(I410="",K410="",AF410="",AL410="",AN410="",O410=""),"",IF(OR(I410="SIM",K410="SIM",AF410="SIM",AL410="SIM",OR(AN410="Dados pessoais",AN410="Dados sensíveis",AN410="Dados pessoais e sensíveis"),O410="Acima de 10.000 titulares por mês",(IF(I410="SIM",2,0)+IF(K410="SIM",2,0)+IF(AF410="SIM",2,0)+IF(OR(AN410="Dados pessoais",AN410="Dados sensíveis",AN410="Dados pessoais e sensíveis"),2,0)+IF(O410="De 1.001 a 10.000 titulares por mês",1,0)+IF(AA410="SIM",1,0)+IF(R410="SIM",1,0)+IF(AL410="SIM",1,0)+IF(AJ410="NÃO",1,0))&gt;=3),"DPIA indicado ou em avaliação em razão de: " &amp; TRIM(IF(I410="SIM","tratamento de dados sensíveis; ","") &amp; IF(K410="SIM","utilização de dados de menores; ","") &amp; IF(AF410="SIM","transferência internacional de dados; ","") &amp; IF(AL410="SIM","utilização de inteligência artificial; ","") &amp; IF(OR(AN410="Dados pessoais",AN410="Dados sensíveis",AN410="Dados pessoais e sensíveis"),"dados inseridos em IA; ","") &amp; IF(O410="Acima de 10.000 titulares por mês","volume crítico de titulares; ","") &amp; IF(O410="De 1.001 a 10.000 titulares por mês","volume moderado de titulares; ","") &amp; IF(AA410="SIM","compartilhamento com terceiros; ","") &amp; IF(R410="SIM","compartilhamento com órgãos governamentais; ","") &amp; IF(AJ410="NÃO","ausência de controle de acesso por perfil; ","")),"DPIA não indicado: Processo de baixa criticidade."))</f>
      </c>
    </row>
    <row x14ac:dyDescent="0.25" r="411" customHeight="1" ht="15.75">
      <c r="A411" s="46"/>
      <c r="B411" s="6"/>
      <c r="C411" s="11"/>
      <c r="D411" s="11"/>
      <c r="E411" s="11"/>
      <c r="F411" s="29"/>
      <c r="G411" s="11"/>
      <c r="H411" s="11"/>
      <c r="I411" s="29"/>
      <c r="J411" s="11"/>
      <c r="K411" s="29"/>
      <c r="L411" s="11"/>
      <c r="M411" s="11"/>
      <c r="N411" s="11"/>
      <c r="O411" s="29"/>
      <c r="P411" s="29"/>
      <c r="Q411" s="11"/>
      <c r="R411" s="29"/>
      <c r="S411" s="11"/>
      <c r="T411" s="6"/>
      <c r="U411" s="29"/>
      <c r="V411" s="11"/>
      <c r="W411" s="11"/>
      <c r="X411" s="29"/>
      <c r="Y411" s="11"/>
      <c r="Z411" s="29"/>
      <c r="AA411" s="29"/>
      <c r="AB411" s="11"/>
      <c r="AC411" s="11"/>
      <c r="AD411" s="29"/>
      <c r="AE411" s="11"/>
      <c r="AF411" s="29"/>
      <c r="AG411" s="11"/>
      <c r="AH411" s="29"/>
      <c r="AI411" s="11"/>
      <c r="AJ411" s="29"/>
      <c r="AK411" s="29"/>
      <c r="AL411" s="29"/>
      <c r="AM411" s="11"/>
      <c r="AN411" s="29"/>
      <c r="AO411" s="29"/>
      <c r="AP411" s="6"/>
      <c r="AQ411" s="113">
        <f>IF(AND(I411="",K411="",AF411="",AL411="",AN411="",O411=""),"",IF(OR(I411="SIM",K411="SIM",AF411="SIM",AL411="SIM",AN411="Dados pessoais",AN411="Dados sensíveis",AN411="Dados pessoais e sensíveis",O411="Acima de 10.000 titulares por mês"),"SIM - Alta criticidade",IF((IF(I411="SIM",2,0)+IF(K411="SIM",2,0)+IF(AF411="SIM",2,0)+IF(OR(AN411="Dados pessoais",AN411="Dados sensíveis",AN411="Dados pessoais e sensíveis"),2,0)+IF(O411="De 1.001 a 10.000 titulares por mês",1,0)+IF(AA411="SIM",1,0)+IF(R411="SIM",1,0)+IF(AL411="SIM",1,0)+IF(AJ411="NÃO",1,0))&gt;=5,"SIM - Alta criticidade",IF((IF(I411="SIM",2,0)+IF(K411="SIM",2,0)+IF(AF411="SIM",2,0)+IF(OR(AN411="Dados pessoais",AN411="Dados sensíveis",AN411="Dados pessoais e sensíveis"),2,0)+IF(O411="De 1.001 a 10.000 titulares por mês",1,0)+IF(AA411="SIM",1,0)+IF(R411="SIM",1,0)+IF(AL411="SIM",1,0)+IF(AJ411="NÃO",1,0))&gt;=3,"Avaliação necessária","NÃO"))))</f>
      </c>
      <c r="AR411" s="11"/>
      <c r="AS411" s="113">
        <f>IF(AND(I411="",K411="",AF411="",AL411="",AN411="",O411=""),"",IF(OR(I411="SIM",K411="SIM",AF411="SIM",AL411="SIM",OR(AN411="Dados pessoais",AN411="Dados sensíveis",AN411="Dados pessoais e sensíveis"),O411="Acima de 10.000 titulares por mês",(IF(I411="SIM",2,0)+IF(K411="SIM",2,0)+IF(AF411="SIM",2,0)+IF(OR(AN411="Dados pessoais",AN411="Dados sensíveis",AN411="Dados pessoais e sensíveis"),2,0)+IF(O411="De 1.001 a 10.000 titulares por mês",1,0)+IF(AA411="SIM",1,0)+IF(R411="SIM",1,0)+IF(AL411="SIM",1,0)+IF(AJ411="NÃO",1,0))&gt;=3),"DPIA indicado ou em avaliação em razão de: " &amp; TRIM(IF(I411="SIM","tratamento de dados sensíveis; ","") &amp; IF(K411="SIM","utilização de dados de menores; ","") &amp; IF(AF411="SIM","transferência internacional de dados; ","") &amp; IF(AL411="SIM","utilização de inteligência artificial; ","") &amp; IF(OR(AN411="Dados pessoais",AN411="Dados sensíveis",AN411="Dados pessoais e sensíveis"),"dados inseridos em IA; ","") &amp; IF(O411="Acima de 10.000 titulares por mês","volume crítico de titulares; ","") &amp; IF(O411="De 1.001 a 10.000 titulares por mês","volume moderado de titulares; ","") &amp; IF(AA411="SIM","compartilhamento com terceiros; ","") &amp; IF(R411="SIM","compartilhamento com órgãos governamentais; ","") &amp; IF(AJ411="NÃO","ausência de controle de acesso por perfil; ","")),"DPIA não indicado: Processo de baixa criticidade."))</f>
      </c>
    </row>
    <row x14ac:dyDescent="0.25" r="412" customHeight="1" ht="15.75">
      <c r="A412" s="46"/>
      <c r="B412" s="6"/>
      <c r="C412" s="11"/>
      <c r="D412" s="11"/>
      <c r="E412" s="11"/>
      <c r="F412" s="29"/>
      <c r="G412" s="11"/>
      <c r="H412" s="11"/>
      <c r="I412" s="29"/>
      <c r="J412" s="11"/>
      <c r="K412" s="29"/>
      <c r="L412" s="11"/>
      <c r="M412" s="11"/>
      <c r="N412" s="11"/>
      <c r="O412" s="29"/>
      <c r="P412" s="29"/>
      <c r="Q412" s="11"/>
      <c r="R412" s="29"/>
      <c r="S412" s="11"/>
      <c r="T412" s="6"/>
      <c r="U412" s="29"/>
      <c r="V412" s="11"/>
      <c r="W412" s="11"/>
      <c r="X412" s="29"/>
      <c r="Y412" s="11"/>
      <c r="Z412" s="29"/>
      <c r="AA412" s="29"/>
      <c r="AB412" s="11"/>
      <c r="AC412" s="11"/>
      <c r="AD412" s="29"/>
      <c r="AE412" s="11"/>
      <c r="AF412" s="29"/>
      <c r="AG412" s="11"/>
      <c r="AH412" s="29"/>
      <c r="AI412" s="11"/>
      <c r="AJ412" s="29"/>
      <c r="AK412" s="29"/>
      <c r="AL412" s="29"/>
      <c r="AM412" s="11"/>
      <c r="AN412" s="29"/>
      <c r="AO412" s="29"/>
      <c r="AP412" s="6"/>
      <c r="AQ412" s="113">
        <f>IF(AND(I412="",K412="",AF412="",AL412="",AN412="",O412=""),"",IF(OR(I412="SIM",K412="SIM",AF412="SIM",AL412="SIM",AN412="Dados pessoais",AN412="Dados sensíveis",AN412="Dados pessoais e sensíveis",O412="Acima de 10.000 titulares por mês"),"SIM - Alta criticidade",IF((IF(I412="SIM",2,0)+IF(K412="SIM",2,0)+IF(AF412="SIM",2,0)+IF(OR(AN412="Dados pessoais",AN412="Dados sensíveis",AN412="Dados pessoais e sensíveis"),2,0)+IF(O412="De 1.001 a 10.000 titulares por mês",1,0)+IF(AA412="SIM",1,0)+IF(R412="SIM",1,0)+IF(AL412="SIM",1,0)+IF(AJ412="NÃO",1,0))&gt;=5,"SIM - Alta criticidade",IF((IF(I412="SIM",2,0)+IF(K412="SIM",2,0)+IF(AF412="SIM",2,0)+IF(OR(AN412="Dados pessoais",AN412="Dados sensíveis",AN412="Dados pessoais e sensíveis"),2,0)+IF(O412="De 1.001 a 10.000 titulares por mês",1,0)+IF(AA412="SIM",1,0)+IF(R412="SIM",1,0)+IF(AL412="SIM",1,0)+IF(AJ412="NÃO",1,0))&gt;=3,"Avaliação necessária","NÃO"))))</f>
      </c>
      <c r="AR412" s="11"/>
      <c r="AS412" s="113">
        <f>IF(AND(I412="",K412="",AF412="",AL412="",AN412="",O412=""),"",IF(OR(I412="SIM",K412="SIM",AF412="SIM",AL412="SIM",OR(AN412="Dados pessoais",AN412="Dados sensíveis",AN412="Dados pessoais e sensíveis"),O412="Acima de 10.000 titulares por mês",(IF(I412="SIM",2,0)+IF(K412="SIM",2,0)+IF(AF412="SIM",2,0)+IF(OR(AN412="Dados pessoais",AN412="Dados sensíveis",AN412="Dados pessoais e sensíveis"),2,0)+IF(O412="De 1.001 a 10.000 titulares por mês",1,0)+IF(AA412="SIM",1,0)+IF(R412="SIM",1,0)+IF(AL412="SIM",1,0)+IF(AJ412="NÃO",1,0))&gt;=3),"DPIA indicado ou em avaliação em razão de: " &amp; TRIM(IF(I412="SIM","tratamento de dados sensíveis; ","") &amp; IF(K412="SIM","utilização de dados de menores; ","") &amp; IF(AF412="SIM","transferência internacional de dados; ","") &amp; IF(AL412="SIM","utilização de inteligência artificial; ","") &amp; IF(OR(AN412="Dados pessoais",AN412="Dados sensíveis",AN412="Dados pessoais e sensíveis"),"dados inseridos em IA; ","") &amp; IF(O412="Acima de 10.000 titulares por mês","volume crítico de titulares; ","") &amp; IF(O412="De 1.001 a 10.000 titulares por mês","volume moderado de titulares; ","") &amp; IF(AA412="SIM","compartilhamento com terceiros; ","") &amp; IF(R412="SIM","compartilhamento com órgãos governamentais; ","") &amp; IF(AJ412="NÃO","ausência de controle de acesso por perfil; ","")),"DPIA não indicado: Processo de baixa criticidade."))</f>
      </c>
    </row>
    <row x14ac:dyDescent="0.25" r="413" customHeight="1" ht="15.75">
      <c r="A413" s="46"/>
      <c r="B413" s="6"/>
      <c r="C413" s="11"/>
      <c r="D413" s="11"/>
      <c r="E413" s="11"/>
      <c r="F413" s="29"/>
      <c r="G413" s="11"/>
      <c r="H413" s="11"/>
      <c r="I413" s="29"/>
      <c r="J413" s="11"/>
      <c r="K413" s="29"/>
      <c r="L413" s="11"/>
      <c r="M413" s="11"/>
      <c r="N413" s="11"/>
      <c r="O413" s="29"/>
      <c r="P413" s="29"/>
      <c r="Q413" s="11"/>
      <c r="R413" s="29"/>
      <c r="S413" s="11"/>
      <c r="T413" s="6"/>
      <c r="U413" s="29"/>
      <c r="V413" s="11"/>
      <c r="W413" s="11"/>
      <c r="X413" s="29"/>
      <c r="Y413" s="11"/>
      <c r="Z413" s="29"/>
      <c r="AA413" s="29"/>
      <c r="AB413" s="11"/>
      <c r="AC413" s="11"/>
      <c r="AD413" s="29"/>
      <c r="AE413" s="11"/>
      <c r="AF413" s="29"/>
      <c r="AG413" s="11"/>
      <c r="AH413" s="29"/>
      <c r="AI413" s="11"/>
      <c r="AJ413" s="29"/>
      <c r="AK413" s="29"/>
      <c r="AL413" s="29"/>
      <c r="AM413" s="11"/>
      <c r="AN413" s="29"/>
      <c r="AO413" s="29"/>
      <c r="AP413" s="6"/>
      <c r="AQ413" s="113">
        <f>IF(AND(I413="",K413="",AF413="",AL413="",AN413="",O413=""),"",IF(OR(I413="SIM",K413="SIM",AF413="SIM",AL413="SIM",AN413="Dados pessoais",AN413="Dados sensíveis",AN413="Dados pessoais e sensíveis",O413="Acima de 10.000 titulares por mês"),"SIM - Alta criticidade",IF((IF(I413="SIM",2,0)+IF(K413="SIM",2,0)+IF(AF413="SIM",2,0)+IF(OR(AN413="Dados pessoais",AN413="Dados sensíveis",AN413="Dados pessoais e sensíveis"),2,0)+IF(O413="De 1.001 a 10.000 titulares por mês",1,0)+IF(AA413="SIM",1,0)+IF(R413="SIM",1,0)+IF(AL413="SIM",1,0)+IF(AJ413="NÃO",1,0))&gt;=5,"SIM - Alta criticidade",IF((IF(I413="SIM",2,0)+IF(K413="SIM",2,0)+IF(AF413="SIM",2,0)+IF(OR(AN413="Dados pessoais",AN413="Dados sensíveis",AN413="Dados pessoais e sensíveis"),2,0)+IF(O413="De 1.001 a 10.000 titulares por mês",1,0)+IF(AA413="SIM",1,0)+IF(R413="SIM",1,0)+IF(AL413="SIM",1,0)+IF(AJ413="NÃO",1,0))&gt;=3,"Avaliação necessária","NÃO"))))</f>
      </c>
      <c r="AR413" s="11"/>
      <c r="AS413" s="113">
        <f>IF(AND(I413="",K413="",AF413="",AL413="",AN413="",O413=""),"",IF(OR(I413="SIM",K413="SIM",AF413="SIM",AL413="SIM",OR(AN413="Dados pessoais",AN413="Dados sensíveis",AN413="Dados pessoais e sensíveis"),O413="Acima de 10.000 titulares por mês",(IF(I413="SIM",2,0)+IF(K413="SIM",2,0)+IF(AF413="SIM",2,0)+IF(OR(AN413="Dados pessoais",AN413="Dados sensíveis",AN413="Dados pessoais e sensíveis"),2,0)+IF(O413="De 1.001 a 10.000 titulares por mês",1,0)+IF(AA413="SIM",1,0)+IF(R413="SIM",1,0)+IF(AL413="SIM",1,0)+IF(AJ413="NÃO",1,0))&gt;=3),"DPIA indicado ou em avaliação em razão de: " &amp; TRIM(IF(I413="SIM","tratamento de dados sensíveis; ","") &amp; IF(K413="SIM","utilização de dados de menores; ","") &amp; IF(AF413="SIM","transferência internacional de dados; ","") &amp; IF(AL413="SIM","utilização de inteligência artificial; ","") &amp; IF(OR(AN413="Dados pessoais",AN413="Dados sensíveis",AN413="Dados pessoais e sensíveis"),"dados inseridos em IA; ","") &amp; IF(O413="Acima de 10.000 titulares por mês","volume crítico de titulares; ","") &amp; IF(O413="De 1.001 a 10.000 titulares por mês","volume moderado de titulares; ","") &amp; IF(AA413="SIM","compartilhamento com terceiros; ","") &amp; IF(R413="SIM","compartilhamento com órgãos governamentais; ","") &amp; IF(AJ413="NÃO","ausência de controle de acesso por perfil; ","")),"DPIA não indicado: Processo de baixa criticidade."))</f>
      </c>
    </row>
    <row x14ac:dyDescent="0.25" r="414" customHeight="1" ht="15.75">
      <c r="A414" s="46"/>
      <c r="B414" s="6"/>
      <c r="C414" s="11"/>
      <c r="D414" s="11"/>
      <c r="E414" s="11"/>
      <c r="F414" s="29"/>
      <c r="G414" s="11"/>
      <c r="H414" s="11"/>
      <c r="I414" s="29"/>
      <c r="J414" s="11"/>
      <c r="K414" s="29"/>
      <c r="L414" s="11"/>
      <c r="M414" s="11"/>
      <c r="N414" s="11"/>
      <c r="O414" s="29"/>
      <c r="P414" s="29"/>
      <c r="Q414" s="11"/>
      <c r="R414" s="29"/>
      <c r="S414" s="11"/>
      <c r="T414" s="6"/>
      <c r="U414" s="29"/>
      <c r="V414" s="11"/>
      <c r="W414" s="11"/>
      <c r="X414" s="29"/>
      <c r="Y414" s="11"/>
      <c r="Z414" s="29"/>
      <c r="AA414" s="29"/>
      <c r="AB414" s="11"/>
      <c r="AC414" s="11"/>
      <c r="AD414" s="29"/>
      <c r="AE414" s="11"/>
      <c r="AF414" s="29"/>
      <c r="AG414" s="11"/>
      <c r="AH414" s="29"/>
      <c r="AI414" s="11"/>
      <c r="AJ414" s="29"/>
      <c r="AK414" s="29"/>
      <c r="AL414" s="29"/>
      <c r="AM414" s="11"/>
      <c r="AN414" s="29"/>
      <c r="AO414" s="29"/>
      <c r="AP414" s="6"/>
      <c r="AQ414" s="113">
        <f>IF(AND(I414="",K414="",AF414="",AL414="",AN414="",O414=""),"",IF(OR(I414="SIM",K414="SIM",AF414="SIM",AL414="SIM",AN414="Dados pessoais",AN414="Dados sensíveis",AN414="Dados pessoais e sensíveis",O414="Acima de 10.000 titulares por mês"),"SIM - Alta criticidade",IF((IF(I414="SIM",2,0)+IF(K414="SIM",2,0)+IF(AF414="SIM",2,0)+IF(OR(AN414="Dados pessoais",AN414="Dados sensíveis",AN414="Dados pessoais e sensíveis"),2,0)+IF(O414="De 1.001 a 10.000 titulares por mês",1,0)+IF(AA414="SIM",1,0)+IF(R414="SIM",1,0)+IF(AL414="SIM",1,0)+IF(AJ414="NÃO",1,0))&gt;=5,"SIM - Alta criticidade",IF((IF(I414="SIM",2,0)+IF(K414="SIM",2,0)+IF(AF414="SIM",2,0)+IF(OR(AN414="Dados pessoais",AN414="Dados sensíveis",AN414="Dados pessoais e sensíveis"),2,0)+IF(O414="De 1.001 a 10.000 titulares por mês",1,0)+IF(AA414="SIM",1,0)+IF(R414="SIM",1,0)+IF(AL414="SIM",1,0)+IF(AJ414="NÃO",1,0))&gt;=3,"Avaliação necessária","NÃO"))))</f>
      </c>
      <c r="AR414" s="11"/>
      <c r="AS414" s="113">
        <f>IF(AND(I414="",K414="",AF414="",AL414="",AN414="",O414=""),"",IF(OR(I414="SIM",K414="SIM",AF414="SIM",AL414="SIM",OR(AN414="Dados pessoais",AN414="Dados sensíveis",AN414="Dados pessoais e sensíveis"),O414="Acima de 10.000 titulares por mês",(IF(I414="SIM",2,0)+IF(K414="SIM",2,0)+IF(AF414="SIM",2,0)+IF(OR(AN414="Dados pessoais",AN414="Dados sensíveis",AN414="Dados pessoais e sensíveis"),2,0)+IF(O414="De 1.001 a 10.000 titulares por mês",1,0)+IF(AA414="SIM",1,0)+IF(R414="SIM",1,0)+IF(AL414="SIM",1,0)+IF(AJ414="NÃO",1,0))&gt;=3),"DPIA indicado ou em avaliação em razão de: " &amp; TRIM(IF(I414="SIM","tratamento de dados sensíveis; ","") &amp; IF(K414="SIM","utilização de dados de menores; ","") &amp; IF(AF414="SIM","transferência internacional de dados; ","") &amp; IF(AL414="SIM","utilização de inteligência artificial; ","") &amp; IF(OR(AN414="Dados pessoais",AN414="Dados sensíveis",AN414="Dados pessoais e sensíveis"),"dados inseridos em IA; ","") &amp; IF(O414="Acima de 10.000 titulares por mês","volume crítico de titulares; ","") &amp; IF(O414="De 1.001 a 10.000 titulares por mês","volume moderado de titulares; ","") &amp; IF(AA414="SIM","compartilhamento com terceiros; ","") &amp; IF(R414="SIM","compartilhamento com órgãos governamentais; ","") &amp; IF(AJ414="NÃO","ausência de controle de acesso por perfil; ","")),"DPIA não indicado: Processo de baixa criticidade."))</f>
      </c>
    </row>
    <row x14ac:dyDescent="0.25" r="415" customHeight="1" ht="15.75">
      <c r="A415" s="46"/>
      <c r="B415" s="6"/>
      <c r="C415" s="11"/>
      <c r="D415" s="11"/>
      <c r="E415" s="11"/>
      <c r="F415" s="29"/>
      <c r="G415" s="11"/>
      <c r="H415" s="11"/>
      <c r="I415" s="29"/>
      <c r="J415" s="11"/>
      <c r="K415" s="29"/>
      <c r="L415" s="11"/>
      <c r="M415" s="11"/>
      <c r="N415" s="11"/>
      <c r="O415" s="29"/>
      <c r="P415" s="29"/>
      <c r="Q415" s="11"/>
      <c r="R415" s="29"/>
      <c r="S415" s="11"/>
      <c r="T415" s="6"/>
      <c r="U415" s="29"/>
      <c r="V415" s="11"/>
      <c r="W415" s="11"/>
      <c r="X415" s="29"/>
      <c r="Y415" s="11"/>
      <c r="Z415" s="29"/>
      <c r="AA415" s="29"/>
      <c r="AB415" s="11"/>
      <c r="AC415" s="11"/>
      <c r="AD415" s="29"/>
      <c r="AE415" s="11"/>
      <c r="AF415" s="29"/>
      <c r="AG415" s="11"/>
      <c r="AH415" s="29"/>
      <c r="AI415" s="11"/>
      <c r="AJ415" s="29"/>
      <c r="AK415" s="29"/>
      <c r="AL415" s="29"/>
      <c r="AM415" s="11"/>
      <c r="AN415" s="29"/>
      <c r="AO415" s="29"/>
      <c r="AP415" s="6"/>
      <c r="AQ415" s="113">
        <f>IF(AND(I415="",K415="",AF415="",AL415="",AN415="",O415=""),"",IF(OR(I415="SIM",K415="SIM",AF415="SIM",AL415="SIM",AN415="Dados pessoais",AN415="Dados sensíveis",AN415="Dados pessoais e sensíveis",O415="Acima de 10.000 titulares por mês"),"SIM - Alta criticidade",IF((IF(I415="SIM",2,0)+IF(K415="SIM",2,0)+IF(AF415="SIM",2,0)+IF(OR(AN415="Dados pessoais",AN415="Dados sensíveis",AN415="Dados pessoais e sensíveis"),2,0)+IF(O415="De 1.001 a 10.000 titulares por mês",1,0)+IF(AA415="SIM",1,0)+IF(R415="SIM",1,0)+IF(AL415="SIM",1,0)+IF(AJ415="NÃO",1,0))&gt;=5,"SIM - Alta criticidade",IF((IF(I415="SIM",2,0)+IF(K415="SIM",2,0)+IF(AF415="SIM",2,0)+IF(OR(AN415="Dados pessoais",AN415="Dados sensíveis",AN415="Dados pessoais e sensíveis"),2,0)+IF(O415="De 1.001 a 10.000 titulares por mês",1,0)+IF(AA415="SIM",1,0)+IF(R415="SIM",1,0)+IF(AL415="SIM",1,0)+IF(AJ415="NÃO",1,0))&gt;=3,"Avaliação necessária","NÃO"))))</f>
      </c>
      <c r="AR415" s="11"/>
      <c r="AS415" s="113">
        <f>IF(AND(I415="",K415="",AF415="",AL415="",AN415="",O415=""),"",IF(OR(I415="SIM",K415="SIM",AF415="SIM",AL415="SIM",OR(AN415="Dados pessoais",AN415="Dados sensíveis",AN415="Dados pessoais e sensíveis"),O415="Acima de 10.000 titulares por mês",(IF(I415="SIM",2,0)+IF(K415="SIM",2,0)+IF(AF415="SIM",2,0)+IF(OR(AN415="Dados pessoais",AN415="Dados sensíveis",AN415="Dados pessoais e sensíveis"),2,0)+IF(O415="De 1.001 a 10.000 titulares por mês",1,0)+IF(AA415="SIM",1,0)+IF(R415="SIM",1,0)+IF(AL415="SIM",1,0)+IF(AJ415="NÃO",1,0))&gt;=3),"DPIA indicado ou em avaliação em razão de: " &amp; TRIM(IF(I415="SIM","tratamento de dados sensíveis; ","") &amp; IF(K415="SIM","utilização de dados de menores; ","") &amp; IF(AF415="SIM","transferência internacional de dados; ","") &amp; IF(AL415="SIM","utilização de inteligência artificial; ","") &amp; IF(OR(AN415="Dados pessoais",AN415="Dados sensíveis",AN415="Dados pessoais e sensíveis"),"dados inseridos em IA; ","") &amp; IF(O415="Acima de 10.000 titulares por mês","volume crítico de titulares; ","") &amp; IF(O415="De 1.001 a 10.000 titulares por mês","volume moderado de titulares; ","") &amp; IF(AA415="SIM","compartilhamento com terceiros; ","") &amp; IF(R415="SIM","compartilhamento com órgãos governamentais; ","") &amp; IF(AJ415="NÃO","ausência de controle de acesso por perfil; ","")),"DPIA não indicado: Processo de baixa criticidade."))</f>
      </c>
    </row>
    <row x14ac:dyDescent="0.25" r="416" customHeight="1" ht="15.75">
      <c r="A416" s="46"/>
      <c r="B416" s="6"/>
      <c r="C416" s="11"/>
      <c r="D416" s="11"/>
      <c r="E416" s="11"/>
      <c r="F416" s="29"/>
      <c r="G416" s="11"/>
      <c r="H416" s="11"/>
      <c r="I416" s="29"/>
      <c r="J416" s="11"/>
      <c r="K416" s="29"/>
      <c r="L416" s="11"/>
      <c r="M416" s="11"/>
      <c r="N416" s="11"/>
      <c r="O416" s="29"/>
      <c r="P416" s="29"/>
      <c r="Q416" s="11"/>
      <c r="R416" s="29"/>
      <c r="S416" s="11"/>
      <c r="T416" s="6"/>
      <c r="U416" s="29"/>
      <c r="V416" s="11"/>
      <c r="W416" s="11"/>
      <c r="X416" s="29"/>
      <c r="Y416" s="11"/>
      <c r="Z416" s="29"/>
      <c r="AA416" s="29"/>
      <c r="AB416" s="11"/>
      <c r="AC416" s="11"/>
      <c r="AD416" s="29"/>
      <c r="AE416" s="11"/>
      <c r="AF416" s="29"/>
      <c r="AG416" s="11"/>
      <c r="AH416" s="29"/>
      <c r="AI416" s="11"/>
      <c r="AJ416" s="29"/>
      <c r="AK416" s="29"/>
      <c r="AL416" s="29"/>
      <c r="AM416" s="11"/>
      <c r="AN416" s="29"/>
      <c r="AO416" s="29"/>
      <c r="AP416" s="6"/>
      <c r="AQ416" s="113">
        <f>IF(AND(I416="",K416="",AF416="",AL416="",AN416="",O416=""),"",IF(OR(I416="SIM",K416="SIM",AF416="SIM",AL416="SIM",AN416="Dados pessoais",AN416="Dados sensíveis",AN416="Dados pessoais e sensíveis",O416="Acima de 10.000 titulares por mês"),"SIM - Alta criticidade",IF((IF(I416="SIM",2,0)+IF(K416="SIM",2,0)+IF(AF416="SIM",2,0)+IF(OR(AN416="Dados pessoais",AN416="Dados sensíveis",AN416="Dados pessoais e sensíveis"),2,0)+IF(O416="De 1.001 a 10.000 titulares por mês",1,0)+IF(AA416="SIM",1,0)+IF(R416="SIM",1,0)+IF(AL416="SIM",1,0)+IF(AJ416="NÃO",1,0))&gt;=5,"SIM - Alta criticidade",IF((IF(I416="SIM",2,0)+IF(K416="SIM",2,0)+IF(AF416="SIM",2,0)+IF(OR(AN416="Dados pessoais",AN416="Dados sensíveis",AN416="Dados pessoais e sensíveis"),2,0)+IF(O416="De 1.001 a 10.000 titulares por mês",1,0)+IF(AA416="SIM",1,0)+IF(R416="SIM",1,0)+IF(AL416="SIM",1,0)+IF(AJ416="NÃO",1,0))&gt;=3,"Avaliação necessária","NÃO"))))</f>
      </c>
      <c r="AR416" s="11"/>
      <c r="AS416" s="113">
        <f>IF(AND(I416="",K416="",AF416="",AL416="",AN416="",O416=""),"",IF(OR(I416="SIM",K416="SIM",AF416="SIM",AL416="SIM",OR(AN416="Dados pessoais",AN416="Dados sensíveis",AN416="Dados pessoais e sensíveis"),O416="Acima de 10.000 titulares por mês",(IF(I416="SIM",2,0)+IF(K416="SIM",2,0)+IF(AF416="SIM",2,0)+IF(OR(AN416="Dados pessoais",AN416="Dados sensíveis",AN416="Dados pessoais e sensíveis"),2,0)+IF(O416="De 1.001 a 10.000 titulares por mês",1,0)+IF(AA416="SIM",1,0)+IF(R416="SIM",1,0)+IF(AL416="SIM",1,0)+IF(AJ416="NÃO",1,0))&gt;=3),"DPIA indicado ou em avaliação em razão de: " &amp; TRIM(IF(I416="SIM","tratamento de dados sensíveis; ","") &amp; IF(K416="SIM","utilização de dados de menores; ","") &amp; IF(AF416="SIM","transferência internacional de dados; ","") &amp; IF(AL416="SIM","utilização de inteligência artificial; ","") &amp; IF(OR(AN416="Dados pessoais",AN416="Dados sensíveis",AN416="Dados pessoais e sensíveis"),"dados inseridos em IA; ","") &amp; IF(O416="Acima de 10.000 titulares por mês","volume crítico de titulares; ","") &amp; IF(O416="De 1.001 a 10.000 titulares por mês","volume moderado de titulares; ","") &amp; IF(AA416="SIM","compartilhamento com terceiros; ","") &amp; IF(R416="SIM","compartilhamento com órgãos governamentais; ","") &amp; IF(AJ416="NÃO","ausência de controle de acesso por perfil; ","")),"DPIA não indicado: Processo de baixa criticidade."))</f>
      </c>
    </row>
    <row x14ac:dyDescent="0.25" r="417" customHeight="1" ht="15.75">
      <c r="A417" s="46"/>
      <c r="B417" s="6"/>
      <c r="C417" s="11"/>
      <c r="D417" s="11"/>
      <c r="E417" s="11"/>
      <c r="F417" s="29"/>
      <c r="G417" s="11"/>
      <c r="H417" s="11"/>
      <c r="I417" s="29"/>
      <c r="J417" s="11"/>
      <c r="K417" s="29"/>
      <c r="L417" s="11"/>
      <c r="M417" s="11"/>
      <c r="N417" s="11"/>
      <c r="O417" s="29"/>
      <c r="P417" s="29"/>
      <c r="Q417" s="11"/>
      <c r="R417" s="29"/>
      <c r="S417" s="11"/>
      <c r="T417" s="6"/>
      <c r="U417" s="29"/>
      <c r="V417" s="11"/>
      <c r="W417" s="11"/>
      <c r="X417" s="29"/>
      <c r="Y417" s="11"/>
      <c r="Z417" s="29"/>
      <c r="AA417" s="29"/>
      <c r="AB417" s="11"/>
      <c r="AC417" s="11"/>
      <c r="AD417" s="29"/>
      <c r="AE417" s="11"/>
      <c r="AF417" s="29"/>
      <c r="AG417" s="11"/>
      <c r="AH417" s="29"/>
      <c r="AI417" s="11"/>
      <c r="AJ417" s="29"/>
      <c r="AK417" s="29"/>
      <c r="AL417" s="29"/>
      <c r="AM417" s="11"/>
      <c r="AN417" s="29"/>
      <c r="AO417" s="29"/>
      <c r="AP417" s="6"/>
      <c r="AQ417" s="113">
        <f>IF(AND(I417="",K417="",AF417="",AL417="",AN417="",O417=""),"",IF(OR(I417="SIM",K417="SIM",AF417="SIM",AL417="SIM",AN417="Dados pessoais",AN417="Dados sensíveis",AN417="Dados pessoais e sensíveis",O417="Acima de 10.000 titulares por mês"),"SIM - Alta criticidade",IF((IF(I417="SIM",2,0)+IF(K417="SIM",2,0)+IF(AF417="SIM",2,0)+IF(OR(AN417="Dados pessoais",AN417="Dados sensíveis",AN417="Dados pessoais e sensíveis"),2,0)+IF(O417="De 1.001 a 10.000 titulares por mês",1,0)+IF(AA417="SIM",1,0)+IF(R417="SIM",1,0)+IF(AL417="SIM",1,0)+IF(AJ417="NÃO",1,0))&gt;=5,"SIM - Alta criticidade",IF((IF(I417="SIM",2,0)+IF(K417="SIM",2,0)+IF(AF417="SIM",2,0)+IF(OR(AN417="Dados pessoais",AN417="Dados sensíveis",AN417="Dados pessoais e sensíveis"),2,0)+IF(O417="De 1.001 a 10.000 titulares por mês",1,0)+IF(AA417="SIM",1,0)+IF(R417="SIM",1,0)+IF(AL417="SIM",1,0)+IF(AJ417="NÃO",1,0))&gt;=3,"Avaliação necessária","NÃO"))))</f>
      </c>
      <c r="AR417" s="11"/>
      <c r="AS417" s="113">
        <f>IF(AND(I417="",K417="",AF417="",AL417="",AN417="",O417=""),"",IF(OR(I417="SIM",K417="SIM",AF417="SIM",AL417="SIM",OR(AN417="Dados pessoais",AN417="Dados sensíveis",AN417="Dados pessoais e sensíveis"),O417="Acima de 10.000 titulares por mês",(IF(I417="SIM",2,0)+IF(K417="SIM",2,0)+IF(AF417="SIM",2,0)+IF(OR(AN417="Dados pessoais",AN417="Dados sensíveis",AN417="Dados pessoais e sensíveis"),2,0)+IF(O417="De 1.001 a 10.000 titulares por mês",1,0)+IF(AA417="SIM",1,0)+IF(R417="SIM",1,0)+IF(AL417="SIM",1,0)+IF(AJ417="NÃO",1,0))&gt;=3),"DPIA indicado ou em avaliação em razão de: " &amp; TRIM(IF(I417="SIM","tratamento de dados sensíveis; ","") &amp; IF(K417="SIM","utilização de dados de menores; ","") &amp; IF(AF417="SIM","transferência internacional de dados; ","") &amp; IF(AL417="SIM","utilização de inteligência artificial; ","") &amp; IF(OR(AN417="Dados pessoais",AN417="Dados sensíveis",AN417="Dados pessoais e sensíveis"),"dados inseridos em IA; ","") &amp; IF(O417="Acima de 10.000 titulares por mês","volume crítico de titulares; ","") &amp; IF(O417="De 1.001 a 10.000 titulares por mês","volume moderado de titulares; ","") &amp; IF(AA417="SIM","compartilhamento com terceiros; ","") &amp; IF(R417="SIM","compartilhamento com órgãos governamentais; ","") &amp; IF(AJ417="NÃO","ausência de controle de acesso por perfil; ","")),"DPIA não indicado: Processo de baixa criticidade."))</f>
      </c>
    </row>
    <row x14ac:dyDescent="0.25" r="418" customHeight="1" ht="15.75">
      <c r="A418" s="46"/>
      <c r="B418" s="6"/>
      <c r="C418" s="11"/>
      <c r="D418" s="11"/>
      <c r="E418" s="11"/>
      <c r="F418" s="29"/>
      <c r="G418" s="11"/>
      <c r="H418" s="11"/>
      <c r="I418" s="29"/>
      <c r="J418" s="11"/>
      <c r="K418" s="29"/>
      <c r="L418" s="11"/>
      <c r="M418" s="11"/>
      <c r="N418" s="11"/>
      <c r="O418" s="29"/>
      <c r="P418" s="29"/>
      <c r="Q418" s="11"/>
      <c r="R418" s="29"/>
      <c r="S418" s="11"/>
      <c r="T418" s="6"/>
      <c r="U418" s="29"/>
      <c r="V418" s="11"/>
      <c r="W418" s="11"/>
      <c r="X418" s="29"/>
      <c r="Y418" s="11"/>
      <c r="Z418" s="29"/>
      <c r="AA418" s="29"/>
      <c r="AB418" s="11"/>
      <c r="AC418" s="11"/>
      <c r="AD418" s="29"/>
      <c r="AE418" s="11"/>
      <c r="AF418" s="29"/>
      <c r="AG418" s="11"/>
      <c r="AH418" s="29"/>
      <c r="AI418" s="11"/>
      <c r="AJ418" s="29"/>
      <c r="AK418" s="29"/>
      <c r="AL418" s="29"/>
      <c r="AM418" s="11"/>
      <c r="AN418" s="29"/>
      <c r="AO418" s="29"/>
      <c r="AP418" s="6"/>
      <c r="AQ418" s="113">
        <f>IF(AND(I418="",K418="",AF418="",AL418="",AN418="",O418=""),"",IF(OR(I418="SIM",K418="SIM",AF418="SIM",AL418="SIM",AN418="Dados pessoais",AN418="Dados sensíveis",AN418="Dados pessoais e sensíveis",O418="Acima de 10.000 titulares por mês"),"SIM - Alta criticidade",IF((IF(I418="SIM",2,0)+IF(K418="SIM",2,0)+IF(AF418="SIM",2,0)+IF(OR(AN418="Dados pessoais",AN418="Dados sensíveis",AN418="Dados pessoais e sensíveis"),2,0)+IF(O418="De 1.001 a 10.000 titulares por mês",1,0)+IF(AA418="SIM",1,0)+IF(R418="SIM",1,0)+IF(AL418="SIM",1,0)+IF(AJ418="NÃO",1,0))&gt;=5,"SIM - Alta criticidade",IF((IF(I418="SIM",2,0)+IF(K418="SIM",2,0)+IF(AF418="SIM",2,0)+IF(OR(AN418="Dados pessoais",AN418="Dados sensíveis",AN418="Dados pessoais e sensíveis"),2,0)+IF(O418="De 1.001 a 10.000 titulares por mês",1,0)+IF(AA418="SIM",1,0)+IF(R418="SIM",1,0)+IF(AL418="SIM",1,0)+IF(AJ418="NÃO",1,0))&gt;=3,"Avaliação necessária","NÃO"))))</f>
      </c>
      <c r="AR418" s="11"/>
      <c r="AS418" s="113">
        <f>IF(AND(I418="",K418="",AF418="",AL418="",AN418="",O418=""),"",IF(OR(I418="SIM",K418="SIM",AF418="SIM",AL418="SIM",OR(AN418="Dados pessoais",AN418="Dados sensíveis",AN418="Dados pessoais e sensíveis"),O418="Acima de 10.000 titulares por mês",(IF(I418="SIM",2,0)+IF(K418="SIM",2,0)+IF(AF418="SIM",2,0)+IF(OR(AN418="Dados pessoais",AN418="Dados sensíveis",AN418="Dados pessoais e sensíveis"),2,0)+IF(O418="De 1.001 a 10.000 titulares por mês",1,0)+IF(AA418="SIM",1,0)+IF(R418="SIM",1,0)+IF(AL418="SIM",1,0)+IF(AJ418="NÃO",1,0))&gt;=3),"DPIA indicado ou em avaliação em razão de: " &amp; TRIM(IF(I418="SIM","tratamento de dados sensíveis; ","") &amp; IF(K418="SIM","utilização de dados de menores; ","") &amp; IF(AF418="SIM","transferência internacional de dados; ","") &amp; IF(AL418="SIM","utilização de inteligência artificial; ","") &amp; IF(OR(AN418="Dados pessoais",AN418="Dados sensíveis",AN418="Dados pessoais e sensíveis"),"dados inseridos em IA; ","") &amp; IF(O418="Acima de 10.000 titulares por mês","volume crítico de titulares; ","") &amp; IF(O418="De 1.001 a 10.000 titulares por mês","volume moderado de titulares; ","") &amp; IF(AA418="SIM","compartilhamento com terceiros; ","") &amp; IF(R418="SIM","compartilhamento com órgãos governamentais; ","") &amp; IF(AJ418="NÃO","ausência de controle de acesso por perfil; ","")),"DPIA não indicado: Processo de baixa criticidade."))</f>
      </c>
    </row>
    <row x14ac:dyDescent="0.25" r="419" customHeight="1" ht="15.75">
      <c r="A419" s="46"/>
      <c r="B419" s="6"/>
      <c r="C419" s="11"/>
      <c r="D419" s="11"/>
      <c r="E419" s="11"/>
      <c r="F419" s="29"/>
      <c r="G419" s="11"/>
      <c r="H419" s="11"/>
      <c r="I419" s="29"/>
      <c r="J419" s="11"/>
      <c r="K419" s="29"/>
      <c r="L419" s="11"/>
      <c r="M419" s="11"/>
      <c r="N419" s="11"/>
      <c r="O419" s="29"/>
      <c r="P419" s="29"/>
      <c r="Q419" s="11"/>
      <c r="R419" s="29"/>
      <c r="S419" s="11"/>
      <c r="T419" s="6"/>
      <c r="U419" s="29"/>
      <c r="V419" s="11"/>
      <c r="W419" s="11"/>
      <c r="X419" s="29"/>
      <c r="Y419" s="11"/>
      <c r="Z419" s="29"/>
      <c r="AA419" s="29"/>
      <c r="AB419" s="11"/>
      <c r="AC419" s="11"/>
      <c r="AD419" s="29"/>
      <c r="AE419" s="11"/>
      <c r="AF419" s="29"/>
      <c r="AG419" s="11"/>
      <c r="AH419" s="29"/>
      <c r="AI419" s="11"/>
      <c r="AJ419" s="29"/>
      <c r="AK419" s="29"/>
      <c r="AL419" s="29"/>
      <c r="AM419" s="11"/>
      <c r="AN419" s="29"/>
      <c r="AO419" s="29"/>
      <c r="AP419" s="6"/>
      <c r="AQ419" s="113">
        <f>IF(AND(I419="",K419="",AF419="",AL419="",AN419="",O419=""),"",IF(OR(I419="SIM",K419="SIM",AF419="SIM",AL419="SIM",AN419="Dados pessoais",AN419="Dados sensíveis",AN419="Dados pessoais e sensíveis",O419="Acima de 10.000 titulares por mês"),"SIM - Alta criticidade",IF((IF(I419="SIM",2,0)+IF(K419="SIM",2,0)+IF(AF419="SIM",2,0)+IF(OR(AN419="Dados pessoais",AN419="Dados sensíveis",AN419="Dados pessoais e sensíveis"),2,0)+IF(O419="De 1.001 a 10.000 titulares por mês",1,0)+IF(AA419="SIM",1,0)+IF(R419="SIM",1,0)+IF(AL419="SIM",1,0)+IF(AJ419="NÃO",1,0))&gt;=5,"SIM - Alta criticidade",IF((IF(I419="SIM",2,0)+IF(K419="SIM",2,0)+IF(AF419="SIM",2,0)+IF(OR(AN419="Dados pessoais",AN419="Dados sensíveis",AN419="Dados pessoais e sensíveis"),2,0)+IF(O419="De 1.001 a 10.000 titulares por mês",1,0)+IF(AA419="SIM",1,0)+IF(R419="SIM",1,0)+IF(AL419="SIM",1,0)+IF(AJ419="NÃO",1,0))&gt;=3,"Avaliação necessária","NÃO"))))</f>
      </c>
      <c r="AR419" s="11"/>
      <c r="AS419" s="113">
        <f>IF(AND(I419="",K419="",AF419="",AL419="",AN419="",O419=""),"",IF(OR(I419="SIM",K419="SIM",AF419="SIM",AL419="SIM",OR(AN419="Dados pessoais",AN419="Dados sensíveis",AN419="Dados pessoais e sensíveis"),O419="Acima de 10.000 titulares por mês",(IF(I419="SIM",2,0)+IF(K419="SIM",2,0)+IF(AF419="SIM",2,0)+IF(OR(AN419="Dados pessoais",AN419="Dados sensíveis",AN419="Dados pessoais e sensíveis"),2,0)+IF(O419="De 1.001 a 10.000 titulares por mês",1,0)+IF(AA419="SIM",1,0)+IF(R419="SIM",1,0)+IF(AL419="SIM",1,0)+IF(AJ419="NÃO",1,0))&gt;=3),"DPIA indicado ou em avaliação em razão de: " &amp; TRIM(IF(I419="SIM","tratamento de dados sensíveis; ","") &amp; IF(K419="SIM","utilização de dados de menores; ","") &amp; IF(AF419="SIM","transferência internacional de dados; ","") &amp; IF(AL419="SIM","utilização de inteligência artificial; ","") &amp; IF(OR(AN419="Dados pessoais",AN419="Dados sensíveis",AN419="Dados pessoais e sensíveis"),"dados inseridos em IA; ","") &amp; IF(O419="Acima de 10.000 titulares por mês","volume crítico de titulares; ","") &amp; IF(O419="De 1.001 a 10.000 titulares por mês","volume moderado de titulares; ","") &amp; IF(AA419="SIM","compartilhamento com terceiros; ","") &amp; IF(R419="SIM","compartilhamento com órgãos governamentais; ","") &amp; IF(AJ419="NÃO","ausência de controle de acesso por perfil; ","")),"DPIA não indicado: Processo de baixa criticidade."))</f>
      </c>
    </row>
    <row x14ac:dyDescent="0.25" r="420" customHeight="1" ht="15.75">
      <c r="A420" s="46"/>
      <c r="B420" s="6"/>
      <c r="C420" s="11"/>
      <c r="D420" s="11"/>
      <c r="E420" s="11"/>
      <c r="F420" s="29"/>
      <c r="G420" s="11"/>
      <c r="H420" s="11"/>
      <c r="I420" s="29"/>
      <c r="J420" s="11"/>
      <c r="K420" s="29"/>
      <c r="L420" s="11"/>
      <c r="M420" s="11"/>
      <c r="N420" s="11"/>
      <c r="O420" s="29"/>
      <c r="P420" s="29"/>
      <c r="Q420" s="11"/>
      <c r="R420" s="29"/>
      <c r="S420" s="11"/>
      <c r="T420" s="6"/>
      <c r="U420" s="29"/>
      <c r="V420" s="11"/>
      <c r="W420" s="11"/>
      <c r="X420" s="29"/>
      <c r="Y420" s="11"/>
      <c r="Z420" s="29"/>
      <c r="AA420" s="29"/>
      <c r="AB420" s="11"/>
      <c r="AC420" s="11"/>
      <c r="AD420" s="29"/>
      <c r="AE420" s="11"/>
      <c r="AF420" s="29"/>
      <c r="AG420" s="11"/>
      <c r="AH420" s="29"/>
      <c r="AI420" s="11"/>
      <c r="AJ420" s="29"/>
      <c r="AK420" s="29"/>
      <c r="AL420" s="29"/>
      <c r="AM420" s="11"/>
      <c r="AN420" s="29"/>
      <c r="AO420" s="29"/>
      <c r="AP420" s="6"/>
      <c r="AQ420" s="113">
        <f>IF(AND(I420="",K420="",AF420="",AL420="",AN420="",O420=""),"",IF(OR(I420="SIM",K420="SIM",AF420="SIM",AL420="SIM",AN420="Dados pessoais",AN420="Dados sensíveis",AN420="Dados pessoais e sensíveis",O420="Acima de 10.000 titulares por mês"),"SIM - Alta criticidade",IF((IF(I420="SIM",2,0)+IF(K420="SIM",2,0)+IF(AF420="SIM",2,0)+IF(OR(AN420="Dados pessoais",AN420="Dados sensíveis",AN420="Dados pessoais e sensíveis"),2,0)+IF(O420="De 1.001 a 10.000 titulares por mês",1,0)+IF(AA420="SIM",1,0)+IF(R420="SIM",1,0)+IF(AL420="SIM",1,0)+IF(AJ420="NÃO",1,0))&gt;=5,"SIM - Alta criticidade",IF((IF(I420="SIM",2,0)+IF(K420="SIM",2,0)+IF(AF420="SIM",2,0)+IF(OR(AN420="Dados pessoais",AN420="Dados sensíveis",AN420="Dados pessoais e sensíveis"),2,0)+IF(O420="De 1.001 a 10.000 titulares por mês",1,0)+IF(AA420="SIM",1,0)+IF(R420="SIM",1,0)+IF(AL420="SIM",1,0)+IF(AJ420="NÃO",1,0))&gt;=3,"Avaliação necessária","NÃO"))))</f>
      </c>
      <c r="AR420" s="11"/>
      <c r="AS420" s="113">
        <f>IF(AND(I420="",K420="",AF420="",AL420="",AN420="",O420=""),"",IF(OR(I420="SIM",K420="SIM",AF420="SIM",AL420="SIM",OR(AN420="Dados pessoais",AN420="Dados sensíveis",AN420="Dados pessoais e sensíveis"),O420="Acima de 10.000 titulares por mês",(IF(I420="SIM",2,0)+IF(K420="SIM",2,0)+IF(AF420="SIM",2,0)+IF(OR(AN420="Dados pessoais",AN420="Dados sensíveis",AN420="Dados pessoais e sensíveis"),2,0)+IF(O420="De 1.001 a 10.000 titulares por mês",1,0)+IF(AA420="SIM",1,0)+IF(R420="SIM",1,0)+IF(AL420="SIM",1,0)+IF(AJ420="NÃO",1,0))&gt;=3),"DPIA indicado ou em avaliação em razão de: " &amp; TRIM(IF(I420="SIM","tratamento de dados sensíveis; ","") &amp; IF(K420="SIM","utilização de dados de menores; ","") &amp; IF(AF420="SIM","transferência internacional de dados; ","") &amp; IF(AL420="SIM","utilização de inteligência artificial; ","") &amp; IF(OR(AN420="Dados pessoais",AN420="Dados sensíveis",AN420="Dados pessoais e sensíveis"),"dados inseridos em IA; ","") &amp; IF(O420="Acima de 10.000 titulares por mês","volume crítico de titulares; ","") &amp; IF(O420="De 1.001 a 10.000 titulares por mês","volume moderado de titulares; ","") &amp; IF(AA420="SIM","compartilhamento com terceiros; ","") &amp; IF(R420="SIM","compartilhamento com órgãos governamentais; ","") &amp; IF(AJ420="NÃO","ausência de controle de acesso por perfil; ","")),"DPIA não indicado: Processo de baixa criticidade."))</f>
      </c>
    </row>
    <row x14ac:dyDescent="0.25" r="421" customHeight="1" ht="15.75">
      <c r="A421" s="46"/>
      <c r="B421" s="6"/>
      <c r="C421" s="11"/>
      <c r="D421" s="11"/>
      <c r="E421" s="11"/>
      <c r="F421" s="29"/>
      <c r="G421" s="11"/>
      <c r="H421" s="11"/>
      <c r="I421" s="29"/>
      <c r="J421" s="11"/>
      <c r="K421" s="29"/>
      <c r="L421" s="11"/>
      <c r="M421" s="11"/>
      <c r="N421" s="11"/>
      <c r="O421" s="29"/>
      <c r="P421" s="29"/>
      <c r="Q421" s="11"/>
      <c r="R421" s="29"/>
      <c r="S421" s="11"/>
      <c r="T421" s="6"/>
      <c r="U421" s="29"/>
      <c r="V421" s="11"/>
      <c r="W421" s="11"/>
      <c r="X421" s="29"/>
      <c r="Y421" s="11"/>
      <c r="Z421" s="29"/>
      <c r="AA421" s="29"/>
      <c r="AB421" s="11"/>
      <c r="AC421" s="11"/>
      <c r="AD421" s="29"/>
      <c r="AE421" s="11"/>
      <c r="AF421" s="29"/>
      <c r="AG421" s="11"/>
      <c r="AH421" s="29"/>
      <c r="AI421" s="11"/>
      <c r="AJ421" s="29"/>
      <c r="AK421" s="29"/>
      <c r="AL421" s="29"/>
      <c r="AM421" s="11"/>
      <c r="AN421" s="29"/>
      <c r="AO421" s="29"/>
      <c r="AP421" s="6"/>
      <c r="AQ421" s="113">
        <f>IF(AND(I421="",K421="",AF421="",AL421="",AN421="",O421=""),"",IF(OR(I421="SIM",K421="SIM",AF421="SIM",AL421="SIM",AN421="Dados pessoais",AN421="Dados sensíveis",AN421="Dados pessoais e sensíveis",O421="Acima de 10.000 titulares por mês"),"SIM - Alta criticidade",IF((IF(I421="SIM",2,0)+IF(K421="SIM",2,0)+IF(AF421="SIM",2,0)+IF(OR(AN421="Dados pessoais",AN421="Dados sensíveis",AN421="Dados pessoais e sensíveis"),2,0)+IF(O421="De 1.001 a 10.000 titulares por mês",1,0)+IF(AA421="SIM",1,0)+IF(R421="SIM",1,0)+IF(AL421="SIM",1,0)+IF(AJ421="NÃO",1,0))&gt;=5,"SIM - Alta criticidade",IF((IF(I421="SIM",2,0)+IF(K421="SIM",2,0)+IF(AF421="SIM",2,0)+IF(OR(AN421="Dados pessoais",AN421="Dados sensíveis",AN421="Dados pessoais e sensíveis"),2,0)+IF(O421="De 1.001 a 10.000 titulares por mês",1,0)+IF(AA421="SIM",1,0)+IF(R421="SIM",1,0)+IF(AL421="SIM",1,0)+IF(AJ421="NÃO",1,0))&gt;=3,"Avaliação necessária","NÃO"))))</f>
      </c>
      <c r="AR421" s="11"/>
      <c r="AS421" s="113">
        <f>IF(AND(I421="",K421="",AF421="",AL421="",AN421="",O421=""),"",IF(OR(I421="SIM",K421="SIM",AF421="SIM",AL421="SIM",OR(AN421="Dados pessoais",AN421="Dados sensíveis",AN421="Dados pessoais e sensíveis"),O421="Acima de 10.000 titulares por mês",(IF(I421="SIM",2,0)+IF(K421="SIM",2,0)+IF(AF421="SIM",2,0)+IF(OR(AN421="Dados pessoais",AN421="Dados sensíveis",AN421="Dados pessoais e sensíveis"),2,0)+IF(O421="De 1.001 a 10.000 titulares por mês",1,0)+IF(AA421="SIM",1,0)+IF(R421="SIM",1,0)+IF(AL421="SIM",1,0)+IF(AJ421="NÃO",1,0))&gt;=3),"DPIA indicado ou em avaliação em razão de: " &amp; TRIM(IF(I421="SIM","tratamento de dados sensíveis; ","") &amp; IF(K421="SIM","utilização de dados de menores; ","") &amp; IF(AF421="SIM","transferência internacional de dados; ","") &amp; IF(AL421="SIM","utilização de inteligência artificial; ","") &amp; IF(OR(AN421="Dados pessoais",AN421="Dados sensíveis",AN421="Dados pessoais e sensíveis"),"dados inseridos em IA; ","") &amp; IF(O421="Acima de 10.000 titulares por mês","volume crítico de titulares; ","") &amp; IF(O421="De 1.001 a 10.000 titulares por mês","volume moderado de titulares; ","") &amp; IF(AA421="SIM","compartilhamento com terceiros; ","") &amp; IF(R421="SIM","compartilhamento com órgãos governamentais; ","") &amp; IF(AJ421="NÃO","ausência de controle de acesso por perfil; ","")),"DPIA não indicado: Processo de baixa criticidade."))</f>
      </c>
    </row>
    <row x14ac:dyDescent="0.25" r="422" customHeight="1" ht="15.75">
      <c r="A422" s="46"/>
      <c r="B422" s="6"/>
      <c r="C422" s="11"/>
      <c r="D422" s="11"/>
      <c r="E422" s="11"/>
      <c r="F422" s="29"/>
      <c r="G422" s="11"/>
      <c r="H422" s="11"/>
      <c r="I422" s="29"/>
      <c r="J422" s="11"/>
      <c r="K422" s="29"/>
      <c r="L422" s="11"/>
      <c r="M422" s="11"/>
      <c r="N422" s="11"/>
      <c r="O422" s="29"/>
      <c r="P422" s="29"/>
      <c r="Q422" s="11"/>
      <c r="R422" s="29"/>
      <c r="S422" s="11"/>
      <c r="T422" s="6"/>
      <c r="U422" s="29"/>
      <c r="V422" s="11"/>
      <c r="W422" s="11"/>
      <c r="X422" s="29"/>
      <c r="Y422" s="11"/>
      <c r="Z422" s="29"/>
      <c r="AA422" s="29"/>
      <c r="AB422" s="11"/>
      <c r="AC422" s="11"/>
      <c r="AD422" s="29"/>
      <c r="AE422" s="11"/>
      <c r="AF422" s="29"/>
      <c r="AG422" s="11"/>
      <c r="AH422" s="29"/>
      <c r="AI422" s="11"/>
      <c r="AJ422" s="29"/>
      <c r="AK422" s="29"/>
      <c r="AL422" s="29"/>
      <c r="AM422" s="11"/>
      <c r="AN422" s="29"/>
      <c r="AO422" s="29"/>
      <c r="AP422" s="6"/>
      <c r="AQ422" s="113">
        <f>IF(AND(I422="",K422="",AF422="",AL422="",AN422="",O422=""),"",IF(OR(I422="SIM",K422="SIM",AF422="SIM",AL422="SIM",AN422="Dados pessoais",AN422="Dados sensíveis",AN422="Dados pessoais e sensíveis",O422="Acima de 10.000 titulares por mês"),"SIM - Alta criticidade",IF((IF(I422="SIM",2,0)+IF(K422="SIM",2,0)+IF(AF422="SIM",2,0)+IF(OR(AN422="Dados pessoais",AN422="Dados sensíveis",AN422="Dados pessoais e sensíveis"),2,0)+IF(O422="De 1.001 a 10.000 titulares por mês",1,0)+IF(AA422="SIM",1,0)+IF(R422="SIM",1,0)+IF(AL422="SIM",1,0)+IF(AJ422="NÃO",1,0))&gt;=5,"SIM - Alta criticidade",IF((IF(I422="SIM",2,0)+IF(K422="SIM",2,0)+IF(AF422="SIM",2,0)+IF(OR(AN422="Dados pessoais",AN422="Dados sensíveis",AN422="Dados pessoais e sensíveis"),2,0)+IF(O422="De 1.001 a 10.000 titulares por mês",1,0)+IF(AA422="SIM",1,0)+IF(R422="SIM",1,0)+IF(AL422="SIM",1,0)+IF(AJ422="NÃO",1,0))&gt;=3,"Avaliação necessária","NÃO"))))</f>
      </c>
      <c r="AR422" s="11"/>
      <c r="AS422" s="113">
        <f>IF(AND(I422="",K422="",AF422="",AL422="",AN422="",O422=""),"",IF(OR(I422="SIM",K422="SIM",AF422="SIM",AL422="SIM",OR(AN422="Dados pessoais",AN422="Dados sensíveis",AN422="Dados pessoais e sensíveis"),O422="Acima de 10.000 titulares por mês",(IF(I422="SIM",2,0)+IF(K422="SIM",2,0)+IF(AF422="SIM",2,0)+IF(OR(AN422="Dados pessoais",AN422="Dados sensíveis",AN422="Dados pessoais e sensíveis"),2,0)+IF(O422="De 1.001 a 10.000 titulares por mês",1,0)+IF(AA422="SIM",1,0)+IF(R422="SIM",1,0)+IF(AL422="SIM",1,0)+IF(AJ422="NÃO",1,0))&gt;=3),"DPIA indicado ou em avaliação em razão de: " &amp; TRIM(IF(I422="SIM","tratamento de dados sensíveis; ","") &amp; IF(K422="SIM","utilização de dados de menores; ","") &amp; IF(AF422="SIM","transferência internacional de dados; ","") &amp; IF(AL422="SIM","utilização de inteligência artificial; ","") &amp; IF(OR(AN422="Dados pessoais",AN422="Dados sensíveis",AN422="Dados pessoais e sensíveis"),"dados inseridos em IA; ","") &amp; IF(O422="Acima de 10.000 titulares por mês","volume crítico de titulares; ","") &amp; IF(O422="De 1.001 a 10.000 titulares por mês","volume moderado de titulares; ","") &amp; IF(AA422="SIM","compartilhamento com terceiros; ","") &amp; IF(R422="SIM","compartilhamento com órgãos governamentais; ","") &amp; IF(AJ422="NÃO","ausência de controle de acesso por perfil; ","")),"DPIA não indicado: Processo de baixa criticidade."))</f>
      </c>
    </row>
    <row x14ac:dyDescent="0.25" r="423" customHeight="1" ht="15.75">
      <c r="A423" s="46"/>
      <c r="B423" s="6"/>
      <c r="C423" s="11"/>
      <c r="D423" s="11"/>
      <c r="E423" s="11"/>
      <c r="F423" s="29"/>
      <c r="G423" s="11"/>
      <c r="H423" s="11"/>
      <c r="I423" s="29"/>
      <c r="J423" s="11"/>
      <c r="K423" s="29"/>
      <c r="L423" s="11"/>
      <c r="M423" s="11"/>
      <c r="N423" s="11"/>
      <c r="O423" s="29"/>
      <c r="P423" s="29"/>
      <c r="Q423" s="11"/>
      <c r="R423" s="29"/>
      <c r="S423" s="11"/>
      <c r="T423" s="6"/>
      <c r="U423" s="29"/>
      <c r="V423" s="11"/>
      <c r="W423" s="11"/>
      <c r="X423" s="29"/>
      <c r="Y423" s="11"/>
      <c r="Z423" s="29"/>
      <c r="AA423" s="29"/>
      <c r="AB423" s="11"/>
      <c r="AC423" s="11"/>
      <c r="AD423" s="29"/>
      <c r="AE423" s="11"/>
      <c r="AF423" s="29"/>
      <c r="AG423" s="11"/>
      <c r="AH423" s="29"/>
      <c r="AI423" s="11"/>
      <c r="AJ423" s="29"/>
      <c r="AK423" s="29"/>
      <c r="AL423" s="29"/>
      <c r="AM423" s="11"/>
      <c r="AN423" s="29"/>
      <c r="AO423" s="29"/>
      <c r="AP423" s="6"/>
      <c r="AQ423" s="113">
        <f>IF(AND(I423="",K423="",AF423="",AL423="",AN423="",O423=""),"",IF(OR(I423="SIM",K423="SIM",AF423="SIM",AL423="SIM",AN423="Dados pessoais",AN423="Dados sensíveis",AN423="Dados pessoais e sensíveis",O423="Acima de 10.000 titulares por mês"),"SIM - Alta criticidade",IF((IF(I423="SIM",2,0)+IF(K423="SIM",2,0)+IF(AF423="SIM",2,0)+IF(OR(AN423="Dados pessoais",AN423="Dados sensíveis",AN423="Dados pessoais e sensíveis"),2,0)+IF(O423="De 1.001 a 10.000 titulares por mês",1,0)+IF(AA423="SIM",1,0)+IF(R423="SIM",1,0)+IF(AL423="SIM",1,0)+IF(AJ423="NÃO",1,0))&gt;=5,"SIM - Alta criticidade",IF((IF(I423="SIM",2,0)+IF(K423="SIM",2,0)+IF(AF423="SIM",2,0)+IF(OR(AN423="Dados pessoais",AN423="Dados sensíveis",AN423="Dados pessoais e sensíveis"),2,0)+IF(O423="De 1.001 a 10.000 titulares por mês",1,0)+IF(AA423="SIM",1,0)+IF(R423="SIM",1,0)+IF(AL423="SIM",1,0)+IF(AJ423="NÃO",1,0))&gt;=3,"Avaliação necessária","NÃO"))))</f>
      </c>
      <c r="AR423" s="11"/>
      <c r="AS423" s="113">
        <f>IF(AND(I423="",K423="",AF423="",AL423="",AN423="",O423=""),"",IF(OR(I423="SIM",K423="SIM",AF423="SIM",AL423="SIM",OR(AN423="Dados pessoais",AN423="Dados sensíveis",AN423="Dados pessoais e sensíveis"),O423="Acima de 10.000 titulares por mês",(IF(I423="SIM",2,0)+IF(K423="SIM",2,0)+IF(AF423="SIM",2,0)+IF(OR(AN423="Dados pessoais",AN423="Dados sensíveis",AN423="Dados pessoais e sensíveis"),2,0)+IF(O423="De 1.001 a 10.000 titulares por mês",1,0)+IF(AA423="SIM",1,0)+IF(R423="SIM",1,0)+IF(AL423="SIM",1,0)+IF(AJ423="NÃO",1,0))&gt;=3),"DPIA indicado ou em avaliação em razão de: " &amp; TRIM(IF(I423="SIM","tratamento de dados sensíveis; ","") &amp; IF(K423="SIM","utilização de dados de menores; ","") &amp; IF(AF423="SIM","transferência internacional de dados; ","") &amp; IF(AL423="SIM","utilização de inteligência artificial; ","") &amp; IF(OR(AN423="Dados pessoais",AN423="Dados sensíveis",AN423="Dados pessoais e sensíveis"),"dados inseridos em IA; ","") &amp; IF(O423="Acima de 10.000 titulares por mês","volume crítico de titulares; ","") &amp; IF(O423="De 1.001 a 10.000 titulares por mês","volume moderado de titulares; ","") &amp; IF(AA423="SIM","compartilhamento com terceiros; ","") &amp; IF(R423="SIM","compartilhamento com órgãos governamentais; ","") &amp; IF(AJ423="NÃO","ausência de controle de acesso por perfil; ","")),"DPIA não indicado: Processo de baixa criticidade."))</f>
      </c>
    </row>
    <row x14ac:dyDescent="0.25" r="424" customHeight="1" ht="15.75">
      <c r="A424" s="46"/>
      <c r="B424" s="6"/>
      <c r="C424" s="11"/>
      <c r="D424" s="11"/>
      <c r="E424" s="11"/>
      <c r="F424" s="29"/>
      <c r="G424" s="11"/>
      <c r="H424" s="11"/>
      <c r="I424" s="29"/>
      <c r="J424" s="11"/>
      <c r="K424" s="29"/>
      <c r="L424" s="11"/>
      <c r="M424" s="11"/>
      <c r="N424" s="11"/>
      <c r="O424" s="29"/>
      <c r="P424" s="29"/>
      <c r="Q424" s="11"/>
      <c r="R424" s="29"/>
      <c r="S424" s="11"/>
      <c r="T424" s="6"/>
      <c r="U424" s="29"/>
      <c r="V424" s="11"/>
      <c r="W424" s="11"/>
      <c r="X424" s="29"/>
      <c r="Y424" s="11"/>
      <c r="Z424" s="29"/>
      <c r="AA424" s="29"/>
      <c r="AB424" s="11"/>
      <c r="AC424" s="11"/>
      <c r="AD424" s="29"/>
      <c r="AE424" s="11"/>
      <c r="AF424" s="29"/>
      <c r="AG424" s="11"/>
      <c r="AH424" s="29"/>
      <c r="AI424" s="11"/>
      <c r="AJ424" s="29"/>
      <c r="AK424" s="29"/>
      <c r="AL424" s="29"/>
      <c r="AM424" s="11"/>
      <c r="AN424" s="29"/>
      <c r="AO424" s="29"/>
      <c r="AP424" s="6"/>
      <c r="AQ424" s="113">
        <f>IF(AND(I424="",K424="",AF424="",AL424="",AN424="",O424=""),"",IF(OR(I424="SIM",K424="SIM",AF424="SIM",AL424="SIM",AN424="Dados pessoais",AN424="Dados sensíveis",AN424="Dados pessoais e sensíveis",O424="Acima de 10.000 titulares por mês"),"SIM - Alta criticidade",IF((IF(I424="SIM",2,0)+IF(K424="SIM",2,0)+IF(AF424="SIM",2,0)+IF(OR(AN424="Dados pessoais",AN424="Dados sensíveis",AN424="Dados pessoais e sensíveis"),2,0)+IF(O424="De 1.001 a 10.000 titulares por mês",1,0)+IF(AA424="SIM",1,0)+IF(R424="SIM",1,0)+IF(AL424="SIM",1,0)+IF(AJ424="NÃO",1,0))&gt;=5,"SIM - Alta criticidade",IF((IF(I424="SIM",2,0)+IF(K424="SIM",2,0)+IF(AF424="SIM",2,0)+IF(OR(AN424="Dados pessoais",AN424="Dados sensíveis",AN424="Dados pessoais e sensíveis"),2,0)+IF(O424="De 1.001 a 10.000 titulares por mês",1,0)+IF(AA424="SIM",1,0)+IF(R424="SIM",1,0)+IF(AL424="SIM",1,0)+IF(AJ424="NÃO",1,0))&gt;=3,"Avaliação necessária","NÃO"))))</f>
      </c>
      <c r="AR424" s="11"/>
      <c r="AS424" s="113">
        <f>IF(AND(I424="",K424="",AF424="",AL424="",AN424="",O424=""),"",IF(OR(I424="SIM",K424="SIM",AF424="SIM",AL424="SIM",OR(AN424="Dados pessoais",AN424="Dados sensíveis",AN424="Dados pessoais e sensíveis"),O424="Acima de 10.000 titulares por mês",(IF(I424="SIM",2,0)+IF(K424="SIM",2,0)+IF(AF424="SIM",2,0)+IF(OR(AN424="Dados pessoais",AN424="Dados sensíveis",AN424="Dados pessoais e sensíveis"),2,0)+IF(O424="De 1.001 a 10.000 titulares por mês",1,0)+IF(AA424="SIM",1,0)+IF(R424="SIM",1,0)+IF(AL424="SIM",1,0)+IF(AJ424="NÃO",1,0))&gt;=3),"DPIA indicado ou em avaliação em razão de: " &amp; TRIM(IF(I424="SIM","tratamento de dados sensíveis; ","") &amp; IF(K424="SIM","utilização de dados de menores; ","") &amp; IF(AF424="SIM","transferência internacional de dados; ","") &amp; IF(AL424="SIM","utilização de inteligência artificial; ","") &amp; IF(OR(AN424="Dados pessoais",AN424="Dados sensíveis",AN424="Dados pessoais e sensíveis"),"dados inseridos em IA; ","") &amp; IF(O424="Acima de 10.000 titulares por mês","volume crítico de titulares; ","") &amp; IF(O424="De 1.001 a 10.000 titulares por mês","volume moderado de titulares; ","") &amp; IF(AA424="SIM","compartilhamento com terceiros; ","") &amp; IF(R424="SIM","compartilhamento com órgãos governamentais; ","") &amp; IF(AJ424="NÃO","ausência de controle de acesso por perfil; ","")),"DPIA não indicado: Processo de baixa criticidade."))</f>
      </c>
    </row>
    <row x14ac:dyDescent="0.25" r="425" customHeight="1" ht="15.75">
      <c r="A425" s="46"/>
      <c r="B425" s="6"/>
      <c r="C425" s="11"/>
      <c r="D425" s="11"/>
      <c r="E425" s="11"/>
      <c r="F425" s="29"/>
      <c r="G425" s="11"/>
      <c r="H425" s="11"/>
      <c r="I425" s="29"/>
      <c r="J425" s="11"/>
      <c r="K425" s="29"/>
      <c r="L425" s="11"/>
      <c r="M425" s="11"/>
      <c r="N425" s="11"/>
      <c r="O425" s="29"/>
      <c r="P425" s="29"/>
      <c r="Q425" s="11"/>
      <c r="R425" s="29"/>
      <c r="S425" s="11"/>
      <c r="T425" s="6"/>
      <c r="U425" s="29"/>
      <c r="V425" s="11"/>
      <c r="W425" s="11"/>
      <c r="X425" s="29"/>
      <c r="Y425" s="11"/>
      <c r="Z425" s="29"/>
      <c r="AA425" s="29"/>
      <c r="AB425" s="11"/>
      <c r="AC425" s="11"/>
      <c r="AD425" s="29"/>
      <c r="AE425" s="11"/>
      <c r="AF425" s="29"/>
      <c r="AG425" s="11"/>
      <c r="AH425" s="29"/>
      <c r="AI425" s="11"/>
      <c r="AJ425" s="29"/>
      <c r="AK425" s="29"/>
      <c r="AL425" s="29"/>
      <c r="AM425" s="11"/>
      <c r="AN425" s="29"/>
      <c r="AO425" s="29"/>
      <c r="AP425" s="6"/>
      <c r="AQ425" s="113">
        <f>IF(AND(I425="",K425="",AF425="",AL425="",AN425="",O425=""),"",IF(OR(I425="SIM",K425="SIM",AF425="SIM",AL425="SIM",AN425="Dados pessoais",AN425="Dados sensíveis",AN425="Dados pessoais e sensíveis",O425="Acima de 10.000 titulares por mês"),"SIM - Alta criticidade",IF((IF(I425="SIM",2,0)+IF(K425="SIM",2,0)+IF(AF425="SIM",2,0)+IF(OR(AN425="Dados pessoais",AN425="Dados sensíveis",AN425="Dados pessoais e sensíveis"),2,0)+IF(O425="De 1.001 a 10.000 titulares por mês",1,0)+IF(AA425="SIM",1,0)+IF(R425="SIM",1,0)+IF(AL425="SIM",1,0)+IF(AJ425="NÃO",1,0))&gt;=5,"SIM - Alta criticidade",IF((IF(I425="SIM",2,0)+IF(K425="SIM",2,0)+IF(AF425="SIM",2,0)+IF(OR(AN425="Dados pessoais",AN425="Dados sensíveis",AN425="Dados pessoais e sensíveis"),2,0)+IF(O425="De 1.001 a 10.000 titulares por mês",1,0)+IF(AA425="SIM",1,0)+IF(R425="SIM",1,0)+IF(AL425="SIM",1,0)+IF(AJ425="NÃO",1,0))&gt;=3,"Avaliação necessária","NÃO"))))</f>
      </c>
      <c r="AR425" s="11"/>
      <c r="AS425" s="113">
        <f>IF(AND(I425="",K425="",AF425="",AL425="",AN425="",O425=""),"",IF(OR(I425="SIM",K425="SIM",AF425="SIM",AL425="SIM",OR(AN425="Dados pessoais",AN425="Dados sensíveis",AN425="Dados pessoais e sensíveis"),O425="Acima de 10.000 titulares por mês",(IF(I425="SIM",2,0)+IF(K425="SIM",2,0)+IF(AF425="SIM",2,0)+IF(OR(AN425="Dados pessoais",AN425="Dados sensíveis",AN425="Dados pessoais e sensíveis"),2,0)+IF(O425="De 1.001 a 10.000 titulares por mês",1,0)+IF(AA425="SIM",1,0)+IF(R425="SIM",1,0)+IF(AL425="SIM",1,0)+IF(AJ425="NÃO",1,0))&gt;=3),"DPIA indicado ou em avaliação em razão de: " &amp; TRIM(IF(I425="SIM","tratamento de dados sensíveis; ","") &amp; IF(K425="SIM","utilização de dados de menores; ","") &amp; IF(AF425="SIM","transferência internacional de dados; ","") &amp; IF(AL425="SIM","utilização de inteligência artificial; ","") &amp; IF(OR(AN425="Dados pessoais",AN425="Dados sensíveis",AN425="Dados pessoais e sensíveis"),"dados inseridos em IA; ","") &amp; IF(O425="Acima de 10.000 titulares por mês","volume crítico de titulares; ","") &amp; IF(O425="De 1.001 a 10.000 titulares por mês","volume moderado de titulares; ","") &amp; IF(AA425="SIM","compartilhamento com terceiros; ","") &amp; IF(R425="SIM","compartilhamento com órgãos governamentais; ","") &amp; IF(AJ425="NÃO","ausência de controle de acesso por perfil; ","")),"DPIA não indicado: Processo de baixa criticidade."))</f>
      </c>
    </row>
    <row x14ac:dyDescent="0.25" r="426" customHeight="1" ht="15.75">
      <c r="A426" s="46"/>
      <c r="B426" s="6"/>
      <c r="C426" s="11"/>
      <c r="D426" s="11"/>
      <c r="E426" s="11"/>
      <c r="F426" s="29"/>
      <c r="G426" s="11"/>
      <c r="H426" s="11"/>
      <c r="I426" s="29"/>
      <c r="J426" s="11"/>
      <c r="K426" s="29"/>
      <c r="L426" s="11"/>
      <c r="M426" s="11"/>
      <c r="N426" s="11"/>
      <c r="O426" s="29"/>
      <c r="P426" s="29"/>
      <c r="Q426" s="11"/>
      <c r="R426" s="29"/>
      <c r="S426" s="11"/>
      <c r="T426" s="6"/>
      <c r="U426" s="29"/>
      <c r="V426" s="11"/>
      <c r="W426" s="11"/>
      <c r="X426" s="29"/>
      <c r="Y426" s="11"/>
      <c r="Z426" s="29"/>
      <c r="AA426" s="29"/>
      <c r="AB426" s="11"/>
      <c r="AC426" s="11"/>
      <c r="AD426" s="29"/>
      <c r="AE426" s="11"/>
      <c r="AF426" s="29"/>
      <c r="AG426" s="11"/>
      <c r="AH426" s="29"/>
      <c r="AI426" s="11"/>
      <c r="AJ426" s="29"/>
      <c r="AK426" s="29"/>
      <c r="AL426" s="29"/>
      <c r="AM426" s="11"/>
      <c r="AN426" s="29"/>
      <c r="AO426" s="29"/>
      <c r="AP426" s="6"/>
      <c r="AQ426" s="113">
        <f>IF(AND(I426="",K426="",AF426="",AL426="",AN426="",O426=""),"",IF(OR(I426="SIM",K426="SIM",AF426="SIM",AL426="SIM",AN426="Dados pessoais",AN426="Dados sensíveis",AN426="Dados pessoais e sensíveis",O426="Acima de 10.000 titulares por mês"),"SIM - Alta criticidade",IF((IF(I426="SIM",2,0)+IF(K426="SIM",2,0)+IF(AF426="SIM",2,0)+IF(OR(AN426="Dados pessoais",AN426="Dados sensíveis",AN426="Dados pessoais e sensíveis"),2,0)+IF(O426="De 1.001 a 10.000 titulares por mês",1,0)+IF(AA426="SIM",1,0)+IF(R426="SIM",1,0)+IF(AL426="SIM",1,0)+IF(AJ426="NÃO",1,0))&gt;=5,"SIM - Alta criticidade",IF((IF(I426="SIM",2,0)+IF(K426="SIM",2,0)+IF(AF426="SIM",2,0)+IF(OR(AN426="Dados pessoais",AN426="Dados sensíveis",AN426="Dados pessoais e sensíveis"),2,0)+IF(O426="De 1.001 a 10.000 titulares por mês",1,0)+IF(AA426="SIM",1,0)+IF(R426="SIM",1,0)+IF(AL426="SIM",1,0)+IF(AJ426="NÃO",1,0))&gt;=3,"Avaliação necessária","NÃO"))))</f>
      </c>
      <c r="AR426" s="11"/>
      <c r="AS426" s="113">
        <f>IF(AND(I426="",K426="",AF426="",AL426="",AN426="",O426=""),"",IF(OR(I426="SIM",K426="SIM",AF426="SIM",AL426="SIM",OR(AN426="Dados pessoais",AN426="Dados sensíveis",AN426="Dados pessoais e sensíveis"),O426="Acima de 10.000 titulares por mês",(IF(I426="SIM",2,0)+IF(K426="SIM",2,0)+IF(AF426="SIM",2,0)+IF(OR(AN426="Dados pessoais",AN426="Dados sensíveis",AN426="Dados pessoais e sensíveis"),2,0)+IF(O426="De 1.001 a 10.000 titulares por mês",1,0)+IF(AA426="SIM",1,0)+IF(R426="SIM",1,0)+IF(AL426="SIM",1,0)+IF(AJ426="NÃO",1,0))&gt;=3),"DPIA indicado ou em avaliação em razão de: " &amp; TRIM(IF(I426="SIM","tratamento de dados sensíveis; ","") &amp; IF(K426="SIM","utilização de dados de menores; ","") &amp; IF(AF426="SIM","transferência internacional de dados; ","") &amp; IF(AL426="SIM","utilização de inteligência artificial; ","") &amp; IF(OR(AN426="Dados pessoais",AN426="Dados sensíveis",AN426="Dados pessoais e sensíveis"),"dados inseridos em IA; ","") &amp; IF(O426="Acima de 10.000 titulares por mês","volume crítico de titulares; ","") &amp; IF(O426="De 1.001 a 10.000 titulares por mês","volume moderado de titulares; ","") &amp; IF(AA426="SIM","compartilhamento com terceiros; ","") &amp; IF(R426="SIM","compartilhamento com órgãos governamentais; ","") &amp; IF(AJ426="NÃO","ausência de controle de acesso por perfil; ","")),"DPIA não indicado: Processo de baixa criticidade."))</f>
      </c>
    </row>
    <row x14ac:dyDescent="0.25" r="427" customHeight="1" ht="15.75">
      <c r="A427" s="46"/>
      <c r="B427" s="6"/>
      <c r="C427" s="11"/>
      <c r="D427" s="11"/>
      <c r="E427" s="11"/>
      <c r="F427" s="29"/>
      <c r="G427" s="11"/>
      <c r="H427" s="11"/>
      <c r="I427" s="29"/>
      <c r="J427" s="11"/>
      <c r="K427" s="29"/>
      <c r="L427" s="11"/>
      <c r="M427" s="11"/>
      <c r="N427" s="11"/>
      <c r="O427" s="29"/>
      <c r="P427" s="29"/>
      <c r="Q427" s="11"/>
      <c r="R427" s="29"/>
      <c r="S427" s="11"/>
      <c r="T427" s="6"/>
      <c r="U427" s="29"/>
      <c r="V427" s="11"/>
      <c r="W427" s="11"/>
      <c r="X427" s="29"/>
      <c r="Y427" s="11"/>
      <c r="Z427" s="29"/>
      <c r="AA427" s="29"/>
      <c r="AB427" s="11"/>
      <c r="AC427" s="11"/>
      <c r="AD427" s="29"/>
      <c r="AE427" s="11"/>
      <c r="AF427" s="29"/>
      <c r="AG427" s="11"/>
      <c r="AH427" s="29"/>
      <c r="AI427" s="11"/>
      <c r="AJ427" s="29"/>
      <c r="AK427" s="29"/>
      <c r="AL427" s="29"/>
      <c r="AM427" s="11"/>
      <c r="AN427" s="29"/>
      <c r="AO427" s="29"/>
      <c r="AP427" s="6"/>
      <c r="AQ427" s="113">
        <f>IF(AND(I427="",K427="",AF427="",AL427="",AN427="",O427=""),"",IF(OR(I427="SIM",K427="SIM",AF427="SIM",AL427="SIM",AN427="Dados pessoais",AN427="Dados sensíveis",AN427="Dados pessoais e sensíveis",O427="Acima de 10.000 titulares por mês"),"SIM - Alta criticidade",IF((IF(I427="SIM",2,0)+IF(K427="SIM",2,0)+IF(AF427="SIM",2,0)+IF(OR(AN427="Dados pessoais",AN427="Dados sensíveis",AN427="Dados pessoais e sensíveis"),2,0)+IF(O427="De 1.001 a 10.000 titulares por mês",1,0)+IF(AA427="SIM",1,0)+IF(R427="SIM",1,0)+IF(AL427="SIM",1,0)+IF(AJ427="NÃO",1,0))&gt;=5,"SIM - Alta criticidade",IF((IF(I427="SIM",2,0)+IF(K427="SIM",2,0)+IF(AF427="SIM",2,0)+IF(OR(AN427="Dados pessoais",AN427="Dados sensíveis",AN427="Dados pessoais e sensíveis"),2,0)+IF(O427="De 1.001 a 10.000 titulares por mês",1,0)+IF(AA427="SIM",1,0)+IF(R427="SIM",1,0)+IF(AL427="SIM",1,0)+IF(AJ427="NÃO",1,0))&gt;=3,"Avaliação necessária","NÃO"))))</f>
      </c>
      <c r="AR427" s="11"/>
      <c r="AS427" s="113">
        <f>IF(AND(I427="",K427="",AF427="",AL427="",AN427="",O427=""),"",IF(OR(I427="SIM",K427="SIM",AF427="SIM",AL427="SIM",OR(AN427="Dados pessoais",AN427="Dados sensíveis",AN427="Dados pessoais e sensíveis"),O427="Acima de 10.000 titulares por mês",(IF(I427="SIM",2,0)+IF(K427="SIM",2,0)+IF(AF427="SIM",2,0)+IF(OR(AN427="Dados pessoais",AN427="Dados sensíveis",AN427="Dados pessoais e sensíveis"),2,0)+IF(O427="De 1.001 a 10.000 titulares por mês",1,0)+IF(AA427="SIM",1,0)+IF(R427="SIM",1,0)+IF(AL427="SIM",1,0)+IF(AJ427="NÃO",1,0))&gt;=3),"DPIA indicado ou em avaliação em razão de: " &amp; TRIM(IF(I427="SIM","tratamento de dados sensíveis; ","") &amp; IF(K427="SIM","utilização de dados de menores; ","") &amp; IF(AF427="SIM","transferência internacional de dados; ","") &amp; IF(AL427="SIM","utilização de inteligência artificial; ","") &amp; IF(OR(AN427="Dados pessoais",AN427="Dados sensíveis",AN427="Dados pessoais e sensíveis"),"dados inseridos em IA; ","") &amp; IF(O427="Acima de 10.000 titulares por mês","volume crítico de titulares; ","") &amp; IF(O427="De 1.001 a 10.000 titulares por mês","volume moderado de titulares; ","") &amp; IF(AA427="SIM","compartilhamento com terceiros; ","") &amp; IF(R427="SIM","compartilhamento com órgãos governamentais; ","") &amp; IF(AJ427="NÃO","ausência de controle de acesso por perfil; ","")),"DPIA não indicado: Processo de baixa criticidade."))</f>
      </c>
    </row>
    <row x14ac:dyDescent="0.25" r="428" customHeight="1" ht="15.75">
      <c r="A428" s="46"/>
      <c r="B428" s="6"/>
      <c r="C428" s="11"/>
      <c r="D428" s="11"/>
      <c r="E428" s="11"/>
      <c r="F428" s="29"/>
      <c r="G428" s="11"/>
      <c r="H428" s="11"/>
      <c r="I428" s="29"/>
      <c r="J428" s="11"/>
      <c r="K428" s="29"/>
      <c r="L428" s="11"/>
      <c r="M428" s="11"/>
      <c r="N428" s="11"/>
      <c r="O428" s="29"/>
      <c r="P428" s="29"/>
      <c r="Q428" s="11"/>
      <c r="R428" s="29"/>
      <c r="S428" s="11"/>
      <c r="T428" s="6"/>
      <c r="U428" s="29"/>
      <c r="V428" s="11"/>
      <c r="W428" s="11"/>
      <c r="X428" s="29"/>
      <c r="Y428" s="11"/>
      <c r="Z428" s="29"/>
      <c r="AA428" s="29"/>
      <c r="AB428" s="11"/>
      <c r="AC428" s="11"/>
      <c r="AD428" s="29"/>
      <c r="AE428" s="11"/>
      <c r="AF428" s="29"/>
      <c r="AG428" s="11"/>
      <c r="AH428" s="29"/>
      <c r="AI428" s="11"/>
      <c r="AJ428" s="29"/>
      <c r="AK428" s="29"/>
      <c r="AL428" s="29"/>
      <c r="AM428" s="11"/>
      <c r="AN428" s="29"/>
      <c r="AO428" s="29"/>
      <c r="AP428" s="6"/>
      <c r="AQ428" s="113">
        <f>IF(AND(I428="",K428="",AF428="",AL428="",AN428="",O428=""),"",IF(OR(I428="SIM",K428="SIM",AF428="SIM",AL428="SIM",AN428="Dados pessoais",AN428="Dados sensíveis",AN428="Dados pessoais e sensíveis",O428="Acima de 10.000 titulares por mês"),"SIM - Alta criticidade",IF((IF(I428="SIM",2,0)+IF(K428="SIM",2,0)+IF(AF428="SIM",2,0)+IF(OR(AN428="Dados pessoais",AN428="Dados sensíveis",AN428="Dados pessoais e sensíveis"),2,0)+IF(O428="De 1.001 a 10.000 titulares por mês",1,0)+IF(AA428="SIM",1,0)+IF(R428="SIM",1,0)+IF(AL428="SIM",1,0)+IF(AJ428="NÃO",1,0))&gt;=5,"SIM - Alta criticidade",IF((IF(I428="SIM",2,0)+IF(K428="SIM",2,0)+IF(AF428="SIM",2,0)+IF(OR(AN428="Dados pessoais",AN428="Dados sensíveis",AN428="Dados pessoais e sensíveis"),2,0)+IF(O428="De 1.001 a 10.000 titulares por mês",1,0)+IF(AA428="SIM",1,0)+IF(R428="SIM",1,0)+IF(AL428="SIM",1,0)+IF(AJ428="NÃO",1,0))&gt;=3,"Avaliação necessária","NÃO"))))</f>
      </c>
      <c r="AR428" s="11"/>
      <c r="AS428" s="113">
        <f>IF(AND(I428="",K428="",AF428="",AL428="",AN428="",O428=""),"",IF(OR(I428="SIM",K428="SIM",AF428="SIM",AL428="SIM",OR(AN428="Dados pessoais",AN428="Dados sensíveis",AN428="Dados pessoais e sensíveis"),O428="Acima de 10.000 titulares por mês",(IF(I428="SIM",2,0)+IF(K428="SIM",2,0)+IF(AF428="SIM",2,0)+IF(OR(AN428="Dados pessoais",AN428="Dados sensíveis",AN428="Dados pessoais e sensíveis"),2,0)+IF(O428="De 1.001 a 10.000 titulares por mês",1,0)+IF(AA428="SIM",1,0)+IF(R428="SIM",1,0)+IF(AL428="SIM",1,0)+IF(AJ428="NÃO",1,0))&gt;=3),"DPIA indicado ou em avaliação em razão de: " &amp; TRIM(IF(I428="SIM","tratamento de dados sensíveis; ","") &amp; IF(K428="SIM","utilização de dados de menores; ","") &amp; IF(AF428="SIM","transferência internacional de dados; ","") &amp; IF(AL428="SIM","utilização de inteligência artificial; ","") &amp; IF(OR(AN428="Dados pessoais",AN428="Dados sensíveis",AN428="Dados pessoais e sensíveis"),"dados inseridos em IA; ","") &amp; IF(O428="Acima de 10.000 titulares por mês","volume crítico de titulares; ","") &amp; IF(O428="De 1.001 a 10.000 titulares por mês","volume moderado de titulares; ","") &amp; IF(AA428="SIM","compartilhamento com terceiros; ","") &amp; IF(R428="SIM","compartilhamento com órgãos governamentais; ","") &amp; IF(AJ428="NÃO","ausência de controle de acesso por perfil; ","")),"DPIA não indicado: Processo de baixa criticidade."))</f>
      </c>
    </row>
    <row x14ac:dyDescent="0.25" r="429" customHeight="1" ht="15.75">
      <c r="A429" s="46"/>
      <c r="B429" s="6"/>
      <c r="C429" s="11"/>
      <c r="D429" s="11"/>
      <c r="E429" s="11"/>
      <c r="F429" s="29"/>
      <c r="G429" s="11"/>
      <c r="H429" s="11"/>
      <c r="I429" s="29"/>
      <c r="J429" s="11"/>
      <c r="K429" s="29"/>
      <c r="L429" s="11"/>
      <c r="M429" s="11"/>
      <c r="N429" s="11"/>
      <c r="O429" s="29"/>
      <c r="P429" s="29"/>
      <c r="Q429" s="11"/>
      <c r="R429" s="29"/>
      <c r="S429" s="11"/>
      <c r="T429" s="6"/>
      <c r="U429" s="29"/>
      <c r="V429" s="11"/>
      <c r="W429" s="11"/>
      <c r="X429" s="29"/>
      <c r="Y429" s="11"/>
      <c r="Z429" s="29"/>
      <c r="AA429" s="29"/>
      <c r="AB429" s="11"/>
      <c r="AC429" s="11"/>
      <c r="AD429" s="29"/>
      <c r="AE429" s="11"/>
      <c r="AF429" s="29"/>
      <c r="AG429" s="11"/>
      <c r="AH429" s="29"/>
      <c r="AI429" s="11"/>
      <c r="AJ429" s="29"/>
      <c r="AK429" s="29"/>
      <c r="AL429" s="29"/>
      <c r="AM429" s="11"/>
      <c r="AN429" s="29"/>
      <c r="AO429" s="29"/>
      <c r="AP429" s="6"/>
      <c r="AQ429" s="113">
        <f>IF(AND(I429="",K429="",AF429="",AL429="",AN429="",O429=""),"",IF(OR(I429="SIM",K429="SIM",AF429="SIM",AL429="SIM",AN429="Dados pessoais",AN429="Dados sensíveis",AN429="Dados pessoais e sensíveis",O429="Acima de 10.000 titulares por mês"),"SIM - Alta criticidade",IF((IF(I429="SIM",2,0)+IF(K429="SIM",2,0)+IF(AF429="SIM",2,0)+IF(OR(AN429="Dados pessoais",AN429="Dados sensíveis",AN429="Dados pessoais e sensíveis"),2,0)+IF(O429="De 1.001 a 10.000 titulares por mês",1,0)+IF(AA429="SIM",1,0)+IF(R429="SIM",1,0)+IF(AL429="SIM",1,0)+IF(AJ429="NÃO",1,0))&gt;=5,"SIM - Alta criticidade",IF((IF(I429="SIM",2,0)+IF(K429="SIM",2,0)+IF(AF429="SIM",2,0)+IF(OR(AN429="Dados pessoais",AN429="Dados sensíveis",AN429="Dados pessoais e sensíveis"),2,0)+IF(O429="De 1.001 a 10.000 titulares por mês",1,0)+IF(AA429="SIM",1,0)+IF(R429="SIM",1,0)+IF(AL429="SIM",1,0)+IF(AJ429="NÃO",1,0))&gt;=3,"Avaliação necessária","NÃO"))))</f>
      </c>
      <c r="AR429" s="11"/>
      <c r="AS429" s="113">
        <f>IF(AND(I429="",K429="",AF429="",AL429="",AN429="",O429=""),"",IF(OR(I429="SIM",K429="SIM",AF429="SIM",AL429="SIM",OR(AN429="Dados pessoais",AN429="Dados sensíveis",AN429="Dados pessoais e sensíveis"),O429="Acima de 10.000 titulares por mês",(IF(I429="SIM",2,0)+IF(K429="SIM",2,0)+IF(AF429="SIM",2,0)+IF(OR(AN429="Dados pessoais",AN429="Dados sensíveis",AN429="Dados pessoais e sensíveis"),2,0)+IF(O429="De 1.001 a 10.000 titulares por mês",1,0)+IF(AA429="SIM",1,0)+IF(R429="SIM",1,0)+IF(AL429="SIM",1,0)+IF(AJ429="NÃO",1,0))&gt;=3),"DPIA indicado ou em avaliação em razão de: " &amp; TRIM(IF(I429="SIM","tratamento de dados sensíveis; ","") &amp; IF(K429="SIM","utilização de dados de menores; ","") &amp; IF(AF429="SIM","transferência internacional de dados; ","") &amp; IF(AL429="SIM","utilização de inteligência artificial; ","") &amp; IF(OR(AN429="Dados pessoais",AN429="Dados sensíveis",AN429="Dados pessoais e sensíveis"),"dados inseridos em IA; ","") &amp; IF(O429="Acima de 10.000 titulares por mês","volume crítico de titulares; ","") &amp; IF(O429="De 1.001 a 10.000 titulares por mês","volume moderado de titulares; ","") &amp; IF(AA429="SIM","compartilhamento com terceiros; ","") &amp; IF(R429="SIM","compartilhamento com órgãos governamentais; ","") &amp; IF(AJ429="NÃO","ausência de controle de acesso por perfil; ","")),"DPIA não indicado: Processo de baixa criticidade."))</f>
      </c>
    </row>
    <row x14ac:dyDescent="0.25" r="430" customHeight="1" ht="15.75">
      <c r="A430" s="46"/>
      <c r="B430" s="6"/>
      <c r="C430" s="11"/>
      <c r="D430" s="11"/>
      <c r="E430" s="11"/>
      <c r="F430" s="29"/>
      <c r="G430" s="11"/>
      <c r="H430" s="11"/>
      <c r="I430" s="29"/>
      <c r="J430" s="11"/>
      <c r="K430" s="29"/>
      <c r="L430" s="11"/>
      <c r="M430" s="11"/>
      <c r="N430" s="11"/>
      <c r="O430" s="29"/>
      <c r="P430" s="29"/>
      <c r="Q430" s="11"/>
      <c r="R430" s="29"/>
      <c r="S430" s="11"/>
      <c r="T430" s="6"/>
      <c r="U430" s="29"/>
      <c r="V430" s="11"/>
      <c r="W430" s="11"/>
      <c r="X430" s="29"/>
      <c r="Y430" s="11"/>
      <c r="Z430" s="29"/>
      <c r="AA430" s="29"/>
      <c r="AB430" s="11"/>
      <c r="AC430" s="11"/>
      <c r="AD430" s="29"/>
      <c r="AE430" s="11"/>
      <c r="AF430" s="29"/>
      <c r="AG430" s="11"/>
      <c r="AH430" s="29"/>
      <c r="AI430" s="11"/>
      <c r="AJ430" s="29"/>
      <c r="AK430" s="29"/>
      <c r="AL430" s="29"/>
      <c r="AM430" s="11"/>
      <c r="AN430" s="29"/>
      <c r="AO430" s="29"/>
      <c r="AP430" s="6"/>
      <c r="AQ430" s="113">
        <f>IF(AND(I430="",K430="",AF430="",AL430="",AN430="",O430=""),"",IF(OR(I430="SIM",K430="SIM",AF430="SIM",AL430="SIM",AN430="Dados pessoais",AN430="Dados sensíveis",AN430="Dados pessoais e sensíveis",O430="Acima de 10.000 titulares por mês"),"SIM - Alta criticidade",IF((IF(I430="SIM",2,0)+IF(K430="SIM",2,0)+IF(AF430="SIM",2,0)+IF(OR(AN430="Dados pessoais",AN430="Dados sensíveis",AN430="Dados pessoais e sensíveis"),2,0)+IF(O430="De 1.001 a 10.000 titulares por mês",1,0)+IF(AA430="SIM",1,0)+IF(R430="SIM",1,0)+IF(AL430="SIM",1,0)+IF(AJ430="NÃO",1,0))&gt;=5,"SIM - Alta criticidade",IF((IF(I430="SIM",2,0)+IF(K430="SIM",2,0)+IF(AF430="SIM",2,0)+IF(OR(AN430="Dados pessoais",AN430="Dados sensíveis",AN430="Dados pessoais e sensíveis"),2,0)+IF(O430="De 1.001 a 10.000 titulares por mês",1,0)+IF(AA430="SIM",1,0)+IF(R430="SIM",1,0)+IF(AL430="SIM",1,0)+IF(AJ430="NÃO",1,0))&gt;=3,"Avaliação necessária","NÃO"))))</f>
      </c>
      <c r="AR430" s="11"/>
      <c r="AS430" s="113">
        <f>IF(AND(I430="",K430="",AF430="",AL430="",AN430="",O430=""),"",IF(OR(I430="SIM",K430="SIM",AF430="SIM",AL430="SIM",OR(AN430="Dados pessoais",AN430="Dados sensíveis",AN430="Dados pessoais e sensíveis"),O430="Acima de 10.000 titulares por mês",(IF(I430="SIM",2,0)+IF(K430="SIM",2,0)+IF(AF430="SIM",2,0)+IF(OR(AN430="Dados pessoais",AN430="Dados sensíveis",AN430="Dados pessoais e sensíveis"),2,0)+IF(O430="De 1.001 a 10.000 titulares por mês",1,0)+IF(AA430="SIM",1,0)+IF(R430="SIM",1,0)+IF(AL430="SIM",1,0)+IF(AJ430="NÃO",1,0))&gt;=3),"DPIA indicado ou em avaliação em razão de: " &amp; TRIM(IF(I430="SIM","tratamento de dados sensíveis; ","") &amp; IF(K430="SIM","utilização de dados de menores; ","") &amp; IF(AF430="SIM","transferência internacional de dados; ","") &amp; IF(AL430="SIM","utilização de inteligência artificial; ","") &amp; IF(OR(AN430="Dados pessoais",AN430="Dados sensíveis",AN430="Dados pessoais e sensíveis"),"dados inseridos em IA; ","") &amp; IF(O430="Acima de 10.000 titulares por mês","volume crítico de titulares; ","") &amp; IF(O430="De 1.001 a 10.000 titulares por mês","volume moderado de titulares; ","") &amp; IF(AA430="SIM","compartilhamento com terceiros; ","") &amp; IF(R430="SIM","compartilhamento com órgãos governamentais; ","") &amp; IF(AJ430="NÃO","ausência de controle de acesso por perfil; ","")),"DPIA não indicado: Processo de baixa criticidade."))</f>
      </c>
    </row>
    <row x14ac:dyDescent="0.25" r="431" customHeight="1" ht="15.75">
      <c r="A431" s="46"/>
      <c r="B431" s="6"/>
      <c r="C431" s="11"/>
      <c r="D431" s="11"/>
      <c r="E431" s="11"/>
      <c r="F431" s="29"/>
      <c r="G431" s="11"/>
      <c r="H431" s="11"/>
      <c r="I431" s="29"/>
      <c r="J431" s="11"/>
      <c r="K431" s="29"/>
      <c r="L431" s="11"/>
      <c r="M431" s="11"/>
      <c r="N431" s="11"/>
      <c r="O431" s="29"/>
      <c r="P431" s="29"/>
      <c r="Q431" s="11"/>
      <c r="R431" s="29"/>
      <c r="S431" s="11"/>
      <c r="T431" s="6"/>
      <c r="U431" s="29"/>
      <c r="V431" s="11"/>
      <c r="W431" s="11"/>
      <c r="X431" s="29"/>
      <c r="Y431" s="11"/>
      <c r="Z431" s="29"/>
      <c r="AA431" s="29"/>
      <c r="AB431" s="11"/>
      <c r="AC431" s="11"/>
      <c r="AD431" s="29"/>
      <c r="AE431" s="11"/>
      <c r="AF431" s="29"/>
      <c r="AG431" s="11"/>
      <c r="AH431" s="29"/>
      <c r="AI431" s="11"/>
      <c r="AJ431" s="29"/>
      <c r="AK431" s="29"/>
      <c r="AL431" s="29"/>
      <c r="AM431" s="11"/>
      <c r="AN431" s="29"/>
      <c r="AO431" s="29"/>
      <c r="AP431" s="6"/>
      <c r="AQ431" s="113">
        <f>IF(AND(I431="",K431="",AF431="",AL431="",AN431="",O431=""),"",IF(OR(I431="SIM",K431="SIM",AF431="SIM",AL431="SIM",AN431="Dados pessoais",AN431="Dados sensíveis",AN431="Dados pessoais e sensíveis",O431="Acima de 10.000 titulares por mês"),"SIM - Alta criticidade",IF((IF(I431="SIM",2,0)+IF(K431="SIM",2,0)+IF(AF431="SIM",2,0)+IF(OR(AN431="Dados pessoais",AN431="Dados sensíveis",AN431="Dados pessoais e sensíveis"),2,0)+IF(O431="De 1.001 a 10.000 titulares por mês",1,0)+IF(AA431="SIM",1,0)+IF(R431="SIM",1,0)+IF(AL431="SIM",1,0)+IF(AJ431="NÃO",1,0))&gt;=5,"SIM - Alta criticidade",IF((IF(I431="SIM",2,0)+IF(K431="SIM",2,0)+IF(AF431="SIM",2,0)+IF(OR(AN431="Dados pessoais",AN431="Dados sensíveis",AN431="Dados pessoais e sensíveis"),2,0)+IF(O431="De 1.001 a 10.000 titulares por mês",1,0)+IF(AA431="SIM",1,0)+IF(R431="SIM",1,0)+IF(AL431="SIM",1,0)+IF(AJ431="NÃO",1,0))&gt;=3,"Avaliação necessária","NÃO"))))</f>
      </c>
      <c r="AR431" s="11"/>
      <c r="AS431" s="113">
        <f>IF(AND(I431="",K431="",AF431="",AL431="",AN431="",O431=""),"",IF(OR(I431="SIM",K431="SIM",AF431="SIM",AL431="SIM",OR(AN431="Dados pessoais",AN431="Dados sensíveis",AN431="Dados pessoais e sensíveis"),O431="Acima de 10.000 titulares por mês",(IF(I431="SIM",2,0)+IF(K431="SIM",2,0)+IF(AF431="SIM",2,0)+IF(OR(AN431="Dados pessoais",AN431="Dados sensíveis",AN431="Dados pessoais e sensíveis"),2,0)+IF(O431="De 1.001 a 10.000 titulares por mês",1,0)+IF(AA431="SIM",1,0)+IF(R431="SIM",1,0)+IF(AL431="SIM",1,0)+IF(AJ431="NÃO",1,0))&gt;=3),"DPIA indicado ou em avaliação em razão de: " &amp; TRIM(IF(I431="SIM","tratamento de dados sensíveis; ","") &amp; IF(K431="SIM","utilização de dados de menores; ","") &amp; IF(AF431="SIM","transferência internacional de dados; ","") &amp; IF(AL431="SIM","utilização de inteligência artificial; ","") &amp; IF(OR(AN431="Dados pessoais",AN431="Dados sensíveis",AN431="Dados pessoais e sensíveis"),"dados inseridos em IA; ","") &amp; IF(O431="Acima de 10.000 titulares por mês","volume crítico de titulares; ","") &amp; IF(O431="De 1.001 a 10.000 titulares por mês","volume moderado de titulares; ","") &amp; IF(AA431="SIM","compartilhamento com terceiros; ","") &amp; IF(R431="SIM","compartilhamento com órgãos governamentais; ","") &amp; IF(AJ431="NÃO","ausência de controle de acesso por perfil; ","")),"DPIA não indicado: Processo de baixa criticidade."))</f>
      </c>
    </row>
    <row x14ac:dyDescent="0.25" r="432" customHeight="1" ht="15.75">
      <c r="A432" s="46"/>
      <c r="B432" s="6"/>
      <c r="C432" s="11"/>
      <c r="D432" s="11"/>
      <c r="E432" s="11"/>
      <c r="F432" s="29"/>
      <c r="G432" s="11"/>
      <c r="H432" s="11"/>
      <c r="I432" s="29"/>
      <c r="J432" s="11"/>
      <c r="K432" s="29"/>
      <c r="L432" s="11"/>
      <c r="M432" s="11"/>
      <c r="N432" s="11"/>
      <c r="O432" s="29"/>
      <c r="P432" s="29"/>
      <c r="Q432" s="11"/>
      <c r="R432" s="29"/>
      <c r="S432" s="11"/>
      <c r="T432" s="6"/>
      <c r="U432" s="29"/>
      <c r="V432" s="11"/>
      <c r="W432" s="11"/>
      <c r="X432" s="29"/>
      <c r="Y432" s="11"/>
      <c r="Z432" s="29"/>
      <c r="AA432" s="29"/>
      <c r="AB432" s="11"/>
      <c r="AC432" s="11"/>
      <c r="AD432" s="29"/>
      <c r="AE432" s="11"/>
      <c r="AF432" s="29"/>
      <c r="AG432" s="11"/>
      <c r="AH432" s="29"/>
      <c r="AI432" s="11"/>
      <c r="AJ432" s="29"/>
      <c r="AK432" s="29"/>
      <c r="AL432" s="29"/>
      <c r="AM432" s="11"/>
      <c r="AN432" s="29"/>
      <c r="AO432" s="29"/>
      <c r="AP432" s="6"/>
      <c r="AQ432" s="113">
        <f>IF(AND(I432="",K432="",AF432="",AL432="",AN432="",O432=""),"",IF(OR(I432="SIM",K432="SIM",AF432="SIM",AL432="SIM",AN432="Dados pessoais",AN432="Dados sensíveis",AN432="Dados pessoais e sensíveis",O432="Acima de 10.000 titulares por mês"),"SIM - Alta criticidade",IF((IF(I432="SIM",2,0)+IF(K432="SIM",2,0)+IF(AF432="SIM",2,0)+IF(OR(AN432="Dados pessoais",AN432="Dados sensíveis",AN432="Dados pessoais e sensíveis"),2,0)+IF(O432="De 1.001 a 10.000 titulares por mês",1,0)+IF(AA432="SIM",1,0)+IF(R432="SIM",1,0)+IF(AL432="SIM",1,0)+IF(AJ432="NÃO",1,0))&gt;=5,"SIM - Alta criticidade",IF((IF(I432="SIM",2,0)+IF(K432="SIM",2,0)+IF(AF432="SIM",2,0)+IF(OR(AN432="Dados pessoais",AN432="Dados sensíveis",AN432="Dados pessoais e sensíveis"),2,0)+IF(O432="De 1.001 a 10.000 titulares por mês",1,0)+IF(AA432="SIM",1,0)+IF(R432="SIM",1,0)+IF(AL432="SIM",1,0)+IF(AJ432="NÃO",1,0))&gt;=3,"Avaliação necessária","NÃO"))))</f>
      </c>
      <c r="AR432" s="11"/>
      <c r="AS432" s="113">
        <f>IF(AND(I432="",K432="",AF432="",AL432="",AN432="",O432=""),"",IF(OR(I432="SIM",K432="SIM",AF432="SIM",AL432="SIM",OR(AN432="Dados pessoais",AN432="Dados sensíveis",AN432="Dados pessoais e sensíveis"),O432="Acima de 10.000 titulares por mês",(IF(I432="SIM",2,0)+IF(K432="SIM",2,0)+IF(AF432="SIM",2,0)+IF(OR(AN432="Dados pessoais",AN432="Dados sensíveis",AN432="Dados pessoais e sensíveis"),2,0)+IF(O432="De 1.001 a 10.000 titulares por mês",1,0)+IF(AA432="SIM",1,0)+IF(R432="SIM",1,0)+IF(AL432="SIM",1,0)+IF(AJ432="NÃO",1,0))&gt;=3),"DPIA indicado ou em avaliação em razão de: " &amp; TRIM(IF(I432="SIM","tratamento de dados sensíveis; ","") &amp; IF(K432="SIM","utilização de dados de menores; ","") &amp; IF(AF432="SIM","transferência internacional de dados; ","") &amp; IF(AL432="SIM","utilização de inteligência artificial; ","") &amp; IF(OR(AN432="Dados pessoais",AN432="Dados sensíveis",AN432="Dados pessoais e sensíveis"),"dados inseridos em IA; ","") &amp; IF(O432="Acima de 10.000 titulares por mês","volume crítico de titulares; ","") &amp; IF(O432="De 1.001 a 10.000 titulares por mês","volume moderado de titulares; ","") &amp; IF(AA432="SIM","compartilhamento com terceiros; ","") &amp; IF(R432="SIM","compartilhamento com órgãos governamentais; ","") &amp; IF(AJ432="NÃO","ausência de controle de acesso por perfil; ","")),"DPIA não indicado: Processo de baixa criticidade."))</f>
      </c>
    </row>
    <row x14ac:dyDescent="0.25" r="433" customHeight="1" ht="15.75">
      <c r="A433" s="46"/>
      <c r="B433" s="6"/>
      <c r="C433" s="11"/>
      <c r="D433" s="11"/>
      <c r="E433" s="11"/>
      <c r="F433" s="29"/>
      <c r="G433" s="11"/>
      <c r="H433" s="11"/>
      <c r="I433" s="29"/>
      <c r="J433" s="11"/>
      <c r="K433" s="29"/>
      <c r="L433" s="11"/>
      <c r="M433" s="11"/>
      <c r="N433" s="11"/>
      <c r="O433" s="29"/>
      <c r="P433" s="29"/>
      <c r="Q433" s="11"/>
      <c r="R433" s="29"/>
      <c r="S433" s="11"/>
      <c r="T433" s="6"/>
      <c r="U433" s="29"/>
      <c r="V433" s="11"/>
      <c r="W433" s="11"/>
      <c r="X433" s="29"/>
      <c r="Y433" s="11"/>
      <c r="Z433" s="29"/>
      <c r="AA433" s="29"/>
      <c r="AB433" s="11"/>
      <c r="AC433" s="11"/>
      <c r="AD433" s="29"/>
      <c r="AE433" s="11"/>
      <c r="AF433" s="29"/>
      <c r="AG433" s="11"/>
      <c r="AH433" s="29"/>
      <c r="AI433" s="11"/>
      <c r="AJ433" s="29"/>
      <c r="AK433" s="29"/>
      <c r="AL433" s="29"/>
      <c r="AM433" s="11"/>
      <c r="AN433" s="29"/>
      <c r="AO433" s="29"/>
      <c r="AP433" s="6"/>
      <c r="AQ433" s="113">
        <f>IF(AND(I433="",K433="",AF433="",AL433="",AN433="",O433=""),"",IF(OR(I433="SIM",K433="SIM",AF433="SIM",AL433="SIM",AN433="Dados pessoais",AN433="Dados sensíveis",AN433="Dados pessoais e sensíveis",O433="Acima de 10.000 titulares por mês"),"SIM - Alta criticidade",IF((IF(I433="SIM",2,0)+IF(K433="SIM",2,0)+IF(AF433="SIM",2,0)+IF(OR(AN433="Dados pessoais",AN433="Dados sensíveis",AN433="Dados pessoais e sensíveis"),2,0)+IF(O433="De 1.001 a 10.000 titulares por mês",1,0)+IF(AA433="SIM",1,0)+IF(R433="SIM",1,0)+IF(AL433="SIM",1,0)+IF(AJ433="NÃO",1,0))&gt;=5,"SIM - Alta criticidade",IF((IF(I433="SIM",2,0)+IF(K433="SIM",2,0)+IF(AF433="SIM",2,0)+IF(OR(AN433="Dados pessoais",AN433="Dados sensíveis",AN433="Dados pessoais e sensíveis"),2,0)+IF(O433="De 1.001 a 10.000 titulares por mês",1,0)+IF(AA433="SIM",1,0)+IF(R433="SIM",1,0)+IF(AL433="SIM",1,0)+IF(AJ433="NÃO",1,0))&gt;=3,"Avaliação necessária","NÃO"))))</f>
      </c>
      <c r="AR433" s="11"/>
      <c r="AS433" s="113">
        <f>IF(AND(I433="",K433="",AF433="",AL433="",AN433="",O433=""),"",IF(OR(I433="SIM",K433="SIM",AF433="SIM",AL433="SIM",OR(AN433="Dados pessoais",AN433="Dados sensíveis",AN433="Dados pessoais e sensíveis"),O433="Acima de 10.000 titulares por mês",(IF(I433="SIM",2,0)+IF(K433="SIM",2,0)+IF(AF433="SIM",2,0)+IF(OR(AN433="Dados pessoais",AN433="Dados sensíveis",AN433="Dados pessoais e sensíveis"),2,0)+IF(O433="De 1.001 a 10.000 titulares por mês",1,0)+IF(AA433="SIM",1,0)+IF(R433="SIM",1,0)+IF(AL433="SIM",1,0)+IF(AJ433="NÃO",1,0))&gt;=3),"DPIA indicado ou em avaliação em razão de: " &amp; TRIM(IF(I433="SIM","tratamento de dados sensíveis; ","") &amp; IF(K433="SIM","utilização de dados de menores; ","") &amp; IF(AF433="SIM","transferência internacional de dados; ","") &amp; IF(AL433="SIM","utilização de inteligência artificial; ","") &amp; IF(OR(AN433="Dados pessoais",AN433="Dados sensíveis",AN433="Dados pessoais e sensíveis"),"dados inseridos em IA; ","") &amp; IF(O433="Acima de 10.000 titulares por mês","volume crítico de titulares; ","") &amp; IF(O433="De 1.001 a 10.000 titulares por mês","volume moderado de titulares; ","") &amp; IF(AA433="SIM","compartilhamento com terceiros; ","") &amp; IF(R433="SIM","compartilhamento com órgãos governamentais; ","") &amp; IF(AJ433="NÃO","ausência de controle de acesso por perfil; ","")),"DPIA não indicado: Processo de baixa criticidade."))</f>
      </c>
    </row>
    <row x14ac:dyDescent="0.25" r="434" customHeight="1" ht="15.75">
      <c r="A434" s="46"/>
      <c r="B434" s="6"/>
      <c r="C434" s="11"/>
      <c r="D434" s="11"/>
      <c r="E434" s="11"/>
      <c r="F434" s="29"/>
      <c r="G434" s="11"/>
      <c r="H434" s="11"/>
      <c r="I434" s="29"/>
      <c r="J434" s="11"/>
      <c r="K434" s="29"/>
      <c r="L434" s="11"/>
      <c r="M434" s="11"/>
      <c r="N434" s="11"/>
      <c r="O434" s="29"/>
      <c r="P434" s="29"/>
      <c r="Q434" s="11"/>
      <c r="R434" s="29"/>
      <c r="S434" s="11"/>
      <c r="T434" s="6"/>
      <c r="U434" s="29"/>
      <c r="V434" s="11"/>
      <c r="W434" s="11"/>
      <c r="X434" s="29"/>
      <c r="Y434" s="11"/>
      <c r="Z434" s="29"/>
      <c r="AA434" s="29"/>
      <c r="AB434" s="11"/>
      <c r="AC434" s="11"/>
      <c r="AD434" s="29"/>
      <c r="AE434" s="11"/>
      <c r="AF434" s="29"/>
      <c r="AG434" s="11"/>
      <c r="AH434" s="29"/>
      <c r="AI434" s="11"/>
      <c r="AJ434" s="29"/>
      <c r="AK434" s="29"/>
      <c r="AL434" s="29"/>
      <c r="AM434" s="11"/>
      <c r="AN434" s="29"/>
      <c r="AO434" s="29"/>
      <c r="AP434" s="6"/>
      <c r="AQ434" s="113">
        <f>IF(AND(I434="",K434="",AF434="",AL434="",AN434="",O434=""),"",IF(OR(I434="SIM",K434="SIM",AF434="SIM",AL434="SIM",AN434="Dados pessoais",AN434="Dados sensíveis",AN434="Dados pessoais e sensíveis",O434="Acima de 10.000 titulares por mês"),"SIM - Alta criticidade",IF((IF(I434="SIM",2,0)+IF(K434="SIM",2,0)+IF(AF434="SIM",2,0)+IF(OR(AN434="Dados pessoais",AN434="Dados sensíveis",AN434="Dados pessoais e sensíveis"),2,0)+IF(O434="De 1.001 a 10.000 titulares por mês",1,0)+IF(AA434="SIM",1,0)+IF(R434="SIM",1,0)+IF(AL434="SIM",1,0)+IF(AJ434="NÃO",1,0))&gt;=5,"SIM - Alta criticidade",IF((IF(I434="SIM",2,0)+IF(K434="SIM",2,0)+IF(AF434="SIM",2,0)+IF(OR(AN434="Dados pessoais",AN434="Dados sensíveis",AN434="Dados pessoais e sensíveis"),2,0)+IF(O434="De 1.001 a 10.000 titulares por mês",1,0)+IF(AA434="SIM",1,0)+IF(R434="SIM",1,0)+IF(AL434="SIM",1,0)+IF(AJ434="NÃO",1,0))&gt;=3,"Avaliação necessária","NÃO"))))</f>
      </c>
      <c r="AR434" s="11"/>
      <c r="AS434" s="113">
        <f>IF(AND(I434="",K434="",AF434="",AL434="",AN434="",O434=""),"",IF(OR(I434="SIM",K434="SIM",AF434="SIM",AL434="SIM",OR(AN434="Dados pessoais",AN434="Dados sensíveis",AN434="Dados pessoais e sensíveis"),O434="Acima de 10.000 titulares por mês",(IF(I434="SIM",2,0)+IF(K434="SIM",2,0)+IF(AF434="SIM",2,0)+IF(OR(AN434="Dados pessoais",AN434="Dados sensíveis",AN434="Dados pessoais e sensíveis"),2,0)+IF(O434="De 1.001 a 10.000 titulares por mês",1,0)+IF(AA434="SIM",1,0)+IF(R434="SIM",1,0)+IF(AL434="SIM",1,0)+IF(AJ434="NÃO",1,0))&gt;=3),"DPIA indicado ou em avaliação em razão de: " &amp; TRIM(IF(I434="SIM","tratamento de dados sensíveis; ","") &amp; IF(K434="SIM","utilização de dados de menores; ","") &amp; IF(AF434="SIM","transferência internacional de dados; ","") &amp; IF(AL434="SIM","utilização de inteligência artificial; ","") &amp; IF(OR(AN434="Dados pessoais",AN434="Dados sensíveis",AN434="Dados pessoais e sensíveis"),"dados inseridos em IA; ","") &amp; IF(O434="Acima de 10.000 titulares por mês","volume crítico de titulares; ","") &amp; IF(O434="De 1.001 a 10.000 titulares por mês","volume moderado de titulares; ","") &amp; IF(AA434="SIM","compartilhamento com terceiros; ","") &amp; IF(R434="SIM","compartilhamento com órgãos governamentais; ","") &amp; IF(AJ434="NÃO","ausência de controle de acesso por perfil; ","")),"DPIA não indicado: Processo de baixa criticidade."))</f>
      </c>
    </row>
    <row x14ac:dyDescent="0.25" r="435" customHeight="1" ht="15.75">
      <c r="A435" s="46"/>
      <c r="B435" s="6"/>
      <c r="C435" s="11"/>
      <c r="D435" s="11"/>
      <c r="E435" s="11"/>
      <c r="F435" s="29"/>
      <c r="G435" s="11"/>
      <c r="H435" s="11"/>
      <c r="I435" s="29"/>
      <c r="J435" s="11"/>
      <c r="K435" s="29"/>
      <c r="L435" s="11"/>
      <c r="M435" s="11"/>
      <c r="N435" s="11"/>
      <c r="O435" s="29"/>
      <c r="P435" s="29"/>
      <c r="Q435" s="11"/>
      <c r="R435" s="29"/>
      <c r="S435" s="11"/>
      <c r="T435" s="6"/>
      <c r="U435" s="29"/>
      <c r="V435" s="11"/>
      <c r="W435" s="11"/>
      <c r="X435" s="29"/>
      <c r="Y435" s="11"/>
      <c r="Z435" s="29"/>
      <c r="AA435" s="29"/>
      <c r="AB435" s="11"/>
      <c r="AC435" s="11"/>
      <c r="AD435" s="29"/>
      <c r="AE435" s="11"/>
      <c r="AF435" s="29"/>
      <c r="AG435" s="11"/>
      <c r="AH435" s="29"/>
      <c r="AI435" s="11"/>
      <c r="AJ435" s="29"/>
      <c r="AK435" s="29"/>
      <c r="AL435" s="29"/>
      <c r="AM435" s="11"/>
      <c r="AN435" s="29"/>
      <c r="AO435" s="29"/>
      <c r="AP435" s="6"/>
      <c r="AQ435" s="113">
        <f>IF(AND(I435="",K435="",AF435="",AL435="",AN435="",O435=""),"",IF(OR(I435="SIM",K435="SIM",AF435="SIM",AL435="SIM",AN435="Dados pessoais",AN435="Dados sensíveis",AN435="Dados pessoais e sensíveis",O435="Acima de 10.000 titulares por mês"),"SIM - Alta criticidade",IF((IF(I435="SIM",2,0)+IF(K435="SIM",2,0)+IF(AF435="SIM",2,0)+IF(OR(AN435="Dados pessoais",AN435="Dados sensíveis",AN435="Dados pessoais e sensíveis"),2,0)+IF(O435="De 1.001 a 10.000 titulares por mês",1,0)+IF(AA435="SIM",1,0)+IF(R435="SIM",1,0)+IF(AL435="SIM",1,0)+IF(AJ435="NÃO",1,0))&gt;=5,"SIM - Alta criticidade",IF((IF(I435="SIM",2,0)+IF(K435="SIM",2,0)+IF(AF435="SIM",2,0)+IF(OR(AN435="Dados pessoais",AN435="Dados sensíveis",AN435="Dados pessoais e sensíveis"),2,0)+IF(O435="De 1.001 a 10.000 titulares por mês",1,0)+IF(AA435="SIM",1,0)+IF(R435="SIM",1,0)+IF(AL435="SIM",1,0)+IF(AJ435="NÃO",1,0))&gt;=3,"Avaliação necessária","NÃO"))))</f>
      </c>
      <c r="AR435" s="11"/>
      <c r="AS435" s="113">
        <f>IF(AND(I435="",K435="",AF435="",AL435="",AN435="",O435=""),"",IF(OR(I435="SIM",K435="SIM",AF435="SIM",AL435="SIM",OR(AN435="Dados pessoais",AN435="Dados sensíveis",AN435="Dados pessoais e sensíveis"),O435="Acima de 10.000 titulares por mês",(IF(I435="SIM",2,0)+IF(K435="SIM",2,0)+IF(AF435="SIM",2,0)+IF(OR(AN435="Dados pessoais",AN435="Dados sensíveis",AN435="Dados pessoais e sensíveis"),2,0)+IF(O435="De 1.001 a 10.000 titulares por mês",1,0)+IF(AA435="SIM",1,0)+IF(R435="SIM",1,0)+IF(AL435="SIM",1,0)+IF(AJ435="NÃO",1,0))&gt;=3),"DPIA indicado ou em avaliação em razão de: " &amp; TRIM(IF(I435="SIM","tratamento de dados sensíveis; ","") &amp; IF(K435="SIM","utilização de dados de menores; ","") &amp; IF(AF435="SIM","transferência internacional de dados; ","") &amp; IF(AL435="SIM","utilização de inteligência artificial; ","") &amp; IF(OR(AN435="Dados pessoais",AN435="Dados sensíveis",AN435="Dados pessoais e sensíveis"),"dados inseridos em IA; ","") &amp; IF(O435="Acima de 10.000 titulares por mês","volume crítico de titulares; ","") &amp; IF(O435="De 1.001 a 10.000 titulares por mês","volume moderado de titulares; ","") &amp; IF(AA435="SIM","compartilhamento com terceiros; ","") &amp; IF(R435="SIM","compartilhamento com órgãos governamentais; ","") &amp; IF(AJ435="NÃO","ausência de controle de acesso por perfil; ","")),"DPIA não indicado: Processo de baixa criticidade."))</f>
      </c>
    </row>
    <row x14ac:dyDescent="0.25" r="436" customHeight="1" ht="15.75">
      <c r="A436" s="46"/>
      <c r="B436" s="6"/>
      <c r="C436" s="11"/>
      <c r="D436" s="11"/>
      <c r="E436" s="11"/>
      <c r="F436" s="29"/>
      <c r="G436" s="11"/>
      <c r="H436" s="11"/>
      <c r="I436" s="29"/>
      <c r="J436" s="11"/>
      <c r="K436" s="29"/>
      <c r="L436" s="11"/>
      <c r="M436" s="11"/>
      <c r="N436" s="11"/>
      <c r="O436" s="29"/>
      <c r="P436" s="29"/>
      <c r="Q436" s="11"/>
      <c r="R436" s="29"/>
      <c r="S436" s="11"/>
      <c r="T436" s="6"/>
      <c r="U436" s="29"/>
      <c r="V436" s="11"/>
      <c r="W436" s="11"/>
      <c r="X436" s="29"/>
      <c r="Y436" s="11"/>
      <c r="Z436" s="29"/>
      <c r="AA436" s="29"/>
      <c r="AB436" s="11"/>
      <c r="AC436" s="11"/>
      <c r="AD436" s="29"/>
      <c r="AE436" s="11"/>
      <c r="AF436" s="29"/>
      <c r="AG436" s="11"/>
      <c r="AH436" s="29"/>
      <c r="AI436" s="11"/>
      <c r="AJ436" s="29"/>
      <c r="AK436" s="29"/>
      <c r="AL436" s="29"/>
      <c r="AM436" s="11"/>
      <c r="AN436" s="29"/>
      <c r="AO436" s="29"/>
      <c r="AP436" s="6"/>
      <c r="AQ436" s="113">
        <f>IF(AND(I436="",K436="",AF436="",AL436="",AN436="",O436=""),"",IF(OR(I436="SIM",K436="SIM",AF436="SIM",AL436="SIM",AN436="Dados pessoais",AN436="Dados sensíveis",AN436="Dados pessoais e sensíveis",O436="Acima de 10.000 titulares por mês"),"SIM - Alta criticidade",IF((IF(I436="SIM",2,0)+IF(K436="SIM",2,0)+IF(AF436="SIM",2,0)+IF(OR(AN436="Dados pessoais",AN436="Dados sensíveis",AN436="Dados pessoais e sensíveis"),2,0)+IF(O436="De 1.001 a 10.000 titulares por mês",1,0)+IF(AA436="SIM",1,0)+IF(R436="SIM",1,0)+IF(AL436="SIM",1,0)+IF(AJ436="NÃO",1,0))&gt;=5,"SIM - Alta criticidade",IF((IF(I436="SIM",2,0)+IF(K436="SIM",2,0)+IF(AF436="SIM",2,0)+IF(OR(AN436="Dados pessoais",AN436="Dados sensíveis",AN436="Dados pessoais e sensíveis"),2,0)+IF(O436="De 1.001 a 10.000 titulares por mês",1,0)+IF(AA436="SIM",1,0)+IF(R436="SIM",1,0)+IF(AL436="SIM",1,0)+IF(AJ436="NÃO",1,0))&gt;=3,"Avaliação necessária","NÃO"))))</f>
      </c>
      <c r="AR436" s="11"/>
      <c r="AS436" s="113">
        <f>IF(AND(I436="",K436="",AF436="",AL436="",AN436="",O436=""),"",IF(OR(I436="SIM",K436="SIM",AF436="SIM",AL436="SIM",OR(AN436="Dados pessoais",AN436="Dados sensíveis",AN436="Dados pessoais e sensíveis"),O436="Acima de 10.000 titulares por mês",(IF(I436="SIM",2,0)+IF(K436="SIM",2,0)+IF(AF436="SIM",2,0)+IF(OR(AN436="Dados pessoais",AN436="Dados sensíveis",AN436="Dados pessoais e sensíveis"),2,0)+IF(O436="De 1.001 a 10.000 titulares por mês",1,0)+IF(AA436="SIM",1,0)+IF(R436="SIM",1,0)+IF(AL436="SIM",1,0)+IF(AJ436="NÃO",1,0))&gt;=3),"DPIA indicado ou em avaliação em razão de: " &amp; TRIM(IF(I436="SIM","tratamento de dados sensíveis; ","") &amp; IF(K436="SIM","utilização de dados de menores; ","") &amp; IF(AF436="SIM","transferência internacional de dados; ","") &amp; IF(AL436="SIM","utilização de inteligência artificial; ","") &amp; IF(OR(AN436="Dados pessoais",AN436="Dados sensíveis",AN436="Dados pessoais e sensíveis"),"dados inseridos em IA; ","") &amp; IF(O436="Acima de 10.000 titulares por mês","volume crítico de titulares; ","") &amp; IF(O436="De 1.001 a 10.000 titulares por mês","volume moderado de titulares; ","") &amp; IF(AA436="SIM","compartilhamento com terceiros; ","") &amp; IF(R436="SIM","compartilhamento com órgãos governamentais; ","") &amp; IF(AJ436="NÃO","ausência de controle de acesso por perfil; ","")),"DPIA não indicado: Processo de baixa criticidade."))</f>
      </c>
    </row>
    <row x14ac:dyDescent="0.25" r="437" customHeight="1" ht="15.75">
      <c r="A437" s="46"/>
      <c r="B437" s="6"/>
      <c r="C437" s="11"/>
      <c r="D437" s="11"/>
      <c r="E437" s="11"/>
      <c r="F437" s="29"/>
      <c r="G437" s="11"/>
      <c r="H437" s="11"/>
      <c r="I437" s="29"/>
      <c r="J437" s="11"/>
      <c r="K437" s="29"/>
      <c r="L437" s="11"/>
      <c r="M437" s="11"/>
      <c r="N437" s="11"/>
      <c r="O437" s="29"/>
      <c r="P437" s="29"/>
      <c r="Q437" s="11"/>
      <c r="R437" s="29"/>
      <c r="S437" s="11"/>
      <c r="T437" s="6"/>
      <c r="U437" s="29"/>
      <c r="V437" s="11"/>
      <c r="W437" s="11"/>
      <c r="X437" s="29"/>
      <c r="Y437" s="11"/>
      <c r="Z437" s="29"/>
      <c r="AA437" s="29"/>
      <c r="AB437" s="11"/>
      <c r="AC437" s="11"/>
      <c r="AD437" s="29"/>
      <c r="AE437" s="11"/>
      <c r="AF437" s="29"/>
      <c r="AG437" s="11"/>
      <c r="AH437" s="29"/>
      <c r="AI437" s="11"/>
      <c r="AJ437" s="29"/>
      <c r="AK437" s="29"/>
      <c r="AL437" s="29"/>
      <c r="AM437" s="11"/>
      <c r="AN437" s="29"/>
      <c r="AO437" s="29"/>
      <c r="AP437" s="6"/>
      <c r="AQ437" s="113">
        <f>IF(AND(I437="",K437="",AF437="",AL437="",AN437="",O437=""),"",IF(OR(I437="SIM",K437="SIM",AF437="SIM",AL437="SIM",AN437="Dados pessoais",AN437="Dados sensíveis",AN437="Dados pessoais e sensíveis",O437="Acima de 10.000 titulares por mês"),"SIM - Alta criticidade",IF((IF(I437="SIM",2,0)+IF(K437="SIM",2,0)+IF(AF437="SIM",2,0)+IF(OR(AN437="Dados pessoais",AN437="Dados sensíveis",AN437="Dados pessoais e sensíveis"),2,0)+IF(O437="De 1.001 a 10.000 titulares por mês",1,0)+IF(AA437="SIM",1,0)+IF(R437="SIM",1,0)+IF(AL437="SIM",1,0)+IF(AJ437="NÃO",1,0))&gt;=5,"SIM - Alta criticidade",IF((IF(I437="SIM",2,0)+IF(K437="SIM",2,0)+IF(AF437="SIM",2,0)+IF(OR(AN437="Dados pessoais",AN437="Dados sensíveis",AN437="Dados pessoais e sensíveis"),2,0)+IF(O437="De 1.001 a 10.000 titulares por mês",1,0)+IF(AA437="SIM",1,0)+IF(R437="SIM",1,0)+IF(AL437="SIM",1,0)+IF(AJ437="NÃO",1,0))&gt;=3,"Avaliação necessária","NÃO"))))</f>
      </c>
      <c r="AR437" s="11"/>
      <c r="AS437" s="113">
        <f>IF(AND(I437="",K437="",AF437="",AL437="",AN437="",O437=""),"",IF(OR(I437="SIM",K437="SIM",AF437="SIM",AL437="SIM",OR(AN437="Dados pessoais",AN437="Dados sensíveis",AN437="Dados pessoais e sensíveis"),O437="Acima de 10.000 titulares por mês",(IF(I437="SIM",2,0)+IF(K437="SIM",2,0)+IF(AF437="SIM",2,0)+IF(OR(AN437="Dados pessoais",AN437="Dados sensíveis",AN437="Dados pessoais e sensíveis"),2,0)+IF(O437="De 1.001 a 10.000 titulares por mês",1,0)+IF(AA437="SIM",1,0)+IF(R437="SIM",1,0)+IF(AL437="SIM",1,0)+IF(AJ437="NÃO",1,0))&gt;=3),"DPIA indicado ou em avaliação em razão de: " &amp; TRIM(IF(I437="SIM","tratamento de dados sensíveis; ","") &amp; IF(K437="SIM","utilização de dados de menores; ","") &amp; IF(AF437="SIM","transferência internacional de dados; ","") &amp; IF(AL437="SIM","utilização de inteligência artificial; ","") &amp; IF(OR(AN437="Dados pessoais",AN437="Dados sensíveis",AN437="Dados pessoais e sensíveis"),"dados inseridos em IA; ","") &amp; IF(O437="Acima de 10.000 titulares por mês","volume crítico de titulares; ","") &amp; IF(O437="De 1.001 a 10.000 titulares por mês","volume moderado de titulares; ","") &amp; IF(AA437="SIM","compartilhamento com terceiros; ","") &amp; IF(R437="SIM","compartilhamento com órgãos governamentais; ","") &amp; IF(AJ437="NÃO","ausência de controle de acesso por perfil; ","")),"DPIA não indicado: Processo de baixa criticidade."))</f>
      </c>
    </row>
    <row x14ac:dyDescent="0.25" r="438" customHeight="1" ht="15.75">
      <c r="A438" s="46"/>
      <c r="B438" s="6"/>
      <c r="C438" s="11"/>
      <c r="D438" s="11"/>
      <c r="E438" s="11"/>
      <c r="F438" s="29"/>
      <c r="G438" s="11"/>
      <c r="H438" s="11"/>
      <c r="I438" s="29"/>
      <c r="J438" s="11"/>
      <c r="K438" s="29"/>
      <c r="L438" s="11"/>
      <c r="M438" s="11"/>
      <c r="N438" s="11"/>
      <c r="O438" s="29"/>
      <c r="P438" s="29"/>
      <c r="Q438" s="11"/>
      <c r="R438" s="29"/>
      <c r="S438" s="11"/>
      <c r="T438" s="6"/>
      <c r="U438" s="29"/>
      <c r="V438" s="11"/>
      <c r="W438" s="11"/>
      <c r="X438" s="29"/>
      <c r="Y438" s="11"/>
      <c r="Z438" s="29"/>
      <c r="AA438" s="29"/>
      <c r="AB438" s="11"/>
      <c r="AC438" s="11"/>
      <c r="AD438" s="29"/>
      <c r="AE438" s="11"/>
      <c r="AF438" s="29"/>
      <c r="AG438" s="11"/>
      <c r="AH438" s="29"/>
      <c r="AI438" s="11"/>
      <c r="AJ438" s="29"/>
      <c r="AK438" s="29"/>
      <c r="AL438" s="29"/>
      <c r="AM438" s="11"/>
      <c r="AN438" s="29"/>
      <c r="AO438" s="29"/>
      <c r="AP438" s="6"/>
      <c r="AQ438" s="113">
        <f>IF(AND(I438="",K438="",AF438="",AL438="",AN438="",O438=""),"",IF(OR(I438="SIM",K438="SIM",AF438="SIM",AL438="SIM",AN438="Dados pessoais",AN438="Dados sensíveis",AN438="Dados pessoais e sensíveis",O438="Acima de 10.000 titulares por mês"),"SIM - Alta criticidade",IF((IF(I438="SIM",2,0)+IF(K438="SIM",2,0)+IF(AF438="SIM",2,0)+IF(OR(AN438="Dados pessoais",AN438="Dados sensíveis",AN438="Dados pessoais e sensíveis"),2,0)+IF(O438="De 1.001 a 10.000 titulares por mês",1,0)+IF(AA438="SIM",1,0)+IF(R438="SIM",1,0)+IF(AL438="SIM",1,0)+IF(AJ438="NÃO",1,0))&gt;=5,"SIM - Alta criticidade",IF((IF(I438="SIM",2,0)+IF(K438="SIM",2,0)+IF(AF438="SIM",2,0)+IF(OR(AN438="Dados pessoais",AN438="Dados sensíveis",AN438="Dados pessoais e sensíveis"),2,0)+IF(O438="De 1.001 a 10.000 titulares por mês",1,0)+IF(AA438="SIM",1,0)+IF(R438="SIM",1,0)+IF(AL438="SIM",1,0)+IF(AJ438="NÃO",1,0))&gt;=3,"Avaliação necessária","NÃO"))))</f>
      </c>
      <c r="AR438" s="11"/>
      <c r="AS438" s="113">
        <f>IF(AND(I438="",K438="",AF438="",AL438="",AN438="",O438=""),"",IF(OR(I438="SIM",K438="SIM",AF438="SIM",AL438="SIM",OR(AN438="Dados pessoais",AN438="Dados sensíveis",AN438="Dados pessoais e sensíveis"),O438="Acima de 10.000 titulares por mês",(IF(I438="SIM",2,0)+IF(K438="SIM",2,0)+IF(AF438="SIM",2,0)+IF(OR(AN438="Dados pessoais",AN438="Dados sensíveis",AN438="Dados pessoais e sensíveis"),2,0)+IF(O438="De 1.001 a 10.000 titulares por mês",1,0)+IF(AA438="SIM",1,0)+IF(R438="SIM",1,0)+IF(AL438="SIM",1,0)+IF(AJ438="NÃO",1,0))&gt;=3),"DPIA indicado ou em avaliação em razão de: " &amp; TRIM(IF(I438="SIM","tratamento de dados sensíveis; ","") &amp; IF(K438="SIM","utilização de dados de menores; ","") &amp; IF(AF438="SIM","transferência internacional de dados; ","") &amp; IF(AL438="SIM","utilização de inteligência artificial; ","") &amp; IF(OR(AN438="Dados pessoais",AN438="Dados sensíveis",AN438="Dados pessoais e sensíveis"),"dados inseridos em IA; ","") &amp; IF(O438="Acima de 10.000 titulares por mês","volume crítico de titulares; ","") &amp; IF(O438="De 1.001 a 10.000 titulares por mês","volume moderado de titulares; ","") &amp; IF(AA438="SIM","compartilhamento com terceiros; ","") &amp; IF(R438="SIM","compartilhamento com órgãos governamentais; ","") &amp; IF(AJ438="NÃO","ausência de controle de acesso por perfil; ","")),"DPIA não indicado: Processo de baixa criticidade."))</f>
      </c>
    </row>
    <row x14ac:dyDescent="0.25" r="439" customHeight="1" ht="15.75">
      <c r="A439" s="46"/>
      <c r="B439" s="6"/>
      <c r="C439" s="11"/>
      <c r="D439" s="11"/>
      <c r="E439" s="11"/>
      <c r="F439" s="29"/>
      <c r="G439" s="11"/>
      <c r="H439" s="11"/>
      <c r="I439" s="29"/>
      <c r="J439" s="11"/>
      <c r="K439" s="29"/>
      <c r="L439" s="11"/>
      <c r="M439" s="11"/>
      <c r="N439" s="11"/>
      <c r="O439" s="29"/>
      <c r="P439" s="29"/>
      <c r="Q439" s="11"/>
      <c r="R439" s="29"/>
      <c r="S439" s="11"/>
      <c r="T439" s="6"/>
      <c r="U439" s="29"/>
      <c r="V439" s="11"/>
      <c r="W439" s="11"/>
      <c r="X439" s="29"/>
      <c r="Y439" s="11"/>
      <c r="Z439" s="29"/>
      <c r="AA439" s="29"/>
      <c r="AB439" s="11"/>
      <c r="AC439" s="11"/>
      <c r="AD439" s="29"/>
      <c r="AE439" s="11"/>
      <c r="AF439" s="29"/>
      <c r="AG439" s="11"/>
      <c r="AH439" s="29"/>
      <c r="AI439" s="11"/>
      <c r="AJ439" s="29"/>
      <c r="AK439" s="29"/>
      <c r="AL439" s="29"/>
      <c r="AM439" s="11"/>
      <c r="AN439" s="29"/>
      <c r="AO439" s="29"/>
      <c r="AP439" s="6"/>
      <c r="AQ439" s="113">
        <f>IF(AND(I439="",K439="",AF439="",AL439="",AN439="",O439=""),"",IF(OR(I439="SIM",K439="SIM",AF439="SIM",AL439="SIM",AN439="Dados pessoais",AN439="Dados sensíveis",AN439="Dados pessoais e sensíveis",O439="Acima de 10.000 titulares por mês"),"SIM - Alta criticidade",IF((IF(I439="SIM",2,0)+IF(K439="SIM",2,0)+IF(AF439="SIM",2,0)+IF(OR(AN439="Dados pessoais",AN439="Dados sensíveis",AN439="Dados pessoais e sensíveis"),2,0)+IF(O439="De 1.001 a 10.000 titulares por mês",1,0)+IF(AA439="SIM",1,0)+IF(R439="SIM",1,0)+IF(AL439="SIM",1,0)+IF(AJ439="NÃO",1,0))&gt;=5,"SIM - Alta criticidade",IF((IF(I439="SIM",2,0)+IF(K439="SIM",2,0)+IF(AF439="SIM",2,0)+IF(OR(AN439="Dados pessoais",AN439="Dados sensíveis",AN439="Dados pessoais e sensíveis"),2,0)+IF(O439="De 1.001 a 10.000 titulares por mês",1,0)+IF(AA439="SIM",1,0)+IF(R439="SIM",1,0)+IF(AL439="SIM",1,0)+IF(AJ439="NÃO",1,0))&gt;=3,"Avaliação necessária","NÃO"))))</f>
      </c>
      <c r="AR439" s="11"/>
      <c r="AS439" s="113">
        <f>IF(AND(I439="",K439="",AF439="",AL439="",AN439="",O439=""),"",IF(OR(I439="SIM",K439="SIM",AF439="SIM",AL439="SIM",OR(AN439="Dados pessoais",AN439="Dados sensíveis",AN439="Dados pessoais e sensíveis"),O439="Acima de 10.000 titulares por mês",(IF(I439="SIM",2,0)+IF(K439="SIM",2,0)+IF(AF439="SIM",2,0)+IF(OR(AN439="Dados pessoais",AN439="Dados sensíveis",AN439="Dados pessoais e sensíveis"),2,0)+IF(O439="De 1.001 a 10.000 titulares por mês",1,0)+IF(AA439="SIM",1,0)+IF(R439="SIM",1,0)+IF(AL439="SIM",1,0)+IF(AJ439="NÃO",1,0))&gt;=3),"DPIA indicado ou em avaliação em razão de: " &amp; TRIM(IF(I439="SIM","tratamento de dados sensíveis; ","") &amp; IF(K439="SIM","utilização de dados de menores; ","") &amp; IF(AF439="SIM","transferência internacional de dados; ","") &amp; IF(AL439="SIM","utilização de inteligência artificial; ","") &amp; IF(OR(AN439="Dados pessoais",AN439="Dados sensíveis",AN439="Dados pessoais e sensíveis"),"dados inseridos em IA; ","") &amp; IF(O439="Acima de 10.000 titulares por mês","volume crítico de titulares; ","") &amp; IF(O439="De 1.001 a 10.000 titulares por mês","volume moderado de titulares; ","") &amp; IF(AA439="SIM","compartilhamento com terceiros; ","") &amp; IF(R439="SIM","compartilhamento com órgãos governamentais; ","") &amp; IF(AJ439="NÃO","ausência de controle de acesso por perfil; ","")),"DPIA não indicado: Processo de baixa criticidade."))</f>
      </c>
    </row>
    <row x14ac:dyDescent="0.25" r="440" customHeight="1" ht="15.75">
      <c r="A440" s="46"/>
      <c r="B440" s="6"/>
      <c r="C440" s="11"/>
      <c r="D440" s="11"/>
      <c r="E440" s="11"/>
      <c r="F440" s="29"/>
      <c r="G440" s="11"/>
      <c r="H440" s="11"/>
      <c r="I440" s="29"/>
      <c r="J440" s="11"/>
      <c r="K440" s="29"/>
      <c r="L440" s="11"/>
      <c r="M440" s="11"/>
      <c r="N440" s="11"/>
      <c r="O440" s="29"/>
      <c r="P440" s="29"/>
      <c r="Q440" s="11"/>
      <c r="R440" s="29"/>
      <c r="S440" s="11"/>
      <c r="T440" s="6"/>
      <c r="U440" s="29"/>
      <c r="V440" s="11"/>
      <c r="W440" s="11"/>
      <c r="X440" s="29"/>
      <c r="Y440" s="11"/>
      <c r="Z440" s="29"/>
      <c r="AA440" s="29"/>
      <c r="AB440" s="11"/>
      <c r="AC440" s="11"/>
      <c r="AD440" s="29"/>
      <c r="AE440" s="11"/>
      <c r="AF440" s="29"/>
      <c r="AG440" s="11"/>
      <c r="AH440" s="29"/>
      <c r="AI440" s="11"/>
      <c r="AJ440" s="29"/>
      <c r="AK440" s="29"/>
      <c r="AL440" s="29"/>
      <c r="AM440" s="11"/>
      <c r="AN440" s="29"/>
      <c r="AO440" s="29"/>
      <c r="AP440" s="6"/>
      <c r="AQ440" s="113">
        <f>IF(AND(I440="",K440="",AF440="",AL440="",AN440="",O440=""),"",IF(OR(I440="SIM",K440="SIM",AF440="SIM",AL440="SIM",AN440="Dados pessoais",AN440="Dados sensíveis",AN440="Dados pessoais e sensíveis",O440="Acima de 10.000 titulares por mês"),"SIM - Alta criticidade",IF((IF(I440="SIM",2,0)+IF(K440="SIM",2,0)+IF(AF440="SIM",2,0)+IF(OR(AN440="Dados pessoais",AN440="Dados sensíveis",AN440="Dados pessoais e sensíveis"),2,0)+IF(O440="De 1.001 a 10.000 titulares por mês",1,0)+IF(AA440="SIM",1,0)+IF(R440="SIM",1,0)+IF(AL440="SIM",1,0)+IF(AJ440="NÃO",1,0))&gt;=5,"SIM - Alta criticidade",IF((IF(I440="SIM",2,0)+IF(K440="SIM",2,0)+IF(AF440="SIM",2,0)+IF(OR(AN440="Dados pessoais",AN440="Dados sensíveis",AN440="Dados pessoais e sensíveis"),2,0)+IF(O440="De 1.001 a 10.000 titulares por mês",1,0)+IF(AA440="SIM",1,0)+IF(R440="SIM",1,0)+IF(AL440="SIM",1,0)+IF(AJ440="NÃO",1,0))&gt;=3,"Avaliação necessária","NÃO"))))</f>
      </c>
      <c r="AR440" s="11"/>
      <c r="AS440" s="113">
        <f>IF(AND(I440="",K440="",AF440="",AL440="",AN440="",O440=""),"",IF(OR(I440="SIM",K440="SIM",AF440="SIM",AL440="SIM",OR(AN440="Dados pessoais",AN440="Dados sensíveis",AN440="Dados pessoais e sensíveis"),O440="Acima de 10.000 titulares por mês",(IF(I440="SIM",2,0)+IF(K440="SIM",2,0)+IF(AF440="SIM",2,0)+IF(OR(AN440="Dados pessoais",AN440="Dados sensíveis",AN440="Dados pessoais e sensíveis"),2,0)+IF(O440="De 1.001 a 10.000 titulares por mês",1,0)+IF(AA440="SIM",1,0)+IF(R440="SIM",1,0)+IF(AL440="SIM",1,0)+IF(AJ440="NÃO",1,0))&gt;=3),"DPIA indicado ou em avaliação em razão de: " &amp; TRIM(IF(I440="SIM","tratamento de dados sensíveis; ","") &amp; IF(K440="SIM","utilização de dados de menores; ","") &amp; IF(AF440="SIM","transferência internacional de dados; ","") &amp; IF(AL440="SIM","utilização de inteligência artificial; ","") &amp; IF(OR(AN440="Dados pessoais",AN440="Dados sensíveis",AN440="Dados pessoais e sensíveis"),"dados inseridos em IA; ","") &amp; IF(O440="Acima de 10.000 titulares por mês","volume crítico de titulares; ","") &amp; IF(O440="De 1.001 a 10.000 titulares por mês","volume moderado de titulares; ","") &amp; IF(AA440="SIM","compartilhamento com terceiros; ","") &amp; IF(R440="SIM","compartilhamento com órgãos governamentais; ","") &amp; IF(AJ440="NÃO","ausência de controle de acesso por perfil; ","")),"DPIA não indicado: Processo de baixa criticidade."))</f>
      </c>
    </row>
    <row x14ac:dyDescent="0.25" r="441" customHeight="1" ht="15.75">
      <c r="A441" s="46"/>
      <c r="B441" s="6"/>
      <c r="C441" s="11"/>
      <c r="D441" s="11"/>
      <c r="E441" s="11"/>
      <c r="F441" s="29"/>
      <c r="G441" s="11"/>
      <c r="H441" s="11"/>
      <c r="I441" s="29"/>
      <c r="J441" s="11"/>
      <c r="K441" s="29"/>
      <c r="L441" s="11"/>
      <c r="M441" s="11"/>
      <c r="N441" s="11"/>
      <c r="O441" s="29"/>
      <c r="P441" s="29"/>
      <c r="Q441" s="11"/>
      <c r="R441" s="29"/>
      <c r="S441" s="11"/>
      <c r="T441" s="6"/>
      <c r="U441" s="29"/>
      <c r="V441" s="11"/>
      <c r="W441" s="11"/>
      <c r="X441" s="29"/>
      <c r="Y441" s="11"/>
      <c r="Z441" s="29"/>
      <c r="AA441" s="29"/>
      <c r="AB441" s="11"/>
      <c r="AC441" s="11"/>
      <c r="AD441" s="29"/>
      <c r="AE441" s="11"/>
      <c r="AF441" s="29"/>
      <c r="AG441" s="11"/>
      <c r="AH441" s="29"/>
      <c r="AI441" s="11"/>
      <c r="AJ441" s="29"/>
      <c r="AK441" s="29"/>
      <c r="AL441" s="29"/>
      <c r="AM441" s="11"/>
      <c r="AN441" s="29"/>
      <c r="AO441" s="29"/>
      <c r="AP441" s="6"/>
      <c r="AQ441" s="113">
        <f>IF(AND(I441="",K441="",AF441="",AL441="",AN441="",O441=""),"",IF(OR(I441="SIM",K441="SIM",AF441="SIM",AL441="SIM",AN441="Dados pessoais",AN441="Dados sensíveis",AN441="Dados pessoais e sensíveis",O441="Acima de 10.000 titulares por mês"),"SIM - Alta criticidade",IF((IF(I441="SIM",2,0)+IF(K441="SIM",2,0)+IF(AF441="SIM",2,0)+IF(OR(AN441="Dados pessoais",AN441="Dados sensíveis",AN441="Dados pessoais e sensíveis"),2,0)+IF(O441="De 1.001 a 10.000 titulares por mês",1,0)+IF(AA441="SIM",1,0)+IF(R441="SIM",1,0)+IF(AL441="SIM",1,0)+IF(AJ441="NÃO",1,0))&gt;=5,"SIM - Alta criticidade",IF((IF(I441="SIM",2,0)+IF(K441="SIM",2,0)+IF(AF441="SIM",2,0)+IF(OR(AN441="Dados pessoais",AN441="Dados sensíveis",AN441="Dados pessoais e sensíveis"),2,0)+IF(O441="De 1.001 a 10.000 titulares por mês",1,0)+IF(AA441="SIM",1,0)+IF(R441="SIM",1,0)+IF(AL441="SIM",1,0)+IF(AJ441="NÃO",1,0))&gt;=3,"Avaliação necessária","NÃO"))))</f>
      </c>
      <c r="AR441" s="11"/>
      <c r="AS441" s="113">
        <f>IF(AND(I441="",K441="",AF441="",AL441="",AN441="",O441=""),"",IF(OR(I441="SIM",K441="SIM",AF441="SIM",AL441="SIM",OR(AN441="Dados pessoais",AN441="Dados sensíveis",AN441="Dados pessoais e sensíveis"),O441="Acima de 10.000 titulares por mês",(IF(I441="SIM",2,0)+IF(K441="SIM",2,0)+IF(AF441="SIM",2,0)+IF(OR(AN441="Dados pessoais",AN441="Dados sensíveis",AN441="Dados pessoais e sensíveis"),2,0)+IF(O441="De 1.001 a 10.000 titulares por mês",1,0)+IF(AA441="SIM",1,0)+IF(R441="SIM",1,0)+IF(AL441="SIM",1,0)+IF(AJ441="NÃO",1,0))&gt;=3),"DPIA indicado ou em avaliação em razão de: " &amp; TRIM(IF(I441="SIM","tratamento de dados sensíveis; ","") &amp; IF(K441="SIM","utilização de dados de menores; ","") &amp; IF(AF441="SIM","transferência internacional de dados; ","") &amp; IF(AL441="SIM","utilização de inteligência artificial; ","") &amp; IF(OR(AN441="Dados pessoais",AN441="Dados sensíveis",AN441="Dados pessoais e sensíveis"),"dados inseridos em IA; ","") &amp; IF(O441="Acima de 10.000 titulares por mês","volume crítico de titulares; ","") &amp; IF(O441="De 1.001 a 10.000 titulares por mês","volume moderado de titulares; ","") &amp; IF(AA441="SIM","compartilhamento com terceiros; ","") &amp; IF(R441="SIM","compartilhamento com órgãos governamentais; ","") &amp; IF(AJ441="NÃO","ausência de controle de acesso por perfil; ","")),"DPIA não indicado: Processo de baixa criticidade."))</f>
      </c>
    </row>
    <row x14ac:dyDescent="0.25" r="442" customHeight="1" ht="15.75">
      <c r="A442" s="46"/>
      <c r="B442" s="6"/>
      <c r="C442" s="11"/>
      <c r="D442" s="11"/>
      <c r="E442" s="11"/>
      <c r="F442" s="29"/>
      <c r="G442" s="11"/>
      <c r="H442" s="11"/>
      <c r="I442" s="29"/>
      <c r="J442" s="11"/>
      <c r="K442" s="29"/>
      <c r="L442" s="11"/>
      <c r="M442" s="11"/>
      <c r="N442" s="11"/>
      <c r="O442" s="29"/>
      <c r="P442" s="29"/>
      <c r="Q442" s="11"/>
      <c r="R442" s="29"/>
      <c r="S442" s="11"/>
      <c r="T442" s="6"/>
      <c r="U442" s="29"/>
      <c r="V442" s="11"/>
      <c r="W442" s="11"/>
      <c r="X442" s="29"/>
      <c r="Y442" s="11"/>
      <c r="Z442" s="29"/>
      <c r="AA442" s="29"/>
      <c r="AB442" s="11"/>
      <c r="AC442" s="11"/>
      <c r="AD442" s="29"/>
      <c r="AE442" s="11"/>
      <c r="AF442" s="29"/>
      <c r="AG442" s="11"/>
      <c r="AH442" s="29"/>
      <c r="AI442" s="11"/>
      <c r="AJ442" s="29"/>
      <c r="AK442" s="29"/>
      <c r="AL442" s="29"/>
      <c r="AM442" s="11"/>
      <c r="AN442" s="29"/>
      <c r="AO442" s="29"/>
      <c r="AP442" s="6"/>
      <c r="AQ442" s="113">
        <f>IF(AND(I442="",K442="",AF442="",AL442="",AN442="",O442=""),"",IF(OR(I442="SIM",K442="SIM",AF442="SIM",AL442="SIM",AN442="Dados pessoais",AN442="Dados sensíveis",AN442="Dados pessoais e sensíveis",O442="Acima de 10.000 titulares por mês"),"SIM - Alta criticidade",IF((IF(I442="SIM",2,0)+IF(K442="SIM",2,0)+IF(AF442="SIM",2,0)+IF(OR(AN442="Dados pessoais",AN442="Dados sensíveis",AN442="Dados pessoais e sensíveis"),2,0)+IF(O442="De 1.001 a 10.000 titulares por mês",1,0)+IF(AA442="SIM",1,0)+IF(R442="SIM",1,0)+IF(AL442="SIM",1,0)+IF(AJ442="NÃO",1,0))&gt;=5,"SIM - Alta criticidade",IF((IF(I442="SIM",2,0)+IF(K442="SIM",2,0)+IF(AF442="SIM",2,0)+IF(OR(AN442="Dados pessoais",AN442="Dados sensíveis",AN442="Dados pessoais e sensíveis"),2,0)+IF(O442="De 1.001 a 10.000 titulares por mês",1,0)+IF(AA442="SIM",1,0)+IF(R442="SIM",1,0)+IF(AL442="SIM",1,0)+IF(AJ442="NÃO",1,0))&gt;=3,"Avaliação necessária","NÃO"))))</f>
      </c>
      <c r="AR442" s="11"/>
      <c r="AS442" s="113">
        <f>IF(AND(I442="",K442="",AF442="",AL442="",AN442="",O442=""),"",IF(OR(I442="SIM",K442="SIM",AF442="SIM",AL442="SIM",OR(AN442="Dados pessoais",AN442="Dados sensíveis",AN442="Dados pessoais e sensíveis"),O442="Acima de 10.000 titulares por mês",(IF(I442="SIM",2,0)+IF(K442="SIM",2,0)+IF(AF442="SIM",2,0)+IF(OR(AN442="Dados pessoais",AN442="Dados sensíveis",AN442="Dados pessoais e sensíveis"),2,0)+IF(O442="De 1.001 a 10.000 titulares por mês",1,0)+IF(AA442="SIM",1,0)+IF(R442="SIM",1,0)+IF(AL442="SIM",1,0)+IF(AJ442="NÃO",1,0))&gt;=3),"DPIA indicado ou em avaliação em razão de: " &amp; TRIM(IF(I442="SIM","tratamento de dados sensíveis; ","") &amp; IF(K442="SIM","utilização de dados de menores; ","") &amp; IF(AF442="SIM","transferência internacional de dados; ","") &amp; IF(AL442="SIM","utilização de inteligência artificial; ","") &amp; IF(OR(AN442="Dados pessoais",AN442="Dados sensíveis",AN442="Dados pessoais e sensíveis"),"dados inseridos em IA; ","") &amp; IF(O442="Acima de 10.000 titulares por mês","volume crítico de titulares; ","") &amp; IF(O442="De 1.001 a 10.000 titulares por mês","volume moderado de titulares; ","") &amp; IF(AA442="SIM","compartilhamento com terceiros; ","") &amp; IF(R442="SIM","compartilhamento com órgãos governamentais; ","") &amp; IF(AJ442="NÃO","ausência de controle de acesso por perfil; ","")),"DPIA não indicado: Processo de baixa criticidade."))</f>
      </c>
    </row>
    <row x14ac:dyDescent="0.25" r="443" customHeight="1" ht="15.75">
      <c r="A443" s="46"/>
      <c r="B443" s="6"/>
      <c r="C443" s="11"/>
      <c r="D443" s="11"/>
      <c r="E443" s="11"/>
      <c r="F443" s="29"/>
      <c r="G443" s="11"/>
      <c r="H443" s="11"/>
      <c r="I443" s="29"/>
      <c r="J443" s="11"/>
      <c r="K443" s="29"/>
      <c r="L443" s="11"/>
      <c r="M443" s="11"/>
      <c r="N443" s="11"/>
      <c r="O443" s="29"/>
      <c r="P443" s="29"/>
      <c r="Q443" s="11"/>
      <c r="R443" s="29"/>
      <c r="S443" s="11"/>
      <c r="T443" s="6"/>
      <c r="U443" s="29"/>
      <c r="V443" s="11"/>
      <c r="W443" s="11"/>
      <c r="X443" s="29"/>
      <c r="Y443" s="11"/>
      <c r="Z443" s="29"/>
      <c r="AA443" s="29"/>
      <c r="AB443" s="11"/>
      <c r="AC443" s="11"/>
      <c r="AD443" s="29"/>
      <c r="AE443" s="11"/>
      <c r="AF443" s="29"/>
      <c r="AG443" s="11"/>
      <c r="AH443" s="29"/>
      <c r="AI443" s="11"/>
      <c r="AJ443" s="29"/>
      <c r="AK443" s="29"/>
      <c r="AL443" s="29"/>
      <c r="AM443" s="11"/>
      <c r="AN443" s="29"/>
      <c r="AO443" s="29"/>
      <c r="AP443" s="6"/>
      <c r="AQ443" s="113">
        <f>IF(AND(I443="",K443="",AF443="",AL443="",AN443="",O443=""),"",IF(OR(I443="SIM",K443="SIM",AF443="SIM",AL443="SIM",AN443="Dados pessoais",AN443="Dados sensíveis",AN443="Dados pessoais e sensíveis",O443="Acima de 10.000 titulares por mês"),"SIM - Alta criticidade",IF((IF(I443="SIM",2,0)+IF(K443="SIM",2,0)+IF(AF443="SIM",2,0)+IF(OR(AN443="Dados pessoais",AN443="Dados sensíveis",AN443="Dados pessoais e sensíveis"),2,0)+IF(O443="De 1.001 a 10.000 titulares por mês",1,0)+IF(AA443="SIM",1,0)+IF(R443="SIM",1,0)+IF(AL443="SIM",1,0)+IF(AJ443="NÃO",1,0))&gt;=5,"SIM - Alta criticidade",IF((IF(I443="SIM",2,0)+IF(K443="SIM",2,0)+IF(AF443="SIM",2,0)+IF(OR(AN443="Dados pessoais",AN443="Dados sensíveis",AN443="Dados pessoais e sensíveis"),2,0)+IF(O443="De 1.001 a 10.000 titulares por mês",1,0)+IF(AA443="SIM",1,0)+IF(R443="SIM",1,0)+IF(AL443="SIM",1,0)+IF(AJ443="NÃO",1,0))&gt;=3,"Avaliação necessária","NÃO"))))</f>
      </c>
      <c r="AR443" s="11"/>
      <c r="AS443" s="113">
        <f>IF(AND(I443="",K443="",AF443="",AL443="",AN443="",O443=""),"",IF(OR(I443="SIM",K443="SIM",AF443="SIM",AL443="SIM",OR(AN443="Dados pessoais",AN443="Dados sensíveis",AN443="Dados pessoais e sensíveis"),O443="Acima de 10.000 titulares por mês",(IF(I443="SIM",2,0)+IF(K443="SIM",2,0)+IF(AF443="SIM",2,0)+IF(OR(AN443="Dados pessoais",AN443="Dados sensíveis",AN443="Dados pessoais e sensíveis"),2,0)+IF(O443="De 1.001 a 10.000 titulares por mês",1,0)+IF(AA443="SIM",1,0)+IF(R443="SIM",1,0)+IF(AL443="SIM",1,0)+IF(AJ443="NÃO",1,0))&gt;=3),"DPIA indicado ou em avaliação em razão de: " &amp; TRIM(IF(I443="SIM","tratamento de dados sensíveis; ","") &amp; IF(K443="SIM","utilização de dados de menores; ","") &amp; IF(AF443="SIM","transferência internacional de dados; ","") &amp; IF(AL443="SIM","utilização de inteligência artificial; ","") &amp; IF(OR(AN443="Dados pessoais",AN443="Dados sensíveis",AN443="Dados pessoais e sensíveis"),"dados inseridos em IA; ","") &amp; IF(O443="Acima de 10.000 titulares por mês","volume crítico de titulares; ","") &amp; IF(O443="De 1.001 a 10.000 titulares por mês","volume moderado de titulares; ","") &amp; IF(AA443="SIM","compartilhamento com terceiros; ","") &amp; IF(R443="SIM","compartilhamento com órgãos governamentais; ","") &amp; IF(AJ443="NÃO","ausência de controle de acesso por perfil; ","")),"DPIA não indicado: Processo de baixa criticidade."))</f>
      </c>
    </row>
    <row x14ac:dyDescent="0.25" r="444" customHeight="1" ht="15.75">
      <c r="A444" s="46"/>
      <c r="B444" s="6"/>
      <c r="C444" s="11"/>
      <c r="D444" s="11"/>
      <c r="E444" s="11"/>
      <c r="F444" s="29"/>
      <c r="G444" s="11"/>
      <c r="H444" s="11"/>
      <c r="I444" s="29"/>
      <c r="J444" s="11"/>
      <c r="K444" s="29"/>
      <c r="L444" s="11"/>
      <c r="M444" s="11"/>
      <c r="N444" s="11"/>
      <c r="O444" s="29"/>
      <c r="P444" s="29"/>
      <c r="Q444" s="11"/>
      <c r="R444" s="29"/>
      <c r="S444" s="11"/>
      <c r="T444" s="6"/>
      <c r="U444" s="29"/>
      <c r="V444" s="11"/>
      <c r="W444" s="11"/>
      <c r="X444" s="29"/>
      <c r="Y444" s="11"/>
      <c r="Z444" s="29"/>
      <c r="AA444" s="29"/>
      <c r="AB444" s="11"/>
      <c r="AC444" s="11"/>
      <c r="AD444" s="29"/>
      <c r="AE444" s="11"/>
      <c r="AF444" s="29"/>
      <c r="AG444" s="11"/>
      <c r="AH444" s="29"/>
      <c r="AI444" s="11"/>
      <c r="AJ444" s="29"/>
      <c r="AK444" s="29"/>
      <c r="AL444" s="29"/>
      <c r="AM444" s="11"/>
      <c r="AN444" s="29"/>
      <c r="AO444" s="29"/>
      <c r="AP444" s="6"/>
      <c r="AQ444" s="113">
        <f>IF(AND(I444="",K444="",AF444="",AL444="",AN444="",O444=""),"",IF(OR(I444="SIM",K444="SIM",AF444="SIM",AL444="SIM",AN444="Dados pessoais",AN444="Dados sensíveis",AN444="Dados pessoais e sensíveis",O444="Acima de 10.000 titulares por mês"),"SIM - Alta criticidade",IF((IF(I444="SIM",2,0)+IF(K444="SIM",2,0)+IF(AF444="SIM",2,0)+IF(OR(AN444="Dados pessoais",AN444="Dados sensíveis",AN444="Dados pessoais e sensíveis"),2,0)+IF(O444="De 1.001 a 10.000 titulares por mês",1,0)+IF(AA444="SIM",1,0)+IF(R444="SIM",1,0)+IF(AL444="SIM",1,0)+IF(AJ444="NÃO",1,0))&gt;=5,"SIM - Alta criticidade",IF((IF(I444="SIM",2,0)+IF(K444="SIM",2,0)+IF(AF444="SIM",2,0)+IF(OR(AN444="Dados pessoais",AN444="Dados sensíveis",AN444="Dados pessoais e sensíveis"),2,0)+IF(O444="De 1.001 a 10.000 titulares por mês",1,0)+IF(AA444="SIM",1,0)+IF(R444="SIM",1,0)+IF(AL444="SIM",1,0)+IF(AJ444="NÃO",1,0))&gt;=3,"Avaliação necessária","NÃO"))))</f>
      </c>
      <c r="AR444" s="11"/>
      <c r="AS444" s="113">
        <f>IF(AND(I444="",K444="",AF444="",AL444="",AN444="",O444=""),"",IF(OR(I444="SIM",K444="SIM",AF444="SIM",AL444="SIM",OR(AN444="Dados pessoais",AN444="Dados sensíveis",AN444="Dados pessoais e sensíveis"),O444="Acima de 10.000 titulares por mês",(IF(I444="SIM",2,0)+IF(K444="SIM",2,0)+IF(AF444="SIM",2,0)+IF(OR(AN444="Dados pessoais",AN444="Dados sensíveis",AN444="Dados pessoais e sensíveis"),2,0)+IF(O444="De 1.001 a 10.000 titulares por mês",1,0)+IF(AA444="SIM",1,0)+IF(R444="SIM",1,0)+IF(AL444="SIM",1,0)+IF(AJ444="NÃO",1,0))&gt;=3),"DPIA indicado ou em avaliação em razão de: " &amp; TRIM(IF(I444="SIM","tratamento de dados sensíveis; ","") &amp; IF(K444="SIM","utilização de dados de menores; ","") &amp; IF(AF444="SIM","transferência internacional de dados; ","") &amp; IF(AL444="SIM","utilização de inteligência artificial; ","") &amp; IF(OR(AN444="Dados pessoais",AN444="Dados sensíveis",AN444="Dados pessoais e sensíveis"),"dados inseridos em IA; ","") &amp; IF(O444="Acima de 10.000 titulares por mês","volume crítico de titulares; ","") &amp; IF(O444="De 1.001 a 10.000 titulares por mês","volume moderado de titulares; ","") &amp; IF(AA444="SIM","compartilhamento com terceiros; ","") &amp; IF(R444="SIM","compartilhamento com órgãos governamentais; ","") &amp; IF(AJ444="NÃO","ausência de controle de acesso por perfil; ","")),"DPIA não indicado: Processo de baixa criticidade."))</f>
      </c>
    </row>
    <row x14ac:dyDescent="0.25" r="445" customHeight="1" ht="15.75">
      <c r="A445" s="46"/>
      <c r="B445" s="6"/>
      <c r="C445" s="11"/>
      <c r="D445" s="11"/>
      <c r="E445" s="11"/>
      <c r="F445" s="29"/>
      <c r="G445" s="11"/>
      <c r="H445" s="11"/>
      <c r="I445" s="29"/>
      <c r="J445" s="11"/>
      <c r="K445" s="29"/>
      <c r="L445" s="11"/>
      <c r="M445" s="11"/>
      <c r="N445" s="11"/>
      <c r="O445" s="29"/>
      <c r="P445" s="29"/>
      <c r="Q445" s="11"/>
      <c r="R445" s="29"/>
      <c r="S445" s="11"/>
      <c r="T445" s="6"/>
      <c r="U445" s="29"/>
      <c r="V445" s="11"/>
      <c r="W445" s="11"/>
      <c r="X445" s="29"/>
      <c r="Y445" s="11"/>
      <c r="Z445" s="29"/>
      <c r="AA445" s="29"/>
      <c r="AB445" s="11"/>
      <c r="AC445" s="11"/>
      <c r="AD445" s="29"/>
      <c r="AE445" s="11"/>
      <c r="AF445" s="29"/>
      <c r="AG445" s="11"/>
      <c r="AH445" s="29"/>
      <c r="AI445" s="11"/>
      <c r="AJ445" s="29"/>
      <c r="AK445" s="29"/>
      <c r="AL445" s="29"/>
      <c r="AM445" s="11"/>
      <c r="AN445" s="29"/>
      <c r="AO445" s="29"/>
      <c r="AP445" s="6"/>
      <c r="AQ445" s="113">
        <f>IF(AND(I445="",K445="",AF445="",AL445="",AN445="",O445=""),"",IF(OR(I445="SIM",K445="SIM",AF445="SIM",AL445="SIM",AN445="Dados pessoais",AN445="Dados sensíveis",AN445="Dados pessoais e sensíveis",O445="Acima de 10.000 titulares por mês"),"SIM - Alta criticidade",IF((IF(I445="SIM",2,0)+IF(K445="SIM",2,0)+IF(AF445="SIM",2,0)+IF(OR(AN445="Dados pessoais",AN445="Dados sensíveis",AN445="Dados pessoais e sensíveis"),2,0)+IF(O445="De 1.001 a 10.000 titulares por mês",1,0)+IF(AA445="SIM",1,0)+IF(R445="SIM",1,0)+IF(AL445="SIM",1,0)+IF(AJ445="NÃO",1,0))&gt;=5,"SIM - Alta criticidade",IF((IF(I445="SIM",2,0)+IF(K445="SIM",2,0)+IF(AF445="SIM",2,0)+IF(OR(AN445="Dados pessoais",AN445="Dados sensíveis",AN445="Dados pessoais e sensíveis"),2,0)+IF(O445="De 1.001 a 10.000 titulares por mês",1,0)+IF(AA445="SIM",1,0)+IF(R445="SIM",1,0)+IF(AL445="SIM",1,0)+IF(AJ445="NÃO",1,0))&gt;=3,"Avaliação necessária","NÃO"))))</f>
      </c>
      <c r="AR445" s="11"/>
      <c r="AS445" s="113">
        <f>IF(AND(I445="",K445="",AF445="",AL445="",AN445="",O445=""),"",IF(OR(I445="SIM",K445="SIM",AF445="SIM",AL445="SIM",OR(AN445="Dados pessoais",AN445="Dados sensíveis",AN445="Dados pessoais e sensíveis"),O445="Acima de 10.000 titulares por mês",(IF(I445="SIM",2,0)+IF(K445="SIM",2,0)+IF(AF445="SIM",2,0)+IF(OR(AN445="Dados pessoais",AN445="Dados sensíveis",AN445="Dados pessoais e sensíveis"),2,0)+IF(O445="De 1.001 a 10.000 titulares por mês",1,0)+IF(AA445="SIM",1,0)+IF(R445="SIM",1,0)+IF(AL445="SIM",1,0)+IF(AJ445="NÃO",1,0))&gt;=3),"DPIA indicado ou em avaliação em razão de: " &amp; TRIM(IF(I445="SIM","tratamento de dados sensíveis; ","") &amp; IF(K445="SIM","utilização de dados de menores; ","") &amp; IF(AF445="SIM","transferência internacional de dados; ","") &amp; IF(AL445="SIM","utilização de inteligência artificial; ","") &amp; IF(OR(AN445="Dados pessoais",AN445="Dados sensíveis",AN445="Dados pessoais e sensíveis"),"dados inseridos em IA; ","") &amp; IF(O445="Acima de 10.000 titulares por mês","volume crítico de titulares; ","") &amp; IF(O445="De 1.001 a 10.000 titulares por mês","volume moderado de titulares; ","") &amp; IF(AA445="SIM","compartilhamento com terceiros; ","") &amp; IF(R445="SIM","compartilhamento com órgãos governamentais; ","") &amp; IF(AJ445="NÃO","ausência de controle de acesso por perfil; ","")),"DPIA não indicado: Processo de baixa criticidade."))</f>
      </c>
    </row>
    <row x14ac:dyDescent="0.25" r="446" customHeight="1" ht="15.75">
      <c r="A446" s="46"/>
      <c r="B446" s="6"/>
      <c r="C446" s="11"/>
      <c r="D446" s="11"/>
      <c r="E446" s="11"/>
      <c r="F446" s="29"/>
      <c r="G446" s="11"/>
      <c r="H446" s="11"/>
      <c r="I446" s="29"/>
      <c r="J446" s="11"/>
      <c r="K446" s="29"/>
      <c r="L446" s="11"/>
      <c r="M446" s="11"/>
      <c r="N446" s="11"/>
      <c r="O446" s="29"/>
      <c r="P446" s="29"/>
      <c r="Q446" s="11"/>
      <c r="R446" s="29"/>
      <c r="S446" s="11"/>
      <c r="T446" s="6"/>
      <c r="U446" s="29"/>
      <c r="V446" s="11"/>
      <c r="W446" s="11"/>
      <c r="X446" s="29"/>
      <c r="Y446" s="11"/>
      <c r="Z446" s="29"/>
      <c r="AA446" s="29"/>
      <c r="AB446" s="11"/>
      <c r="AC446" s="11"/>
      <c r="AD446" s="29"/>
      <c r="AE446" s="11"/>
      <c r="AF446" s="29"/>
      <c r="AG446" s="11"/>
      <c r="AH446" s="29"/>
      <c r="AI446" s="11"/>
      <c r="AJ446" s="29"/>
      <c r="AK446" s="29"/>
      <c r="AL446" s="29"/>
      <c r="AM446" s="11"/>
      <c r="AN446" s="29"/>
      <c r="AO446" s="29"/>
      <c r="AP446" s="6"/>
      <c r="AQ446" s="113">
        <f>IF(AND(I446="",K446="",AF446="",AL446="",AN446="",O446=""),"",IF(OR(I446="SIM",K446="SIM",AF446="SIM",AL446="SIM",AN446="Dados pessoais",AN446="Dados sensíveis",AN446="Dados pessoais e sensíveis",O446="Acima de 10.000 titulares por mês"),"SIM - Alta criticidade",IF((IF(I446="SIM",2,0)+IF(K446="SIM",2,0)+IF(AF446="SIM",2,0)+IF(OR(AN446="Dados pessoais",AN446="Dados sensíveis",AN446="Dados pessoais e sensíveis"),2,0)+IF(O446="De 1.001 a 10.000 titulares por mês",1,0)+IF(AA446="SIM",1,0)+IF(R446="SIM",1,0)+IF(AL446="SIM",1,0)+IF(AJ446="NÃO",1,0))&gt;=5,"SIM - Alta criticidade",IF((IF(I446="SIM",2,0)+IF(K446="SIM",2,0)+IF(AF446="SIM",2,0)+IF(OR(AN446="Dados pessoais",AN446="Dados sensíveis",AN446="Dados pessoais e sensíveis"),2,0)+IF(O446="De 1.001 a 10.000 titulares por mês",1,0)+IF(AA446="SIM",1,0)+IF(R446="SIM",1,0)+IF(AL446="SIM",1,0)+IF(AJ446="NÃO",1,0))&gt;=3,"Avaliação necessária","NÃO"))))</f>
      </c>
      <c r="AR446" s="11"/>
      <c r="AS446" s="113">
        <f>IF(AND(I446="",K446="",AF446="",AL446="",AN446="",O446=""),"",IF(OR(I446="SIM",K446="SIM",AF446="SIM",AL446="SIM",OR(AN446="Dados pessoais",AN446="Dados sensíveis",AN446="Dados pessoais e sensíveis"),O446="Acima de 10.000 titulares por mês",(IF(I446="SIM",2,0)+IF(K446="SIM",2,0)+IF(AF446="SIM",2,0)+IF(OR(AN446="Dados pessoais",AN446="Dados sensíveis",AN446="Dados pessoais e sensíveis"),2,0)+IF(O446="De 1.001 a 10.000 titulares por mês",1,0)+IF(AA446="SIM",1,0)+IF(R446="SIM",1,0)+IF(AL446="SIM",1,0)+IF(AJ446="NÃO",1,0))&gt;=3),"DPIA indicado ou em avaliação em razão de: " &amp; TRIM(IF(I446="SIM","tratamento de dados sensíveis; ","") &amp; IF(K446="SIM","utilização de dados de menores; ","") &amp; IF(AF446="SIM","transferência internacional de dados; ","") &amp; IF(AL446="SIM","utilização de inteligência artificial; ","") &amp; IF(OR(AN446="Dados pessoais",AN446="Dados sensíveis",AN446="Dados pessoais e sensíveis"),"dados inseridos em IA; ","") &amp; IF(O446="Acima de 10.000 titulares por mês","volume crítico de titulares; ","") &amp; IF(O446="De 1.001 a 10.000 titulares por mês","volume moderado de titulares; ","") &amp; IF(AA446="SIM","compartilhamento com terceiros; ","") &amp; IF(R446="SIM","compartilhamento com órgãos governamentais; ","") &amp; IF(AJ446="NÃO","ausência de controle de acesso por perfil; ","")),"DPIA não indicado: Processo de baixa criticidade."))</f>
      </c>
    </row>
    <row x14ac:dyDescent="0.25" r="447" customHeight="1" ht="15.75">
      <c r="A447" s="46"/>
      <c r="B447" s="6"/>
      <c r="C447" s="11"/>
      <c r="D447" s="11"/>
      <c r="E447" s="11"/>
      <c r="F447" s="29"/>
      <c r="G447" s="11"/>
      <c r="H447" s="11"/>
      <c r="I447" s="29"/>
      <c r="J447" s="11"/>
      <c r="K447" s="29"/>
      <c r="L447" s="11"/>
      <c r="M447" s="11"/>
      <c r="N447" s="11"/>
      <c r="O447" s="29"/>
      <c r="P447" s="29"/>
      <c r="Q447" s="11"/>
      <c r="R447" s="29"/>
      <c r="S447" s="11"/>
      <c r="T447" s="6"/>
      <c r="U447" s="29"/>
      <c r="V447" s="11"/>
      <c r="W447" s="11"/>
      <c r="X447" s="29"/>
      <c r="Y447" s="11"/>
      <c r="Z447" s="29"/>
      <c r="AA447" s="29"/>
      <c r="AB447" s="11"/>
      <c r="AC447" s="11"/>
      <c r="AD447" s="29"/>
      <c r="AE447" s="11"/>
      <c r="AF447" s="29"/>
      <c r="AG447" s="11"/>
      <c r="AH447" s="29"/>
      <c r="AI447" s="11"/>
      <c r="AJ447" s="29"/>
      <c r="AK447" s="29"/>
      <c r="AL447" s="29"/>
      <c r="AM447" s="11"/>
      <c r="AN447" s="29"/>
      <c r="AO447" s="29"/>
      <c r="AP447" s="6"/>
      <c r="AQ447" s="113">
        <f>IF(AND(I447="",K447="",AF447="",AL447="",AN447="",O447=""),"",IF(OR(I447="SIM",K447="SIM",AF447="SIM",AL447="SIM",AN447="Dados pessoais",AN447="Dados sensíveis",AN447="Dados pessoais e sensíveis",O447="Acima de 10.000 titulares por mês"),"SIM - Alta criticidade",IF((IF(I447="SIM",2,0)+IF(K447="SIM",2,0)+IF(AF447="SIM",2,0)+IF(OR(AN447="Dados pessoais",AN447="Dados sensíveis",AN447="Dados pessoais e sensíveis"),2,0)+IF(O447="De 1.001 a 10.000 titulares por mês",1,0)+IF(AA447="SIM",1,0)+IF(R447="SIM",1,0)+IF(AL447="SIM",1,0)+IF(AJ447="NÃO",1,0))&gt;=5,"SIM - Alta criticidade",IF((IF(I447="SIM",2,0)+IF(K447="SIM",2,0)+IF(AF447="SIM",2,0)+IF(OR(AN447="Dados pessoais",AN447="Dados sensíveis",AN447="Dados pessoais e sensíveis"),2,0)+IF(O447="De 1.001 a 10.000 titulares por mês",1,0)+IF(AA447="SIM",1,0)+IF(R447="SIM",1,0)+IF(AL447="SIM",1,0)+IF(AJ447="NÃO",1,0))&gt;=3,"Avaliação necessária","NÃO"))))</f>
      </c>
      <c r="AR447" s="11"/>
      <c r="AS447" s="113">
        <f>IF(AND(I447="",K447="",AF447="",AL447="",AN447="",O447=""),"",IF(OR(I447="SIM",K447="SIM",AF447="SIM",AL447="SIM",OR(AN447="Dados pessoais",AN447="Dados sensíveis",AN447="Dados pessoais e sensíveis"),O447="Acima de 10.000 titulares por mês",(IF(I447="SIM",2,0)+IF(K447="SIM",2,0)+IF(AF447="SIM",2,0)+IF(OR(AN447="Dados pessoais",AN447="Dados sensíveis",AN447="Dados pessoais e sensíveis"),2,0)+IF(O447="De 1.001 a 10.000 titulares por mês",1,0)+IF(AA447="SIM",1,0)+IF(R447="SIM",1,0)+IF(AL447="SIM",1,0)+IF(AJ447="NÃO",1,0))&gt;=3),"DPIA indicado ou em avaliação em razão de: " &amp; TRIM(IF(I447="SIM","tratamento de dados sensíveis; ","") &amp; IF(K447="SIM","utilização de dados de menores; ","") &amp; IF(AF447="SIM","transferência internacional de dados; ","") &amp; IF(AL447="SIM","utilização de inteligência artificial; ","") &amp; IF(OR(AN447="Dados pessoais",AN447="Dados sensíveis",AN447="Dados pessoais e sensíveis"),"dados inseridos em IA; ","") &amp; IF(O447="Acima de 10.000 titulares por mês","volume crítico de titulares; ","") &amp; IF(O447="De 1.001 a 10.000 titulares por mês","volume moderado de titulares; ","") &amp; IF(AA447="SIM","compartilhamento com terceiros; ","") &amp; IF(R447="SIM","compartilhamento com órgãos governamentais; ","") &amp; IF(AJ447="NÃO","ausência de controle de acesso por perfil; ","")),"DPIA não indicado: Processo de baixa criticidade."))</f>
      </c>
    </row>
    <row x14ac:dyDescent="0.25" r="448" customHeight="1" ht="15.75">
      <c r="A448" s="46"/>
      <c r="B448" s="6"/>
      <c r="C448" s="11"/>
      <c r="D448" s="11"/>
      <c r="E448" s="11"/>
      <c r="F448" s="29"/>
      <c r="G448" s="11"/>
      <c r="H448" s="11"/>
      <c r="I448" s="29"/>
      <c r="J448" s="11"/>
      <c r="K448" s="29"/>
      <c r="L448" s="11"/>
      <c r="M448" s="11"/>
      <c r="N448" s="11"/>
      <c r="O448" s="29"/>
      <c r="P448" s="29"/>
      <c r="Q448" s="11"/>
      <c r="R448" s="29"/>
      <c r="S448" s="11"/>
      <c r="T448" s="6"/>
      <c r="U448" s="29"/>
      <c r="V448" s="11"/>
      <c r="W448" s="11"/>
      <c r="X448" s="29"/>
      <c r="Y448" s="11"/>
      <c r="Z448" s="29"/>
      <c r="AA448" s="29"/>
      <c r="AB448" s="11"/>
      <c r="AC448" s="11"/>
      <c r="AD448" s="29"/>
      <c r="AE448" s="11"/>
      <c r="AF448" s="29"/>
      <c r="AG448" s="11"/>
      <c r="AH448" s="29"/>
      <c r="AI448" s="11"/>
      <c r="AJ448" s="29"/>
      <c r="AK448" s="29"/>
      <c r="AL448" s="29"/>
      <c r="AM448" s="11"/>
      <c r="AN448" s="29"/>
      <c r="AO448" s="29"/>
      <c r="AP448" s="6"/>
      <c r="AQ448" s="113">
        <f>IF(AND(I448="",K448="",AF448="",AL448="",AN448="",O448=""),"",IF(OR(I448="SIM",K448="SIM",AF448="SIM",AL448="SIM",AN448="Dados pessoais",AN448="Dados sensíveis",AN448="Dados pessoais e sensíveis",O448="Acima de 10.000 titulares por mês"),"SIM - Alta criticidade",IF((IF(I448="SIM",2,0)+IF(K448="SIM",2,0)+IF(AF448="SIM",2,0)+IF(OR(AN448="Dados pessoais",AN448="Dados sensíveis",AN448="Dados pessoais e sensíveis"),2,0)+IF(O448="De 1.001 a 10.000 titulares por mês",1,0)+IF(AA448="SIM",1,0)+IF(R448="SIM",1,0)+IF(AL448="SIM",1,0)+IF(AJ448="NÃO",1,0))&gt;=5,"SIM - Alta criticidade",IF((IF(I448="SIM",2,0)+IF(K448="SIM",2,0)+IF(AF448="SIM",2,0)+IF(OR(AN448="Dados pessoais",AN448="Dados sensíveis",AN448="Dados pessoais e sensíveis"),2,0)+IF(O448="De 1.001 a 10.000 titulares por mês",1,0)+IF(AA448="SIM",1,0)+IF(R448="SIM",1,0)+IF(AL448="SIM",1,0)+IF(AJ448="NÃO",1,0))&gt;=3,"Avaliação necessária","NÃO"))))</f>
      </c>
      <c r="AR448" s="11"/>
      <c r="AS448" s="113">
        <f>IF(AND(I448="",K448="",AF448="",AL448="",AN448="",O448=""),"",IF(OR(I448="SIM",K448="SIM",AF448="SIM",AL448="SIM",OR(AN448="Dados pessoais",AN448="Dados sensíveis",AN448="Dados pessoais e sensíveis"),O448="Acima de 10.000 titulares por mês",(IF(I448="SIM",2,0)+IF(K448="SIM",2,0)+IF(AF448="SIM",2,0)+IF(OR(AN448="Dados pessoais",AN448="Dados sensíveis",AN448="Dados pessoais e sensíveis"),2,0)+IF(O448="De 1.001 a 10.000 titulares por mês",1,0)+IF(AA448="SIM",1,0)+IF(R448="SIM",1,0)+IF(AL448="SIM",1,0)+IF(AJ448="NÃO",1,0))&gt;=3),"DPIA indicado ou em avaliação em razão de: " &amp; TRIM(IF(I448="SIM","tratamento de dados sensíveis; ","") &amp; IF(K448="SIM","utilização de dados de menores; ","") &amp; IF(AF448="SIM","transferência internacional de dados; ","") &amp; IF(AL448="SIM","utilização de inteligência artificial; ","") &amp; IF(OR(AN448="Dados pessoais",AN448="Dados sensíveis",AN448="Dados pessoais e sensíveis"),"dados inseridos em IA; ","") &amp; IF(O448="Acima de 10.000 titulares por mês","volume crítico de titulares; ","") &amp; IF(O448="De 1.001 a 10.000 titulares por mês","volume moderado de titulares; ","") &amp; IF(AA448="SIM","compartilhamento com terceiros; ","") &amp; IF(R448="SIM","compartilhamento com órgãos governamentais; ","") &amp; IF(AJ448="NÃO","ausência de controle de acesso por perfil; ","")),"DPIA não indicado: Processo de baixa criticidade."))</f>
      </c>
    </row>
    <row x14ac:dyDescent="0.25" r="449" customHeight="1" ht="15.75">
      <c r="A449" s="46"/>
      <c r="B449" s="6"/>
      <c r="C449" s="11"/>
      <c r="D449" s="11"/>
      <c r="E449" s="11"/>
      <c r="F449" s="29"/>
      <c r="G449" s="11"/>
      <c r="H449" s="11"/>
      <c r="I449" s="29"/>
      <c r="J449" s="11"/>
      <c r="K449" s="29"/>
      <c r="L449" s="11"/>
      <c r="M449" s="11"/>
      <c r="N449" s="11"/>
      <c r="O449" s="29"/>
      <c r="P449" s="29"/>
      <c r="Q449" s="11"/>
      <c r="R449" s="29"/>
      <c r="S449" s="11"/>
      <c r="T449" s="6"/>
      <c r="U449" s="29"/>
      <c r="V449" s="11"/>
      <c r="W449" s="11"/>
      <c r="X449" s="29"/>
      <c r="Y449" s="11"/>
      <c r="Z449" s="29"/>
      <c r="AA449" s="29"/>
      <c r="AB449" s="11"/>
      <c r="AC449" s="11"/>
      <c r="AD449" s="29"/>
      <c r="AE449" s="11"/>
      <c r="AF449" s="29"/>
      <c r="AG449" s="11"/>
      <c r="AH449" s="29"/>
      <c r="AI449" s="11"/>
      <c r="AJ449" s="29"/>
      <c r="AK449" s="29"/>
      <c r="AL449" s="29"/>
      <c r="AM449" s="11"/>
      <c r="AN449" s="29"/>
      <c r="AO449" s="29"/>
      <c r="AP449" s="6"/>
      <c r="AQ449" s="113">
        <f>IF(AND(I449="",K449="",AF449="",AL449="",AN449="",O449=""),"",IF(OR(I449="SIM",K449="SIM",AF449="SIM",AL449="SIM",AN449="Dados pessoais",AN449="Dados sensíveis",AN449="Dados pessoais e sensíveis",O449="Acima de 10.000 titulares por mês"),"SIM - Alta criticidade",IF((IF(I449="SIM",2,0)+IF(K449="SIM",2,0)+IF(AF449="SIM",2,0)+IF(OR(AN449="Dados pessoais",AN449="Dados sensíveis",AN449="Dados pessoais e sensíveis"),2,0)+IF(O449="De 1.001 a 10.000 titulares por mês",1,0)+IF(AA449="SIM",1,0)+IF(R449="SIM",1,0)+IF(AL449="SIM",1,0)+IF(AJ449="NÃO",1,0))&gt;=5,"SIM - Alta criticidade",IF((IF(I449="SIM",2,0)+IF(K449="SIM",2,0)+IF(AF449="SIM",2,0)+IF(OR(AN449="Dados pessoais",AN449="Dados sensíveis",AN449="Dados pessoais e sensíveis"),2,0)+IF(O449="De 1.001 a 10.000 titulares por mês",1,0)+IF(AA449="SIM",1,0)+IF(R449="SIM",1,0)+IF(AL449="SIM",1,0)+IF(AJ449="NÃO",1,0))&gt;=3,"Avaliação necessária","NÃO"))))</f>
      </c>
      <c r="AR449" s="11"/>
      <c r="AS449" s="113">
        <f>IF(AND(I449="",K449="",AF449="",AL449="",AN449="",O449=""),"",IF(OR(I449="SIM",K449="SIM",AF449="SIM",AL449="SIM",OR(AN449="Dados pessoais",AN449="Dados sensíveis",AN449="Dados pessoais e sensíveis"),O449="Acima de 10.000 titulares por mês",(IF(I449="SIM",2,0)+IF(K449="SIM",2,0)+IF(AF449="SIM",2,0)+IF(OR(AN449="Dados pessoais",AN449="Dados sensíveis",AN449="Dados pessoais e sensíveis"),2,0)+IF(O449="De 1.001 a 10.000 titulares por mês",1,0)+IF(AA449="SIM",1,0)+IF(R449="SIM",1,0)+IF(AL449="SIM",1,0)+IF(AJ449="NÃO",1,0))&gt;=3),"DPIA indicado ou em avaliação em razão de: " &amp; TRIM(IF(I449="SIM","tratamento de dados sensíveis; ","") &amp; IF(K449="SIM","utilização de dados de menores; ","") &amp; IF(AF449="SIM","transferência internacional de dados; ","") &amp; IF(AL449="SIM","utilização de inteligência artificial; ","") &amp; IF(OR(AN449="Dados pessoais",AN449="Dados sensíveis",AN449="Dados pessoais e sensíveis"),"dados inseridos em IA; ","") &amp; IF(O449="Acima de 10.000 titulares por mês","volume crítico de titulares; ","") &amp; IF(O449="De 1.001 a 10.000 titulares por mês","volume moderado de titulares; ","") &amp; IF(AA449="SIM","compartilhamento com terceiros; ","") &amp; IF(R449="SIM","compartilhamento com órgãos governamentais; ","") &amp; IF(AJ449="NÃO","ausência de controle de acesso por perfil; ","")),"DPIA não indicado: Processo de baixa criticidade."))</f>
      </c>
    </row>
    <row x14ac:dyDescent="0.25" r="450" customHeight="1" ht="15.75">
      <c r="A450" s="46"/>
      <c r="B450" s="6"/>
      <c r="C450" s="11"/>
      <c r="D450" s="11"/>
      <c r="E450" s="11"/>
      <c r="F450" s="29"/>
      <c r="G450" s="11"/>
      <c r="H450" s="11"/>
      <c r="I450" s="29"/>
      <c r="J450" s="11"/>
      <c r="K450" s="29"/>
      <c r="L450" s="11"/>
      <c r="M450" s="11"/>
      <c r="N450" s="11"/>
      <c r="O450" s="29"/>
      <c r="P450" s="29"/>
      <c r="Q450" s="11"/>
      <c r="R450" s="29"/>
      <c r="S450" s="11"/>
      <c r="T450" s="6"/>
      <c r="U450" s="29"/>
      <c r="V450" s="11"/>
      <c r="W450" s="11"/>
      <c r="X450" s="29"/>
      <c r="Y450" s="11"/>
      <c r="Z450" s="29"/>
      <c r="AA450" s="29"/>
      <c r="AB450" s="11"/>
      <c r="AC450" s="11"/>
      <c r="AD450" s="29"/>
      <c r="AE450" s="11"/>
      <c r="AF450" s="29"/>
      <c r="AG450" s="11"/>
      <c r="AH450" s="29"/>
      <c r="AI450" s="11"/>
      <c r="AJ450" s="29"/>
      <c r="AK450" s="29"/>
      <c r="AL450" s="29"/>
      <c r="AM450" s="11"/>
      <c r="AN450" s="29"/>
      <c r="AO450" s="29"/>
      <c r="AP450" s="6"/>
      <c r="AQ450" s="113">
        <f>IF(AND(I450="",K450="",AF450="",AL450="",AN450="",O450=""),"",IF(OR(I450="SIM",K450="SIM",AF450="SIM",AL450="SIM",AN450="Dados pessoais",AN450="Dados sensíveis",AN450="Dados pessoais e sensíveis",O450="Acima de 10.000 titulares por mês"),"SIM - Alta criticidade",IF((IF(I450="SIM",2,0)+IF(K450="SIM",2,0)+IF(AF450="SIM",2,0)+IF(OR(AN450="Dados pessoais",AN450="Dados sensíveis",AN450="Dados pessoais e sensíveis"),2,0)+IF(O450="De 1.001 a 10.000 titulares por mês",1,0)+IF(AA450="SIM",1,0)+IF(R450="SIM",1,0)+IF(AL450="SIM",1,0)+IF(AJ450="NÃO",1,0))&gt;=5,"SIM - Alta criticidade",IF((IF(I450="SIM",2,0)+IF(K450="SIM",2,0)+IF(AF450="SIM",2,0)+IF(OR(AN450="Dados pessoais",AN450="Dados sensíveis",AN450="Dados pessoais e sensíveis"),2,0)+IF(O450="De 1.001 a 10.000 titulares por mês",1,0)+IF(AA450="SIM",1,0)+IF(R450="SIM",1,0)+IF(AL450="SIM",1,0)+IF(AJ450="NÃO",1,0))&gt;=3,"Avaliação necessária","NÃO"))))</f>
      </c>
      <c r="AR450" s="11"/>
      <c r="AS450" s="113">
        <f>IF(AND(I450="",K450="",AF450="",AL450="",AN450="",O450=""),"",IF(OR(I450="SIM",K450="SIM",AF450="SIM",AL450="SIM",OR(AN450="Dados pessoais",AN450="Dados sensíveis",AN450="Dados pessoais e sensíveis"),O450="Acima de 10.000 titulares por mês",(IF(I450="SIM",2,0)+IF(K450="SIM",2,0)+IF(AF450="SIM",2,0)+IF(OR(AN450="Dados pessoais",AN450="Dados sensíveis",AN450="Dados pessoais e sensíveis"),2,0)+IF(O450="De 1.001 a 10.000 titulares por mês",1,0)+IF(AA450="SIM",1,0)+IF(R450="SIM",1,0)+IF(AL450="SIM",1,0)+IF(AJ450="NÃO",1,0))&gt;=3),"DPIA indicado ou em avaliação em razão de: " &amp; TRIM(IF(I450="SIM","tratamento de dados sensíveis; ","") &amp; IF(K450="SIM","utilização de dados de menores; ","") &amp; IF(AF450="SIM","transferência internacional de dados; ","") &amp; IF(AL450="SIM","utilização de inteligência artificial; ","") &amp; IF(OR(AN450="Dados pessoais",AN450="Dados sensíveis",AN450="Dados pessoais e sensíveis"),"dados inseridos em IA; ","") &amp; IF(O450="Acima de 10.000 titulares por mês","volume crítico de titulares; ","") &amp; IF(O450="De 1.001 a 10.000 titulares por mês","volume moderado de titulares; ","") &amp; IF(AA450="SIM","compartilhamento com terceiros; ","") &amp; IF(R450="SIM","compartilhamento com órgãos governamentais; ","") &amp; IF(AJ450="NÃO","ausência de controle de acesso por perfil; ","")),"DPIA não indicado: Processo de baixa criticidade."))</f>
      </c>
    </row>
    <row x14ac:dyDescent="0.25" r="451" customHeight="1" ht="15.75">
      <c r="A451" s="46"/>
      <c r="B451" s="6"/>
      <c r="C451" s="11"/>
      <c r="D451" s="11"/>
      <c r="E451" s="11"/>
      <c r="F451" s="29"/>
      <c r="G451" s="11"/>
      <c r="H451" s="11"/>
      <c r="I451" s="29"/>
      <c r="J451" s="11"/>
      <c r="K451" s="29"/>
      <c r="L451" s="11"/>
      <c r="M451" s="11"/>
      <c r="N451" s="11"/>
      <c r="O451" s="29"/>
      <c r="P451" s="29"/>
      <c r="Q451" s="11"/>
      <c r="R451" s="29"/>
      <c r="S451" s="11"/>
      <c r="T451" s="6"/>
      <c r="U451" s="29"/>
      <c r="V451" s="11"/>
      <c r="W451" s="11"/>
      <c r="X451" s="29"/>
      <c r="Y451" s="11"/>
      <c r="Z451" s="29"/>
      <c r="AA451" s="29"/>
      <c r="AB451" s="11"/>
      <c r="AC451" s="11"/>
      <c r="AD451" s="29"/>
      <c r="AE451" s="11"/>
      <c r="AF451" s="29"/>
      <c r="AG451" s="11"/>
      <c r="AH451" s="29"/>
      <c r="AI451" s="11"/>
      <c r="AJ451" s="29"/>
      <c r="AK451" s="29"/>
      <c r="AL451" s="29"/>
      <c r="AM451" s="11"/>
      <c r="AN451" s="29"/>
      <c r="AO451" s="29"/>
      <c r="AP451" s="6"/>
      <c r="AQ451" s="113">
        <f>IF(AND(I451="",K451="",AF451="",AL451="",AN451="",O451=""),"",IF(OR(I451="SIM",K451="SIM",AF451="SIM",AL451="SIM",AN451="Dados pessoais",AN451="Dados sensíveis",AN451="Dados pessoais e sensíveis",O451="Acima de 10.000 titulares por mês"),"SIM - Alta criticidade",IF((IF(I451="SIM",2,0)+IF(K451="SIM",2,0)+IF(AF451="SIM",2,0)+IF(OR(AN451="Dados pessoais",AN451="Dados sensíveis",AN451="Dados pessoais e sensíveis"),2,0)+IF(O451="De 1.001 a 10.000 titulares por mês",1,0)+IF(AA451="SIM",1,0)+IF(R451="SIM",1,0)+IF(AL451="SIM",1,0)+IF(AJ451="NÃO",1,0))&gt;=5,"SIM - Alta criticidade",IF((IF(I451="SIM",2,0)+IF(K451="SIM",2,0)+IF(AF451="SIM",2,0)+IF(OR(AN451="Dados pessoais",AN451="Dados sensíveis",AN451="Dados pessoais e sensíveis"),2,0)+IF(O451="De 1.001 a 10.000 titulares por mês",1,0)+IF(AA451="SIM",1,0)+IF(R451="SIM",1,0)+IF(AL451="SIM",1,0)+IF(AJ451="NÃO",1,0))&gt;=3,"Avaliação necessária","NÃO"))))</f>
      </c>
      <c r="AR451" s="11"/>
      <c r="AS451" s="113">
        <f>IF(AND(I451="",K451="",AF451="",AL451="",AN451="",O451=""),"",IF(OR(I451="SIM",K451="SIM",AF451="SIM",AL451="SIM",OR(AN451="Dados pessoais",AN451="Dados sensíveis",AN451="Dados pessoais e sensíveis"),O451="Acima de 10.000 titulares por mês",(IF(I451="SIM",2,0)+IF(K451="SIM",2,0)+IF(AF451="SIM",2,0)+IF(OR(AN451="Dados pessoais",AN451="Dados sensíveis",AN451="Dados pessoais e sensíveis"),2,0)+IF(O451="De 1.001 a 10.000 titulares por mês",1,0)+IF(AA451="SIM",1,0)+IF(R451="SIM",1,0)+IF(AL451="SIM",1,0)+IF(AJ451="NÃO",1,0))&gt;=3),"DPIA indicado ou em avaliação em razão de: " &amp; TRIM(IF(I451="SIM","tratamento de dados sensíveis; ","") &amp; IF(K451="SIM","utilização de dados de menores; ","") &amp; IF(AF451="SIM","transferência internacional de dados; ","") &amp; IF(AL451="SIM","utilização de inteligência artificial; ","") &amp; IF(OR(AN451="Dados pessoais",AN451="Dados sensíveis",AN451="Dados pessoais e sensíveis"),"dados inseridos em IA; ","") &amp; IF(O451="Acima de 10.000 titulares por mês","volume crítico de titulares; ","") &amp; IF(O451="De 1.001 a 10.000 titulares por mês","volume moderado de titulares; ","") &amp; IF(AA451="SIM","compartilhamento com terceiros; ","") &amp; IF(R451="SIM","compartilhamento com órgãos governamentais; ","") &amp; IF(AJ451="NÃO","ausência de controle de acesso por perfil; ","")),"DPIA não indicado: Processo de baixa criticidade."))</f>
      </c>
    </row>
    <row x14ac:dyDescent="0.25" r="452" customHeight="1" ht="15.75">
      <c r="A452" s="46"/>
      <c r="B452" s="6"/>
      <c r="C452" s="11"/>
      <c r="D452" s="11"/>
      <c r="E452" s="11"/>
      <c r="F452" s="29"/>
      <c r="G452" s="11"/>
      <c r="H452" s="11"/>
      <c r="I452" s="29"/>
      <c r="J452" s="11"/>
      <c r="K452" s="29"/>
      <c r="L452" s="11"/>
      <c r="M452" s="11"/>
      <c r="N452" s="11"/>
      <c r="O452" s="29"/>
      <c r="P452" s="29"/>
      <c r="Q452" s="11"/>
      <c r="R452" s="29"/>
      <c r="S452" s="11"/>
      <c r="T452" s="6"/>
      <c r="U452" s="29"/>
      <c r="V452" s="11"/>
      <c r="W452" s="11"/>
      <c r="X452" s="29"/>
      <c r="Y452" s="11"/>
      <c r="Z452" s="29"/>
      <c r="AA452" s="29"/>
      <c r="AB452" s="11"/>
      <c r="AC452" s="11"/>
      <c r="AD452" s="29"/>
      <c r="AE452" s="11"/>
      <c r="AF452" s="29"/>
      <c r="AG452" s="11"/>
      <c r="AH452" s="29"/>
      <c r="AI452" s="11"/>
      <c r="AJ452" s="29"/>
      <c r="AK452" s="29"/>
      <c r="AL452" s="29"/>
      <c r="AM452" s="11"/>
      <c r="AN452" s="29"/>
      <c r="AO452" s="29"/>
      <c r="AP452" s="6"/>
      <c r="AQ452" s="113">
        <f>IF(AND(I452="",K452="",AF452="",AL452="",AN452="",O452=""),"",IF(OR(I452="SIM",K452="SIM",AF452="SIM",AL452="SIM",AN452="Dados pessoais",AN452="Dados sensíveis",AN452="Dados pessoais e sensíveis",O452="Acima de 10.000 titulares por mês"),"SIM - Alta criticidade",IF((IF(I452="SIM",2,0)+IF(K452="SIM",2,0)+IF(AF452="SIM",2,0)+IF(OR(AN452="Dados pessoais",AN452="Dados sensíveis",AN452="Dados pessoais e sensíveis"),2,0)+IF(O452="De 1.001 a 10.000 titulares por mês",1,0)+IF(AA452="SIM",1,0)+IF(R452="SIM",1,0)+IF(AL452="SIM",1,0)+IF(AJ452="NÃO",1,0))&gt;=5,"SIM - Alta criticidade",IF((IF(I452="SIM",2,0)+IF(K452="SIM",2,0)+IF(AF452="SIM",2,0)+IF(OR(AN452="Dados pessoais",AN452="Dados sensíveis",AN452="Dados pessoais e sensíveis"),2,0)+IF(O452="De 1.001 a 10.000 titulares por mês",1,0)+IF(AA452="SIM",1,0)+IF(R452="SIM",1,0)+IF(AL452="SIM",1,0)+IF(AJ452="NÃO",1,0))&gt;=3,"Avaliação necessária","NÃO"))))</f>
      </c>
      <c r="AR452" s="11"/>
      <c r="AS452" s="113">
        <f>IF(AND(I452="",K452="",AF452="",AL452="",AN452="",O452=""),"",IF(OR(I452="SIM",K452="SIM",AF452="SIM",AL452="SIM",OR(AN452="Dados pessoais",AN452="Dados sensíveis",AN452="Dados pessoais e sensíveis"),O452="Acima de 10.000 titulares por mês",(IF(I452="SIM",2,0)+IF(K452="SIM",2,0)+IF(AF452="SIM",2,0)+IF(OR(AN452="Dados pessoais",AN452="Dados sensíveis",AN452="Dados pessoais e sensíveis"),2,0)+IF(O452="De 1.001 a 10.000 titulares por mês",1,0)+IF(AA452="SIM",1,0)+IF(R452="SIM",1,0)+IF(AL452="SIM",1,0)+IF(AJ452="NÃO",1,0))&gt;=3),"DPIA indicado ou em avaliação em razão de: " &amp; TRIM(IF(I452="SIM","tratamento de dados sensíveis; ","") &amp; IF(K452="SIM","utilização de dados de menores; ","") &amp; IF(AF452="SIM","transferência internacional de dados; ","") &amp; IF(AL452="SIM","utilização de inteligência artificial; ","") &amp; IF(OR(AN452="Dados pessoais",AN452="Dados sensíveis",AN452="Dados pessoais e sensíveis"),"dados inseridos em IA; ","") &amp; IF(O452="Acima de 10.000 titulares por mês","volume crítico de titulares; ","") &amp; IF(O452="De 1.001 a 10.000 titulares por mês","volume moderado de titulares; ","") &amp; IF(AA452="SIM","compartilhamento com terceiros; ","") &amp; IF(R452="SIM","compartilhamento com órgãos governamentais; ","") &amp; IF(AJ452="NÃO","ausência de controle de acesso por perfil; ","")),"DPIA não indicado: Processo de baixa criticidade."))</f>
      </c>
    </row>
    <row x14ac:dyDescent="0.25" r="453" customHeight="1" ht="15.75">
      <c r="A453" s="46"/>
      <c r="B453" s="6"/>
      <c r="C453" s="11"/>
      <c r="D453" s="11"/>
      <c r="E453" s="11"/>
      <c r="F453" s="29"/>
      <c r="G453" s="11"/>
      <c r="H453" s="11"/>
      <c r="I453" s="29"/>
      <c r="J453" s="11"/>
      <c r="K453" s="29"/>
      <c r="L453" s="11"/>
      <c r="M453" s="11"/>
      <c r="N453" s="11"/>
      <c r="O453" s="29"/>
      <c r="P453" s="29"/>
      <c r="Q453" s="11"/>
      <c r="R453" s="29"/>
      <c r="S453" s="11"/>
      <c r="T453" s="6"/>
      <c r="U453" s="29"/>
      <c r="V453" s="11"/>
      <c r="W453" s="11"/>
      <c r="X453" s="29"/>
      <c r="Y453" s="11"/>
      <c r="Z453" s="29"/>
      <c r="AA453" s="29"/>
      <c r="AB453" s="11"/>
      <c r="AC453" s="11"/>
      <c r="AD453" s="29"/>
      <c r="AE453" s="11"/>
      <c r="AF453" s="29"/>
      <c r="AG453" s="11"/>
      <c r="AH453" s="29"/>
      <c r="AI453" s="11"/>
      <c r="AJ453" s="29"/>
      <c r="AK453" s="29"/>
      <c r="AL453" s="29"/>
      <c r="AM453" s="11"/>
      <c r="AN453" s="29"/>
      <c r="AO453" s="29"/>
      <c r="AP453" s="6"/>
      <c r="AQ453" s="113">
        <f>IF(AND(I453="",K453="",AF453="",AL453="",AN453="",O453=""),"",IF(OR(I453="SIM",K453="SIM",AF453="SIM",AL453="SIM",AN453="Dados pessoais",AN453="Dados sensíveis",AN453="Dados pessoais e sensíveis",O453="Acima de 10.000 titulares por mês"),"SIM - Alta criticidade",IF((IF(I453="SIM",2,0)+IF(K453="SIM",2,0)+IF(AF453="SIM",2,0)+IF(OR(AN453="Dados pessoais",AN453="Dados sensíveis",AN453="Dados pessoais e sensíveis"),2,0)+IF(O453="De 1.001 a 10.000 titulares por mês",1,0)+IF(AA453="SIM",1,0)+IF(R453="SIM",1,0)+IF(AL453="SIM",1,0)+IF(AJ453="NÃO",1,0))&gt;=5,"SIM - Alta criticidade",IF((IF(I453="SIM",2,0)+IF(K453="SIM",2,0)+IF(AF453="SIM",2,0)+IF(OR(AN453="Dados pessoais",AN453="Dados sensíveis",AN453="Dados pessoais e sensíveis"),2,0)+IF(O453="De 1.001 a 10.000 titulares por mês",1,0)+IF(AA453="SIM",1,0)+IF(R453="SIM",1,0)+IF(AL453="SIM",1,0)+IF(AJ453="NÃO",1,0))&gt;=3,"Avaliação necessária","NÃO"))))</f>
      </c>
      <c r="AR453" s="11"/>
      <c r="AS453" s="113">
        <f>IF(AND(I453="",K453="",AF453="",AL453="",AN453="",O453=""),"",IF(OR(I453="SIM",K453="SIM",AF453="SIM",AL453="SIM",OR(AN453="Dados pessoais",AN453="Dados sensíveis",AN453="Dados pessoais e sensíveis"),O453="Acima de 10.000 titulares por mês",(IF(I453="SIM",2,0)+IF(K453="SIM",2,0)+IF(AF453="SIM",2,0)+IF(OR(AN453="Dados pessoais",AN453="Dados sensíveis",AN453="Dados pessoais e sensíveis"),2,0)+IF(O453="De 1.001 a 10.000 titulares por mês",1,0)+IF(AA453="SIM",1,0)+IF(R453="SIM",1,0)+IF(AL453="SIM",1,0)+IF(AJ453="NÃO",1,0))&gt;=3),"DPIA indicado ou em avaliação em razão de: " &amp; TRIM(IF(I453="SIM","tratamento de dados sensíveis; ","") &amp; IF(K453="SIM","utilização de dados de menores; ","") &amp; IF(AF453="SIM","transferência internacional de dados; ","") &amp; IF(AL453="SIM","utilização de inteligência artificial; ","") &amp; IF(OR(AN453="Dados pessoais",AN453="Dados sensíveis",AN453="Dados pessoais e sensíveis"),"dados inseridos em IA; ","") &amp; IF(O453="Acima de 10.000 titulares por mês","volume crítico de titulares; ","") &amp; IF(O453="De 1.001 a 10.000 titulares por mês","volume moderado de titulares; ","") &amp; IF(AA453="SIM","compartilhamento com terceiros; ","") &amp; IF(R453="SIM","compartilhamento com órgãos governamentais; ","") &amp; IF(AJ453="NÃO","ausência de controle de acesso por perfil; ","")),"DPIA não indicado: Processo de baixa criticidade."))</f>
      </c>
    </row>
    <row x14ac:dyDescent="0.25" r="454" customHeight="1" ht="15.75">
      <c r="A454" s="46"/>
      <c r="B454" s="6"/>
      <c r="C454" s="11"/>
      <c r="D454" s="11"/>
      <c r="E454" s="11"/>
      <c r="F454" s="29"/>
      <c r="G454" s="11"/>
      <c r="H454" s="11"/>
      <c r="I454" s="29"/>
      <c r="J454" s="11"/>
      <c r="K454" s="29"/>
      <c r="L454" s="11"/>
      <c r="M454" s="11"/>
      <c r="N454" s="11"/>
      <c r="O454" s="29"/>
      <c r="P454" s="29"/>
      <c r="Q454" s="11"/>
      <c r="R454" s="29"/>
      <c r="S454" s="11"/>
      <c r="T454" s="6"/>
      <c r="U454" s="29"/>
      <c r="V454" s="11"/>
      <c r="W454" s="11"/>
      <c r="X454" s="29"/>
      <c r="Y454" s="11"/>
      <c r="Z454" s="29"/>
      <c r="AA454" s="29"/>
      <c r="AB454" s="11"/>
      <c r="AC454" s="11"/>
      <c r="AD454" s="29"/>
      <c r="AE454" s="11"/>
      <c r="AF454" s="29"/>
      <c r="AG454" s="11"/>
      <c r="AH454" s="29"/>
      <c r="AI454" s="11"/>
      <c r="AJ454" s="29"/>
      <c r="AK454" s="29"/>
      <c r="AL454" s="29"/>
      <c r="AM454" s="11"/>
      <c r="AN454" s="29"/>
      <c r="AO454" s="29"/>
      <c r="AP454" s="6"/>
      <c r="AQ454" s="113">
        <f>IF(AND(I454="",K454="",AF454="",AL454="",AN454="",O454=""),"",IF(OR(I454="SIM",K454="SIM",AF454="SIM",AL454="SIM",AN454="Dados pessoais",AN454="Dados sensíveis",AN454="Dados pessoais e sensíveis",O454="Acima de 10.000 titulares por mês"),"SIM - Alta criticidade",IF((IF(I454="SIM",2,0)+IF(K454="SIM",2,0)+IF(AF454="SIM",2,0)+IF(OR(AN454="Dados pessoais",AN454="Dados sensíveis",AN454="Dados pessoais e sensíveis"),2,0)+IF(O454="De 1.001 a 10.000 titulares por mês",1,0)+IF(AA454="SIM",1,0)+IF(R454="SIM",1,0)+IF(AL454="SIM",1,0)+IF(AJ454="NÃO",1,0))&gt;=5,"SIM - Alta criticidade",IF((IF(I454="SIM",2,0)+IF(K454="SIM",2,0)+IF(AF454="SIM",2,0)+IF(OR(AN454="Dados pessoais",AN454="Dados sensíveis",AN454="Dados pessoais e sensíveis"),2,0)+IF(O454="De 1.001 a 10.000 titulares por mês",1,0)+IF(AA454="SIM",1,0)+IF(R454="SIM",1,0)+IF(AL454="SIM",1,0)+IF(AJ454="NÃO",1,0))&gt;=3,"Avaliação necessária","NÃO"))))</f>
      </c>
      <c r="AR454" s="11"/>
      <c r="AS454" s="113">
        <f>IF(AND(I454="",K454="",AF454="",AL454="",AN454="",O454=""),"",IF(OR(I454="SIM",K454="SIM",AF454="SIM",AL454="SIM",OR(AN454="Dados pessoais",AN454="Dados sensíveis",AN454="Dados pessoais e sensíveis"),O454="Acima de 10.000 titulares por mês",(IF(I454="SIM",2,0)+IF(K454="SIM",2,0)+IF(AF454="SIM",2,0)+IF(OR(AN454="Dados pessoais",AN454="Dados sensíveis",AN454="Dados pessoais e sensíveis"),2,0)+IF(O454="De 1.001 a 10.000 titulares por mês",1,0)+IF(AA454="SIM",1,0)+IF(R454="SIM",1,0)+IF(AL454="SIM",1,0)+IF(AJ454="NÃO",1,0))&gt;=3),"DPIA indicado ou em avaliação em razão de: " &amp; TRIM(IF(I454="SIM","tratamento de dados sensíveis; ","") &amp; IF(K454="SIM","utilização de dados de menores; ","") &amp; IF(AF454="SIM","transferência internacional de dados; ","") &amp; IF(AL454="SIM","utilização de inteligência artificial; ","") &amp; IF(OR(AN454="Dados pessoais",AN454="Dados sensíveis",AN454="Dados pessoais e sensíveis"),"dados inseridos em IA; ","") &amp; IF(O454="Acima de 10.000 titulares por mês","volume crítico de titulares; ","") &amp; IF(O454="De 1.001 a 10.000 titulares por mês","volume moderado de titulares; ","") &amp; IF(AA454="SIM","compartilhamento com terceiros; ","") &amp; IF(R454="SIM","compartilhamento com órgãos governamentais; ","") &amp; IF(AJ454="NÃO","ausência de controle de acesso por perfil; ","")),"DPIA não indicado: Processo de baixa criticidade."))</f>
      </c>
    </row>
    <row x14ac:dyDescent="0.25" r="455" customHeight="1" ht="15.75">
      <c r="A455" s="46"/>
      <c r="B455" s="6"/>
      <c r="C455" s="11"/>
      <c r="D455" s="11"/>
      <c r="E455" s="11"/>
      <c r="F455" s="29"/>
      <c r="G455" s="11"/>
      <c r="H455" s="11"/>
      <c r="I455" s="29"/>
      <c r="J455" s="11"/>
      <c r="K455" s="29"/>
      <c r="L455" s="11"/>
      <c r="M455" s="11"/>
      <c r="N455" s="11"/>
      <c r="O455" s="29"/>
      <c r="P455" s="29"/>
      <c r="Q455" s="11"/>
      <c r="R455" s="29"/>
      <c r="S455" s="11"/>
      <c r="T455" s="6"/>
      <c r="U455" s="29"/>
      <c r="V455" s="11"/>
      <c r="W455" s="11"/>
      <c r="X455" s="29"/>
      <c r="Y455" s="11"/>
      <c r="Z455" s="29"/>
      <c r="AA455" s="29"/>
      <c r="AB455" s="11"/>
      <c r="AC455" s="11"/>
      <c r="AD455" s="29"/>
      <c r="AE455" s="11"/>
      <c r="AF455" s="29"/>
      <c r="AG455" s="11"/>
      <c r="AH455" s="29"/>
      <c r="AI455" s="11"/>
      <c r="AJ455" s="29"/>
      <c r="AK455" s="29"/>
      <c r="AL455" s="29"/>
      <c r="AM455" s="11"/>
      <c r="AN455" s="29"/>
      <c r="AO455" s="29"/>
      <c r="AP455" s="6"/>
      <c r="AQ455" s="113">
        <f>IF(AND(I455="",K455="",AF455="",AL455="",AN455="",O455=""),"",IF(OR(I455="SIM",K455="SIM",AF455="SIM",AL455="SIM",AN455="Dados pessoais",AN455="Dados sensíveis",AN455="Dados pessoais e sensíveis",O455="Acima de 10.000 titulares por mês"),"SIM - Alta criticidade",IF((IF(I455="SIM",2,0)+IF(K455="SIM",2,0)+IF(AF455="SIM",2,0)+IF(OR(AN455="Dados pessoais",AN455="Dados sensíveis",AN455="Dados pessoais e sensíveis"),2,0)+IF(O455="De 1.001 a 10.000 titulares por mês",1,0)+IF(AA455="SIM",1,0)+IF(R455="SIM",1,0)+IF(AL455="SIM",1,0)+IF(AJ455="NÃO",1,0))&gt;=5,"SIM - Alta criticidade",IF((IF(I455="SIM",2,0)+IF(K455="SIM",2,0)+IF(AF455="SIM",2,0)+IF(OR(AN455="Dados pessoais",AN455="Dados sensíveis",AN455="Dados pessoais e sensíveis"),2,0)+IF(O455="De 1.001 a 10.000 titulares por mês",1,0)+IF(AA455="SIM",1,0)+IF(R455="SIM",1,0)+IF(AL455="SIM",1,0)+IF(AJ455="NÃO",1,0))&gt;=3,"Avaliação necessária","NÃO"))))</f>
      </c>
      <c r="AR455" s="11"/>
      <c r="AS455" s="113">
        <f>IF(AND(I455="",K455="",AF455="",AL455="",AN455="",O455=""),"",IF(OR(I455="SIM",K455="SIM",AF455="SIM",AL455="SIM",OR(AN455="Dados pessoais",AN455="Dados sensíveis",AN455="Dados pessoais e sensíveis"),O455="Acima de 10.000 titulares por mês",(IF(I455="SIM",2,0)+IF(K455="SIM",2,0)+IF(AF455="SIM",2,0)+IF(OR(AN455="Dados pessoais",AN455="Dados sensíveis",AN455="Dados pessoais e sensíveis"),2,0)+IF(O455="De 1.001 a 10.000 titulares por mês",1,0)+IF(AA455="SIM",1,0)+IF(R455="SIM",1,0)+IF(AL455="SIM",1,0)+IF(AJ455="NÃO",1,0))&gt;=3),"DPIA indicado ou em avaliação em razão de: " &amp; TRIM(IF(I455="SIM","tratamento de dados sensíveis; ","") &amp; IF(K455="SIM","utilização de dados de menores; ","") &amp; IF(AF455="SIM","transferência internacional de dados; ","") &amp; IF(AL455="SIM","utilização de inteligência artificial; ","") &amp; IF(OR(AN455="Dados pessoais",AN455="Dados sensíveis",AN455="Dados pessoais e sensíveis"),"dados inseridos em IA; ","") &amp; IF(O455="Acima de 10.000 titulares por mês","volume crítico de titulares; ","") &amp; IF(O455="De 1.001 a 10.000 titulares por mês","volume moderado de titulares; ","") &amp; IF(AA455="SIM","compartilhamento com terceiros; ","") &amp; IF(R455="SIM","compartilhamento com órgãos governamentais; ","") &amp; IF(AJ455="NÃO","ausência de controle de acesso por perfil; ","")),"DPIA não indicado: Processo de baixa criticidade."))</f>
      </c>
    </row>
    <row x14ac:dyDescent="0.25" r="456" customHeight="1" ht="15.75">
      <c r="A456" s="46"/>
      <c r="B456" s="6"/>
      <c r="C456" s="11"/>
      <c r="D456" s="11"/>
      <c r="E456" s="11"/>
      <c r="F456" s="29"/>
      <c r="G456" s="11"/>
      <c r="H456" s="11"/>
      <c r="I456" s="29"/>
      <c r="J456" s="11"/>
      <c r="K456" s="29"/>
      <c r="L456" s="11"/>
      <c r="M456" s="11"/>
      <c r="N456" s="11"/>
      <c r="O456" s="29"/>
      <c r="P456" s="29"/>
      <c r="Q456" s="11"/>
      <c r="R456" s="29"/>
      <c r="S456" s="11"/>
      <c r="T456" s="6"/>
      <c r="U456" s="29"/>
      <c r="V456" s="11"/>
      <c r="W456" s="11"/>
      <c r="X456" s="29"/>
      <c r="Y456" s="11"/>
      <c r="Z456" s="29"/>
      <c r="AA456" s="29"/>
      <c r="AB456" s="11"/>
      <c r="AC456" s="11"/>
      <c r="AD456" s="29"/>
      <c r="AE456" s="11"/>
      <c r="AF456" s="29"/>
      <c r="AG456" s="11"/>
      <c r="AH456" s="29"/>
      <c r="AI456" s="11"/>
      <c r="AJ456" s="29"/>
      <c r="AK456" s="29"/>
      <c r="AL456" s="29"/>
      <c r="AM456" s="11"/>
      <c r="AN456" s="29"/>
      <c r="AO456" s="29"/>
      <c r="AP456" s="6"/>
      <c r="AQ456" s="113">
        <f>IF(AND(I456="",K456="",AF456="",AL456="",AN456="",O456=""),"",IF(OR(I456="SIM",K456="SIM",AF456="SIM",AL456="SIM",AN456="Dados pessoais",AN456="Dados sensíveis",AN456="Dados pessoais e sensíveis",O456="Acima de 10.000 titulares por mês"),"SIM - Alta criticidade",IF((IF(I456="SIM",2,0)+IF(K456="SIM",2,0)+IF(AF456="SIM",2,0)+IF(OR(AN456="Dados pessoais",AN456="Dados sensíveis",AN456="Dados pessoais e sensíveis"),2,0)+IF(O456="De 1.001 a 10.000 titulares por mês",1,0)+IF(AA456="SIM",1,0)+IF(R456="SIM",1,0)+IF(AL456="SIM",1,0)+IF(AJ456="NÃO",1,0))&gt;=5,"SIM - Alta criticidade",IF((IF(I456="SIM",2,0)+IF(K456="SIM",2,0)+IF(AF456="SIM",2,0)+IF(OR(AN456="Dados pessoais",AN456="Dados sensíveis",AN456="Dados pessoais e sensíveis"),2,0)+IF(O456="De 1.001 a 10.000 titulares por mês",1,0)+IF(AA456="SIM",1,0)+IF(R456="SIM",1,0)+IF(AL456="SIM",1,0)+IF(AJ456="NÃO",1,0))&gt;=3,"Avaliação necessária","NÃO"))))</f>
      </c>
      <c r="AR456" s="11"/>
      <c r="AS456" s="113">
        <f>IF(AND(I456="",K456="",AF456="",AL456="",AN456="",O456=""),"",IF(OR(I456="SIM",K456="SIM",AF456="SIM",AL456="SIM",OR(AN456="Dados pessoais",AN456="Dados sensíveis",AN456="Dados pessoais e sensíveis"),O456="Acima de 10.000 titulares por mês",(IF(I456="SIM",2,0)+IF(K456="SIM",2,0)+IF(AF456="SIM",2,0)+IF(OR(AN456="Dados pessoais",AN456="Dados sensíveis",AN456="Dados pessoais e sensíveis"),2,0)+IF(O456="De 1.001 a 10.000 titulares por mês",1,0)+IF(AA456="SIM",1,0)+IF(R456="SIM",1,0)+IF(AL456="SIM",1,0)+IF(AJ456="NÃO",1,0))&gt;=3),"DPIA indicado ou em avaliação em razão de: " &amp; TRIM(IF(I456="SIM","tratamento de dados sensíveis; ","") &amp; IF(K456="SIM","utilização de dados de menores; ","") &amp; IF(AF456="SIM","transferência internacional de dados; ","") &amp; IF(AL456="SIM","utilização de inteligência artificial; ","") &amp; IF(OR(AN456="Dados pessoais",AN456="Dados sensíveis",AN456="Dados pessoais e sensíveis"),"dados inseridos em IA; ","") &amp; IF(O456="Acima de 10.000 titulares por mês","volume crítico de titulares; ","") &amp; IF(O456="De 1.001 a 10.000 titulares por mês","volume moderado de titulares; ","") &amp; IF(AA456="SIM","compartilhamento com terceiros; ","") &amp; IF(R456="SIM","compartilhamento com órgãos governamentais; ","") &amp; IF(AJ456="NÃO","ausência de controle de acesso por perfil; ","")),"DPIA não indicado: Processo de baixa criticidade."))</f>
      </c>
    </row>
    <row x14ac:dyDescent="0.25" r="457" customHeight="1" ht="15.75">
      <c r="A457" s="46"/>
      <c r="B457" s="6"/>
      <c r="C457" s="11"/>
      <c r="D457" s="11"/>
      <c r="E457" s="11"/>
      <c r="F457" s="29"/>
      <c r="G457" s="11"/>
      <c r="H457" s="11"/>
      <c r="I457" s="29"/>
      <c r="J457" s="11"/>
      <c r="K457" s="29"/>
      <c r="L457" s="11"/>
      <c r="M457" s="11"/>
      <c r="N457" s="11"/>
      <c r="O457" s="29"/>
      <c r="P457" s="29"/>
      <c r="Q457" s="11"/>
      <c r="R457" s="29"/>
      <c r="S457" s="11"/>
      <c r="T457" s="6"/>
      <c r="U457" s="29"/>
      <c r="V457" s="11"/>
      <c r="W457" s="11"/>
      <c r="X457" s="29"/>
      <c r="Y457" s="11"/>
      <c r="Z457" s="29"/>
      <c r="AA457" s="29"/>
      <c r="AB457" s="11"/>
      <c r="AC457" s="11"/>
      <c r="AD457" s="29"/>
      <c r="AE457" s="11"/>
      <c r="AF457" s="29"/>
      <c r="AG457" s="11"/>
      <c r="AH457" s="29"/>
      <c r="AI457" s="11"/>
      <c r="AJ457" s="29"/>
      <c r="AK457" s="29"/>
      <c r="AL457" s="29"/>
      <c r="AM457" s="11"/>
      <c r="AN457" s="29"/>
      <c r="AO457" s="29"/>
      <c r="AP457" s="6"/>
      <c r="AQ457" s="113">
        <f>IF(AND(I457="",K457="",AF457="",AL457="",AN457="",O457=""),"",IF(OR(I457="SIM",K457="SIM",AF457="SIM",AL457="SIM",AN457="Dados pessoais",AN457="Dados sensíveis",AN457="Dados pessoais e sensíveis",O457="Acima de 10.000 titulares por mês"),"SIM - Alta criticidade",IF((IF(I457="SIM",2,0)+IF(K457="SIM",2,0)+IF(AF457="SIM",2,0)+IF(OR(AN457="Dados pessoais",AN457="Dados sensíveis",AN457="Dados pessoais e sensíveis"),2,0)+IF(O457="De 1.001 a 10.000 titulares por mês",1,0)+IF(AA457="SIM",1,0)+IF(R457="SIM",1,0)+IF(AL457="SIM",1,0)+IF(AJ457="NÃO",1,0))&gt;=5,"SIM - Alta criticidade",IF((IF(I457="SIM",2,0)+IF(K457="SIM",2,0)+IF(AF457="SIM",2,0)+IF(OR(AN457="Dados pessoais",AN457="Dados sensíveis",AN457="Dados pessoais e sensíveis"),2,0)+IF(O457="De 1.001 a 10.000 titulares por mês",1,0)+IF(AA457="SIM",1,0)+IF(R457="SIM",1,0)+IF(AL457="SIM",1,0)+IF(AJ457="NÃO",1,0))&gt;=3,"Avaliação necessária","NÃO"))))</f>
      </c>
      <c r="AR457" s="11"/>
      <c r="AS457" s="113">
        <f>IF(AND(I457="",K457="",AF457="",AL457="",AN457="",O457=""),"",IF(OR(I457="SIM",K457="SIM",AF457="SIM",AL457="SIM",OR(AN457="Dados pessoais",AN457="Dados sensíveis",AN457="Dados pessoais e sensíveis"),O457="Acima de 10.000 titulares por mês",(IF(I457="SIM",2,0)+IF(K457="SIM",2,0)+IF(AF457="SIM",2,0)+IF(OR(AN457="Dados pessoais",AN457="Dados sensíveis",AN457="Dados pessoais e sensíveis"),2,0)+IF(O457="De 1.001 a 10.000 titulares por mês",1,0)+IF(AA457="SIM",1,0)+IF(R457="SIM",1,0)+IF(AL457="SIM",1,0)+IF(AJ457="NÃO",1,0))&gt;=3),"DPIA indicado ou em avaliação em razão de: " &amp; TRIM(IF(I457="SIM","tratamento de dados sensíveis; ","") &amp; IF(K457="SIM","utilização de dados de menores; ","") &amp; IF(AF457="SIM","transferência internacional de dados; ","") &amp; IF(AL457="SIM","utilização de inteligência artificial; ","") &amp; IF(OR(AN457="Dados pessoais",AN457="Dados sensíveis",AN457="Dados pessoais e sensíveis"),"dados inseridos em IA; ","") &amp; IF(O457="Acima de 10.000 titulares por mês","volume crítico de titulares; ","") &amp; IF(O457="De 1.001 a 10.000 titulares por mês","volume moderado de titulares; ","") &amp; IF(AA457="SIM","compartilhamento com terceiros; ","") &amp; IF(R457="SIM","compartilhamento com órgãos governamentais; ","") &amp; IF(AJ457="NÃO","ausência de controle de acesso por perfil; ","")),"DPIA não indicado: Processo de baixa criticidade."))</f>
      </c>
    </row>
    <row x14ac:dyDescent="0.25" r="458" customHeight="1" ht="15.75">
      <c r="A458" s="46"/>
      <c r="B458" s="6"/>
      <c r="C458" s="11"/>
      <c r="D458" s="11"/>
      <c r="E458" s="11"/>
      <c r="F458" s="29"/>
      <c r="G458" s="11"/>
      <c r="H458" s="11"/>
      <c r="I458" s="29"/>
      <c r="J458" s="11"/>
      <c r="K458" s="29"/>
      <c r="L458" s="11"/>
      <c r="M458" s="11"/>
      <c r="N458" s="11"/>
      <c r="O458" s="29"/>
      <c r="P458" s="29"/>
      <c r="Q458" s="11"/>
      <c r="R458" s="29"/>
      <c r="S458" s="11"/>
      <c r="T458" s="6"/>
      <c r="U458" s="29"/>
      <c r="V458" s="11"/>
      <c r="W458" s="11"/>
      <c r="X458" s="29"/>
      <c r="Y458" s="11"/>
      <c r="Z458" s="29"/>
      <c r="AA458" s="29"/>
      <c r="AB458" s="11"/>
      <c r="AC458" s="11"/>
      <c r="AD458" s="29"/>
      <c r="AE458" s="11"/>
      <c r="AF458" s="29"/>
      <c r="AG458" s="11"/>
      <c r="AH458" s="29"/>
      <c r="AI458" s="11"/>
      <c r="AJ458" s="29"/>
      <c r="AK458" s="29"/>
      <c r="AL458" s="29"/>
      <c r="AM458" s="11"/>
      <c r="AN458" s="29"/>
      <c r="AO458" s="29"/>
      <c r="AP458" s="6"/>
      <c r="AQ458" s="113">
        <f>IF(AND(I458="",K458="",AF458="",AL458="",AN458="",O458=""),"",IF(OR(I458="SIM",K458="SIM",AF458="SIM",AL458="SIM",AN458="Dados pessoais",AN458="Dados sensíveis",AN458="Dados pessoais e sensíveis",O458="Acima de 10.000 titulares por mês"),"SIM - Alta criticidade",IF((IF(I458="SIM",2,0)+IF(K458="SIM",2,0)+IF(AF458="SIM",2,0)+IF(OR(AN458="Dados pessoais",AN458="Dados sensíveis",AN458="Dados pessoais e sensíveis"),2,0)+IF(O458="De 1.001 a 10.000 titulares por mês",1,0)+IF(AA458="SIM",1,0)+IF(R458="SIM",1,0)+IF(AL458="SIM",1,0)+IF(AJ458="NÃO",1,0))&gt;=5,"SIM - Alta criticidade",IF((IF(I458="SIM",2,0)+IF(K458="SIM",2,0)+IF(AF458="SIM",2,0)+IF(OR(AN458="Dados pessoais",AN458="Dados sensíveis",AN458="Dados pessoais e sensíveis"),2,0)+IF(O458="De 1.001 a 10.000 titulares por mês",1,0)+IF(AA458="SIM",1,0)+IF(R458="SIM",1,0)+IF(AL458="SIM",1,0)+IF(AJ458="NÃO",1,0))&gt;=3,"Avaliação necessária","NÃO"))))</f>
      </c>
      <c r="AR458" s="11"/>
      <c r="AS458" s="113">
        <f>IF(AND(I458="",K458="",AF458="",AL458="",AN458="",O458=""),"",IF(OR(I458="SIM",K458="SIM",AF458="SIM",AL458="SIM",OR(AN458="Dados pessoais",AN458="Dados sensíveis",AN458="Dados pessoais e sensíveis"),O458="Acima de 10.000 titulares por mês",(IF(I458="SIM",2,0)+IF(K458="SIM",2,0)+IF(AF458="SIM",2,0)+IF(OR(AN458="Dados pessoais",AN458="Dados sensíveis",AN458="Dados pessoais e sensíveis"),2,0)+IF(O458="De 1.001 a 10.000 titulares por mês",1,0)+IF(AA458="SIM",1,0)+IF(R458="SIM",1,0)+IF(AL458="SIM",1,0)+IF(AJ458="NÃO",1,0))&gt;=3),"DPIA indicado ou em avaliação em razão de: " &amp; TRIM(IF(I458="SIM","tratamento de dados sensíveis; ","") &amp; IF(K458="SIM","utilização de dados de menores; ","") &amp; IF(AF458="SIM","transferência internacional de dados; ","") &amp; IF(AL458="SIM","utilização de inteligência artificial; ","") &amp; IF(OR(AN458="Dados pessoais",AN458="Dados sensíveis",AN458="Dados pessoais e sensíveis"),"dados inseridos em IA; ","") &amp; IF(O458="Acima de 10.000 titulares por mês","volume crítico de titulares; ","") &amp; IF(O458="De 1.001 a 10.000 titulares por mês","volume moderado de titulares; ","") &amp; IF(AA458="SIM","compartilhamento com terceiros; ","") &amp; IF(R458="SIM","compartilhamento com órgãos governamentais; ","") &amp; IF(AJ458="NÃO","ausência de controle de acesso por perfil; ","")),"DPIA não indicado: Processo de baixa criticidade."))</f>
      </c>
    </row>
    <row x14ac:dyDescent="0.25" r="459" customHeight="1" ht="15.75">
      <c r="A459" s="46"/>
      <c r="B459" s="6"/>
      <c r="C459" s="11"/>
      <c r="D459" s="11"/>
      <c r="E459" s="11"/>
      <c r="F459" s="29"/>
      <c r="G459" s="11"/>
      <c r="H459" s="11"/>
      <c r="I459" s="29"/>
      <c r="J459" s="11"/>
      <c r="K459" s="29"/>
      <c r="L459" s="11"/>
      <c r="M459" s="11"/>
      <c r="N459" s="11"/>
      <c r="O459" s="29"/>
      <c r="P459" s="29"/>
      <c r="Q459" s="11"/>
      <c r="R459" s="29"/>
      <c r="S459" s="11"/>
      <c r="T459" s="6"/>
      <c r="U459" s="29"/>
      <c r="V459" s="11"/>
      <c r="W459" s="11"/>
      <c r="X459" s="29"/>
      <c r="Y459" s="11"/>
      <c r="Z459" s="29"/>
      <c r="AA459" s="29"/>
      <c r="AB459" s="11"/>
      <c r="AC459" s="11"/>
      <c r="AD459" s="29"/>
      <c r="AE459" s="11"/>
      <c r="AF459" s="29"/>
      <c r="AG459" s="11"/>
      <c r="AH459" s="29"/>
      <c r="AI459" s="11"/>
      <c r="AJ459" s="29"/>
      <c r="AK459" s="29"/>
      <c r="AL459" s="29"/>
      <c r="AM459" s="11"/>
      <c r="AN459" s="29"/>
      <c r="AO459" s="29"/>
      <c r="AP459" s="6"/>
      <c r="AQ459" s="113">
        <f>IF(AND(I459="",K459="",AF459="",AL459="",AN459="",O459=""),"",IF(OR(I459="SIM",K459="SIM",AF459="SIM",AL459="SIM",AN459="Dados pessoais",AN459="Dados sensíveis",AN459="Dados pessoais e sensíveis",O459="Acima de 10.000 titulares por mês"),"SIM - Alta criticidade",IF((IF(I459="SIM",2,0)+IF(K459="SIM",2,0)+IF(AF459="SIM",2,0)+IF(OR(AN459="Dados pessoais",AN459="Dados sensíveis",AN459="Dados pessoais e sensíveis"),2,0)+IF(O459="De 1.001 a 10.000 titulares por mês",1,0)+IF(AA459="SIM",1,0)+IF(R459="SIM",1,0)+IF(AL459="SIM",1,0)+IF(AJ459="NÃO",1,0))&gt;=5,"SIM - Alta criticidade",IF((IF(I459="SIM",2,0)+IF(K459="SIM",2,0)+IF(AF459="SIM",2,0)+IF(OR(AN459="Dados pessoais",AN459="Dados sensíveis",AN459="Dados pessoais e sensíveis"),2,0)+IF(O459="De 1.001 a 10.000 titulares por mês",1,0)+IF(AA459="SIM",1,0)+IF(R459="SIM",1,0)+IF(AL459="SIM",1,0)+IF(AJ459="NÃO",1,0))&gt;=3,"Avaliação necessária","NÃO"))))</f>
      </c>
      <c r="AR459" s="11"/>
      <c r="AS459" s="113">
        <f>IF(AND(I459="",K459="",AF459="",AL459="",AN459="",O459=""),"",IF(OR(I459="SIM",K459="SIM",AF459="SIM",AL459="SIM",OR(AN459="Dados pessoais",AN459="Dados sensíveis",AN459="Dados pessoais e sensíveis"),O459="Acima de 10.000 titulares por mês",(IF(I459="SIM",2,0)+IF(K459="SIM",2,0)+IF(AF459="SIM",2,0)+IF(OR(AN459="Dados pessoais",AN459="Dados sensíveis",AN459="Dados pessoais e sensíveis"),2,0)+IF(O459="De 1.001 a 10.000 titulares por mês",1,0)+IF(AA459="SIM",1,0)+IF(R459="SIM",1,0)+IF(AL459="SIM",1,0)+IF(AJ459="NÃO",1,0))&gt;=3),"DPIA indicado ou em avaliação em razão de: " &amp; TRIM(IF(I459="SIM","tratamento de dados sensíveis; ","") &amp; IF(K459="SIM","utilização de dados de menores; ","") &amp; IF(AF459="SIM","transferência internacional de dados; ","") &amp; IF(AL459="SIM","utilização de inteligência artificial; ","") &amp; IF(OR(AN459="Dados pessoais",AN459="Dados sensíveis",AN459="Dados pessoais e sensíveis"),"dados inseridos em IA; ","") &amp; IF(O459="Acima de 10.000 titulares por mês","volume crítico de titulares; ","") &amp; IF(O459="De 1.001 a 10.000 titulares por mês","volume moderado de titulares; ","") &amp; IF(AA459="SIM","compartilhamento com terceiros; ","") &amp; IF(R459="SIM","compartilhamento com órgãos governamentais; ","") &amp; IF(AJ459="NÃO","ausência de controle de acesso por perfil; ","")),"DPIA não indicado: Processo de baixa criticidade."))</f>
      </c>
    </row>
    <row x14ac:dyDescent="0.25" r="460" customHeight="1" ht="15.75">
      <c r="A460" s="46"/>
      <c r="B460" s="6"/>
      <c r="C460" s="11"/>
      <c r="D460" s="11"/>
      <c r="E460" s="11"/>
      <c r="F460" s="29"/>
      <c r="G460" s="11"/>
      <c r="H460" s="11"/>
      <c r="I460" s="29"/>
      <c r="J460" s="11"/>
      <c r="K460" s="29"/>
      <c r="L460" s="11"/>
      <c r="M460" s="11"/>
      <c r="N460" s="11"/>
      <c r="O460" s="29"/>
      <c r="P460" s="29"/>
      <c r="Q460" s="11"/>
      <c r="R460" s="29"/>
      <c r="S460" s="11"/>
      <c r="T460" s="6"/>
      <c r="U460" s="29"/>
      <c r="V460" s="11"/>
      <c r="W460" s="11"/>
      <c r="X460" s="29"/>
      <c r="Y460" s="11"/>
      <c r="Z460" s="29"/>
      <c r="AA460" s="29"/>
      <c r="AB460" s="11"/>
      <c r="AC460" s="11"/>
      <c r="AD460" s="29"/>
      <c r="AE460" s="11"/>
      <c r="AF460" s="29"/>
      <c r="AG460" s="11"/>
      <c r="AH460" s="29"/>
      <c r="AI460" s="11"/>
      <c r="AJ460" s="29"/>
      <c r="AK460" s="29"/>
      <c r="AL460" s="29"/>
      <c r="AM460" s="11"/>
      <c r="AN460" s="29"/>
      <c r="AO460" s="29"/>
      <c r="AP460" s="6"/>
      <c r="AQ460" s="113">
        <f>IF(AND(I460="",K460="",AF460="",AL460="",AN460="",O460=""),"",IF(OR(I460="SIM",K460="SIM",AF460="SIM",AL460="SIM",AN460="Dados pessoais",AN460="Dados sensíveis",AN460="Dados pessoais e sensíveis",O460="Acima de 10.000 titulares por mês"),"SIM - Alta criticidade",IF((IF(I460="SIM",2,0)+IF(K460="SIM",2,0)+IF(AF460="SIM",2,0)+IF(OR(AN460="Dados pessoais",AN460="Dados sensíveis",AN460="Dados pessoais e sensíveis"),2,0)+IF(O460="De 1.001 a 10.000 titulares por mês",1,0)+IF(AA460="SIM",1,0)+IF(R460="SIM",1,0)+IF(AL460="SIM",1,0)+IF(AJ460="NÃO",1,0))&gt;=5,"SIM - Alta criticidade",IF((IF(I460="SIM",2,0)+IF(K460="SIM",2,0)+IF(AF460="SIM",2,0)+IF(OR(AN460="Dados pessoais",AN460="Dados sensíveis",AN460="Dados pessoais e sensíveis"),2,0)+IF(O460="De 1.001 a 10.000 titulares por mês",1,0)+IF(AA460="SIM",1,0)+IF(R460="SIM",1,0)+IF(AL460="SIM",1,0)+IF(AJ460="NÃO",1,0))&gt;=3,"Avaliação necessária","NÃO"))))</f>
      </c>
      <c r="AR460" s="11"/>
      <c r="AS460" s="113">
        <f>IF(AND(I460="",K460="",AF460="",AL460="",AN460="",O460=""),"",IF(OR(I460="SIM",K460="SIM",AF460="SIM",AL460="SIM",OR(AN460="Dados pessoais",AN460="Dados sensíveis",AN460="Dados pessoais e sensíveis"),O460="Acima de 10.000 titulares por mês",(IF(I460="SIM",2,0)+IF(K460="SIM",2,0)+IF(AF460="SIM",2,0)+IF(OR(AN460="Dados pessoais",AN460="Dados sensíveis",AN460="Dados pessoais e sensíveis"),2,0)+IF(O460="De 1.001 a 10.000 titulares por mês",1,0)+IF(AA460="SIM",1,0)+IF(R460="SIM",1,0)+IF(AL460="SIM",1,0)+IF(AJ460="NÃO",1,0))&gt;=3),"DPIA indicado ou em avaliação em razão de: " &amp; TRIM(IF(I460="SIM","tratamento de dados sensíveis; ","") &amp; IF(K460="SIM","utilização de dados de menores; ","") &amp; IF(AF460="SIM","transferência internacional de dados; ","") &amp; IF(AL460="SIM","utilização de inteligência artificial; ","") &amp; IF(OR(AN460="Dados pessoais",AN460="Dados sensíveis",AN460="Dados pessoais e sensíveis"),"dados inseridos em IA; ","") &amp; IF(O460="Acima de 10.000 titulares por mês","volume crítico de titulares; ","") &amp; IF(O460="De 1.001 a 10.000 titulares por mês","volume moderado de titulares; ","") &amp; IF(AA460="SIM","compartilhamento com terceiros; ","") &amp; IF(R460="SIM","compartilhamento com órgãos governamentais; ","") &amp; IF(AJ460="NÃO","ausência de controle de acesso por perfil; ","")),"DPIA não indicado: Processo de baixa criticidade."))</f>
      </c>
    </row>
    <row x14ac:dyDescent="0.25" r="461" customHeight="1" ht="15.75">
      <c r="A461" s="46"/>
      <c r="B461" s="6"/>
      <c r="C461" s="11"/>
      <c r="D461" s="11"/>
      <c r="E461" s="11"/>
      <c r="F461" s="29"/>
      <c r="G461" s="11"/>
      <c r="H461" s="11"/>
      <c r="I461" s="29"/>
      <c r="J461" s="11"/>
      <c r="K461" s="29"/>
      <c r="L461" s="11"/>
      <c r="M461" s="11"/>
      <c r="N461" s="11"/>
      <c r="O461" s="29"/>
      <c r="P461" s="29"/>
      <c r="Q461" s="11"/>
      <c r="R461" s="29"/>
      <c r="S461" s="11"/>
      <c r="T461" s="6"/>
      <c r="U461" s="29"/>
      <c r="V461" s="11"/>
      <c r="W461" s="11"/>
      <c r="X461" s="29"/>
      <c r="Y461" s="11"/>
      <c r="Z461" s="29"/>
      <c r="AA461" s="29"/>
      <c r="AB461" s="11"/>
      <c r="AC461" s="11"/>
      <c r="AD461" s="29"/>
      <c r="AE461" s="11"/>
      <c r="AF461" s="29"/>
      <c r="AG461" s="11"/>
      <c r="AH461" s="29"/>
      <c r="AI461" s="11"/>
      <c r="AJ461" s="29"/>
      <c r="AK461" s="29"/>
      <c r="AL461" s="29"/>
      <c r="AM461" s="11"/>
      <c r="AN461" s="29"/>
      <c r="AO461" s="29"/>
      <c r="AP461" s="6"/>
      <c r="AQ461" s="113">
        <f>IF(AND(I461="",K461="",AF461="",AL461="",AN461="",O461=""),"",IF(OR(I461="SIM",K461="SIM",AF461="SIM",AL461="SIM",AN461="Dados pessoais",AN461="Dados sensíveis",AN461="Dados pessoais e sensíveis",O461="Acima de 10.000 titulares por mês"),"SIM - Alta criticidade",IF((IF(I461="SIM",2,0)+IF(K461="SIM",2,0)+IF(AF461="SIM",2,0)+IF(OR(AN461="Dados pessoais",AN461="Dados sensíveis",AN461="Dados pessoais e sensíveis"),2,0)+IF(O461="De 1.001 a 10.000 titulares por mês",1,0)+IF(AA461="SIM",1,0)+IF(R461="SIM",1,0)+IF(AL461="SIM",1,0)+IF(AJ461="NÃO",1,0))&gt;=5,"SIM - Alta criticidade",IF((IF(I461="SIM",2,0)+IF(K461="SIM",2,0)+IF(AF461="SIM",2,0)+IF(OR(AN461="Dados pessoais",AN461="Dados sensíveis",AN461="Dados pessoais e sensíveis"),2,0)+IF(O461="De 1.001 a 10.000 titulares por mês",1,0)+IF(AA461="SIM",1,0)+IF(R461="SIM",1,0)+IF(AL461="SIM",1,0)+IF(AJ461="NÃO",1,0))&gt;=3,"Avaliação necessária","NÃO"))))</f>
      </c>
      <c r="AR461" s="11"/>
      <c r="AS461" s="113">
        <f>IF(AND(I461="",K461="",AF461="",AL461="",AN461="",O461=""),"",IF(OR(I461="SIM",K461="SIM",AF461="SIM",AL461="SIM",OR(AN461="Dados pessoais",AN461="Dados sensíveis",AN461="Dados pessoais e sensíveis"),O461="Acima de 10.000 titulares por mês",(IF(I461="SIM",2,0)+IF(K461="SIM",2,0)+IF(AF461="SIM",2,0)+IF(OR(AN461="Dados pessoais",AN461="Dados sensíveis",AN461="Dados pessoais e sensíveis"),2,0)+IF(O461="De 1.001 a 10.000 titulares por mês",1,0)+IF(AA461="SIM",1,0)+IF(R461="SIM",1,0)+IF(AL461="SIM",1,0)+IF(AJ461="NÃO",1,0))&gt;=3),"DPIA indicado ou em avaliação em razão de: " &amp; TRIM(IF(I461="SIM","tratamento de dados sensíveis; ","") &amp; IF(K461="SIM","utilização de dados de menores; ","") &amp; IF(AF461="SIM","transferência internacional de dados; ","") &amp; IF(AL461="SIM","utilização de inteligência artificial; ","") &amp; IF(OR(AN461="Dados pessoais",AN461="Dados sensíveis",AN461="Dados pessoais e sensíveis"),"dados inseridos em IA; ","") &amp; IF(O461="Acima de 10.000 titulares por mês","volume crítico de titulares; ","") &amp; IF(O461="De 1.001 a 10.000 titulares por mês","volume moderado de titulares; ","") &amp; IF(AA461="SIM","compartilhamento com terceiros; ","") &amp; IF(R461="SIM","compartilhamento com órgãos governamentais; ","") &amp; IF(AJ461="NÃO","ausência de controle de acesso por perfil; ","")),"DPIA não indicado: Processo de baixa criticidade."))</f>
      </c>
    </row>
    <row x14ac:dyDescent="0.25" r="462" customHeight="1" ht="15.75">
      <c r="A462" s="46"/>
      <c r="B462" s="6"/>
      <c r="C462" s="11"/>
      <c r="D462" s="11"/>
      <c r="E462" s="11"/>
      <c r="F462" s="29"/>
      <c r="G462" s="11"/>
      <c r="H462" s="11"/>
      <c r="I462" s="29"/>
      <c r="J462" s="11"/>
      <c r="K462" s="29"/>
      <c r="L462" s="11"/>
      <c r="M462" s="11"/>
      <c r="N462" s="11"/>
      <c r="O462" s="29"/>
      <c r="P462" s="29"/>
      <c r="Q462" s="11"/>
      <c r="R462" s="29"/>
      <c r="S462" s="11"/>
      <c r="T462" s="6"/>
      <c r="U462" s="29"/>
      <c r="V462" s="11"/>
      <c r="W462" s="11"/>
      <c r="X462" s="29"/>
      <c r="Y462" s="11"/>
      <c r="Z462" s="29"/>
      <c r="AA462" s="29"/>
      <c r="AB462" s="11"/>
      <c r="AC462" s="11"/>
      <c r="AD462" s="29"/>
      <c r="AE462" s="11"/>
      <c r="AF462" s="29"/>
      <c r="AG462" s="11"/>
      <c r="AH462" s="29"/>
      <c r="AI462" s="11"/>
      <c r="AJ462" s="29"/>
      <c r="AK462" s="29"/>
      <c r="AL462" s="29"/>
      <c r="AM462" s="11"/>
      <c r="AN462" s="29"/>
      <c r="AO462" s="29"/>
      <c r="AP462" s="6"/>
      <c r="AQ462" s="113">
        <f>IF(AND(I462="",K462="",AF462="",AL462="",AN462="",O462=""),"",IF(OR(I462="SIM",K462="SIM",AF462="SIM",AL462="SIM",AN462="Dados pessoais",AN462="Dados sensíveis",AN462="Dados pessoais e sensíveis",O462="Acima de 10.000 titulares por mês"),"SIM - Alta criticidade",IF((IF(I462="SIM",2,0)+IF(K462="SIM",2,0)+IF(AF462="SIM",2,0)+IF(OR(AN462="Dados pessoais",AN462="Dados sensíveis",AN462="Dados pessoais e sensíveis"),2,0)+IF(O462="De 1.001 a 10.000 titulares por mês",1,0)+IF(AA462="SIM",1,0)+IF(R462="SIM",1,0)+IF(AL462="SIM",1,0)+IF(AJ462="NÃO",1,0))&gt;=5,"SIM - Alta criticidade",IF((IF(I462="SIM",2,0)+IF(K462="SIM",2,0)+IF(AF462="SIM",2,0)+IF(OR(AN462="Dados pessoais",AN462="Dados sensíveis",AN462="Dados pessoais e sensíveis"),2,0)+IF(O462="De 1.001 a 10.000 titulares por mês",1,0)+IF(AA462="SIM",1,0)+IF(R462="SIM",1,0)+IF(AL462="SIM",1,0)+IF(AJ462="NÃO",1,0))&gt;=3,"Avaliação necessária","NÃO"))))</f>
      </c>
      <c r="AR462" s="11"/>
      <c r="AS462" s="113">
        <f>IF(AND(I462="",K462="",AF462="",AL462="",AN462="",O462=""),"",IF(OR(I462="SIM",K462="SIM",AF462="SIM",AL462="SIM",OR(AN462="Dados pessoais",AN462="Dados sensíveis",AN462="Dados pessoais e sensíveis"),O462="Acima de 10.000 titulares por mês",(IF(I462="SIM",2,0)+IF(K462="SIM",2,0)+IF(AF462="SIM",2,0)+IF(OR(AN462="Dados pessoais",AN462="Dados sensíveis",AN462="Dados pessoais e sensíveis"),2,0)+IF(O462="De 1.001 a 10.000 titulares por mês",1,0)+IF(AA462="SIM",1,0)+IF(R462="SIM",1,0)+IF(AL462="SIM",1,0)+IF(AJ462="NÃO",1,0))&gt;=3),"DPIA indicado ou em avaliação em razão de: " &amp; TRIM(IF(I462="SIM","tratamento de dados sensíveis; ","") &amp; IF(K462="SIM","utilização de dados de menores; ","") &amp; IF(AF462="SIM","transferência internacional de dados; ","") &amp; IF(AL462="SIM","utilização de inteligência artificial; ","") &amp; IF(OR(AN462="Dados pessoais",AN462="Dados sensíveis",AN462="Dados pessoais e sensíveis"),"dados inseridos em IA; ","") &amp; IF(O462="Acima de 10.000 titulares por mês","volume crítico de titulares; ","") &amp; IF(O462="De 1.001 a 10.000 titulares por mês","volume moderado de titulares; ","") &amp; IF(AA462="SIM","compartilhamento com terceiros; ","") &amp; IF(R462="SIM","compartilhamento com órgãos governamentais; ","") &amp; IF(AJ462="NÃO","ausência de controle de acesso por perfil; ","")),"DPIA não indicado: Processo de baixa criticidade."))</f>
      </c>
    </row>
    <row x14ac:dyDescent="0.25" r="463" customHeight="1" ht="15.75">
      <c r="A463" s="46"/>
      <c r="B463" s="6"/>
      <c r="C463" s="11"/>
      <c r="D463" s="11"/>
      <c r="E463" s="11"/>
      <c r="F463" s="29"/>
      <c r="G463" s="11"/>
      <c r="H463" s="11"/>
      <c r="I463" s="29"/>
      <c r="J463" s="11"/>
      <c r="K463" s="29"/>
      <c r="L463" s="11"/>
      <c r="M463" s="11"/>
      <c r="N463" s="11"/>
      <c r="O463" s="29"/>
      <c r="P463" s="29"/>
      <c r="Q463" s="11"/>
      <c r="R463" s="29"/>
      <c r="S463" s="11"/>
      <c r="T463" s="6"/>
      <c r="U463" s="29"/>
      <c r="V463" s="11"/>
      <c r="W463" s="11"/>
      <c r="X463" s="29"/>
      <c r="Y463" s="11"/>
      <c r="Z463" s="29"/>
      <c r="AA463" s="29"/>
      <c r="AB463" s="11"/>
      <c r="AC463" s="11"/>
      <c r="AD463" s="29"/>
      <c r="AE463" s="11"/>
      <c r="AF463" s="29"/>
      <c r="AG463" s="11"/>
      <c r="AH463" s="29"/>
      <c r="AI463" s="11"/>
      <c r="AJ463" s="29"/>
      <c r="AK463" s="29"/>
      <c r="AL463" s="29"/>
      <c r="AM463" s="11"/>
      <c r="AN463" s="29"/>
      <c r="AO463" s="29"/>
      <c r="AP463" s="6"/>
      <c r="AQ463" s="113">
        <f>IF(AND(I463="",K463="",AF463="",AL463="",AN463="",O463=""),"",IF(OR(I463="SIM",K463="SIM",AF463="SIM",AL463="SIM",AN463="Dados pessoais",AN463="Dados sensíveis",AN463="Dados pessoais e sensíveis",O463="Acima de 10.000 titulares por mês"),"SIM - Alta criticidade",IF((IF(I463="SIM",2,0)+IF(K463="SIM",2,0)+IF(AF463="SIM",2,0)+IF(OR(AN463="Dados pessoais",AN463="Dados sensíveis",AN463="Dados pessoais e sensíveis"),2,0)+IF(O463="De 1.001 a 10.000 titulares por mês",1,0)+IF(AA463="SIM",1,0)+IF(R463="SIM",1,0)+IF(AL463="SIM",1,0)+IF(AJ463="NÃO",1,0))&gt;=5,"SIM - Alta criticidade",IF((IF(I463="SIM",2,0)+IF(K463="SIM",2,0)+IF(AF463="SIM",2,0)+IF(OR(AN463="Dados pessoais",AN463="Dados sensíveis",AN463="Dados pessoais e sensíveis"),2,0)+IF(O463="De 1.001 a 10.000 titulares por mês",1,0)+IF(AA463="SIM",1,0)+IF(R463="SIM",1,0)+IF(AL463="SIM",1,0)+IF(AJ463="NÃO",1,0))&gt;=3,"Avaliação necessária","NÃO"))))</f>
      </c>
      <c r="AR463" s="11"/>
      <c r="AS463" s="113">
        <f>IF(AND(I463="",K463="",AF463="",AL463="",AN463="",O463=""),"",IF(OR(I463="SIM",K463="SIM",AF463="SIM",AL463="SIM",OR(AN463="Dados pessoais",AN463="Dados sensíveis",AN463="Dados pessoais e sensíveis"),O463="Acima de 10.000 titulares por mês",(IF(I463="SIM",2,0)+IF(K463="SIM",2,0)+IF(AF463="SIM",2,0)+IF(OR(AN463="Dados pessoais",AN463="Dados sensíveis",AN463="Dados pessoais e sensíveis"),2,0)+IF(O463="De 1.001 a 10.000 titulares por mês",1,0)+IF(AA463="SIM",1,0)+IF(R463="SIM",1,0)+IF(AL463="SIM",1,0)+IF(AJ463="NÃO",1,0))&gt;=3),"DPIA indicado ou em avaliação em razão de: " &amp; TRIM(IF(I463="SIM","tratamento de dados sensíveis; ","") &amp; IF(K463="SIM","utilização de dados de menores; ","") &amp; IF(AF463="SIM","transferência internacional de dados; ","") &amp; IF(AL463="SIM","utilização de inteligência artificial; ","") &amp; IF(OR(AN463="Dados pessoais",AN463="Dados sensíveis",AN463="Dados pessoais e sensíveis"),"dados inseridos em IA; ","") &amp; IF(O463="Acima de 10.000 titulares por mês","volume crítico de titulares; ","") &amp; IF(O463="De 1.001 a 10.000 titulares por mês","volume moderado de titulares; ","") &amp; IF(AA463="SIM","compartilhamento com terceiros; ","") &amp; IF(R463="SIM","compartilhamento com órgãos governamentais; ","") &amp; IF(AJ463="NÃO","ausência de controle de acesso por perfil; ","")),"DPIA não indicado: Processo de baixa criticidade."))</f>
      </c>
    </row>
    <row x14ac:dyDescent="0.25" r="464" customHeight="1" ht="15.75">
      <c r="A464" s="46"/>
      <c r="B464" s="6"/>
      <c r="C464" s="11"/>
      <c r="D464" s="11"/>
      <c r="E464" s="11"/>
      <c r="F464" s="29"/>
      <c r="G464" s="11"/>
      <c r="H464" s="11"/>
      <c r="I464" s="29"/>
      <c r="J464" s="11"/>
      <c r="K464" s="29"/>
      <c r="L464" s="11"/>
      <c r="M464" s="11"/>
      <c r="N464" s="11"/>
      <c r="O464" s="29"/>
      <c r="P464" s="29"/>
      <c r="Q464" s="11"/>
      <c r="R464" s="29"/>
      <c r="S464" s="11"/>
      <c r="T464" s="6"/>
      <c r="U464" s="29"/>
      <c r="V464" s="11"/>
      <c r="W464" s="11"/>
      <c r="X464" s="29"/>
      <c r="Y464" s="11"/>
      <c r="Z464" s="29"/>
      <c r="AA464" s="29"/>
      <c r="AB464" s="11"/>
      <c r="AC464" s="11"/>
      <c r="AD464" s="29"/>
      <c r="AE464" s="11"/>
      <c r="AF464" s="29"/>
      <c r="AG464" s="11"/>
      <c r="AH464" s="29"/>
      <c r="AI464" s="11"/>
      <c r="AJ464" s="29"/>
      <c r="AK464" s="29"/>
      <c r="AL464" s="29"/>
      <c r="AM464" s="11"/>
      <c r="AN464" s="29"/>
      <c r="AO464" s="29"/>
      <c r="AP464" s="6"/>
      <c r="AQ464" s="113">
        <f>IF(AND(I464="",K464="",AF464="",AL464="",AN464="",O464=""),"",IF(OR(I464="SIM",K464="SIM",AF464="SIM",AL464="SIM",AN464="Dados pessoais",AN464="Dados sensíveis",AN464="Dados pessoais e sensíveis",O464="Acima de 10.000 titulares por mês"),"SIM - Alta criticidade",IF((IF(I464="SIM",2,0)+IF(K464="SIM",2,0)+IF(AF464="SIM",2,0)+IF(OR(AN464="Dados pessoais",AN464="Dados sensíveis",AN464="Dados pessoais e sensíveis"),2,0)+IF(O464="De 1.001 a 10.000 titulares por mês",1,0)+IF(AA464="SIM",1,0)+IF(R464="SIM",1,0)+IF(AL464="SIM",1,0)+IF(AJ464="NÃO",1,0))&gt;=5,"SIM - Alta criticidade",IF((IF(I464="SIM",2,0)+IF(K464="SIM",2,0)+IF(AF464="SIM",2,0)+IF(OR(AN464="Dados pessoais",AN464="Dados sensíveis",AN464="Dados pessoais e sensíveis"),2,0)+IF(O464="De 1.001 a 10.000 titulares por mês",1,0)+IF(AA464="SIM",1,0)+IF(R464="SIM",1,0)+IF(AL464="SIM",1,0)+IF(AJ464="NÃO",1,0))&gt;=3,"Avaliação necessária","NÃO"))))</f>
      </c>
      <c r="AR464" s="11"/>
      <c r="AS464" s="113">
        <f>IF(AND(I464="",K464="",AF464="",AL464="",AN464="",O464=""),"",IF(OR(I464="SIM",K464="SIM",AF464="SIM",AL464="SIM",OR(AN464="Dados pessoais",AN464="Dados sensíveis",AN464="Dados pessoais e sensíveis"),O464="Acima de 10.000 titulares por mês",(IF(I464="SIM",2,0)+IF(K464="SIM",2,0)+IF(AF464="SIM",2,0)+IF(OR(AN464="Dados pessoais",AN464="Dados sensíveis",AN464="Dados pessoais e sensíveis"),2,0)+IF(O464="De 1.001 a 10.000 titulares por mês",1,0)+IF(AA464="SIM",1,0)+IF(R464="SIM",1,0)+IF(AL464="SIM",1,0)+IF(AJ464="NÃO",1,0))&gt;=3),"DPIA indicado ou em avaliação em razão de: " &amp; TRIM(IF(I464="SIM","tratamento de dados sensíveis; ","") &amp; IF(K464="SIM","utilização de dados de menores; ","") &amp; IF(AF464="SIM","transferência internacional de dados; ","") &amp; IF(AL464="SIM","utilização de inteligência artificial; ","") &amp; IF(OR(AN464="Dados pessoais",AN464="Dados sensíveis",AN464="Dados pessoais e sensíveis"),"dados inseridos em IA; ","") &amp; IF(O464="Acima de 10.000 titulares por mês","volume crítico de titulares; ","") &amp; IF(O464="De 1.001 a 10.000 titulares por mês","volume moderado de titulares; ","") &amp; IF(AA464="SIM","compartilhamento com terceiros; ","") &amp; IF(R464="SIM","compartilhamento com órgãos governamentais; ","") &amp; IF(AJ464="NÃO","ausência de controle de acesso por perfil; ","")),"DPIA não indicado: Processo de baixa criticidade."))</f>
      </c>
    </row>
    <row x14ac:dyDescent="0.25" r="465" customHeight="1" ht="15.75">
      <c r="A465" s="46"/>
      <c r="B465" s="6"/>
      <c r="C465" s="11"/>
      <c r="D465" s="11"/>
      <c r="E465" s="11"/>
      <c r="F465" s="29"/>
      <c r="G465" s="11"/>
      <c r="H465" s="11"/>
      <c r="I465" s="29"/>
      <c r="J465" s="11"/>
      <c r="K465" s="29"/>
      <c r="L465" s="11"/>
      <c r="M465" s="11"/>
      <c r="N465" s="11"/>
      <c r="O465" s="29"/>
      <c r="P465" s="29"/>
      <c r="Q465" s="11"/>
      <c r="R465" s="29"/>
      <c r="S465" s="11"/>
      <c r="T465" s="6"/>
      <c r="U465" s="29"/>
      <c r="V465" s="11"/>
      <c r="W465" s="11"/>
      <c r="X465" s="29"/>
      <c r="Y465" s="11"/>
      <c r="Z465" s="29"/>
      <c r="AA465" s="29"/>
      <c r="AB465" s="11"/>
      <c r="AC465" s="11"/>
      <c r="AD465" s="29"/>
      <c r="AE465" s="11"/>
      <c r="AF465" s="29"/>
      <c r="AG465" s="11"/>
      <c r="AH465" s="29"/>
      <c r="AI465" s="11"/>
      <c r="AJ465" s="29"/>
      <c r="AK465" s="29"/>
      <c r="AL465" s="29"/>
      <c r="AM465" s="11"/>
      <c r="AN465" s="29"/>
      <c r="AO465" s="29"/>
      <c r="AP465" s="6"/>
      <c r="AQ465" s="113">
        <f>IF(AND(I465="",K465="",AF465="",AL465="",AN465="",O465=""),"",IF(OR(I465="SIM",K465="SIM",AF465="SIM",AL465="SIM",AN465="Dados pessoais",AN465="Dados sensíveis",AN465="Dados pessoais e sensíveis",O465="Acima de 10.000 titulares por mês"),"SIM - Alta criticidade",IF((IF(I465="SIM",2,0)+IF(K465="SIM",2,0)+IF(AF465="SIM",2,0)+IF(OR(AN465="Dados pessoais",AN465="Dados sensíveis",AN465="Dados pessoais e sensíveis"),2,0)+IF(O465="De 1.001 a 10.000 titulares por mês",1,0)+IF(AA465="SIM",1,0)+IF(R465="SIM",1,0)+IF(AL465="SIM",1,0)+IF(AJ465="NÃO",1,0))&gt;=5,"SIM - Alta criticidade",IF((IF(I465="SIM",2,0)+IF(K465="SIM",2,0)+IF(AF465="SIM",2,0)+IF(OR(AN465="Dados pessoais",AN465="Dados sensíveis",AN465="Dados pessoais e sensíveis"),2,0)+IF(O465="De 1.001 a 10.000 titulares por mês",1,0)+IF(AA465="SIM",1,0)+IF(R465="SIM",1,0)+IF(AL465="SIM",1,0)+IF(AJ465="NÃO",1,0))&gt;=3,"Avaliação necessária","NÃO"))))</f>
      </c>
      <c r="AR465" s="11"/>
      <c r="AS465" s="113">
        <f>IF(AND(I465="",K465="",AF465="",AL465="",AN465="",O465=""),"",IF(OR(I465="SIM",K465="SIM",AF465="SIM",AL465="SIM",OR(AN465="Dados pessoais",AN465="Dados sensíveis",AN465="Dados pessoais e sensíveis"),O465="Acima de 10.000 titulares por mês",(IF(I465="SIM",2,0)+IF(K465="SIM",2,0)+IF(AF465="SIM",2,0)+IF(OR(AN465="Dados pessoais",AN465="Dados sensíveis",AN465="Dados pessoais e sensíveis"),2,0)+IF(O465="De 1.001 a 10.000 titulares por mês",1,0)+IF(AA465="SIM",1,0)+IF(R465="SIM",1,0)+IF(AL465="SIM",1,0)+IF(AJ465="NÃO",1,0))&gt;=3),"DPIA indicado ou em avaliação em razão de: " &amp; TRIM(IF(I465="SIM","tratamento de dados sensíveis; ","") &amp; IF(K465="SIM","utilização de dados de menores; ","") &amp; IF(AF465="SIM","transferência internacional de dados; ","") &amp; IF(AL465="SIM","utilização de inteligência artificial; ","") &amp; IF(OR(AN465="Dados pessoais",AN465="Dados sensíveis",AN465="Dados pessoais e sensíveis"),"dados inseridos em IA; ","") &amp; IF(O465="Acima de 10.000 titulares por mês","volume crítico de titulares; ","") &amp; IF(O465="De 1.001 a 10.000 titulares por mês","volume moderado de titulares; ","") &amp; IF(AA465="SIM","compartilhamento com terceiros; ","") &amp; IF(R465="SIM","compartilhamento com órgãos governamentais; ","") &amp; IF(AJ465="NÃO","ausência de controle de acesso por perfil; ","")),"DPIA não indicado: Processo de baixa criticidade."))</f>
      </c>
    </row>
    <row x14ac:dyDescent="0.25" r="466" customHeight="1" ht="15.75">
      <c r="A466" s="46"/>
      <c r="B466" s="6"/>
      <c r="C466" s="11"/>
      <c r="D466" s="11"/>
      <c r="E466" s="11"/>
      <c r="F466" s="29"/>
      <c r="G466" s="11"/>
      <c r="H466" s="11"/>
      <c r="I466" s="29"/>
      <c r="J466" s="11"/>
      <c r="K466" s="29"/>
      <c r="L466" s="11"/>
      <c r="M466" s="11"/>
      <c r="N466" s="11"/>
      <c r="O466" s="29"/>
      <c r="P466" s="29"/>
      <c r="Q466" s="11"/>
      <c r="R466" s="29"/>
      <c r="S466" s="11"/>
      <c r="T466" s="6"/>
      <c r="U466" s="29"/>
      <c r="V466" s="11"/>
      <c r="W466" s="11"/>
      <c r="X466" s="29"/>
      <c r="Y466" s="11"/>
      <c r="Z466" s="29"/>
      <c r="AA466" s="29"/>
      <c r="AB466" s="11"/>
      <c r="AC466" s="11"/>
      <c r="AD466" s="29"/>
      <c r="AE466" s="11"/>
      <c r="AF466" s="29"/>
      <c r="AG466" s="11"/>
      <c r="AH466" s="29"/>
      <c r="AI466" s="11"/>
      <c r="AJ466" s="29"/>
      <c r="AK466" s="29"/>
      <c r="AL466" s="29"/>
      <c r="AM466" s="11"/>
      <c r="AN466" s="29"/>
      <c r="AO466" s="29"/>
      <c r="AP466" s="6"/>
      <c r="AQ466" s="113">
        <f>IF(AND(I466="",K466="",AF466="",AL466="",AN466="",O466=""),"",IF(OR(I466="SIM",K466="SIM",AF466="SIM",AL466="SIM",AN466="Dados pessoais",AN466="Dados sensíveis",AN466="Dados pessoais e sensíveis",O466="Acima de 10.000 titulares por mês"),"SIM - Alta criticidade",IF((IF(I466="SIM",2,0)+IF(K466="SIM",2,0)+IF(AF466="SIM",2,0)+IF(OR(AN466="Dados pessoais",AN466="Dados sensíveis",AN466="Dados pessoais e sensíveis"),2,0)+IF(O466="De 1.001 a 10.000 titulares por mês",1,0)+IF(AA466="SIM",1,0)+IF(R466="SIM",1,0)+IF(AL466="SIM",1,0)+IF(AJ466="NÃO",1,0))&gt;=5,"SIM - Alta criticidade",IF((IF(I466="SIM",2,0)+IF(K466="SIM",2,0)+IF(AF466="SIM",2,0)+IF(OR(AN466="Dados pessoais",AN466="Dados sensíveis",AN466="Dados pessoais e sensíveis"),2,0)+IF(O466="De 1.001 a 10.000 titulares por mês",1,0)+IF(AA466="SIM",1,0)+IF(R466="SIM",1,0)+IF(AL466="SIM",1,0)+IF(AJ466="NÃO",1,0))&gt;=3,"Avaliação necessária","NÃO"))))</f>
      </c>
      <c r="AR466" s="11"/>
      <c r="AS466" s="113">
        <f>IF(AND(I466="",K466="",AF466="",AL466="",AN466="",O466=""),"",IF(OR(I466="SIM",K466="SIM",AF466="SIM",AL466="SIM",OR(AN466="Dados pessoais",AN466="Dados sensíveis",AN466="Dados pessoais e sensíveis"),O466="Acima de 10.000 titulares por mês",(IF(I466="SIM",2,0)+IF(K466="SIM",2,0)+IF(AF466="SIM",2,0)+IF(OR(AN466="Dados pessoais",AN466="Dados sensíveis",AN466="Dados pessoais e sensíveis"),2,0)+IF(O466="De 1.001 a 10.000 titulares por mês",1,0)+IF(AA466="SIM",1,0)+IF(R466="SIM",1,0)+IF(AL466="SIM",1,0)+IF(AJ466="NÃO",1,0))&gt;=3),"DPIA indicado ou em avaliação em razão de: " &amp; TRIM(IF(I466="SIM","tratamento de dados sensíveis; ","") &amp; IF(K466="SIM","utilização de dados de menores; ","") &amp; IF(AF466="SIM","transferência internacional de dados; ","") &amp; IF(AL466="SIM","utilização de inteligência artificial; ","") &amp; IF(OR(AN466="Dados pessoais",AN466="Dados sensíveis",AN466="Dados pessoais e sensíveis"),"dados inseridos em IA; ","") &amp; IF(O466="Acima de 10.000 titulares por mês","volume crítico de titulares; ","") &amp; IF(O466="De 1.001 a 10.000 titulares por mês","volume moderado de titulares; ","") &amp; IF(AA466="SIM","compartilhamento com terceiros; ","") &amp; IF(R466="SIM","compartilhamento com órgãos governamentais; ","") &amp; IF(AJ466="NÃO","ausência de controle de acesso por perfil; ","")),"DPIA não indicado: Processo de baixa criticidade."))</f>
      </c>
    </row>
    <row x14ac:dyDescent="0.25" r="467" customHeight="1" ht="15.75">
      <c r="A467" s="46"/>
      <c r="B467" s="6"/>
      <c r="C467" s="11"/>
      <c r="D467" s="11"/>
      <c r="E467" s="11"/>
      <c r="F467" s="29"/>
      <c r="G467" s="11"/>
      <c r="H467" s="11"/>
      <c r="I467" s="29"/>
      <c r="J467" s="11"/>
      <c r="K467" s="29"/>
      <c r="L467" s="11"/>
      <c r="M467" s="11"/>
      <c r="N467" s="11"/>
      <c r="O467" s="29"/>
      <c r="P467" s="29"/>
      <c r="Q467" s="11"/>
      <c r="R467" s="29"/>
      <c r="S467" s="11"/>
      <c r="T467" s="6"/>
      <c r="U467" s="29"/>
      <c r="V467" s="11"/>
      <c r="W467" s="11"/>
      <c r="X467" s="29"/>
      <c r="Y467" s="11"/>
      <c r="Z467" s="29"/>
      <c r="AA467" s="29"/>
      <c r="AB467" s="11"/>
      <c r="AC467" s="11"/>
      <c r="AD467" s="29"/>
      <c r="AE467" s="11"/>
      <c r="AF467" s="29"/>
      <c r="AG467" s="11"/>
      <c r="AH467" s="29"/>
      <c r="AI467" s="11"/>
      <c r="AJ467" s="29"/>
      <c r="AK467" s="29"/>
      <c r="AL467" s="29"/>
      <c r="AM467" s="11"/>
      <c r="AN467" s="29"/>
      <c r="AO467" s="29"/>
      <c r="AP467" s="6"/>
      <c r="AQ467" s="113">
        <f>IF(AND(I467="",K467="",AF467="",AL467="",AN467="",O467=""),"",IF(OR(I467="SIM",K467="SIM",AF467="SIM",AL467="SIM",AN467="Dados pessoais",AN467="Dados sensíveis",AN467="Dados pessoais e sensíveis",O467="Acima de 10.000 titulares por mês"),"SIM - Alta criticidade",IF((IF(I467="SIM",2,0)+IF(K467="SIM",2,0)+IF(AF467="SIM",2,0)+IF(OR(AN467="Dados pessoais",AN467="Dados sensíveis",AN467="Dados pessoais e sensíveis"),2,0)+IF(O467="De 1.001 a 10.000 titulares por mês",1,0)+IF(AA467="SIM",1,0)+IF(R467="SIM",1,0)+IF(AL467="SIM",1,0)+IF(AJ467="NÃO",1,0))&gt;=5,"SIM - Alta criticidade",IF((IF(I467="SIM",2,0)+IF(K467="SIM",2,0)+IF(AF467="SIM",2,0)+IF(OR(AN467="Dados pessoais",AN467="Dados sensíveis",AN467="Dados pessoais e sensíveis"),2,0)+IF(O467="De 1.001 a 10.000 titulares por mês",1,0)+IF(AA467="SIM",1,0)+IF(R467="SIM",1,0)+IF(AL467="SIM",1,0)+IF(AJ467="NÃO",1,0))&gt;=3,"Avaliação necessária","NÃO"))))</f>
      </c>
      <c r="AR467" s="11"/>
      <c r="AS467" s="113">
        <f>IF(AND(I467="",K467="",AF467="",AL467="",AN467="",O467=""),"",IF(OR(I467="SIM",K467="SIM",AF467="SIM",AL467="SIM",OR(AN467="Dados pessoais",AN467="Dados sensíveis",AN467="Dados pessoais e sensíveis"),O467="Acima de 10.000 titulares por mês",(IF(I467="SIM",2,0)+IF(K467="SIM",2,0)+IF(AF467="SIM",2,0)+IF(OR(AN467="Dados pessoais",AN467="Dados sensíveis",AN467="Dados pessoais e sensíveis"),2,0)+IF(O467="De 1.001 a 10.000 titulares por mês",1,0)+IF(AA467="SIM",1,0)+IF(R467="SIM",1,0)+IF(AL467="SIM",1,0)+IF(AJ467="NÃO",1,0))&gt;=3),"DPIA indicado ou em avaliação em razão de: " &amp; TRIM(IF(I467="SIM","tratamento de dados sensíveis; ","") &amp; IF(K467="SIM","utilização de dados de menores; ","") &amp; IF(AF467="SIM","transferência internacional de dados; ","") &amp; IF(AL467="SIM","utilização de inteligência artificial; ","") &amp; IF(OR(AN467="Dados pessoais",AN467="Dados sensíveis",AN467="Dados pessoais e sensíveis"),"dados inseridos em IA; ","") &amp; IF(O467="Acima de 10.000 titulares por mês","volume crítico de titulares; ","") &amp; IF(O467="De 1.001 a 10.000 titulares por mês","volume moderado de titulares; ","") &amp; IF(AA467="SIM","compartilhamento com terceiros; ","") &amp; IF(R467="SIM","compartilhamento com órgãos governamentais; ","") &amp; IF(AJ467="NÃO","ausência de controle de acesso por perfil; ","")),"DPIA não indicado: Processo de baixa criticidade."))</f>
      </c>
    </row>
    <row x14ac:dyDescent="0.25" r="468" customHeight="1" ht="15.75">
      <c r="A468" s="46"/>
      <c r="B468" s="6"/>
      <c r="C468" s="11"/>
      <c r="D468" s="11"/>
      <c r="E468" s="11"/>
      <c r="F468" s="29"/>
      <c r="G468" s="11"/>
      <c r="H468" s="11"/>
      <c r="I468" s="29"/>
      <c r="J468" s="11"/>
      <c r="K468" s="29"/>
      <c r="L468" s="11"/>
      <c r="M468" s="11"/>
      <c r="N468" s="11"/>
      <c r="O468" s="29"/>
      <c r="P468" s="29"/>
      <c r="Q468" s="11"/>
      <c r="R468" s="29"/>
      <c r="S468" s="11"/>
      <c r="T468" s="6"/>
      <c r="U468" s="29"/>
      <c r="V468" s="11"/>
      <c r="W468" s="11"/>
      <c r="X468" s="29"/>
      <c r="Y468" s="11"/>
      <c r="Z468" s="29"/>
      <c r="AA468" s="29"/>
      <c r="AB468" s="11"/>
      <c r="AC468" s="11"/>
      <c r="AD468" s="29"/>
      <c r="AE468" s="11"/>
      <c r="AF468" s="29"/>
      <c r="AG468" s="11"/>
      <c r="AH468" s="29"/>
      <c r="AI468" s="11"/>
      <c r="AJ468" s="29"/>
      <c r="AK468" s="29"/>
      <c r="AL468" s="29"/>
      <c r="AM468" s="11"/>
      <c r="AN468" s="29"/>
      <c r="AO468" s="29"/>
      <c r="AP468" s="6"/>
      <c r="AQ468" s="113">
        <f>IF(AND(I468="",K468="",AF468="",AL468="",AN468="",O468=""),"",IF(OR(I468="SIM",K468="SIM",AF468="SIM",AL468="SIM",AN468="Dados pessoais",AN468="Dados sensíveis",AN468="Dados pessoais e sensíveis",O468="Acima de 10.000 titulares por mês"),"SIM - Alta criticidade",IF((IF(I468="SIM",2,0)+IF(K468="SIM",2,0)+IF(AF468="SIM",2,0)+IF(OR(AN468="Dados pessoais",AN468="Dados sensíveis",AN468="Dados pessoais e sensíveis"),2,0)+IF(O468="De 1.001 a 10.000 titulares por mês",1,0)+IF(AA468="SIM",1,0)+IF(R468="SIM",1,0)+IF(AL468="SIM",1,0)+IF(AJ468="NÃO",1,0))&gt;=5,"SIM - Alta criticidade",IF((IF(I468="SIM",2,0)+IF(K468="SIM",2,0)+IF(AF468="SIM",2,0)+IF(OR(AN468="Dados pessoais",AN468="Dados sensíveis",AN468="Dados pessoais e sensíveis"),2,0)+IF(O468="De 1.001 a 10.000 titulares por mês",1,0)+IF(AA468="SIM",1,0)+IF(R468="SIM",1,0)+IF(AL468="SIM",1,0)+IF(AJ468="NÃO",1,0))&gt;=3,"Avaliação necessária","NÃO"))))</f>
      </c>
      <c r="AR468" s="11"/>
      <c r="AS468" s="113">
        <f>IF(AND(I468="",K468="",AF468="",AL468="",AN468="",O468=""),"",IF(OR(I468="SIM",K468="SIM",AF468="SIM",AL468="SIM",OR(AN468="Dados pessoais",AN468="Dados sensíveis",AN468="Dados pessoais e sensíveis"),O468="Acima de 10.000 titulares por mês",(IF(I468="SIM",2,0)+IF(K468="SIM",2,0)+IF(AF468="SIM",2,0)+IF(OR(AN468="Dados pessoais",AN468="Dados sensíveis",AN468="Dados pessoais e sensíveis"),2,0)+IF(O468="De 1.001 a 10.000 titulares por mês",1,0)+IF(AA468="SIM",1,0)+IF(R468="SIM",1,0)+IF(AL468="SIM",1,0)+IF(AJ468="NÃO",1,0))&gt;=3),"DPIA indicado ou em avaliação em razão de: " &amp; TRIM(IF(I468="SIM","tratamento de dados sensíveis; ","") &amp; IF(K468="SIM","utilização de dados de menores; ","") &amp; IF(AF468="SIM","transferência internacional de dados; ","") &amp; IF(AL468="SIM","utilização de inteligência artificial; ","") &amp; IF(OR(AN468="Dados pessoais",AN468="Dados sensíveis",AN468="Dados pessoais e sensíveis"),"dados inseridos em IA; ","") &amp; IF(O468="Acima de 10.000 titulares por mês","volume crítico de titulares; ","") &amp; IF(O468="De 1.001 a 10.000 titulares por mês","volume moderado de titulares; ","") &amp; IF(AA468="SIM","compartilhamento com terceiros; ","") &amp; IF(R468="SIM","compartilhamento com órgãos governamentais; ","") &amp; IF(AJ468="NÃO","ausência de controle de acesso por perfil; ","")),"DPIA não indicado: Processo de baixa criticidade."))</f>
      </c>
    </row>
    <row x14ac:dyDescent="0.25" r="469" customHeight="1" ht="15.75">
      <c r="A469" s="46"/>
      <c r="B469" s="6"/>
      <c r="C469" s="11"/>
      <c r="D469" s="11"/>
      <c r="E469" s="11"/>
      <c r="F469" s="29"/>
      <c r="G469" s="11"/>
      <c r="H469" s="11"/>
      <c r="I469" s="29"/>
      <c r="J469" s="11"/>
      <c r="K469" s="29"/>
      <c r="L469" s="11"/>
      <c r="M469" s="11"/>
      <c r="N469" s="11"/>
      <c r="O469" s="29"/>
      <c r="P469" s="29"/>
      <c r="Q469" s="11"/>
      <c r="R469" s="29"/>
      <c r="S469" s="11"/>
      <c r="T469" s="6"/>
      <c r="U469" s="29"/>
      <c r="V469" s="11"/>
      <c r="W469" s="11"/>
      <c r="X469" s="29"/>
      <c r="Y469" s="11"/>
      <c r="Z469" s="29"/>
      <c r="AA469" s="29"/>
      <c r="AB469" s="11"/>
      <c r="AC469" s="11"/>
      <c r="AD469" s="29"/>
      <c r="AE469" s="11"/>
      <c r="AF469" s="29"/>
      <c r="AG469" s="11"/>
      <c r="AH469" s="29"/>
      <c r="AI469" s="11"/>
      <c r="AJ469" s="29"/>
      <c r="AK469" s="29"/>
      <c r="AL469" s="29"/>
      <c r="AM469" s="11"/>
      <c r="AN469" s="29"/>
      <c r="AO469" s="29"/>
      <c r="AP469" s="6"/>
      <c r="AQ469" s="113">
        <f>IF(AND(I469="",K469="",AF469="",AL469="",AN469="",O469=""),"",IF(OR(I469="SIM",K469="SIM",AF469="SIM",AL469="SIM",AN469="Dados pessoais",AN469="Dados sensíveis",AN469="Dados pessoais e sensíveis",O469="Acima de 10.000 titulares por mês"),"SIM - Alta criticidade",IF((IF(I469="SIM",2,0)+IF(K469="SIM",2,0)+IF(AF469="SIM",2,0)+IF(OR(AN469="Dados pessoais",AN469="Dados sensíveis",AN469="Dados pessoais e sensíveis"),2,0)+IF(O469="De 1.001 a 10.000 titulares por mês",1,0)+IF(AA469="SIM",1,0)+IF(R469="SIM",1,0)+IF(AL469="SIM",1,0)+IF(AJ469="NÃO",1,0))&gt;=5,"SIM - Alta criticidade",IF((IF(I469="SIM",2,0)+IF(K469="SIM",2,0)+IF(AF469="SIM",2,0)+IF(OR(AN469="Dados pessoais",AN469="Dados sensíveis",AN469="Dados pessoais e sensíveis"),2,0)+IF(O469="De 1.001 a 10.000 titulares por mês",1,0)+IF(AA469="SIM",1,0)+IF(R469="SIM",1,0)+IF(AL469="SIM",1,0)+IF(AJ469="NÃO",1,0))&gt;=3,"Avaliação necessária","NÃO"))))</f>
      </c>
      <c r="AR469" s="11"/>
      <c r="AS469" s="113">
        <f>IF(AND(I469="",K469="",AF469="",AL469="",AN469="",O469=""),"",IF(OR(I469="SIM",K469="SIM",AF469="SIM",AL469="SIM",OR(AN469="Dados pessoais",AN469="Dados sensíveis",AN469="Dados pessoais e sensíveis"),O469="Acima de 10.000 titulares por mês",(IF(I469="SIM",2,0)+IF(K469="SIM",2,0)+IF(AF469="SIM",2,0)+IF(OR(AN469="Dados pessoais",AN469="Dados sensíveis",AN469="Dados pessoais e sensíveis"),2,0)+IF(O469="De 1.001 a 10.000 titulares por mês",1,0)+IF(AA469="SIM",1,0)+IF(R469="SIM",1,0)+IF(AL469="SIM",1,0)+IF(AJ469="NÃO",1,0))&gt;=3),"DPIA indicado ou em avaliação em razão de: " &amp; TRIM(IF(I469="SIM","tratamento de dados sensíveis; ","") &amp; IF(K469="SIM","utilização de dados de menores; ","") &amp; IF(AF469="SIM","transferência internacional de dados; ","") &amp; IF(AL469="SIM","utilização de inteligência artificial; ","") &amp; IF(OR(AN469="Dados pessoais",AN469="Dados sensíveis",AN469="Dados pessoais e sensíveis"),"dados inseridos em IA; ","") &amp; IF(O469="Acima de 10.000 titulares por mês","volume crítico de titulares; ","") &amp; IF(O469="De 1.001 a 10.000 titulares por mês","volume moderado de titulares; ","") &amp; IF(AA469="SIM","compartilhamento com terceiros; ","") &amp; IF(R469="SIM","compartilhamento com órgãos governamentais; ","") &amp; IF(AJ469="NÃO","ausência de controle de acesso por perfil; ","")),"DPIA não indicado: Processo de baixa criticidade."))</f>
      </c>
    </row>
    <row x14ac:dyDescent="0.25" r="470" customHeight="1" ht="15.75">
      <c r="A470" s="46"/>
      <c r="B470" s="6"/>
      <c r="C470" s="11"/>
      <c r="D470" s="11"/>
      <c r="E470" s="11"/>
      <c r="F470" s="29"/>
      <c r="G470" s="11"/>
      <c r="H470" s="11"/>
      <c r="I470" s="29"/>
      <c r="J470" s="11"/>
      <c r="K470" s="29"/>
      <c r="L470" s="11"/>
      <c r="M470" s="11"/>
      <c r="N470" s="11"/>
      <c r="O470" s="29"/>
      <c r="P470" s="29"/>
      <c r="Q470" s="11"/>
      <c r="R470" s="29"/>
      <c r="S470" s="11"/>
      <c r="T470" s="6"/>
      <c r="U470" s="29"/>
      <c r="V470" s="11"/>
      <c r="W470" s="11"/>
      <c r="X470" s="29"/>
      <c r="Y470" s="11"/>
      <c r="Z470" s="29"/>
      <c r="AA470" s="29"/>
      <c r="AB470" s="11"/>
      <c r="AC470" s="11"/>
      <c r="AD470" s="29"/>
      <c r="AE470" s="11"/>
      <c r="AF470" s="29"/>
      <c r="AG470" s="11"/>
      <c r="AH470" s="29"/>
      <c r="AI470" s="11"/>
      <c r="AJ470" s="29"/>
      <c r="AK470" s="29"/>
      <c r="AL470" s="29"/>
      <c r="AM470" s="11"/>
      <c r="AN470" s="29"/>
      <c r="AO470" s="29"/>
      <c r="AP470" s="6"/>
      <c r="AQ470" s="113">
        <f>IF(AND(I470="",K470="",AF470="",AL470="",AN470="",O470=""),"",IF(OR(I470="SIM",K470="SIM",AF470="SIM",AL470="SIM",AN470="Dados pessoais",AN470="Dados sensíveis",AN470="Dados pessoais e sensíveis",O470="Acima de 10.000 titulares por mês"),"SIM - Alta criticidade",IF((IF(I470="SIM",2,0)+IF(K470="SIM",2,0)+IF(AF470="SIM",2,0)+IF(OR(AN470="Dados pessoais",AN470="Dados sensíveis",AN470="Dados pessoais e sensíveis"),2,0)+IF(O470="De 1.001 a 10.000 titulares por mês",1,0)+IF(AA470="SIM",1,0)+IF(R470="SIM",1,0)+IF(AL470="SIM",1,0)+IF(AJ470="NÃO",1,0))&gt;=5,"SIM - Alta criticidade",IF((IF(I470="SIM",2,0)+IF(K470="SIM",2,0)+IF(AF470="SIM",2,0)+IF(OR(AN470="Dados pessoais",AN470="Dados sensíveis",AN470="Dados pessoais e sensíveis"),2,0)+IF(O470="De 1.001 a 10.000 titulares por mês",1,0)+IF(AA470="SIM",1,0)+IF(R470="SIM",1,0)+IF(AL470="SIM",1,0)+IF(AJ470="NÃO",1,0))&gt;=3,"Avaliação necessária","NÃO"))))</f>
      </c>
      <c r="AR470" s="11"/>
      <c r="AS470" s="113">
        <f>IF(AND(I470="",K470="",AF470="",AL470="",AN470="",O470=""),"",IF(OR(I470="SIM",K470="SIM",AF470="SIM",AL470="SIM",OR(AN470="Dados pessoais",AN470="Dados sensíveis",AN470="Dados pessoais e sensíveis"),O470="Acima de 10.000 titulares por mês",(IF(I470="SIM",2,0)+IF(K470="SIM",2,0)+IF(AF470="SIM",2,0)+IF(OR(AN470="Dados pessoais",AN470="Dados sensíveis",AN470="Dados pessoais e sensíveis"),2,0)+IF(O470="De 1.001 a 10.000 titulares por mês",1,0)+IF(AA470="SIM",1,0)+IF(R470="SIM",1,0)+IF(AL470="SIM",1,0)+IF(AJ470="NÃO",1,0))&gt;=3),"DPIA indicado ou em avaliação em razão de: " &amp; TRIM(IF(I470="SIM","tratamento de dados sensíveis; ","") &amp; IF(K470="SIM","utilização de dados de menores; ","") &amp; IF(AF470="SIM","transferência internacional de dados; ","") &amp; IF(AL470="SIM","utilização de inteligência artificial; ","") &amp; IF(OR(AN470="Dados pessoais",AN470="Dados sensíveis",AN470="Dados pessoais e sensíveis"),"dados inseridos em IA; ","") &amp; IF(O470="Acima de 10.000 titulares por mês","volume crítico de titulares; ","") &amp; IF(O470="De 1.001 a 10.000 titulares por mês","volume moderado de titulares; ","") &amp; IF(AA470="SIM","compartilhamento com terceiros; ","") &amp; IF(R470="SIM","compartilhamento com órgãos governamentais; ","") &amp; IF(AJ470="NÃO","ausência de controle de acesso por perfil; ","")),"DPIA não indicado: Processo de baixa criticidade."))</f>
      </c>
    </row>
    <row x14ac:dyDescent="0.25" r="471" customHeight="1" ht="15.75">
      <c r="A471" s="46"/>
      <c r="B471" s="6"/>
      <c r="C471" s="11"/>
      <c r="D471" s="11"/>
      <c r="E471" s="11"/>
      <c r="F471" s="29"/>
      <c r="G471" s="11"/>
      <c r="H471" s="11"/>
      <c r="I471" s="29"/>
      <c r="J471" s="11"/>
      <c r="K471" s="29"/>
      <c r="L471" s="11"/>
      <c r="M471" s="11"/>
      <c r="N471" s="11"/>
      <c r="O471" s="29"/>
      <c r="P471" s="29"/>
      <c r="Q471" s="11"/>
      <c r="R471" s="29"/>
      <c r="S471" s="11"/>
      <c r="T471" s="6"/>
      <c r="U471" s="29"/>
      <c r="V471" s="11"/>
      <c r="W471" s="11"/>
      <c r="X471" s="29"/>
      <c r="Y471" s="11"/>
      <c r="Z471" s="29"/>
      <c r="AA471" s="29"/>
      <c r="AB471" s="11"/>
      <c r="AC471" s="11"/>
      <c r="AD471" s="29"/>
      <c r="AE471" s="11"/>
      <c r="AF471" s="29"/>
      <c r="AG471" s="11"/>
      <c r="AH471" s="29"/>
      <c r="AI471" s="11"/>
      <c r="AJ471" s="29"/>
      <c r="AK471" s="29"/>
      <c r="AL471" s="29"/>
      <c r="AM471" s="11"/>
      <c r="AN471" s="29"/>
      <c r="AO471" s="29"/>
      <c r="AP471" s="6"/>
      <c r="AQ471" s="113">
        <f>IF(AND(I471="",K471="",AF471="",AL471="",AN471="",O471=""),"",IF(OR(I471="SIM",K471="SIM",AF471="SIM",AL471="SIM",AN471="Dados pessoais",AN471="Dados sensíveis",AN471="Dados pessoais e sensíveis",O471="Acima de 10.000 titulares por mês"),"SIM - Alta criticidade",IF((IF(I471="SIM",2,0)+IF(K471="SIM",2,0)+IF(AF471="SIM",2,0)+IF(OR(AN471="Dados pessoais",AN471="Dados sensíveis",AN471="Dados pessoais e sensíveis"),2,0)+IF(O471="De 1.001 a 10.000 titulares por mês",1,0)+IF(AA471="SIM",1,0)+IF(R471="SIM",1,0)+IF(AL471="SIM",1,0)+IF(AJ471="NÃO",1,0))&gt;=5,"SIM - Alta criticidade",IF((IF(I471="SIM",2,0)+IF(K471="SIM",2,0)+IF(AF471="SIM",2,0)+IF(OR(AN471="Dados pessoais",AN471="Dados sensíveis",AN471="Dados pessoais e sensíveis"),2,0)+IF(O471="De 1.001 a 10.000 titulares por mês",1,0)+IF(AA471="SIM",1,0)+IF(R471="SIM",1,0)+IF(AL471="SIM",1,0)+IF(AJ471="NÃO",1,0))&gt;=3,"Avaliação necessária","NÃO"))))</f>
      </c>
      <c r="AR471" s="11"/>
      <c r="AS471" s="113">
        <f>IF(AND(I471="",K471="",AF471="",AL471="",AN471="",O471=""),"",IF(OR(I471="SIM",K471="SIM",AF471="SIM",AL471="SIM",OR(AN471="Dados pessoais",AN471="Dados sensíveis",AN471="Dados pessoais e sensíveis"),O471="Acima de 10.000 titulares por mês",(IF(I471="SIM",2,0)+IF(K471="SIM",2,0)+IF(AF471="SIM",2,0)+IF(OR(AN471="Dados pessoais",AN471="Dados sensíveis",AN471="Dados pessoais e sensíveis"),2,0)+IF(O471="De 1.001 a 10.000 titulares por mês",1,0)+IF(AA471="SIM",1,0)+IF(R471="SIM",1,0)+IF(AL471="SIM",1,0)+IF(AJ471="NÃO",1,0))&gt;=3),"DPIA indicado ou em avaliação em razão de: " &amp; TRIM(IF(I471="SIM","tratamento de dados sensíveis; ","") &amp; IF(K471="SIM","utilização de dados de menores; ","") &amp; IF(AF471="SIM","transferência internacional de dados; ","") &amp; IF(AL471="SIM","utilização de inteligência artificial; ","") &amp; IF(OR(AN471="Dados pessoais",AN471="Dados sensíveis",AN471="Dados pessoais e sensíveis"),"dados inseridos em IA; ","") &amp; IF(O471="Acima de 10.000 titulares por mês","volume crítico de titulares; ","") &amp; IF(O471="De 1.001 a 10.000 titulares por mês","volume moderado de titulares; ","") &amp; IF(AA471="SIM","compartilhamento com terceiros; ","") &amp; IF(R471="SIM","compartilhamento com órgãos governamentais; ","") &amp; IF(AJ471="NÃO","ausência de controle de acesso por perfil; ","")),"DPIA não indicado: Processo de baixa criticidade."))</f>
      </c>
    </row>
    <row x14ac:dyDescent="0.25" r="472" customHeight="1" ht="15.75">
      <c r="A472" s="46"/>
      <c r="B472" s="6"/>
      <c r="C472" s="11"/>
      <c r="D472" s="11"/>
      <c r="E472" s="11"/>
      <c r="F472" s="29"/>
      <c r="G472" s="11"/>
      <c r="H472" s="11"/>
      <c r="I472" s="29"/>
      <c r="J472" s="11"/>
      <c r="K472" s="29"/>
      <c r="L472" s="11"/>
      <c r="M472" s="11"/>
      <c r="N472" s="11"/>
      <c r="O472" s="29"/>
      <c r="P472" s="29"/>
      <c r="Q472" s="11"/>
      <c r="R472" s="29"/>
      <c r="S472" s="11"/>
      <c r="T472" s="6"/>
      <c r="U472" s="29"/>
      <c r="V472" s="11"/>
      <c r="W472" s="11"/>
      <c r="X472" s="29"/>
      <c r="Y472" s="11"/>
      <c r="Z472" s="29"/>
      <c r="AA472" s="29"/>
      <c r="AB472" s="11"/>
      <c r="AC472" s="11"/>
      <c r="AD472" s="29"/>
      <c r="AE472" s="11"/>
      <c r="AF472" s="29"/>
      <c r="AG472" s="11"/>
      <c r="AH472" s="29"/>
      <c r="AI472" s="11"/>
      <c r="AJ472" s="29"/>
      <c r="AK472" s="29"/>
      <c r="AL472" s="29"/>
      <c r="AM472" s="11"/>
      <c r="AN472" s="29"/>
      <c r="AO472" s="29"/>
      <c r="AP472" s="6"/>
      <c r="AQ472" s="113">
        <f>IF(AND(I472="",K472="",AF472="",AL472="",AN472="",O472=""),"",IF(OR(I472="SIM",K472="SIM",AF472="SIM",AL472="SIM",AN472="Dados pessoais",AN472="Dados sensíveis",AN472="Dados pessoais e sensíveis",O472="Acima de 10.000 titulares por mês"),"SIM - Alta criticidade",IF((IF(I472="SIM",2,0)+IF(K472="SIM",2,0)+IF(AF472="SIM",2,0)+IF(OR(AN472="Dados pessoais",AN472="Dados sensíveis",AN472="Dados pessoais e sensíveis"),2,0)+IF(O472="De 1.001 a 10.000 titulares por mês",1,0)+IF(AA472="SIM",1,0)+IF(R472="SIM",1,0)+IF(AL472="SIM",1,0)+IF(AJ472="NÃO",1,0))&gt;=5,"SIM - Alta criticidade",IF((IF(I472="SIM",2,0)+IF(K472="SIM",2,0)+IF(AF472="SIM",2,0)+IF(OR(AN472="Dados pessoais",AN472="Dados sensíveis",AN472="Dados pessoais e sensíveis"),2,0)+IF(O472="De 1.001 a 10.000 titulares por mês",1,0)+IF(AA472="SIM",1,0)+IF(R472="SIM",1,0)+IF(AL472="SIM",1,0)+IF(AJ472="NÃO",1,0))&gt;=3,"Avaliação necessária","NÃO"))))</f>
      </c>
      <c r="AR472" s="11"/>
      <c r="AS472" s="113">
        <f>IF(AND(I472="",K472="",AF472="",AL472="",AN472="",O472=""),"",IF(OR(I472="SIM",K472="SIM",AF472="SIM",AL472="SIM",OR(AN472="Dados pessoais",AN472="Dados sensíveis",AN472="Dados pessoais e sensíveis"),O472="Acima de 10.000 titulares por mês",(IF(I472="SIM",2,0)+IF(K472="SIM",2,0)+IF(AF472="SIM",2,0)+IF(OR(AN472="Dados pessoais",AN472="Dados sensíveis",AN472="Dados pessoais e sensíveis"),2,0)+IF(O472="De 1.001 a 10.000 titulares por mês",1,0)+IF(AA472="SIM",1,0)+IF(R472="SIM",1,0)+IF(AL472="SIM",1,0)+IF(AJ472="NÃO",1,0))&gt;=3),"DPIA indicado ou em avaliação em razão de: " &amp; TRIM(IF(I472="SIM","tratamento de dados sensíveis; ","") &amp; IF(K472="SIM","utilização de dados de menores; ","") &amp; IF(AF472="SIM","transferência internacional de dados; ","") &amp; IF(AL472="SIM","utilização de inteligência artificial; ","") &amp; IF(OR(AN472="Dados pessoais",AN472="Dados sensíveis",AN472="Dados pessoais e sensíveis"),"dados inseridos em IA; ","") &amp; IF(O472="Acima de 10.000 titulares por mês","volume crítico de titulares; ","") &amp; IF(O472="De 1.001 a 10.000 titulares por mês","volume moderado de titulares; ","") &amp; IF(AA472="SIM","compartilhamento com terceiros; ","") &amp; IF(R472="SIM","compartilhamento com órgãos governamentais; ","") &amp; IF(AJ472="NÃO","ausência de controle de acesso por perfil; ","")),"DPIA não indicado: Processo de baixa criticidade."))</f>
      </c>
    </row>
    <row x14ac:dyDescent="0.25" r="473" customHeight="1" ht="15.75">
      <c r="A473" s="46"/>
      <c r="B473" s="6"/>
      <c r="C473" s="11"/>
      <c r="D473" s="11"/>
      <c r="E473" s="11"/>
      <c r="F473" s="29"/>
      <c r="G473" s="11"/>
      <c r="H473" s="11"/>
      <c r="I473" s="29"/>
      <c r="J473" s="11"/>
      <c r="K473" s="29"/>
      <c r="L473" s="11"/>
      <c r="M473" s="11"/>
      <c r="N473" s="11"/>
      <c r="O473" s="29"/>
      <c r="P473" s="29"/>
      <c r="Q473" s="11"/>
      <c r="R473" s="29"/>
      <c r="S473" s="11"/>
      <c r="T473" s="6"/>
      <c r="U473" s="29"/>
      <c r="V473" s="11"/>
      <c r="W473" s="11"/>
      <c r="X473" s="29"/>
      <c r="Y473" s="11"/>
      <c r="Z473" s="29"/>
      <c r="AA473" s="29"/>
      <c r="AB473" s="11"/>
      <c r="AC473" s="11"/>
      <c r="AD473" s="29"/>
      <c r="AE473" s="11"/>
      <c r="AF473" s="29"/>
      <c r="AG473" s="11"/>
      <c r="AH473" s="29"/>
      <c r="AI473" s="11"/>
      <c r="AJ473" s="29"/>
      <c r="AK473" s="29"/>
      <c r="AL473" s="29"/>
      <c r="AM473" s="11"/>
      <c r="AN473" s="29"/>
      <c r="AO473" s="29"/>
      <c r="AP473" s="6"/>
      <c r="AQ473" s="113">
        <f>IF(AND(I473="",K473="",AF473="",AL473="",AN473="",O473=""),"",IF(OR(I473="SIM",K473="SIM",AF473="SIM",AL473="SIM",AN473="Dados pessoais",AN473="Dados sensíveis",AN473="Dados pessoais e sensíveis",O473="Acima de 10.000 titulares por mês"),"SIM - Alta criticidade",IF((IF(I473="SIM",2,0)+IF(K473="SIM",2,0)+IF(AF473="SIM",2,0)+IF(OR(AN473="Dados pessoais",AN473="Dados sensíveis",AN473="Dados pessoais e sensíveis"),2,0)+IF(O473="De 1.001 a 10.000 titulares por mês",1,0)+IF(AA473="SIM",1,0)+IF(R473="SIM",1,0)+IF(AL473="SIM",1,0)+IF(AJ473="NÃO",1,0))&gt;=5,"SIM - Alta criticidade",IF((IF(I473="SIM",2,0)+IF(K473="SIM",2,0)+IF(AF473="SIM",2,0)+IF(OR(AN473="Dados pessoais",AN473="Dados sensíveis",AN473="Dados pessoais e sensíveis"),2,0)+IF(O473="De 1.001 a 10.000 titulares por mês",1,0)+IF(AA473="SIM",1,0)+IF(R473="SIM",1,0)+IF(AL473="SIM",1,0)+IF(AJ473="NÃO",1,0))&gt;=3,"Avaliação necessária","NÃO"))))</f>
      </c>
      <c r="AR473" s="11"/>
      <c r="AS473" s="113">
        <f>IF(AND(I473="",K473="",AF473="",AL473="",AN473="",O473=""),"",IF(OR(I473="SIM",K473="SIM",AF473="SIM",AL473="SIM",OR(AN473="Dados pessoais",AN473="Dados sensíveis",AN473="Dados pessoais e sensíveis"),O473="Acima de 10.000 titulares por mês",(IF(I473="SIM",2,0)+IF(K473="SIM",2,0)+IF(AF473="SIM",2,0)+IF(OR(AN473="Dados pessoais",AN473="Dados sensíveis",AN473="Dados pessoais e sensíveis"),2,0)+IF(O473="De 1.001 a 10.000 titulares por mês",1,0)+IF(AA473="SIM",1,0)+IF(R473="SIM",1,0)+IF(AL473="SIM",1,0)+IF(AJ473="NÃO",1,0))&gt;=3),"DPIA indicado ou em avaliação em razão de: " &amp; TRIM(IF(I473="SIM","tratamento de dados sensíveis; ","") &amp; IF(K473="SIM","utilização de dados de menores; ","") &amp; IF(AF473="SIM","transferência internacional de dados; ","") &amp; IF(AL473="SIM","utilização de inteligência artificial; ","") &amp; IF(OR(AN473="Dados pessoais",AN473="Dados sensíveis",AN473="Dados pessoais e sensíveis"),"dados inseridos em IA; ","") &amp; IF(O473="Acima de 10.000 titulares por mês","volume crítico de titulares; ","") &amp; IF(O473="De 1.001 a 10.000 titulares por mês","volume moderado de titulares; ","") &amp; IF(AA473="SIM","compartilhamento com terceiros; ","") &amp; IF(R473="SIM","compartilhamento com órgãos governamentais; ","") &amp; IF(AJ473="NÃO","ausência de controle de acesso por perfil; ","")),"DPIA não indicado: Processo de baixa criticidade."))</f>
      </c>
    </row>
    <row x14ac:dyDescent="0.25" r="474" customHeight="1" ht="15.75">
      <c r="A474" s="46"/>
      <c r="B474" s="6"/>
      <c r="C474" s="11"/>
      <c r="D474" s="11"/>
      <c r="E474" s="11"/>
      <c r="F474" s="29"/>
      <c r="G474" s="11"/>
      <c r="H474" s="11"/>
      <c r="I474" s="29"/>
      <c r="J474" s="11"/>
      <c r="K474" s="29"/>
      <c r="L474" s="11"/>
      <c r="M474" s="11"/>
      <c r="N474" s="11"/>
      <c r="O474" s="29"/>
      <c r="P474" s="29"/>
      <c r="Q474" s="11"/>
      <c r="R474" s="29"/>
      <c r="S474" s="11"/>
      <c r="T474" s="6"/>
      <c r="U474" s="29"/>
      <c r="V474" s="11"/>
      <c r="W474" s="11"/>
      <c r="X474" s="29"/>
      <c r="Y474" s="11"/>
      <c r="Z474" s="29"/>
      <c r="AA474" s="29"/>
      <c r="AB474" s="11"/>
      <c r="AC474" s="11"/>
      <c r="AD474" s="29"/>
      <c r="AE474" s="11"/>
      <c r="AF474" s="29"/>
      <c r="AG474" s="11"/>
      <c r="AH474" s="29"/>
      <c r="AI474" s="11"/>
      <c r="AJ474" s="29"/>
      <c r="AK474" s="29"/>
      <c r="AL474" s="29"/>
      <c r="AM474" s="11"/>
      <c r="AN474" s="29"/>
      <c r="AO474" s="29"/>
      <c r="AP474" s="6"/>
      <c r="AQ474" s="113">
        <f>IF(AND(I474="",K474="",AF474="",AL474="",AN474="",O474=""),"",IF(OR(I474="SIM",K474="SIM",AF474="SIM",AL474="SIM",AN474="Dados pessoais",AN474="Dados sensíveis",AN474="Dados pessoais e sensíveis",O474="Acima de 10.000 titulares por mês"),"SIM - Alta criticidade",IF((IF(I474="SIM",2,0)+IF(K474="SIM",2,0)+IF(AF474="SIM",2,0)+IF(OR(AN474="Dados pessoais",AN474="Dados sensíveis",AN474="Dados pessoais e sensíveis"),2,0)+IF(O474="De 1.001 a 10.000 titulares por mês",1,0)+IF(AA474="SIM",1,0)+IF(R474="SIM",1,0)+IF(AL474="SIM",1,0)+IF(AJ474="NÃO",1,0))&gt;=5,"SIM - Alta criticidade",IF((IF(I474="SIM",2,0)+IF(K474="SIM",2,0)+IF(AF474="SIM",2,0)+IF(OR(AN474="Dados pessoais",AN474="Dados sensíveis",AN474="Dados pessoais e sensíveis"),2,0)+IF(O474="De 1.001 a 10.000 titulares por mês",1,0)+IF(AA474="SIM",1,0)+IF(R474="SIM",1,0)+IF(AL474="SIM",1,0)+IF(AJ474="NÃO",1,0))&gt;=3,"Avaliação necessária","NÃO"))))</f>
      </c>
      <c r="AR474" s="11"/>
      <c r="AS474" s="113">
        <f>IF(AND(I474="",K474="",AF474="",AL474="",AN474="",O474=""),"",IF(OR(I474="SIM",K474="SIM",AF474="SIM",AL474="SIM",OR(AN474="Dados pessoais",AN474="Dados sensíveis",AN474="Dados pessoais e sensíveis"),O474="Acima de 10.000 titulares por mês",(IF(I474="SIM",2,0)+IF(K474="SIM",2,0)+IF(AF474="SIM",2,0)+IF(OR(AN474="Dados pessoais",AN474="Dados sensíveis",AN474="Dados pessoais e sensíveis"),2,0)+IF(O474="De 1.001 a 10.000 titulares por mês",1,0)+IF(AA474="SIM",1,0)+IF(R474="SIM",1,0)+IF(AL474="SIM",1,0)+IF(AJ474="NÃO",1,0))&gt;=3),"DPIA indicado ou em avaliação em razão de: " &amp; TRIM(IF(I474="SIM","tratamento de dados sensíveis; ","") &amp; IF(K474="SIM","utilização de dados de menores; ","") &amp; IF(AF474="SIM","transferência internacional de dados; ","") &amp; IF(AL474="SIM","utilização de inteligência artificial; ","") &amp; IF(OR(AN474="Dados pessoais",AN474="Dados sensíveis",AN474="Dados pessoais e sensíveis"),"dados inseridos em IA; ","") &amp; IF(O474="Acima de 10.000 titulares por mês","volume crítico de titulares; ","") &amp; IF(O474="De 1.001 a 10.000 titulares por mês","volume moderado de titulares; ","") &amp; IF(AA474="SIM","compartilhamento com terceiros; ","") &amp; IF(R474="SIM","compartilhamento com órgãos governamentais; ","") &amp; IF(AJ474="NÃO","ausência de controle de acesso por perfil; ","")),"DPIA não indicado: Processo de baixa criticidade."))</f>
      </c>
    </row>
    <row x14ac:dyDescent="0.25" r="475" customHeight="1" ht="15.75">
      <c r="A475" s="46"/>
      <c r="B475" s="6"/>
      <c r="C475" s="11"/>
      <c r="D475" s="11"/>
      <c r="E475" s="11"/>
      <c r="F475" s="29"/>
      <c r="G475" s="11"/>
      <c r="H475" s="11"/>
      <c r="I475" s="29"/>
      <c r="J475" s="11"/>
      <c r="K475" s="29"/>
      <c r="L475" s="11"/>
      <c r="M475" s="11"/>
      <c r="N475" s="11"/>
      <c r="O475" s="29"/>
      <c r="P475" s="29"/>
      <c r="Q475" s="11"/>
      <c r="R475" s="29"/>
      <c r="S475" s="11"/>
      <c r="T475" s="6"/>
      <c r="U475" s="29"/>
      <c r="V475" s="11"/>
      <c r="W475" s="11"/>
      <c r="X475" s="29"/>
      <c r="Y475" s="11"/>
      <c r="Z475" s="29"/>
      <c r="AA475" s="29"/>
      <c r="AB475" s="11"/>
      <c r="AC475" s="11"/>
      <c r="AD475" s="29"/>
      <c r="AE475" s="11"/>
      <c r="AF475" s="29"/>
      <c r="AG475" s="11"/>
      <c r="AH475" s="29"/>
      <c r="AI475" s="11"/>
      <c r="AJ475" s="29"/>
      <c r="AK475" s="29"/>
      <c r="AL475" s="29"/>
      <c r="AM475" s="11"/>
      <c r="AN475" s="29"/>
      <c r="AO475" s="29"/>
      <c r="AP475" s="6"/>
      <c r="AQ475" s="113">
        <f>IF(AND(I475="",K475="",AF475="",AL475="",AN475="",O475=""),"",IF(OR(I475="SIM",K475="SIM",AF475="SIM",AL475="SIM",AN475="Dados pessoais",AN475="Dados sensíveis",AN475="Dados pessoais e sensíveis",O475="Acima de 10.000 titulares por mês"),"SIM - Alta criticidade",IF((IF(I475="SIM",2,0)+IF(K475="SIM",2,0)+IF(AF475="SIM",2,0)+IF(OR(AN475="Dados pessoais",AN475="Dados sensíveis",AN475="Dados pessoais e sensíveis"),2,0)+IF(O475="De 1.001 a 10.000 titulares por mês",1,0)+IF(AA475="SIM",1,0)+IF(R475="SIM",1,0)+IF(AL475="SIM",1,0)+IF(AJ475="NÃO",1,0))&gt;=5,"SIM - Alta criticidade",IF((IF(I475="SIM",2,0)+IF(K475="SIM",2,0)+IF(AF475="SIM",2,0)+IF(OR(AN475="Dados pessoais",AN475="Dados sensíveis",AN475="Dados pessoais e sensíveis"),2,0)+IF(O475="De 1.001 a 10.000 titulares por mês",1,0)+IF(AA475="SIM",1,0)+IF(R475="SIM",1,0)+IF(AL475="SIM",1,0)+IF(AJ475="NÃO",1,0))&gt;=3,"Avaliação necessária","NÃO"))))</f>
      </c>
      <c r="AR475" s="11"/>
      <c r="AS475" s="113">
        <f>IF(AND(I475="",K475="",AF475="",AL475="",AN475="",O475=""),"",IF(OR(I475="SIM",K475="SIM",AF475="SIM",AL475="SIM",OR(AN475="Dados pessoais",AN475="Dados sensíveis",AN475="Dados pessoais e sensíveis"),O475="Acima de 10.000 titulares por mês",(IF(I475="SIM",2,0)+IF(K475="SIM",2,0)+IF(AF475="SIM",2,0)+IF(OR(AN475="Dados pessoais",AN475="Dados sensíveis",AN475="Dados pessoais e sensíveis"),2,0)+IF(O475="De 1.001 a 10.000 titulares por mês",1,0)+IF(AA475="SIM",1,0)+IF(R475="SIM",1,0)+IF(AL475="SIM",1,0)+IF(AJ475="NÃO",1,0))&gt;=3),"DPIA indicado ou em avaliação em razão de: " &amp; TRIM(IF(I475="SIM","tratamento de dados sensíveis; ","") &amp; IF(K475="SIM","utilização de dados de menores; ","") &amp; IF(AF475="SIM","transferência internacional de dados; ","") &amp; IF(AL475="SIM","utilização de inteligência artificial; ","") &amp; IF(OR(AN475="Dados pessoais",AN475="Dados sensíveis",AN475="Dados pessoais e sensíveis"),"dados inseridos em IA; ","") &amp; IF(O475="Acima de 10.000 titulares por mês","volume crítico de titulares; ","") &amp; IF(O475="De 1.001 a 10.000 titulares por mês","volume moderado de titulares; ","") &amp; IF(AA475="SIM","compartilhamento com terceiros; ","") &amp; IF(R475="SIM","compartilhamento com órgãos governamentais; ","") &amp; IF(AJ475="NÃO","ausência de controle de acesso por perfil; ","")),"DPIA não indicado: Processo de baixa criticidade."))</f>
      </c>
    </row>
    <row x14ac:dyDescent="0.25" r="476" customHeight="1" ht="15.75">
      <c r="A476" s="46"/>
      <c r="B476" s="6"/>
      <c r="C476" s="11"/>
      <c r="D476" s="11"/>
      <c r="E476" s="11"/>
      <c r="F476" s="29"/>
      <c r="G476" s="11"/>
      <c r="H476" s="11"/>
      <c r="I476" s="29"/>
      <c r="J476" s="11"/>
      <c r="K476" s="29"/>
      <c r="L476" s="11"/>
      <c r="M476" s="11"/>
      <c r="N476" s="11"/>
      <c r="O476" s="29"/>
      <c r="P476" s="29"/>
      <c r="Q476" s="11"/>
      <c r="R476" s="29"/>
      <c r="S476" s="11"/>
      <c r="T476" s="6"/>
      <c r="U476" s="29"/>
      <c r="V476" s="11"/>
      <c r="W476" s="11"/>
      <c r="X476" s="29"/>
      <c r="Y476" s="11"/>
      <c r="Z476" s="29"/>
      <c r="AA476" s="29"/>
      <c r="AB476" s="11"/>
      <c r="AC476" s="11"/>
      <c r="AD476" s="29"/>
      <c r="AE476" s="11"/>
      <c r="AF476" s="29"/>
      <c r="AG476" s="11"/>
      <c r="AH476" s="29"/>
      <c r="AI476" s="11"/>
      <c r="AJ476" s="29"/>
      <c r="AK476" s="29"/>
      <c r="AL476" s="29"/>
      <c r="AM476" s="11"/>
      <c r="AN476" s="29"/>
      <c r="AO476" s="29"/>
      <c r="AP476" s="6"/>
      <c r="AQ476" s="113">
        <f>IF(AND(I476="",K476="",AF476="",AL476="",AN476="",O476=""),"",IF(OR(I476="SIM",K476="SIM",AF476="SIM",AL476="SIM",AN476="Dados pessoais",AN476="Dados sensíveis",AN476="Dados pessoais e sensíveis",O476="Acima de 10.000 titulares por mês"),"SIM - Alta criticidade",IF((IF(I476="SIM",2,0)+IF(K476="SIM",2,0)+IF(AF476="SIM",2,0)+IF(OR(AN476="Dados pessoais",AN476="Dados sensíveis",AN476="Dados pessoais e sensíveis"),2,0)+IF(O476="De 1.001 a 10.000 titulares por mês",1,0)+IF(AA476="SIM",1,0)+IF(R476="SIM",1,0)+IF(AL476="SIM",1,0)+IF(AJ476="NÃO",1,0))&gt;=5,"SIM - Alta criticidade",IF((IF(I476="SIM",2,0)+IF(K476="SIM",2,0)+IF(AF476="SIM",2,0)+IF(OR(AN476="Dados pessoais",AN476="Dados sensíveis",AN476="Dados pessoais e sensíveis"),2,0)+IF(O476="De 1.001 a 10.000 titulares por mês",1,0)+IF(AA476="SIM",1,0)+IF(R476="SIM",1,0)+IF(AL476="SIM",1,0)+IF(AJ476="NÃO",1,0))&gt;=3,"Avaliação necessária","NÃO"))))</f>
      </c>
      <c r="AR476" s="11"/>
      <c r="AS476" s="113">
        <f>IF(AND(I476="",K476="",AF476="",AL476="",AN476="",O476=""),"",IF(OR(I476="SIM",K476="SIM",AF476="SIM",AL476="SIM",OR(AN476="Dados pessoais",AN476="Dados sensíveis",AN476="Dados pessoais e sensíveis"),O476="Acima de 10.000 titulares por mês",(IF(I476="SIM",2,0)+IF(K476="SIM",2,0)+IF(AF476="SIM",2,0)+IF(OR(AN476="Dados pessoais",AN476="Dados sensíveis",AN476="Dados pessoais e sensíveis"),2,0)+IF(O476="De 1.001 a 10.000 titulares por mês",1,0)+IF(AA476="SIM",1,0)+IF(R476="SIM",1,0)+IF(AL476="SIM",1,0)+IF(AJ476="NÃO",1,0))&gt;=3),"DPIA indicado ou em avaliação em razão de: " &amp; TRIM(IF(I476="SIM","tratamento de dados sensíveis; ","") &amp; IF(K476="SIM","utilização de dados de menores; ","") &amp; IF(AF476="SIM","transferência internacional de dados; ","") &amp; IF(AL476="SIM","utilização de inteligência artificial; ","") &amp; IF(OR(AN476="Dados pessoais",AN476="Dados sensíveis",AN476="Dados pessoais e sensíveis"),"dados inseridos em IA; ","") &amp; IF(O476="Acima de 10.000 titulares por mês","volume crítico de titulares; ","") &amp; IF(O476="De 1.001 a 10.000 titulares por mês","volume moderado de titulares; ","") &amp; IF(AA476="SIM","compartilhamento com terceiros; ","") &amp; IF(R476="SIM","compartilhamento com órgãos governamentais; ","") &amp; IF(AJ476="NÃO","ausência de controle de acesso por perfil; ","")),"DPIA não indicado: Processo de baixa criticidade."))</f>
      </c>
    </row>
    <row x14ac:dyDescent="0.25" r="477" customHeight="1" ht="15.75">
      <c r="A477" s="46"/>
      <c r="B477" s="6"/>
      <c r="C477" s="11"/>
      <c r="D477" s="11"/>
      <c r="E477" s="11"/>
      <c r="F477" s="29"/>
      <c r="G477" s="11"/>
      <c r="H477" s="11"/>
      <c r="I477" s="29"/>
      <c r="J477" s="11"/>
      <c r="K477" s="29"/>
      <c r="L477" s="11"/>
      <c r="M477" s="11"/>
      <c r="N477" s="11"/>
      <c r="O477" s="29"/>
      <c r="P477" s="29"/>
      <c r="Q477" s="11"/>
      <c r="R477" s="29"/>
      <c r="S477" s="11"/>
      <c r="T477" s="6"/>
      <c r="U477" s="29"/>
      <c r="V477" s="11"/>
      <c r="W477" s="11"/>
      <c r="X477" s="29"/>
      <c r="Y477" s="11"/>
      <c r="Z477" s="29"/>
      <c r="AA477" s="29"/>
      <c r="AB477" s="11"/>
      <c r="AC477" s="11"/>
      <c r="AD477" s="29"/>
      <c r="AE477" s="11"/>
      <c r="AF477" s="29"/>
      <c r="AG477" s="11"/>
      <c r="AH477" s="29"/>
      <c r="AI477" s="11"/>
      <c r="AJ477" s="29"/>
      <c r="AK477" s="29"/>
      <c r="AL477" s="29"/>
      <c r="AM477" s="11"/>
      <c r="AN477" s="29"/>
      <c r="AO477" s="29"/>
      <c r="AP477" s="6"/>
      <c r="AQ477" s="113">
        <f>IF(AND(I477="",K477="",AF477="",AL477="",AN477="",O477=""),"",IF(OR(I477="SIM",K477="SIM",AF477="SIM",AL477="SIM",AN477="Dados pessoais",AN477="Dados sensíveis",AN477="Dados pessoais e sensíveis",O477="Acima de 10.000 titulares por mês"),"SIM - Alta criticidade",IF((IF(I477="SIM",2,0)+IF(K477="SIM",2,0)+IF(AF477="SIM",2,0)+IF(OR(AN477="Dados pessoais",AN477="Dados sensíveis",AN477="Dados pessoais e sensíveis"),2,0)+IF(O477="De 1.001 a 10.000 titulares por mês",1,0)+IF(AA477="SIM",1,0)+IF(R477="SIM",1,0)+IF(AL477="SIM",1,0)+IF(AJ477="NÃO",1,0))&gt;=5,"SIM - Alta criticidade",IF((IF(I477="SIM",2,0)+IF(K477="SIM",2,0)+IF(AF477="SIM",2,0)+IF(OR(AN477="Dados pessoais",AN477="Dados sensíveis",AN477="Dados pessoais e sensíveis"),2,0)+IF(O477="De 1.001 a 10.000 titulares por mês",1,0)+IF(AA477="SIM",1,0)+IF(R477="SIM",1,0)+IF(AL477="SIM",1,0)+IF(AJ477="NÃO",1,0))&gt;=3,"Avaliação necessária","NÃO"))))</f>
      </c>
      <c r="AR477" s="11"/>
      <c r="AS477" s="113">
        <f>IF(AND(I477="",K477="",AF477="",AL477="",AN477="",O477=""),"",IF(OR(I477="SIM",K477="SIM",AF477="SIM",AL477="SIM",OR(AN477="Dados pessoais",AN477="Dados sensíveis",AN477="Dados pessoais e sensíveis"),O477="Acima de 10.000 titulares por mês",(IF(I477="SIM",2,0)+IF(K477="SIM",2,0)+IF(AF477="SIM",2,0)+IF(OR(AN477="Dados pessoais",AN477="Dados sensíveis",AN477="Dados pessoais e sensíveis"),2,0)+IF(O477="De 1.001 a 10.000 titulares por mês",1,0)+IF(AA477="SIM",1,0)+IF(R477="SIM",1,0)+IF(AL477="SIM",1,0)+IF(AJ477="NÃO",1,0))&gt;=3),"DPIA indicado ou em avaliação em razão de: " &amp; TRIM(IF(I477="SIM","tratamento de dados sensíveis; ","") &amp; IF(K477="SIM","utilização de dados de menores; ","") &amp; IF(AF477="SIM","transferência internacional de dados; ","") &amp; IF(AL477="SIM","utilização de inteligência artificial; ","") &amp; IF(OR(AN477="Dados pessoais",AN477="Dados sensíveis",AN477="Dados pessoais e sensíveis"),"dados inseridos em IA; ","") &amp; IF(O477="Acima de 10.000 titulares por mês","volume crítico de titulares; ","") &amp; IF(O477="De 1.001 a 10.000 titulares por mês","volume moderado de titulares; ","") &amp; IF(AA477="SIM","compartilhamento com terceiros; ","") &amp; IF(R477="SIM","compartilhamento com órgãos governamentais; ","") &amp; IF(AJ477="NÃO","ausência de controle de acesso por perfil; ","")),"DPIA não indicado: Processo de baixa criticidade."))</f>
      </c>
    </row>
    <row x14ac:dyDescent="0.25" r="478" customHeight="1" ht="15.75">
      <c r="A478" s="46"/>
      <c r="B478" s="6"/>
      <c r="C478" s="11"/>
      <c r="D478" s="11"/>
      <c r="E478" s="11"/>
      <c r="F478" s="29"/>
      <c r="G478" s="11"/>
      <c r="H478" s="11"/>
      <c r="I478" s="29"/>
      <c r="J478" s="11"/>
      <c r="K478" s="29"/>
      <c r="L478" s="11"/>
      <c r="M478" s="11"/>
      <c r="N478" s="11"/>
      <c r="O478" s="29"/>
      <c r="P478" s="29"/>
      <c r="Q478" s="11"/>
      <c r="R478" s="29"/>
      <c r="S478" s="11"/>
      <c r="T478" s="6"/>
      <c r="U478" s="29"/>
      <c r="V478" s="11"/>
      <c r="W478" s="11"/>
      <c r="X478" s="29"/>
      <c r="Y478" s="11"/>
      <c r="Z478" s="29"/>
      <c r="AA478" s="29"/>
      <c r="AB478" s="11"/>
      <c r="AC478" s="11"/>
      <c r="AD478" s="29"/>
      <c r="AE478" s="11"/>
      <c r="AF478" s="29"/>
      <c r="AG478" s="11"/>
      <c r="AH478" s="29"/>
      <c r="AI478" s="11"/>
      <c r="AJ478" s="29"/>
      <c r="AK478" s="29"/>
      <c r="AL478" s="29"/>
      <c r="AM478" s="11"/>
      <c r="AN478" s="29"/>
      <c r="AO478" s="29"/>
      <c r="AP478" s="6"/>
      <c r="AQ478" s="113">
        <f>IF(AND(I478="",K478="",AF478="",AL478="",AN478="",O478=""),"",IF(OR(I478="SIM",K478="SIM",AF478="SIM",AL478="SIM",AN478="Dados pessoais",AN478="Dados sensíveis",AN478="Dados pessoais e sensíveis",O478="Acima de 10.000 titulares por mês"),"SIM - Alta criticidade",IF((IF(I478="SIM",2,0)+IF(K478="SIM",2,0)+IF(AF478="SIM",2,0)+IF(OR(AN478="Dados pessoais",AN478="Dados sensíveis",AN478="Dados pessoais e sensíveis"),2,0)+IF(O478="De 1.001 a 10.000 titulares por mês",1,0)+IF(AA478="SIM",1,0)+IF(R478="SIM",1,0)+IF(AL478="SIM",1,0)+IF(AJ478="NÃO",1,0))&gt;=5,"SIM - Alta criticidade",IF((IF(I478="SIM",2,0)+IF(K478="SIM",2,0)+IF(AF478="SIM",2,0)+IF(OR(AN478="Dados pessoais",AN478="Dados sensíveis",AN478="Dados pessoais e sensíveis"),2,0)+IF(O478="De 1.001 a 10.000 titulares por mês",1,0)+IF(AA478="SIM",1,0)+IF(R478="SIM",1,0)+IF(AL478="SIM",1,0)+IF(AJ478="NÃO",1,0))&gt;=3,"Avaliação necessária","NÃO"))))</f>
      </c>
      <c r="AR478" s="11"/>
      <c r="AS478" s="113">
        <f>IF(AND(I478="",K478="",AF478="",AL478="",AN478="",O478=""),"",IF(OR(I478="SIM",K478="SIM",AF478="SIM",AL478="SIM",OR(AN478="Dados pessoais",AN478="Dados sensíveis",AN478="Dados pessoais e sensíveis"),O478="Acima de 10.000 titulares por mês",(IF(I478="SIM",2,0)+IF(K478="SIM",2,0)+IF(AF478="SIM",2,0)+IF(OR(AN478="Dados pessoais",AN478="Dados sensíveis",AN478="Dados pessoais e sensíveis"),2,0)+IF(O478="De 1.001 a 10.000 titulares por mês",1,0)+IF(AA478="SIM",1,0)+IF(R478="SIM",1,0)+IF(AL478="SIM",1,0)+IF(AJ478="NÃO",1,0))&gt;=3),"DPIA indicado ou em avaliação em razão de: " &amp; TRIM(IF(I478="SIM","tratamento de dados sensíveis; ","") &amp; IF(K478="SIM","utilização de dados de menores; ","") &amp; IF(AF478="SIM","transferência internacional de dados; ","") &amp; IF(AL478="SIM","utilização de inteligência artificial; ","") &amp; IF(OR(AN478="Dados pessoais",AN478="Dados sensíveis",AN478="Dados pessoais e sensíveis"),"dados inseridos em IA; ","") &amp; IF(O478="Acima de 10.000 titulares por mês","volume crítico de titulares; ","") &amp; IF(O478="De 1.001 a 10.000 titulares por mês","volume moderado de titulares; ","") &amp; IF(AA478="SIM","compartilhamento com terceiros; ","") &amp; IF(R478="SIM","compartilhamento com órgãos governamentais; ","") &amp; IF(AJ478="NÃO","ausência de controle de acesso por perfil; ","")),"DPIA não indicado: Processo de baixa criticidade."))</f>
      </c>
    </row>
    <row x14ac:dyDescent="0.25" r="479" customHeight="1" ht="15.75">
      <c r="A479" s="46"/>
      <c r="B479" s="6"/>
      <c r="C479" s="11"/>
      <c r="D479" s="11"/>
      <c r="E479" s="11"/>
      <c r="F479" s="29"/>
      <c r="G479" s="11"/>
      <c r="H479" s="11"/>
      <c r="I479" s="29"/>
      <c r="J479" s="11"/>
      <c r="K479" s="29"/>
      <c r="L479" s="11"/>
      <c r="M479" s="11"/>
      <c r="N479" s="11"/>
      <c r="O479" s="29"/>
      <c r="P479" s="29"/>
      <c r="Q479" s="11"/>
      <c r="R479" s="29"/>
      <c r="S479" s="11"/>
      <c r="T479" s="6"/>
      <c r="U479" s="29"/>
      <c r="V479" s="11"/>
      <c r="W479" s="11"/>
      <c r="X479" s="29"/>
      <c r="Y479" s="11"/>
      <c r="Z479" s="29"/>
      <c r="AA479" s="29"/>
      <c r="AB479" s="11"/>
      <c r="AC479" s="11"/>
      <c r="AD479" s="29"/>
      <c r="AE479" s="11"/>
      <c r="AF479" s="29"/>
      <c r="AG479" s="11"/>
      <c r="AH479" s="29"/>
      <c r="AI479" s="11"/>
      <c r="AJ479" s="29"/>
      <c r="AK479" s="29"/>
      <c r="AL479" s="29"/>
      <c r="AM479" s="11"/>
      <c r="AN479" s="29"/>
      <c r="AO479" s="29"/>
      <c r="AP479" s="6"/>
      <c r="AQ479" s="113">
        <f>IF(AND(I479="",K479="",AF479="",AL479="",AN479="",O479=""),"",IF(OR(I479="SIM",K479="SIM",AF479="SIM",AL479="SIM",AN479="Dados pessoais",AN479="Dados sensíveis",AN479="Dados pessoais e sensíveis",O479="Acima de 10.000 titulares por mês"),"SIM - Alta criticidade",IF((IF(I479="SIM",2,0)+IF(K479="SIM",2,0)+IF(AF479="SIM",2,0)+IF(OR(AN479="Dados pessoais",AN479="Dados sensíveis",AN479="Dados pessoais e sensíveis"),2,0)+IF(O479="De 1.001 a 10.000 titulares por mês",1,0)+IF(AA479="SIM",1,0)+IF(R479="SIM",1,0)+IF(AL479="SIM",1,0)+IF(AJ479="NÃO",1,0))&gt;=5,"SIM - Alta criticidade",IF((IF(I479="SIM",2,0)+IF(K479="SIM",2,0)+IF(AF479="SIM",2,0)+IF(OR(AN479="Dados pessoais",AN479="Dados sensíveis",AN479="Dados pessoais e sensíveis"),2,0)+IF(O479="De 1.001 a 10.000 titulares por mês",1,0)+IF(AA479="SIM",1,0)+IF(R479="SIM",1,0)+IF(AL479="SIM",1,0)+IF(AJ479="NÃO",1,0))&gt;=3,"Avaliação necessária","NÃO"))))</f>
      </c>
      <c r="AR479" s="11"/>
      <c r="AS479" s="113">
        <f>IF(AND(I479="",K479="",AF479="",AL479="",AN479="",O479=""),"",IF(OR(I479="SIM",K479="SIM",AF479="SIM",AL479="SIM",OR(AN479="Dados pessoais",AN479="Dados sensíveis",AN479="Dados pessoais e sensíveis"),O479="Acima de 10.000 titulares por mês",(IF(I479="SIM",2,0)+IF(K479="SIM",2,0)+IF(AF479="SIM",2,0)+IF(OR(AN479="Dados pessoais",AN479="Dados sensíveis",AN479="Dados pessoais e sensíveis"),2,0)+IF(O479="De 1.001 a 10.000 titulares por mês",1,0)+IF(AA479="SIM",1,0)+IF(R479="SIM",1,0)+IF(AL479="SIM",1,0)+IF(AJ479="NÃO",1,0))&gt;=3),"DPIA indicado ou em avaliação em razão de: " &amp; TRIM(IF(I479="SIM","tratamento de dados sensíveis; ","") &amp; IF(K479="SIM","utilização de dados de menores; ","") &amp; IF(AF479="SIM","transferência internacional de dados; ","") &amp; IF(AL479="SIM","utilização de inteligência artificial; ","") &amp; IF(OR(AN479="Dados pessoais",AN479="Dados sensíveis",AN479="Dados pessoais e sensíveis"),"dados inseridos em IA; ","") &amp; IF(O479="Acima de 10.000 titulares por mês","volume crítico de titulares; ","") &amp; IF(O479="De 1.001 a 10.000 titulares por mês","volume moderado de titulares; ","") &amp; IF(AA479="SIM","compartilhamento com terceiros; ","") &amp; IF(R479="SIM","compartilhamento com órgãos governamentais; ","") &amp; IF(AJ479="NÃO","ausência de controle de acesso por perfil; ","")),"DPIA não indicado: Processo de baixa criticidade."))</f>
      </c>
    </row>
    <row x14ac:dyDescent="0.25" r="480" customHeight="1" ht="15.75">
      <c r="A480" s="46"/>
      <c r="B480" s="6"/>
      <c r="C480" s="11"/>
      <c r="D480" s="11"/>
      <c r="E480" s="11"/>
      <c r="F480" s="29"/>
      <c r="G480" s="11"/>
      <c r="H480" s="11"/>
      <c r="I480" s="29"/>
      <c r="J480" s="11"/>
      <c r="K480" s="29"/>
      <c r="L480" s="11"/>
      <c r="M480" s="11"/>
      <c r="N480" s="11"/>
      <c r="O480" s="29"/>
      <c r="P480" s="29"/>
      <c r="Q480" s="11"/>
      <c r="R480" s="29"/>
      <c r="S480" s="11"/>
      <c r="T480" s="6"/>
      <c r="U480" s="29"/>
      <c r="V480" s="11"/>
      <c r="W480" s="11"/>
      <c r="X480" s="29"/>
      <c r="Y480" s="11"/>
      <c r="Z480" s="29"/>
      <c r="AA480" s="29"/>
      <c r="AB480" s="11"/>
      <c r="AC480" s="11"/>
      <c r="AD480" s="29"/>
      <c r="AE480" s="11"/>
      <c r="AF480" s="29"/>
      <c r="AG480" s="11"/>
      <c r="AH480" s="29"/>
      <c r="AI480" s="11"/>
      <c r="AJ480" s="29"/>
      <c r="AK480" s="29"/>
      <c r="AL480" s="29"/>
      <c r="AM480" s="11"/>
      <c r="AN480" s="29"/>
      <c r="AO480" s="29"/>
      <c r="AP480" s="6"/>
      <c r="AQ480" s="113">
        <f>IF(AND(I480="",K480="",AF480="",AL480="",AN480="",O480=""),"",IF(OR(I480="SIM",K480="SIM",AF480="SIM",AL480="SIM",AN480="Dados pessoais",AN480="Dados sensíveis",AN480="Dados pessoais e sensíveis",O480="Acima de 10.000 titulares por mês"),"SIM - Alta criticidade",IF((IF(I480="SIM",2,0)+IF(K480="SIM",2,0)+IF(AF480="SIM",2,0)+IF(OR(AN480="Dados pessoais",AN480="Dados sensíveis",AN480="Dados pessoais e sensíveis"),2,0)+IF(O480="De 1.001 a 10.000 titulares por mês",1,0)+IF(AA480="SIM",1,0)+IF(R480="SIM",1,0)+IF(AL480="SIM",1,0)+IF(AJ480="NÃO",1,0))&gt;=5,"SIM - Alta criticidade",IF((IF(I480="SIM",2,0)+IF(K480="SIM",2,0)+IF(AF480="SIM",2,0)+IF(OR(AN480="Dados pessoais",AN480="Dados sensíveis",AN480="Dados pessoais e sensíveis"),2,0)+IF(O480="De 1.001 a 10.000 titulares por mês",1,0)+IF(AA480="SIM",1,0)+IF(R480="SIM",1,0)+IF(AL480="SIM",1,0)+IF(AJ480="NÃO",1,0))&gt;=3,"Avaliação necessária","NÃO"))))</f>
      </c>
      <c r="AR480" s="11"/>
      <c r="AS480" s="113">
        <f>IF(AND(I480="",K480="",AF480="",AL480="",AN480="",O480=""),"",IF(OR(I480="SIM",K480="SIM",AF480="SIM",AL480="SIM",OR(AN480="Dados pessoais",AN480="Dados sensíveis",AN480="Dados pessoais e sensíveis"),O480="Acima de 10.000 titulares por mês",(IF(I480="SIM",2,0)+IF(K480="SIM",2,0)+IF(AF480="SIM",2,0)+IF(OR(AN480="Dados pessoais",AN480="Dados sensíveis",AN480="Dados pessoais e sensíveis"),2,0)+IF(O480="De 1.001 a 10.000 titulares por mês",1,0)+IF(AA480="SIM",1,0)+IF(R480="SIM",1,0)+IF(AL480="SIM",1,0)+IF(AJ480="NÃO",1,0))&gt;=3),"DPIA indicado ou em avaliação em razão de: " &amp; TRIM(IF(I480="SIM","tratamento de dados sensíveis; ","") &amp; IF(K480="SIM","utilização de dados de menores; ","") &amp; IF(AF480="SIM","transferência internacional de dados; ","") &amp; IF(AL480="SIM","utilização de inteligência artificial; ","") &amp; IF(OR(AN480="Dados pessoais",AN480="Dados sensíveis",AN480="Dados pessoais e sensíveis"),"dados inseridos em IA; ","") &amp; IF(O480="Acima de 10.000 titulares por mês","volume crítico de titulares; ","") &amp; IF(O480="De 1.001 a 10.000 titulares por mês","volume moderado de titulares; ","") &amp; IF(AA480="SIM","compartilhamento com terceiros; ","") &amp; IF(R480="SIM","compartilhamento com órgãos governamentais; ","") &amp; IF(AJ480="NÃO","ausência de controle de acesso por perfil; ","")),"DPIA não indicado: Processo de baixa criticidade."))</f>
      </c>
    </row>
    <row x14ac:dyDescent="0.25" r="481" customHeight="1" ht="15.75">
      <c r="A481" s="46"/>
      <c r="B481" s="6"/>
      <c r="C481" s="11"/>
      <c r="D481" s="11"/>
      <c r="E481" s="11"/>
      <c r="F481" s="29"/>
      <c r="G481" s="11"/>
      <c r="H481" s="11"/>
      <c r="I481" s="29"/>
      <c r="J481" s="11"/>
      <c r="K481" s="29"/>
      <c r="L481" s="11"/>
      <c r="M481" s="11"/>
      <c r="N481" s="11"/>
      <c r="O481" s="29"/>
      <c r="P481" s="29"/>
      <c r="Q481" s="11"/>
      <c r="R481" s="29"/>
      <c r="S481" s="11"/>
      <c r="T481" s="6"/>
      <c r="U481" s="29"/>
      <c r="V481" s="11"/>
      <c r="W481" s="11"/>
      <c r="X481" s="29"/>
      <c r="Y481" s="11"/>
      <c r="Z481" s="29"/>
      <c r="AA481" s="29"/>
      <c r="AB481" s="11"/>
      <c r="AC481" s="11"/>
      <c r="AD481" s="29"/>
      <c r="AE481" s="11"/>
      <c r="AF481" s="29"/>
      <c r="AG481" s="11"/>
      <c r="AH481" s="29"/>
      <c r="AI481" s="11"/>
      <c r="AJ481" s="29"/>
      <c r="AK481" s="29"/>
      <c r="AL481" s="29"/>
      <c r="AM481" s="11"/>
      <c r="AN481" s="29"/>
      <c r="AO481" s="29"/>
      <c r="AP481" s="6"/>
      <c r="AQ481" s="113">
        <f>IF(AND(I481="",K481="",AF481="",AL481="",AN481="",O481=""),"",IF(OR(I481="SIM",K481="SIM",AF481="SIM",AL481="SIM",AN481="Dados pessoais",AN481="Dados sensíveis",AN481="Dados pessoais e sensíveis",O481="Acima de 10.000 titulares por mês"),"SIM - Alta criticidade",IF((IF(I481="SIM",2,0)+IF(K481="SIM",2,0)+IF(AF481="SIM",2,0)+IF(OR(AN481="Dados pessoais",AN481="Dados sensíveis",AN481="Dados pessoais e sensíveis"),2,0)+IF(O481="De 1.001 a 10.000 titulares por mês",1,0)+IF(AA481="SIM",1,0)+IF(R481="SIM",1,0)+IF(AL481="SIM",1,0)+IF(AJ481="NÃO",1,0))&gt;=5,"SIM - Alta criticidade",IF((IF(I481="SIM",2,0)+IF(K481="SIM",2,0)+IF(AF481="SIM",2,0)+IF(OR(AN481="Dados pessoais",AN481="Dados sensíveis",AN481="Dados pessoais e sensíveis"),2,0)+IF(O481="De 1.001 a 10.000 titulares por mês",1,0)+IF(AA481="SIM",1,0)+IF(R481="SIM",1,0)+IF(AL481="SIM",1,0)+IF(AJ481="NÃO",1,0))&gt;=3,"Avaliação necessária","NÃO"))))</f>
      </c>
      <c r="AR481" s="11"/>
      <c r="AS481" s="113">
        <f>IF(AND(I481="",K481="",AF481="",AL481="",AN481="",O481=""),"",IF(OR(I481="SIM",K481="SIM",AF481="SIM",AL481="SIM",OR(AN481="Dados pessoais",AN481="Dados sensíveis",AN481="Dados pessoais e sensíveis"),O481="Acima de 10.000 titulares por mês",(IF(I481="SIM",2,0)+IF(K481="SIM",2,0)+IF(AF481="SIM",2,0)+IF(OR(AN481="Dados pessoais",AN481="Dados sensíveis",AN481="Dados pessoais e sensíveis"),2,0)+IF(O481="De 1.001 a 10.000 titulares por mês",1,0)+IF(AA481="SIM",1,0)+IF(R481="SIM",1,0)+IF(AL481="SIM",1,0)+IF(AJ481="NÃO",1,0))&gt;=3),"DPIA indicado ou em avaliação em razão de: " &amp; TRIM(IF(I481="SIM","tratamento de dados sensíveis; ","") &amp; IF(K481="SIM","utilização de dados de menores; ","") &amp; IF(AF481="SIM","transferência internacional de dados; ","") &amp; IF(AL481="SIM","utilização de inteligência artificial; ","") &amp; IF(OR(AN481="Dados pessoais",AN481="Dados sensíveis",AN481="Dados pessoais e sensíveis"),"dados inseridos em IA; ","") &amp; IF(O481="Acima de 10.000 titulares por mês","volume crítico de titulares; ","") &amp; IF(O481="De 1.001 a 10.000 titulares por mês","volume moderado de titulares; ","") &amp; IF(AA481="SIM","compartilhamento com terceiros; ","") &amp; IF(R481="SIM","compartilhamento com órgãos governamentais; ","") &amp; IF(AJ481="NÃO","ausência de controle de acesso por perfil; ","")),"DPIA não indicado: Processo de baixa criticidade."))</f>
      </c>
    </row>
    <row x14ac:dyDescent="0.25" r="482" customHeight="1" ht="15.75">
      <c r="A482" s="46"/>
      <c r="B482" s="6"/>
      <c r="C482" s="11"/>
      <c r="D482" s="11"/>
      <c r="E482" s="11"/>
      <c r="F482" s="29"/>
      <c r="G482" s="11"/>
      <c r="H482" s="11"/>
      <c r="I482" s="29"/>
      <c r="J482" s="11"/>
      <c r="K482" s="29"/>
      <c r="L482" s="11"/>
      <c r="M482" s="11"/>
      <c r="N482" s="11"/>
      <c r="O482" s="29"/>
      <c r="P482" s="29"/>
      <c r="Q482" s="11"/>
      <c r="R482" s="29"/>
      <c r="S482" s="11"/>
      <c r="T482" s="6"/>
      <c r="U482" s="29"/>
      <c r="V482" s="11"/>
      <c r="W482" s="11"/>
      <c r="X482" s="29"/>
      <c r="Y482" s="11"/>
      <c r="Z482" s="29"/>
      <c r="AA482" s="29"/>
      <c r="AB482" s="11"/>
      <c r="AC482" s="11"/>
      <c r="AD482" s="29"/>
      <c r="AE482" s="11"/>
      <c r="AF482" s="29"/>
      <c r="AG482" s="11"/>
      <c r="AH482" s="29"/>
      <c r="AI482" s="11"/>
      <c r="AJ482" s="29"/>
      <c r="AK482" s="29"/>
      <c r="AL482" s="29"/>
      <c r="AM482" s="11"/>
      <c r="AN482" s="29"/>
      <c r="AO482" s="29"/>
      <c r="AP482" s="6"/>
      <c r="AQ482" s="113">
        <f>IF(AND(I482="",K482="",AF482="",AL482="",AN482="",O482=""),"",IF(OR(I482="SIM",K482="SIM",AF482="SIM",AL482="SIM",AN482="Dados pessoais",AN482="Dados sensíveis",AN482="Dados pessoais e sensíveis",O482="Acima de 10.000 titulares por mês"),"SIM - Alta criticidade",IF((IF(I482="SIM",2,0)+IF(K482="SIM",2,0)+IF(AF482="SIM",2,0)+IF(OR(AN482="Dados pessoais",AN482="Dados sensíveis",AN482="Dados pessoais e sensíveis"),2,0)+IF(O482="De 1.001 a 10.000 titulares por mês",1,0)+IF(AA482="SIM",1,0)+IF(R482="SIM",1,0)+IF(AL482="SIM",1,0)+IF(AJ482="NÃO",1,0))&gt;=5,"SIM - Alta criticidade",IF((IF(I482="SIM",2,0)+IF(K482="SIM",2,0)+IF(AF482="SIM",2,0)+IF(OR(AN482="Dados pessoais",AN482="Dados sensíveis",AN482="Dados pessoais e sensíveis"),2,0)+IF(O482="De 1.001 a 10.000 titulares por mês",1,0)+IF(AA482="SIM",1,0)+IF(R482="SIM",1,0)+IF(AL482="SIM",1,0)+IF(AJ482="NÃO",1,0))&gt;=3,"Avaliação necessária","NÃO"))))</f>
      </c>
      <c r="AR482" s="11"/>
      <c r="AS482" s="113">
        <f>IF(AND(I482="",K482="",AF482="",AL482="",AN482="",O482=""),"",IF(OR(I482="SIM",K482="SIM",AF482="SIM",AL482="SIM",OR(AN482="Dados pessoais",AN482="Dados sensíveis",AN482="Dados pessoais e sensíveis"),O482="Acima de 10.000 titulares por mês",(IF(I482="SIM",2,0)+IF(K482="SIM",2,0)+IF(AF482="SIM",2,0)+IF(OR(AN482="Dados pessoais",AN482="Dados sensíveis",AN482="Dados pessoais e sensíveis"),2,0)+IF(O482="De 1.001 a 10.000 titulares por mês",1,0)+IF(AA482="SIM",1,0)+IF(R482="SIM",1,0)+IF(AL482="SIM",1,0)+IF(AJ482="NÃO",1,0))&gt;=3),"DPIA indicado ou em avaliação em razão de: " &amp; TRIM(IF(I482="SIM","tratamento de dados sensíveis; ","") &amp; IF(K482="SIM","utilização de dados de menores; ","") &amp; IF(AF482="SIM","transferência internacional de dados; ","") &amp; IF(AL482="SIM","utilização de inteligência artificial; ","") &amp; IF(OR(AN482="Dados pessoais",AN482="Dados sensíveis",AN482="Dados pessoais e sensíveis"),"dados inseridos em IA; ","") &amp; IF(O482="Acima de 10.000 titulares por mês","volume crítico de titulares; ","") &amp; IF(O482="De 1.001 a 10.000 titulares por mês","volume moderado de titulares; ","") &amp; IF(AA482="SIM","compartilhamento com terceiros; ","") &amp; IF(R482="SIM","compartilhamento com órgãos governamentais; ","") &amp; IF(AJ482="NÃO","ausência de controle de acesso por perfil; ","")),"DPIA não indicado: Processo de baixa criticidade."))</f>
      </c>
    </row>
    <row x14ac:dyDescent="0.25" r="483" customHeight="1" ht="15.75">
      <c r="A483" s="46"/>
      <c r="B483" s="6"/>
      <c r="C483" s="11"/>
      <c r="D483" s="11"/>
      <c r="E483" s="11"/>
      <c r="F483" s="29"/>
      <c r="G483" s="11"/>
      <c r="H483" s="11"/>
      <c r="I483" s="29"/>
      <c r="J483" s="11"/>
      <c r="K483" s="29"/>
      <c r="L483" s="11"/>
      <c r="M483" s="11"/>
      <c r="N483" s="11"/>
      <c r="O483" s="29"/>
      <c r="P483" s="29"/>
      <c r="Q483" s="11"/>
      <c r="R483" s="29"/>
      <c r="S483" s="11"/>
      <c r="T483" s="6"/>
      <c r="U483" s="29"/>
      <c r="V483" s="11"/>
      <c r="W483" s="11"/>
      <c r="X483" s="29"/>
      <c r="Y483" s="11"/>
      <c r="Z483" s="29"/>
      <c r="AA483" s="29"/>
      <c r="AB483" s="11"/>
      <c r="AC483" s="11"/>
      <c r="AD483" s="29"/>
      <c r="AE483" s="11"/>
      <c r="AF483" s="29"/>
      <c r="AG483" s="11"/>
      <c r="AH483" s="29"/>
      <c r="AI483" s="11"/>
      <c r="AJ483" s="29"/>
      <c r="AK483" s="29"/>
      <c r="AL483" s="29"/>
      <c r="AM483" s="11"/>
      <c r="AN483" s="29"/>
      <c r="AO483" s="29"/>
      <c r="AP483" s="6"/>
      <c r="AQ483" s="113">
        <f>IF(AND(I483="",K483="",AF483="",AL483="",AN483="",O483=""),"",IF(OR(I483="SIM",K483="SIM",AF483="SIM",AL483="SIM",AN483="Dados pessoais",AN483="Dados sensíveis",AN483="Dados pessoais e sensíveis",O483="Acima de 10.000 titulares por mês"),"SIM - Alta criticidade",IF((IF(I483="SIM",2,0)+IF(K483="SIM",2,0)+IF(AF483="SIM",2,0)+IF(OR(AN483="Dados pessoais",AN483="Dados sensíveis",AN483="Dados pessoais e sensíveis"),2,0)+IF(O483="De 1.001 a 10.000 titulares por mês",1,0)+IF(AA483="SIM",1,0)+IF(R483="SIM",1,0)+IF(AL483="SIM",1,0)+IF(AJ483="NÃO",1,0))&gt;=5,"SIM - Alta criticidade",IF((IF(I483="SIM",2,0)+IF(K483="SIM",2,0)+IF(AF483="SIM",2,0)+IF(OR(AN483="Dados pessoais",AN483="Dados sensíveis",AN483="Dados pessoais e sensíveis"),2,0)+IF(O483="De 1.001 a 10.000 titulares por mês",1,0)+IF(AA483="SIM",1,0)+IF(R483="SIM",1,0)+IF(AL483="SIM",1,0)+IF(AJ483="NÃO",1,0))&gt;=3,"Avaliação necessária","NÃO"))))</f>
      </c>
      <c r="AR483" s="11"/>
      <c r="AS483" s="113">
        <f>IF(AND(I483="",K483="",AF483="",AL483="",AN483="",O483=""),"",IF(OR(I483="SIM",K483="SIM",AF483="SIM",AL483="SIM",OR(AN483="Dados pessoais",AN483="Dados sensíveis",AN483="Dados pessoais e sensíveis"),O483="Acima de 10.000 titulares por mês",(IF(I483="SIM",2,0)+IF(K483="SIM",2,0)+IF(AF483="SIM",2,0)+IF(OR(AN483="Dados pessoais",AN483="Dados sensíveis",AN483="Dados pessoais e sensíveis"),2,0)+IF(O483="De 1.001 a 10.000 titulares por mês",1,0)+IF(AA483="SIM",1,0)+IF(R483="SIM",1,0)+IF(AL483="SIM",1,0)+IF(AJ483="NÃO",1,0))&gt;=3),"DPIA indicado ou em avaliação em razão de: " &amp; TRIM(IF(I483="SIM","tratamento de dados sensíveis; ","") &amp; IF(K483="SIM","utilização de dados de menores; ","") &amp; IF(AF483="SIM","transferência internacional de dados; ","") &amp; IF(AL483="SIM","utilização de inteligência artificial; ","") &amp; IF(OR(AN483="Dados pessoais",AN483="Dados sensíveis",AN483="Dados pessoais e sensíveis"),"dados inseridos em IA; ","") &amp; IF(O483="Acima de 10.000 titulares por mês","volume crítico de titulares; ","") &amp; IF(O483="De 1.001 a 10.000 titulares por mês","volume moderado de titulares; ","") &amp; IF(AA483="SIM","compartilhamento com terceiros; ","") &amp; IF(R483="SIM","compartilhamento com órgãos governamentais; ","") &amp; IF(AJ483="NÃO","ausência de controle de acesso por perfil; ","")),"DPIA não indicado: Processo de baixa criticidade."))</f>
      </c>
    </row>
    <row x14ac:dyDescent="0.25" r="484" customHeight="1" ht="15.75">
      <c r="A484" s="46"/>
      <c r="B484" s="6"/>
      <c r="C484" s="11"/>
      <c r="D484" s="11"/>
      <c r="E484" s="11"/>
      <c r="F484" s="29"/>
      <c r="G484" s="11"/>
      <c r="H484" s="11"/>
      <c r="I484" s="29"/>
      <c r="J484" s="11"/>
      <c r="K484" s="29"/>
      <c r="L484" s="11"/>
      <c r="M484" s="11"/>
      <c r="N484" s="11"/>
      <c r="O484" s="29"/>
      <c r="P484" s="29"/>
      <c r="Q484" s="11"/>
      <c r="R484" s="29"/>
      <c r="S484" s="11"/>
      <c r="T484" s="6"/>
      <c r="U484" s="29"/>
      <c r="V484" s="11"/>
      <c r="W484" s="11"/>
      <c r="X484" s="29"/>
      <c r="Y484" s="11"/>
      <c r="Z484" s="29"/>
      <c r="AA484" s="29"/>
      <c r="AB484" s="11"/>
      <c r="AC484" s="11"/>
      <c r="AD484" s="29"/>
      <c r="AE484" s="11"/>
      <c r="AF484" s="29"/>
      <c r="AG484" s="11"/>
      <c r="AH484" s="29"/>
      <c r="AI484" s="11"/>
      <c r="AJ484" s="29"/>
      <c r="AK484" s="29"/>
      <c r="AL484" s="29"/>
      <c r="AM484" s="11"/>
      <c r="AN484" s="29"/>
      <c r="AO484" s="29"/>
      <c r="AP484" s="6"/>
      <c r="AQ484" s="113">
        <f>IF(AND(I484="",K484="",AF484="",AL484="",AN484="",O484=""),"",IF(OR(I484="SIM",K484="SIM",AF484="SIM",AL484="SIM",AN484="Dados pessoais",AN484="Dados sensíveis",AN484="Dados pessoais e sensíveis",O484="Acima de 10.000 titulares por mês"),"SIM - Alta criticidade",IF((IF(I484="SIM",2,0)+IF(K484="SIM",2,0)+IF(AF484="SIM",2,0)+IF(OR(AN484="Dados pessoais",AN484="Dados sensíveis",AN484="Dados pessoais e sensíveis"),2,0)+IF(O484="De 1.001 a 10.000 titulares por mês",1,0)+IF(AA484="SIM",1,0)+IF(R484="SIM",1,0)+IF(AL484="SIM",1,0)+IF(AJ484="NÃO",1,0))&gt;=5,"SIM - Alta criticidade",IF((IF(I484="SIM",2,0)+IF(K484="SIM",2,0)+IF(AF484="SIM",2,0)+IF(OR(AN484="Dados pessoais",AN484="Dados sensíveis",AN484="Dados pessoais e sensíveis"),2,0)+IF(O484="De 1.001 a 10.000 titulares por mês",1,0)+IF(AA484="SIM",1,0)+IF(R484="SIM",1,0)+IF(AL484="SIM",1,0)+IF(AJ484="NÃO",1,0))&gt;=3,"Avaliação necessária","NÃO"))))</f>
      </c>
      <c r="AR484" s="11"/>
      <c r="AS484" s="113">
        <f>IF(AND(I484="",K484="",AF484="",AL484="",AN484="",O484=""),"",IF(OR(I484="SIM",K484="SIM",AF484="SIM",AL484="SIM",OR(AN484="Dados pessoais",AN484="Dados sensíveis",AN484="Dados pessoais e sensíveis"),O484="Acima de 10.000 titulares por mês",(IF(I484="SIM",2,0)+IF(K484="SIM",2,0)+IF(AF484="SIM",2,0)+IF(OR(AN484="Dados pessoais",AN484="Dados sensíveis",AN484="Dados pessoais e sensíveis"),2,0)+IF(O484="De 1.001 a 10.000 titulares por mês",1,0)+IF(AA484="SIM",1,0)+IF(R484="SIM",1,0)+IF(AL484="SIM",1,0)+IF(AJ484="NÃO",1,0))&gt;=3),"DPIA indicado ou em avaliação em razão de: " &amp; TRIM(IF(I484="SIM","tratamento de dados sensíveis; ","") &amp; IF(K484="SIM","utilização de dados de menores; ","") &amp; IF(AF484="SIM","transferência internacional de dados; ","") &amp; IF(AL484="SIM","utilização de inteligência artificial; ","") &amp; IF(OR(AN484="Dados pessoais",AN484="Dados sensíveis",AN484="Dados pessoais e sensíveis"),"dados inseridos em IA; ","") &amp; IF(O484="Acima de 10.000 titulares por mês","volume crítico de titulares; ","") &amp; IF(O484="De 1.001 a 10.000 titulares por mês","volume moderado de titulares; ","") &amp; IF(AA484="SIM","compartilhamento com terceiros; ","") &amp; IF(R484="SIM","compartilhamento com órgãos governamentais; ","") &amp; IF(AJ484="NÃO","ausência de controle de acesso por perfil; ","")),"DPIA não indicado: Processo de baixa criticidade."))</f>
      </c>
    </row>
    <row x14ac:dyDescent="0.25" r="485" customHeight="1" ht="15.75">
      <c r="A485" s="46"/>
      <c r="B485" s="6"/>
      <c r="C485" s="11"/>
      <c r="D485" s="11"/>
      <c r="E485" s="11"/>
      <c r="F485" s="29"/>
      <c r="G485" s="11"/>
      <c r="H485" s="11"/>
      <c r="I485" s="29"/>
      <c r="J485" s="11"/>
      <c r="K485" s="29"/>
      <c r="L485" s="11"/>
      <c r="M485" s="11"/>
      <c r="N485" s="11"/>
      <c r="O485" s="29"/>
      <c r="P485" s="29"/>
      <c r="Q485" s="11"/>
      <c r="R485" s="29"/>
      <c r="S485" s="11"/>
      <c r="T485" s="6"/>
      <c r="U485" s="29"/>
      <c r="V485" s="11"/>
      <c r="W485" s="11"/>
      <c r="X485" s="29"/>
      <c r="Y485" s="11"/>
      <c r="Z485" s="29"/>
      <c r="AA485" s="29"/>
      <c r="AB485" s="11"/>
      <c r="AC485" s="11"/>
      <c r="AD485" s="29"/>
      <c r="AE485" s="11"/>
      <c r="AF485" s="29"/>
      <c r="AG485" s="11"/>
      <c r="AH485" s="29"/>
      <c r="AI485" s="11"/>
      <c r="AJ485" s="29"/>
      <c r="AK485" s="29"/>
      <c r="AL485" s="29"/>
      <c r="AM485" s="11"/>
      <c r="AN485" s="29"/>
      <c r="AO485" s="29"/>
      <c r="AP485" s="6"/>
      <c r="AQ485" s="113">
        <f>IF(AND(I485="",K485="",AF485="",AL485="",AN485="",O485=""),"",IF(OR(I485="SIM",K485="SIM",AF485="SIM",AL485="SIM",AN485="Dados pessoais",AN485="Dados sensíveis",AN485="Dados pessoais e sensíveis",O485="Acima de 10.000 titulares por mês"),"SIM - Alta criticidade",IF((IF(I485="SIM",2,0)+IF(K485="SIM",2,0)+IF(AF485="SIM",2,0)+IF(OR(AN485="Dados pessoais",AN485="Dados sensíveis",AN485="Dados pessoais e sensíveis"),2,0)+IF(O485="De 1.001 a 10.000 titulares por mês",1,0)+IF(AA485="SIM",1,0)+IF(R485="SIM",1,0)+IF(AL485="SIM",1,0)+IF(AJ485="NÃO",1,0))&gt;=5,"SIM - Alta criticidade",IF((IF(I485="SIM",2,0)+IF(K485="SIM",2,0)+IF(AF485="SIM",2,0)+IF(OR(AN485="Dados pessoais",AN485="Dados sensíveis",AN485="Dados pessoais e sensíveis"),2,0)+IF(O485="De 1.001 a 10.000 titulares por mês",1,0)+IF(AA485="SIM",1,0)+IF(R485="SIM",1,0)+IF(AL485="SIM",1,0)+IF(AJ485="NÃO",1,0))&gt;=3,"Avaliação necessária","NÃO"))))</f>
      </c>
      <c r="AR485" s="11"/>
      <c r="AS485" s="113">
        <f>IF(AND(I485="",K485="",AF485="",AL485="",AN485="",O485=""),"",IF(OR(I485="SIM",K485="SIM",AF485="SIM",AL485="SIM",OR(AN485="Dados pessoais",AN485="Dados sensíveis",AN485="Dados pessoais e sensíveis"),O485="Acima de 10.000 titulares por mês",(IF(I485="SIM",2,0)+IF(K485="SIM",2,0)+IF(AF485="SIM",2,0)+IF(OR(AN485="Dados pessoais",AN485="Dados sensíveis",AN485="Dados pessoais e sensíveis"),2,0)+IF(O485="De 1.001 a 10.000 titulares por mês",1,0)+IF(AA485="SIM",1,0)+IF(R485="SIM",1,0)+IF(AL485="SIM",1,0)+IF(AJ485="NÃO",1,0))&gt;=3),"DPIA indicado ou em avaliação em razão de: " &amp; TRIM(IF(I485="SIM","tratamento de dados sensíveis; ","") &amp; IF(K485="SIM","utilização de dados de menores; ","") &amp; IF(AF485="SIM","transferência internacional de dados; ","") &amp; IF(AL485="SIM","utilização de inteligência artificial; ","") &amp; IF(OR(AN485="Dados pessoais",AN485="Dados sensíveis",AN485="Dados pessoais e sensíveis"),"dados inseridos em IA; ","") &amp; IF(O485="Acima de 10.000 titulares por mês","volume crítico de titulares; ","") &amp; IF(O485="De 1.001 a 10.000 titulares por mês","volume moderado de titulares; ","") &amp; IF(AA485="SIM","compartilhamento com terceiros; ","") &amp; IF(R485="SIM","compartilhamento com órgãos governamentais; ","") &amp; IF(AJ485="NÃO","ausência de controle de acesso por perfil; ","")),"DPIA não indicado: Processo de baixa criticidade."))</f>
      </c>
    </row>
    <row x14ac:dyDescent="0.25" r="486" customHeight="1" ht="15.75">
      <c r="A486" s="46"/>
      <c r="B486" s="6"/>
      <c r="C486" s="11"/>
      <c r="D486" s="11"/>
      <c r="E486" s="11"/>
      <c r="F486" s="29"/>
      <c r="G486" s="11"/>
      <c r="H486" s="11"/>
      <c r="I486" s="29"/>
      <c r="J486" s="11"/>
      <c r="K486" s="29"/>
      <c r="L486" s="11"/>
      <c r="M486" s="11"/>
      <c r="N486" s="11"/>
      <c r="O486" s="29"/>
      <c r="P486" s="29"/>
      <c r="Q486" s="11"/>
      <c r="R486" s="29"/>
      <c r="S486" s="11"/>
      <c r="T486" s="6"/>
      <c r="U486" s="29"/>
      <c r="V486" s="11"/>
      <c r="W486" s="11"/>
      <c r="X486" s="29"/>
      <c r="Y486" s="11"/>
      <c r="Z486" s="29"/>
      <c r="AA486" s="29"/>
      <c r="AB486" s="11"/>
      <c r="AC486" s="11"/>
      <c r="AD486" s="29"/>
      <c r="AE486" s="11"/>
      <c r="AF486" s="29"/>
      <c r="AG486" s="11"/>
      <c r="AH486" s="29"/>
      <c r="AI486" s="11"/>
      <c r="AJ486" s="29"/>
      <c r="AK486" s="29"/>
      <c r="AL486" s="29"/>
      <c r="AM486" s="11"/>
      <c r="AN486" s="29"/>
      <c r="AO486" s="29"/>
      <c r="AP486" s="6"/>
      <c r="AQ486" s="113">
        <f>IF(AND(I486="",K486="",AF486="",AL486="",AN486="",O486=""),"",IF(OR(I486="SIM",K486="SIM",AF486="SIM",AL486="SIM",AN486="Dados pessoais",AN486="Dados sensíveis",AN486="Dados pessoais e sensíveis",O486="Acima de 10.000 titulares por mês"),"SIM - Alta criticidade",IF((IF(I486="SIM",2,0)+IF(K486="SIM",2,0)+IF(AF486="SIM",2,0)+IF(OR(AN486="Dados pessoais",AN486="Dados sensíveis",AN486="Dados pessoais e sensíveis"),2,0)+IF(O486="De 1.001 a 10.000 titulares por mês",1,0)+IF(AA486="SIM",1,0)+IF(R486="SIM",1,0)+IF(AL486="SIM",1,0)+IF(AJ486="NÃO",1,0))&gt;=5,"SIM - Alta criticidade",IF((IF(I486="SIM",2,0)+IF(K486="SIM",2,0)+IF(AF486="SIM",2,0)+IF(OR(AN486="Dados pessoais",AN486="Dados sensíveis",AN486="Dados pessoais e sensíveis"),2,0)+IF(O486="De 1.001 a 10.000 titulares por mês",1,0)+IF(AA486="SIM",1,0)+IF(R486="SIM",1,0)+IF(AL486="SIM",1,0)+IF(AJ486="NÃO",1,0))&gt;=3,"Avaliação necessária","NÃO"))))</f>
      </c>
      <c r="AR486" s="11"/>
      <c r="AS486" s="113">
        <f>IF(AND(I486="",K486="",AF486="",AL486="",AN486="",O486=""),"",IF(OR(I486="SIM",K486="SIM",AF486="SIM",AL486="SIM",OR(AN486="Dados pessoais",AN486="Dados sensíveis",AN486="Dados pessoais e sensíveis"),O486="Acima de 10.000 titulares por mês",(IF(I486="SIM",2,0)+IF(K486="SIM",2,0)+IF(AF486="SIM",2,0)+IF(OR(AN486="Dados pessoais",AN486="Dados sensíveis",AN486="Dados pessoais e sensíveis"),2,0)+IF(O486="De 1.001 a 10.000 titulares por mês",1,0)+IF(AA486="SIM",1,0)+IF(R486="SIM",1,0)+IF(AL486="SIM",1,0)+IF(AJ486="NÃO",1,0))&gt;=3),"DPIA indicado ou em avaliação em razão de: " &amp; TRIM(IF(I486="SIM","tratamento de dados sensíveis; ","") &amp; IF(K486="SIM","utilização de dados de menores; ","") &amp; IF(AF486="SIM","transferência internacional de dados; ","") &amp; IF(AL486="SIM","utilização de inteligência artificial; ","") &amp; IF(OR(AN486="Dados pessoais",AN486="Dados sensíveis",AN486="Dados pessoais e sensíveis"),"dados inseridos em IA; ","") &amp; IF(O486="Acima de 10.000 titulares por mês","volume crítico de titulares; ","") &amp; IF(O486="De 1.001 a 10.000 titulares por mês","volume moderado de titulares; ","") &amp; IF(AA486="SIM","compartilhamento com terceiros; ","") &amp; IF(R486="SIM","compartilhamento com órgãos governamentais; ","") &amp; IF(AJ486="NÃO","ausência de controle de acesso por perfil; ","")),"DPIA não indicado: Processo de baixa criticidade."))</f>
      </c>
    </row>
    <row x14ac:dyDescent="0.25" r="487" customHeight="1" ht="15.75">
      <c r="A487" s="46"/>
      <c r="B487" s="6"/>
      <c r="C487" s="11"/>
      <c r="D487" s="11"/>
      <c r="E487" s="11"/>
      <c r="F487" s="29"/>
      <c r="G487" s="11"/>
      <c r="H487" s="11"/>
      <c r="I487" s="29"/>
      <c r="J487" s="11"/>
      <c r="K487" s="29"/>
      <c r="L487" s="11"/>
      <c r="M487" s="11"/>
      <c r="N487" s="11"/>
      <c r="O487" s="29"/>
      <c r="P487" s="29"/>
      <c r="Q487" s="11"/>
      <c r="R487" s="29"/>
      <c r="S487" s="11"/>
      <c r="T487" s="6"/>
      <c r="U487" s="29"/>
      <c r="V487" s="11"/>
      <c r="W487" s="11"/>
      <c r="X487" s="29"/>
      <c r="Y487" s="11"/>
      <c r="Z487" s="29"/>
      <c r="AA487" s="29"/>
      <c r="AB487" s="11"/>
      <c r="AC487" s="11"/>
      <c r="AD487" s="29"/>
      <c r="AE487" s="11"/>
      <c r="AF487" s="29"/>
      <c r="AG487" s="11"/>
      <c r="AH487" s="29"/>
      <c r="AI487" s="11"/>
      <c r="AJ487" s="29"/>
      <c r="AK487" s="29"/>
      <c r="AL487" s="29"/>
      <c r="AM487" s="11"/>
      <c r="AN487" s="29"/>
      <c r="AO487" s="29"/>
      <c r="AP487" s="6"/>
      <c r="AQ487" s="113">
        <f>IF(AND(I487="",K487="",AF487="",AL487="",AN487="",O487=""),"",IF(OR(I487="SIM",K487="SIM",AF487="SIM",AL487="SIM",AN487="Dados pessoais",AN487="Dados sensíveis",AN487="Dados pessoais e sensíveis",O487="Acima de 10.000 titulares por mês"),"SIM - Alta criticidade",IF((IF(I487="SIM",2,0)+IF(K487="SIM",2,0)+IF(AF487="SIM",2,0)+IF(OR(AN487="Dados pessoais",AN487="Dados sensíveis",AN487="Dados pessoais e sensíveis"),2,0)+IF(O487="De 1.001 a 10.000 titulares por mês",1,0)+IF(AA487="SIM",1,0)+IF(R487="SIM",1,0)+IF(AL487="SIM",1,0)+IF(AJ487="NÃO",1,0))&gt;=5,"SIM - Alta criticidade",IF((IF(I487="SIM",2,0)+IF(K487="SIM",2,0)+IF(AF487="SIM",2,0)+IF(OR(AN487="Dados pessoais",AN487="Dados sensíveis",AN487="Dados pessoais e sensíveis"),2,0)+IF(O487="De 1.001 a 10.000 titulares por mês",1,0)+IF(AA487="SIM",1,0)+IF(R487="SIM",1,0)+IF(AL487="SIM",1,0)+IF(AJ487="NÃO",1,0))&gt;=3,"Avaliação necessária","NÃO"))))</f>
      </c>
      <c r="AR487" s="11"/>
      <c r="AS487" s="113">
        <f>IF(AND(I487="",K487="",AF487="",AL487="",AN487="",O487=""),"",IF(OR(I487="SIM",K487="SIM",AF487="SIM",AL487="SIM",OR(AN487="Dados pessoais",AN487="Dados sensíveis",AN487="Dados pessoais e sensíveis"),O487="Acima de 10.000 titulares por mês",(IF(I487="SIM",2,0)+IF(K487="SIM",2,0)+IF(AF487="SIM",2,0)+IF(OR(AN487="Dados pessoais",AN487="Dados sensíveis",AN487="Dados pessoais e sensíveis"),2,0)+IF(O487="De 1.001 a 10.000 titulares por mês",1,0)+IF(AA487="SIM",1,0)+IF(R487="SIM",1,0)+IF(AL487="SIM",1,0)+IF(AJ487="NÃO",1,0))&gt;=3),"DPIA indicado ou em avaliação em razão de: " &amp; TRIM(IF(I487="SIM","tratamento de dados sensíveis; ","") &amp; IF(K487="SIM","utilização de dados de menores; ","") &amp; IF(AF487="SIM","transferência internacional de dados; ","") &amp; IF(AL487="SIM","utilização de inteligência artificial; ","") &amp; IF(OR(AN487="Dados pessoais",AN487="Dados sensíveis",AN487="Dados pessoais e sensíveis"),"dados inseridos em IA; ","") &amp; IF(O487="Acima de 10.000 titulares por mês","volume crítico de titulares; ","") &amp; IF(O487="De 1.001 a 10.000 titulares por mês","volume moderado de titulares; ","") &amp; IF(AA487="SIM","compartilhamento com terceiros; ","") &amp; IF(R487="SIM","compartilhamento com órgãos governamentais; ","") &amp; IF(AJ487="NÃO","ausência de controle de acesso por perfil; ","")),"DPIA não indicado: Processo de baixa criticidade."))</f>
      </c>
    </row>
    <row x14ac:dyDescent="0.25" r="488" customHeight="1" ht="15.75">
      <c r="A488" s="46"/>
      <c r="B488" s="6"/>
      <c r="C488" s="11"/>
      <c r="D488" s="11"/>
      <c r="E488" s="11"/>
      <c r="F488" s="29"/>
      <c r="G488" s="11"/>
      <c r="H488" s="11"/>
      <c r="I488" s="29"/>
      <c r="J488" s="11"/>
      <c r="K488" s="29"/>
      <c r="L488" s="11"/>
      <c r="M488" s="11"/>
      <c r="N488" s="11"/>
      <c r="O488" s="29"/>
      <c r="P488" s="29"/>
      <c r="Q488" s="11"/>
      <c r="R488" s="29"/>
      <c r="S488" s="11"/>
      <c r="T488" s="6"/>
      <c r="U488" s="29"/>
      <c r="V488" s="11"/>
      <c r="W488" s="11"/>
      <c r="X488" s="29"/>
      <c r="Y488" s="11"/>
      <c r="Z488" s="29"/>
      <c r="AA488" s="29"/>
      <c r="AB488" s="11"/>
      <c r="AC488" s="11"/>
      <c r="AD488" s="29"/>
      <c r="AE488" s="11"/>
      <c r="AF488" s="29"/>
      <c r="AG488" s="11"/>
      <c r="AH488" s="29"/>
      <c r="AI488" s="11"/>
      <c r="AJ488" s="29"/>
      <c r="AK488" s="29"/>
      <c r="AL488" s="29"/>
      <c r="AM488" s="11"/>
      <c r="AN488" s="29"/>
      <c r="AO488" s="29"/>
      <c r="AP488" s="6"/>
      <c r="AQ488" s="113">
        <f>IF(AND(I488="",K488="",AF488="",AL488="",AN488="",O488=""),"",IF(OR(I488="SIM",K488="SIM",AF488="SIM",AL488="SIM",AN488="Dados pessoais",AN488="Dados sensíveis",AN488="Dados pessoais e sensíveis",O488="Acima de 10.000 titulares por mês"),"SIM - Alta criticidade",IF((IF(I488="SIM",2,0)+IF(K488="SIM",2,0)+IF(AF488="SIM",2,0)+IF(OR(AN488="Dados pessoais",AN488="Dados sensíveis",AN488="Dados pessoais e sensíveis"),2,0)+IF(O488="De 1.001 a 10.000 titulares por mês",1,0)+IF(AA488="SIM",1,0)+IF(R488="SIM",1,0)+IF(AL488="SIM",1,0)+IF(AJ488="NÃO",1,0))&gt;=5,"SIM - Alta criticidade",IF((IF(I488="SIM",2,0)+IF(K488="SIM",2,0)+IF(AF488="SIM",2,0)+IF(OR(AN488="Dados pessoais",AN488="Dados sensíveis",AN488="Dados pessoais e sensíveis"),2,0)+IF(O488="De 1.001 a 10.000 titulares por mês",1,0)+IF(AA488="SIM",1,0)+IF(R488="SIM",1,0)+IF(AL488="SIM",1,0)+IF(AJ488="NÃO",1,0))&gt;=3,"Avaliação necessária","NÃO"))))</f>
      </c>
      <c r="AR488" s="11"/>
      <c r="AS488" s="113">
        <f>IF(AND(I488="",K488="",AF488="",AL488="",AN488="",O488=""),"",IF(OR(I488="SIM",K488="SIM",AF488="SIM",AL488="SIM",OR(AN488="Dados pessoais",AN488="Dados sensíveis",AN488="Dados pessoais e sensíveis"),O488="Acima de 10.000 titulares por mês",(IF(I488="SIM",2,0)+IF(K488="SIM",2,0)+IF(AF488="SIM",2,0)+IF(OR(AN488="Dados pessoais",AN488="Dados sensíveis",AN488="Dados pessoais e sensíveis"),2,0)+IF(O488="De 1.001 a 10.000 titulares por mês",1,0)+IF(AA488="SIM",1,0)+IF(R488="SIM",1,0)+IF(AL488="SIM",1,0)+IF(AJ488="NÃO",1,0))&gt;=3),"DPIA indicado ou em avaliação em razão de: " &amp; TRIM(IF(I488="SIM","tratamento de dados sensíveis; ","") &amp; IF(K488="SIM","utilização de dados de menores; ","") &amp; IF(AF488="SIM","transferência internacional de dados; ","") &amp; IF(AL488="SIM","utilização de inteligência artificial; ","") &amp; IF(OR(AN488="Dados pessoais",AN488="Dados sensíveis",AN488="Dados pessoais e sensíveis"),"dados inseridos em IA; ","") &amp; IF(O488="Acima de 10.000 titulares por mês","volume crítico de titulares; ","") &amp; IF(O488="De 1.001 a 10.000 titulares por mês","volume moderado de titulares; ","") &amp; IF(AA488="SIM","compartilhamento com terceiros; ","") &amp; IF(R488="SIM","compartilhamento com órgãos governamentais; ","") &amp; IF(AJ488="NÃO","ausência de controle de acesso por perfil; ","")),"DPIA não indicado: Processo de baixa criticidade."))</f>
      </c>
    </row>
    <row x14ac:dyDescent="0.25" r="489" customHeight="1" ht="15.75">
      <c r="A489" s="46"/>
      <c r="B489" s="6"/>
      <c r="C489" s="11"/>
      <c r="D489" s="11"/>
      <c r="E489" s="11"/>
      <c r="F489" s="29"/>
      <c r="G489" s="11"/>
      <c r="H489" s="11"/>
      <c r="I489" s="29"/>
      <c r="J489" s="11"/>
      <c r="K489" s="29"/>
      <c r="L489" s="11"/>
      <c r="M489" s="11"/>
      <c r="N489" s="11"/>
      <c r="O489" s="29"/>
      <c r="P489" s="29"/>
      <c r="Q489" s="11"/>
      <c r="R489" s="29"/>
      <c r="S489" s="11"/>
      <c r="T489" s="6"/>
      <c r="U489" s="29"/>
      <c r="V489" s="11"/>
      <c r="W489" s="11"/>
      <c r="X489" s="29"/>
      <c r="Y489" s="11"/>
      <c r="Z489" s="29"/>
      <c r="AA489" s="29"/>
      <c r="AB489" s="11"/>
      <c r="AC489" s="11"/>
      <c r="AD489" s="29"/>
      <c r="AE489" s="11"/>
      <c r="AF489" s="29"/>
      <c r="AG489" s="11"/>
      <c r="AH489" s="29"/>
      <c r="AI489" s="11"/>
      <c r="AJ489" s="29"/>
      <c r="AK489" s="29"/>
      <c r="AL489" s="29"/>
      <c r="AM489" s="11"/>
      <c r="AN489" s="29"/>
      <c r="AO489" s="29"/>
      <c r="AP489" s="6"/>
      <c r="AQ489" s="113">
        <f>IF(AND(I489="",K489="",AF489="",AL489="",AN489="",O489=""),"",IF(OR(I489="SIM",K489="SIM",AF489="SIM",AL489="SIM",AN489="Dados pessoais",AN489="Dados sensíveis",AN489="Dados pessoais e sensíveis",O489="Acima de 10.000 titulares por mês"),"SIM - Alta criticidade",IF((IF(I489="SIM",2,0)+IF(K489="SIM",2,0)+IF(AF489="SIM",2,0)+IF(OR(AN489="Dados pessoais",AN489="Dados sensíveis",AN489="Dados pessoais e sensíveis"),2,0)+IF(O489="De 1.001 a 10.000 titulares por mês",1,0)+IF(AA489="SIM",1,0)+IF(R489="SIM",1,0)+IF(AL489="SIM",1,0)+IF(AJ489="NÃO",1,0))&gt;=5,"SIM - Alta criticidade",IF((IF(I489="SIM",2,0)+IF(K489="SIM",2,0)+IF(AF489="SIM",2,0)+IF(OR(AN489="Dados pessoais",AN489="Dados sensíveis",AN489="Dados pessoais e sensíveis"),2,0)+IF(O489="De 1.001 a 10.000 titulares por mês",1,0)+IF(AA489="SIM",1,0)+IF(R489="SIM",1,0)+IF(AL489="SIM",1,0)+IF(AJ489="NÃO",1,0))&gt;=3,"Avaliação necessária","NÃO"))))</f>
      </c>
      <c r="AR489" s="11"/>
      <c r="AS489" s="113">
        <f>IF(AND(I489="",K489="",AF489="",AL489="",AN489="",O489=""),"",IF(OR(I489="SIM",K489="SIM",AF489="SIM",AL489="SIM",OR(AN489="Dados pessoais",AN489="Dados sensíveis",AN489="Dados pessoais e sensíveis"),O489="Acima de 10.000 titulares por mês",(IF(I489="SIM",2,0)+IF(K489="SIM",2,0)+IF(AF489="SIM",2,0)+IF(OR(AN489="Dados pessoais",AN489="Dados sensíveis",AN489="Dados pessoais e sensíveis"),2,0)+IF(O489="De 1.001 a 10.000 titulares por mês",1,0)+IF(AA489="SIM",1,0)+IF(R489="SIM",1,0)+IF(AL489="SIM",1,0)+IF(AJ489="NÃO",1,0))&gt;=3),"DPIA indicado ou em avaliação em razão de: " &amp; TRIM(IF(I489="SIM","tratamento de dados sensíveis; ","") &amp; IF(K489="SIM","utilização de dados de menores; ","") &amp; IF(AF489="SIM","transferência internacional de dados; ","") &amp; IF(AL489="SIM","utilização de inteligência artificial; ","") &amp; IF(OR(AN489="Dados pessoais",AN489="Dados sensíveis",AN489="Dados pessoais e sensíveis"),"dados inseridos em IA; ","") &amp; IF(O489="Acima de 10.000 titulares por mês","volume crítico de titulares; ","") &amp; IF(O489="De 1.001 a 10.000 titulares por mês","volume moderado de titulares; ","") &amp; IF(AA489="SIM","compartilhamento com terceiros; ","") &amp; IF(R489="SIM","compartilhamento com órgãos governamentais; ","") &amp; IF(AJ489="NÃO","ausência de controle de acesso por perfil; ","")),"DPIA não indicado: Processo de baixa criticidade."))</f>
      </c>
    </row>
    <row x14ac:dyDescent="0.25" r="490" customHeight="1" ht="15.75">
      <c r="A490" s="46"/>
      <c r="B490" s="6"/>
      <c r="C490" s="11"/>
      <c r="D490" s="11"/>
      <c r="E490" s="11"/>
      <c r="F490" s="29"/>
      <c r="G490" s="11"/>
      <c r="H490" s="11"/>
      <c r="I490" s="29"/>
      <c r="J490" s="11"/>
      <c r="K490" s="29"/>
      <c r="L490" s="11"/>
      <c r="M490" s="11"/>
      <c r="N490" s="11"/>
      <c r="O490" s="29"/>
      <c r="P490" s="29"/>
      <c r="Q490" s="11"/>
      <c r="R490" s="29"/>
      <c r="S490" s="11"/>
      <c r="T490" s="6"/>
      <c r="U490" s="29"/>
      <c r="V490" s="11"/>
      <c r="W490" s="11"/>
      <c r="X490" s="29"/>
      <c r="Y490" s="11"/>
      <c r="Z490" s="29"/>
      <c r="AA490" s="29"/>
      <c r="AB490" s="11"/>
      <c r="AC490" s="11"/>
      <c r="AD490" s="29"/>
      <c r="AE490" s="11"/>
      <c r="AF490" s="29"/>
      <c r="AG490" s="11"/>
      <c r="AH490" s="29"/>
      <c r="AI490" s="11"/>
      <c r="AJ490" s="29"/>
      <c r="AK490" s="29"/>
      <c r="AL490" s="29"/>
      <c r="AM490" s="11"/>
      <c r="AN490" s="29"/>
      <c r="AO490" s="29"/>
      <c r="AP490" s="6"/>
      <c r="AQ490" s="113">
        <f>IF(AND(I490="",K490="",AF490="",AL490="",AN490="",O490=""),"",IF(OR(I490="SIM",K490="SIM",AF490="SIM",AL490="SIM",AN490="Dados pessoais",AN490="Dados sensíveis",AN490="Dados pessoais e sensíveis",O490="Acima de 10.000 titulares por mês"),"SIM - Alta criticidade",IF((IF(I490="SIM",2,0)+IF(K490="SIM",2,0)+IF(AF490="SIM",2,0)+IF(OR(AN490="Dados pessoais",AN490="Dados sensíveis",AN490="Dados pessoais e sensíveis"),2,0)+IF(O490="De 1.001 a 10.000 titulares por mês",1,0)+IF(AA490="SIM",1,0)+IF(R490="SIM",1,0)+IF(AL490="SIM",1,0)+IF(AJ490="NÃO",1,0))&gt;=5,"SIM - Alta criticidade",IF((IF(I490="SIM",2,0)+IF(K490="SIM",2,0)+IF(AF490="SIM",2,0)+IF(OR(AN490="Dados pessoais",AN490="Dados sensíveis",AN490="Dados pessoais e sensíveis"),2,0)+IF(O490="De 1.001 a 10.000 titulares por mês",1,0)+IF(AA490="SIM",1,0)+IF(R490="SIM",1,0)+IF(AL490="SIM",1,0)+IF(AJ490="NÃO",1,0))&gt;=3,"Avaliação necessária","NÃO"))))</f>
      </c>
      <c r="AR490" s="11"/>
      <c r="AS490" s="113">
        <f>IF(AND(I490="",K490="",AF490="",AL490="",AN490="",O490=""),"",IF(OR(I490="SIM",K490="SIM",AF490="SIM",AL490="SIM",OR(AN490="Dados pessoais",AN490="Dados sensíveis",AN490="Dados pessoais e sensíveis"),O490="Acima de 10.000 titulares por mês",(IF(I490="SIM",2,0)+IF(K490="SIM",2,0)+IF(AF490="SIM",2,0)+IF(OR(AN490="Dados pessoais",AN490="Dados sensíveis",AN490="Dados pessoais e sensíveis"),2,0)+IF(O490="De 1.001 a 10.000 titulares por mês",1,0)+IF(AA490="SIM",1,0)+IF(R490="SIM",1,0)+IF(AL490="SIM",1,0)+IF(AJ490="NÃO",1,0))&gt;=3),"DPIA indicado ou em avaliação em razão de: " &amp; TRIM(IF(I490="SIM","tratamento de dados sensíveis; ","") &amp; IF(K490="SIM","utilização de dados de menores; ","") &amp; IF(AF490="SIM","transferência internacional de dados; ","") &amp; IF(AL490="SIM","utilização de inteligência artificial; ","") &amp; IF(OR(AN490="Dados pessoais",AN490="Dados sensíveis",AN490="Dados pessoais e sensíveis"),"dados inseridos em IA; ","") &amp; IF(O490="Acima de 10.000 titulares por mês","volume crítico de titulares; ","") &amp; IF(O490="De 1.001 a 10.000 titulares por mês","volume moderado de titulares; ","") &amp; IF(AA490="SIM","compartilhamento com terceiros; ","") &amp; IF(R490="SIM","compartilhamento com órgãos governamentais; ","") &amp; IF(AJ490="NÃO","ausência de controle de acesso por perfil; ","")),"DPIA não indicado: Processo de baixa criticidade."))</f>
      </c>
    </row>
    <row x14ac:dyDescent="0.25" r="491" customHeight="1" ht="15.75">
      <c r="A491" s="46"/>
      <c r="B491" s="6"/>
      <c r="C491" s="11"/>
      <c r="D491" s="11"/>
      <c r="E491" s="11"/>
      <c r="F491" s="29"/>
      <c r="G491" s="11"/>
      <c r="H491" s="11"/>
      <c r="I491" s="29"/>
      <c r="J491" s="11"/>
      <c r="K491" s="29"/>
      <c r="L491" s="11"/>
      <c r="M491" s="11"/>
      <c r="N491" s="11"/>
      <c r="O491" s="29"/>
      <c r="P491" s="29"/>
      <c r="Q491" s="11"/>
      <c r="R491" s="29"/>
      <c r="S491" s="11"/>
      <c r="T491" s="6"/>
      <c r="U491" s="29"/>
      <c r="V491" s="11"/>
      <c r="W491" s="11"/>
      <c r="X491" s="29"/>
      <c r="Y491" s="11"/>
      <c r="Z491" s="29"/>
      <c r="AA491" s="29"/>
      <c r="AB491" s="11"/>
      <c r="AC491" s="11"/>
      <c r="AD491" s="29"/>
      <c r="AE491" s="11"/>
      <c r="AF491" s="29"/>
      <c r="AG491" s="11"/>
      <c r="AH491" s="29"/>
      <c r="AI491" s="11"/>
      <c r="AJ491" s="29"/>
      <c r="AK491" s="29"/>
      <c r="AL491" s="29"/>
      <c r="AM491" s="11"/>
      <c r="AN491" s="29"/>
      <c r="AO491" s="29"/>
      <c r="AP491" s="6"/>
      <c r="AQ491" s="113">
        <f>IF(AND(I491="",K491="",AF491="",AL491="",AN491="",O491=""),"",IF(OR(I491="SIM",K491="SIM",AF491="SIM",AL491="SIM",AN491="Dados pessoais",AN491="Dados sensíveis",AN491="Dados pessoais e sensíveis",O491="Acima de 10.000 titulares por mês"),"SIM - Alta criticidade",IF((IF(I491="SIM",2,0)+IF(K491="SIM",2,0)+IF(AF491="SIM",2,0)+IF(OR(AN491="Dados pessoais",AN491="Dados sensíveis",AN491="Dados pessoais e sensíveis"),2,0)+IF(O491="De 1.001 a 10.000 titulares por mês",1,0)+IF(AA491="SIM",1,0)+IF(R491="SIM",1,0)+IF(AL491="SIM",1,0)+IF(AJ491="NÃO",1,0))&gt;=5,"SIM - Alta criticidade",IF((IF(I491="SIM",2,0)+IF(K491="SIM",2,0)+IF(AF491="SIM",2,0)+IF(OR(AN491="Dados pessoais",AN491="Dados sensíveis",AN491="Dados pessoais e sensíveis"),2,0)+IF(O491="De 1.001 a 10.000 titulares por mês",1,0)+IF(AA491="SIM",1,0)+IF(R491="SIM",1,0)+IF(AL491="SIM",1,0)+IF(AJ491="NÃO",1,0))&gt;=3,"Avaliação necessária","NÃO"))))</f>
      </c>
      <c r="AR491" s="11"/>
      <c r="AS491" s="113">
        <f>IF(AND(I491="",K491="",AF491="",AL491="",AN491="",O491=""),"",IF(OR(I491="SIM",K491="SIM",AF491="SIM",AL491="SIM",OR(AN491="Dados pessoais",AN491="Dados sensíveis",AN491="Dados pessoais e sensíveis"),O491="Acima de 10.000 titulares por mês",(IF(I491="SIM",2,0)+IF(K491="SIM",2,0)+IF(AF491="SIM",2,0)+IF(OR(AN491="Dados pessoais",AN491="Dados sensíveis",AN491="Dados pessoais e sensíveis"),2,0)+IF(O491="De 1.001 a 10.000 titulares por mês",1,0)+IF(AA491="SIM",1,0)+IF(R491="SIM",1,0)+IF(AL491="SIM",1,0)+IF(AJ491="NÃO",1,0))&gt;=3),"DPIA indicado ou em avaliação em razão de: " &amp; TRIM(IF(I491="SIM","tratamento de dados sensíveis; ","") &amp; IF(K491="SIM","utilização de dados de menores; ","") &amp; IF(AF491="SIM","transferência internacional de dados; ","") &amp; IF(AL491="SIM","utilização de inteligência artificial; ","") &amp; IF(OR(AN491="Dados pessoais",AN491="Dados sensíveis",AN491="Dados pessoais e sensíveis"),"dados inseridos em IA; ","") &amp; IF(O491="Acima de 10.000 titulares por mês","volume crítico de titulares; ","") &amp; IF(O491="De 1.001 a 10.000 titulares por mês","volume moderado de titulares; ","") &amp; IF(AA491="SIM","compartilhamento com terceiros; ","") &amp; IF(R491="SIM","compartilhamento com órgãos governamentais; ","") &amp; IF(AJ491="NÃO","ausência de controle de acesso por perfil; ","")),"DPIA não indicado: Processo de baixa criticidade."))</f>
      </c>
    </row>
    <row x14ac:dyDescent="0.25" r="492" customHeight="1" ht="15.75">
      <c r="A492" s="46"/>
      <c r="B492" s="6"/>
      <c r="C492" s="11"/>
      <c r="D492" s="11"/>
      <c r="E492" s="11"/>
      <c r="F492" s="29"/>
      <c r="G492" s="11"/>
      <c r="H492" s="11"/>
      <c r="I492" s="29"/>
      <c r="J492" s="11"/>
      <c r="K492" s="29"/>
      <c r="L492" s="11"/>
      <c r="M492" s="11"/>
      <c r="N492" s="11"/>
      <c r="O492" s="29"/>
      <c r="P492" s="29"/>
      <c r="Q492" s="11"/>
      <c r="R492" s="29"/>
      <c r="S492" s="11"/>
      <c r="T492" s="6"/>
      <c r="U492" s="29"/>
      <c r="V492" s="11"/>
      <c r="W492" s="11"/>
      <c r="X492" s="29"/>
      <c r="Y492" s="11"/>
      <c r="Z492" s="29"/>
      <c r="AA492" s="29"/>
      <c r="AB492" s="11"/>
      <c r="AC492" s="11"/>
      <c r="AD492" s="29"/>
      <c r="AE492" s="11"/>
      <c r="AF492" s="29"/>
      <c r="AG492" s="11"/>
      <c r="AH492" s="29"/>
      <c r="AI492" s="11"/>
      <c r="AJ492" s="29"/>
      <c r="AK492" s="29"/>
      <c r="AL492" s="29"/>
      <c r="AM492" s="11"/>
      <c r="AN492" s="29"/>
      <c r="AO492" s="29"/>
      <c r="AP492" s="6"/>
      <c r="AQ492" s="113">
        <f>IF(AND(I492="",K492="",AF492="",AL492="",AN492="",O492=""),"",IF(OR(I492="SIM",K492="SIM",AF492="SIM",AL492="SIM",AN492="Dados pessoais",AN492="Dados sensíveis",AN492="Dados pessoais e sensíveis",O492="Acima de 10.000 titulares por mês"),"SIM - Alta criticidade",IF((IF(I492="SIM",2,0)+IF(K492="SIM",2,0)+IF(AF492="SIM",2,0)+IF(OR(AN492="Dados pessoais",AN492="Dados sensíveis",AN492="Dados pessoais e sensíveis"),2,0)+IF(O492="De 1.001 a 10.000 titulares por mês",1,0)+IF(AA492="SIM",1,0)+IF(R492="SIM",1,0)+IF(AL492="SIM",1,0)+IF(AJ492="NÃO",1,0))&gt;=5,"SIM - Alta criticidade",IF((IF(I492="SIM",2,0)+IF(K492="SIM",2,0)+IF(AF492="SIM",2,0)+IF(OR(AN492="Dados pessoais",AN492="Dados sensíveis",AN492="Dados pessoais e sensíveis"),2,0)+IF(O492="De 1.001 a 10.000 titulares por mês",1,0)+IF(AA492="SIM",1,0)+IF(R492="SIM",1,0)+IF(AL492="SIM",1,0)+IF(AJ492="NÃO",1,0))&gt;=3,"Avaliação necessária","NÃO"))))</f>
      </c>
      <c r="AR492" s="11"/>
      <c r="AS492" s="113">
        <f>IF(AND(I492="",K492="",AF492="",AL492="",AN492="",O492=""),"",IF(OR(I492="SIM",K492="SIM",AF492="SIM",AL492="SIM",OR(AN492="Dados pessoais",AN492="Dados sensíveis",AN492="Dados pessoais e sensíveis"),O492="Acima de 10.000 titulares por mês",(IF(I492="SIM",2,0)+IF(K492="SIM",2,0)+IF(AF492="SIM",2,0)+IF(OR(AN492="Dados pessoais",AN492="Dados sensíveis",AN492="Dados pessoais e sensíveis"),2,0)+IF(O492="De 1.001 a 10.000 titulares por mês",1,0)+IF(AA492="SIM",1,0)+IF(R492="SIM",1,0)+IF(AL492="SIM",1,0)+IF(AJ492="NÃO",1,0))&gt;=3),"DPIA indicado ou em avaliação em razão de: " &amp; TRIM(IF(I492="SIM","tratamento de dados sensíveis; ","") &amp; IF(K492="SIM","utilização de dados de menores; ","") &amp; IF(AF492="SIM","transferência internacional de dados; ","") &amp; IF(AL492="SIM","utilização de inteligência artificial; ","") &amp; IF(OR(AN492="Dados pessoais",AN492="Dados sensíveis",AN492="Dados pessoais e sensíveis"),"dados inseridos em IA; ","") &amp; IF(O492="Acima de 10.000 titulares por mês","volume crítico de titulares; ","") &amp; IF(O492="De 1.001 a 10.000 titulares por mês","volume moderado de titulares; ","") &amp; IF(AA492="SIM","compartilhamento com terceiros; ","") &amp; IF(R492="SIM","compartilhamento com órgãos governamentais; ","") &amp; IF(AJ492="NÃO","ausência de controle de acesso por perfil; ","")),"DPIA não indicado: Processo de baixa criticidade."))</f>
      </c>
    </row>
    <row x14ac:dyDescent="0.25" r="493" customHeight="1" ht="15.75">
      <c r="A493" s="46"/>
      <c r="B493" s="6"/>
      <c r="C493" s="11"/>
      <c r="D493" s="11"/>
      <c r="E493" s="11"/>
      <c r="F493" s="29"/>
      <c r="G493" s="11"/>
      <c r="H493" s="11"/>
      <c r="I493" s="29"/>
      <c r="J493" s="11"/>
      <c r="K493" s="29"/>
      <c r="L493" s="11"/>
      <c r="M493" s="11"/>
      <c r="N493" s="11"/>
      <c r="O493" s="29"/>
      <c r="P493" s="29"/>
      <c r="Q493" s="11"/>
      <c r="R493" s="29"/>
      <c r="S493" s="11"/>
      <c r="T493" s="6"/>
      <c r="U493" s="29"/>
      <c r="V493" s="11"/>
      <c r="W493" s="11"/>
      <c r="X493" s="29"/>
      <c r="Y493" s="11"/>
      <c r="Z493" s="29"/>
      <c r="AA493" s="29"/>
      <c r="AB493" s="11"/>
      <c r="AC493" s="11"/>
      <c r="AD493" s="29"/>
      <c r="AE493" s="11"/>
      <c r="AF493" s="29"/>
      <c r="AG493" s="11"/>
      <c r="AH493" s="29"/>
      <c r="AI493" s="11"/>
      <c r="AJ493" s="29"/>
      <c r="AK493" s="29"/>
      <c r="AL493" s="29"/>
      <c r="AM493" s="11"/>
      <c r="AN493" s="29"/>
      <c r="AO493" s="29"/>
      <c r="AP493" s="6"/>
      <c r="AQ493" s="113">
        <f>IF(AND(I493="",K493="",AF493="",AL493="",AN493="",O493=""),"",IF(OR(I493="SIM",K493="SIM",AF493="SIM",AL493="SIM",AN493="Dados pessoais",AN493="Dados sensíveis",AN493="Dados pessoais e sensíveis",O493="Acima de 10.000 titulares por mês"),"SIM - Alta criticidade",IF((IF(I493="SIM",2,0)+IF(K493="SIM",2,0)+IF(AF493="SIM",2,0)+IF(OR(AN493="Dados pessoais",AN493="Dados sensíveis",AN493="Dados pessoais e sensíveis"),2,0)+IF(O493="De 1.001 a 10.000 titulares por mês",1,0)+IF(AA493="SIM",1,0)+IF(R493="SIM",1,0)+IF(AL493="SIM",1,0)+IF(AJ493="NÃO",1,0))&gt;=5,"SIM - Alta criticidade",IF((IF(I493="SIM",2,0)+IF(K493="SIM",2,0)+IF(AF493="SIM",2,0)+IF(OR(AN493="Dados pessoais",AN493="Dados sensíveis",AN493="Dados pessoais e sensíveis"),2,0)+IF(O493="De 1.001 a 10.000 titulares por mês",1,0)+IF(AA493="SIM",1,0)+IF(R493="SIM",1,0)+IF(AL493="SIM",1,0)+IF(AJ493="NÃO",1,0))&gt;=3,"Avaliação necessária","NÃO"))))</f>
      </c>
      <c r="AR493" s="11"/>
      <c r="AS493" s="113">
        <f>IF(AND(I493="",K493="",AF493="",AL493="",AN493="",O493=""),"",IF(OR(I493="SIM",K493="SIM",AF493="SIM",AL493="SIM",OR(AN493="Dados pessoais",AN493="Dados sensíveis",AN493="Dados pessoais e sensíveis"),O493="Acima de 10.000 titulares por mês",(IF(I493="SIM",2,0)+IF(K493="SIM",2,0)+IF(AF493="SIM",2,0)+IF(OR(AN493="Dados pessoais",AN493="Dados sensíveis",AN493="Dados pessoais e sensíveis"),2,0)+IF(O493="De 1.001 a 10.000 titulares por mês",1,0)+IF(AA493="SIM",1,0)+IF(R493="SIM",1,0)+IF(AL493="SIM",1,0)+IF(AJ493="NÃO",1,0))&gt;=3),"DPIA indicado ou em avaliação em razão de: " &amp; TRIM(IF(I493="SIM","tratamento de dados sensíveis; ","") &amp; IF(K493="SIM","utilização de dados de menores; ","") &amp; IF(AF493="SIM","transferência internacional de dados; ","") &amp; IF(AL493="SIM","utilização de inteligência artificial; ","") &amp; IF(OR(AN493="Dados pessoais",AN493="Dados sensíveis",AN493="Dados pessoais e sensíveis"),"dados inseridos em IA; ","") &amp; IF(O493="Acima de 10.000 titulares por mês","volume crítico de titulares; ","") &amp; IF(O493="De 1.001 a 10.000 titulares por mês","volume moderado de titulares; ","") &amp; IF(AA493="SIM","compartilhamento com terceiros; ","") &amp; IF(R493="SIM","compartilhamento com órgãos governamentais; ","") &amp; IF(AJ493="NÃO","ausência de controle de acesso por perfil; ","")),"DPIA não indicado: Processo de baixa criticidade."))</f>
      </c>
    </row>
    <row x14ac:dyDescent="0.25" r="494" customHeight="1" ht="15.75">
      <c r="A494" s="46"/>
      <c r="B494" s="6"/>
      <c r="C494" s="11"/>
      <c r="D494" s="11"/>
      <c r="E494" s="11"/>
      <c r="F494" s="29"/>
      <c r="G494" s="11"/>
      <c r="H494" s="11"/>
      <c r="I494" s="29"/>
      <c r="J494" s="11"/>
      <c r="K494" s="29"/>
      <c r="L494" s="11"/>
      <c r="M494" s="11"/>
      <c r="N494" s="11"/>
      <c r="O494" s="29"/>
      <c r="P494" s="29"/>
      <c r="Q494" s="11"/>
      <c r="R494" s="29"/>
      <c r="S494" s="11"/>
      <c r="T494" s="6"/>
      <c r="U494" s="29"/>
      <c r="V494" s="11"/>
      <c r="W494" s="11"/>
      <c r="X494" s="29"/>
      <c r="Y494" s="11"/>
      <c r="Z494" s="29"/>
      <c r="AA494" s="29"/>
      <c r="AB494" s="11"/>
      <c r="AC494" s="11"/>
      <c r="AD494" s="29"/>
      <c r="AE494" s="11"/>
      <c r="AF494" s="29"/>
      <c r="AG494" s="11"/>
      <c r="AH494" s="29"/>
      <c r="AI494" s="11"/>
      <c r="AJ494" s="29"/>
      <c r="AK494" s="29"/>
      <c r="AL494" s="29"/>
      <c r="AM494" s="11"/>
      <c r="AN494" s="29"/>
      <c r="AO494" s="29"/>
      <c r="AP494" s="6"/>
      <c r="AQ494" s="113">
        <f>IF(AND(I494="",K494="",AF494="",AL494="",AN494="",O494=""),"",IF(OR(I494="SIM",K494="SIM",AF494="SIM",AL494="SIM",AN494="Dados pessoais",AN494="Dados sensíveis",AN494="Dados pessoais e sensíveis",O494="Acima de 10.000 titulares por mês"),"SIM - Alta criticidade",IF((IF(I494="SIM",2,0)+IF(K494="SIM",2,0)+IF(AF494="SIM",2,0)+IF(OR(AN494="Dados pessoais",AN494="Dados sensíveis",AN494="Dados pessoais e sensíveis"),2,0)+IF(O494="De 1.001 a 10.000 titulares por mês",1,0)+IF(AA494="SIM",1,0)+IF(R494="SIM",1,0)+IF(AL494="SIM",1,0)+IF(AJ494="NÃO",1,0))&gt;=5,"SIM - Alta criticidade",IF((IF(I494="SIM",2,0)+IF(K494="SIM",2,0)+IF(AF494="SIM",2,0)+IF(OR(AN494="Dados pessoais",AN494="Dados sensíveis",AN494="Dados pessoais e sensíveis"),2,0)+IF(O494="De 1.001 a 10.000 titulares por mês",1,0)+IF(AA494="SIM",1,0)+IF(R494="SIM",1,0)+IF(AL494="SIM",1,0)+IF(AJ494="NÃO",1,0))&gt;=3,"Avaliação necessária","NÃO"))))</f>
      </c>
      <c r="AR494" s="11"/>
      <c r="AS494" s="113">
        <f>IF(AND(I494="",K494="",AF494="",AL494="",AN494="",O494=""),"",IF(OR(I494="SIM",K494="SIM",AF494="SIM",AL494="SIM",OR(AN494="Dados pessoais",AN494="Dados sensíveis",AN494="Dados pessoais e sensíveis"),O494="Acima de 10.000 titulares por mês",(IF(I494="SIM",2,0)+IF(K494="SIM",2,0)+IF(AF494="SIM",2,0)+IF(OR(AN494="Dados pessoais",AN494="Dados sensíveis",AN494="Dados pessoais e sensíveis"),2,0)+IF(O494="De 1.001 a 10.000 titulares por mês",1,0)+IF(AA494="SIM",1,0)+IF(R494="SIM",1,0)+IF(AL494="SIM",1,0)+IF(AJ494="NÃO",1,0))&gt;=3),"DPIA indicado ou em avaliação em razão de: " &amp; TRIM(IF(I494="SIM","tratamento de dados sensíveis; ","") &amp; IF(K494="SIM","utilização de dados de menores; ","") &amp; IF(AF494="SIM","transferência internacional de dados; ","") &amp; IF(AL494="SIM","utilização de inteligência artificial; ","") &amp; IF(OR(AN494="Dados pessoais",AN494="Dados sensíveis",AN494="Dados pessoais e sensíveis"),"dados inseridos em IA; ","") &amp; IF(O494="Acima de 10.000 titulares por mês","volume crítico de titulares; ","") &amp; IF(O494="De 1.001 a 10.000 titulares por mês","volume moderado de titulares; ","") &amp; IF(AA494="SIM","compartilhamento com terceiros; ","") &amp; IF(R494="SIM","compartilhamento com órgãos governamentais; ","") &amp; IF(AJ494="NÃO","ausência de controle de acesso por perfil; ","")),"DPIA não indicado: Processo de baixa criticidade."))</f>
      </c>
    </row>
    <row x14ac:dyDescent="0.25" r="495" customHeight="1" ht="15.75">
      <c r="A495" s="46"/>
      <c r="B495" s="6"/>
      <c r="C495" s="11"/>
      <c r="D495" s="11"/>
      <c r="E495" s="11"/>
      <c r="F495" s="29"/>
      <c r="G495" s="11"/>
      <c r="H495" s="11"/>
      <c r="I495" s="29"/>
      <c r="J495" s="11"/>
      <c r="K495" s="29"/>
      <c r="L495" s="11"/>
      <c r="M495" s="11"/>
      <c r="N495" s="11"/>
      <c r="O495" s="29"/>
      <c r="P495" s="29"/>
      <c r="Q495" s="11"/>
      <c r="R495" s="29"/>
      <c r="S495" s="11"/>
      <c r="T495" s="6"/>
      <c r="U495" s="29"/>
      <c r="V495" s="11"/>
      <c r="W495" s="11"/>
      <c r="X495" s="29"/>
      <c r="Y495" s="11"/>
      <c r="Z495" s="29"/>
      <c r="AA495" s="29"/>
      <c r="AB495" s="11"/>
      <c r="AC495" s="11"/>
      <c r="AD495" s="29"/>
      <c r="AE495" s="11"/>
      <c r="AF495" s="29"/>
      <c r="AG495" s="11"/>
      <c r="AH495" s="29"/>
      <c r="AI495" s="11"/>
      <c r="AJ495" s="29"/>
      <c r="AK495" s="29"/>
      <c r="AL495" s="29"/>
      <c r="AM495" s="11"/>
      <c r="AN495" s="29"/>
      <c r="AO495" s="29"/>
      <c r="AP495" s="6"/>
      <c r="AQ495" s="113">
        <f>IF(AND(I495="",K495="",AF495="",AL495="",AN495="",O495=""),"",IF(OR(I495="SIM",K495="SIM",AF495="SIM",AL495="SIM",AN495="Dados pessoais",AN495="Dados sensíveis",AN495="Dados pessoais e sensíveis",O495="Acima de 10.000 titulares por mês"),"SIM - Alta criticidade",IF((IF(I495="SIM",2,0)+IF(K495="SIM",2,0)+IF(AF495="SIM",2,0)+IF(OR(AN495="Dados pessoais",AN495="Dados sensíveis",AN495="Dados pessoais e sensíveis"),2,0)+IF(O495="De 1.001 a 10.000 titulares por mês",1,0)+IF(AA495="SIM",1,0)+IF(R495="SIM",1,0)+IF(AL495="SIM",1,0)+IF(AJ495="NÃO",1,0))&gt;=5,"SIM - Alta criticidade",IF((IF(I495="SIM",2,0)+IF(K495="SIM",2,0)+IF(AF495="SIM",2,0)+IF(OR(AN495="Dados pessoais",AN495="Dados sensíveis",AN495="Dados pessoais e sensíveis"),2,0)+IF(O495="De 1.001 a 10.000 titulares por mês",1,0)+IF(AA495="SIM",1,0)+IF(R495="SIM",1,0)+IF(AL495="SIM",1,0)+IF(AJ495="NÃO",1,0))&gt;=3,"Avaliação necessária","NÃO"))))</f>
      </c>
      <c r="AR495" s="11"/>
      <c r="AS495" s="113">
        <f>IF(AND(I495="",K495="",AF495="",AL495="",AN495="",O495=""),"",IF(OR(I495="SIM",K495="SIM",AF495="SIM",AL495="SIM",OR(AN495="Dados pessoais",AN495="Dados sensíveis",AN495="Dados pessoais e sensíveis"),O495="Acima de 10.000 titulares por mês",(IF(I495="SIM",2,0)+IF(K495="SIM",2,0)+IF(AF495="SIM",2,0)+IF(OR(AN495="Dados pessoais",AN495="Dados sensíveis",AN495="Dados pessoais e sensíveis"),2,0)+IF(O495="De 1.001 a 10.000 titulares por mês",1,0)+IF(AA495="SIM",1,0)+IF(R495="SIM",1,0)+IF(AL495="SIM",1,0)+IF(AJ495="NÃO",1,0))&gt;=3),"DPIA indicado ou em avaliação em razão de: " &amp; TRIM(IF(I495="SIM","tratamento de dados sensíveis; ","") &amp; IF(K495="SIM","utilização de dados de menores; ","") &amp; IF(AF495="SIM","transferência internacional de dados; ","") &amp; IF(AL495="SIM","utilização de inteligência artificial; ","") &amp; IF(OR(AN495="Dados pessoais",AN495="Dados sensíveis",AN495="Dados pessoais e sensíveis"),"dados inseridos em IA; ","") &amp; IF(O495="Acima de 10.000 titulares por mês","volume crítico de titulares; ","") &amp; IF(O495="De 1.001 a 10.000 titulares por mês","volume moderado de titulares; ","") &amp; IF(AA495="SIM","compartilhamento com terceiros; ","") &amp; IF(R495="SIM","compartilhamento com órgãos governamentais; ","") &amp; IF(AJ495="NÃO","ausência de controle de acesso por perfil; ","")),"DPIA não indicado: Processo de baixa criticidade."))</f>
      </c>
    </row>
    <row x14ac:dyDescent="0.25" r="496" customHeight="1" ht="15.75">
      <c r="A496" s="46"/>
      <c r="B496" s="6"/>
      <c r="C496" s="11"/>
      <c r="D496" s="11"/>
      <c r="E496" s="11"/>
      <c r="F496" s="29"/>
      <c r="G496" s="11"/>
      <c r="H496" s="11"/>
      <c r="I496" s="29"/>
      <c r="J496" s="11"/>
      <c r="K496" s="29"/>
      <c r="L496" s="11"/>
      <c r="M496" s="11"/>
      <c r="N496" s="11"/>
      <c r="O496" s="29"/>
      <c r="P496" s="29"/>
      <c r="Q496" s="11"/>
      <c r="R496" s="29"/>
      <c r="S496" s="11"/>
      <c r="T496" s="6"/>
      <c r="U496" s="29"/>
      <c r="V496" s="11"/>
      <c r="W496" s="11"/>
      <c r="X496" s="29"/>
      <c r="Y496" s="11"/>
      <c r="Z496" s="29"/>
      <c r="AA496" s="29"/>
      <c r="AB496" s="11"/>
      <c r="AC496" s="11"/>
      <c r="AD496" s="29"/>
      <c r="AE496" s="11"/>
      <c r="AF496" s="29"/>
      <c r="AG496" s="11"/>
      <c r="AH496" s="29"/>
      <c r="AI496" s="11"/>
      <c r="AJ496" s="29"/>
      <c r="AK496" s="29"/>
      <c r="AL496" s="29"/>
      <c r="AM496" s="11"/>
      <c r="AN496" s="29"/>
      <c r="AO496" s="29"/>
      <c r="AP496" s="6"/>
      <c r="AQ496" s="113">
        <f>IF(AND(I496="",K496="",AF496="",AL496="",AN496="",O496=""),"",IF(OR(I496="SIM",K496="SIM",AF496="SIM",AL496="SIM",AN496="Dados pessoais",AN496="Dados sensíveis",AN496="Dados pessoais e sensíveis",O496="Acima de 10.000 titulares por mês"),"SIM - Alta criticidade",IF((IF(I496="SIM",2,0)+IF(K496="SIM",2,0)+IF(AF496="SIM",2,0)+IF(OR(AN496="Dados pessoais",AN496="Dados sensíveis",AN496="Dados pessoais e sensíveis"),2,0)+IF(O496="De 1.001 a 10.000 titulares por mês",1,0)+IF(AA496="SIM",1,0)+IF(R496="SIM",1,0)+IF(AL496="SIM",1,0)+IF(AJ496="NÃO",1,0))&gt;=5,"SIM - Alta criticidade",IF((IF(I496="SIM",2,0)+IF(K496="SIM",2,0)+IF(AF496="SIM",2,0)+IF(OR(AN496="Dados pessoais",AN496="Dados sensíveis",AN496="Dados pessoais e sensíveis"),2,0)+IF(O496="De 1.001 a 10.000 titulares por mês",1,0)+IF(AA496="SIM",1,0)+IF(R496="SIM",1,0)+IF(AL496="SIM",1,0)+IF(AJ496="NÃO",1,0))&gt;=3,"Avaliação necessária","NÃO"))))</f>
      </c>
      <c r="AR496" s="11"/>
      <c r="AS496" s="113">
        <f>IF(AND(I496="",K496="",AF496="",AL496="",AN496="",O496=""),"",IF(OR(I496="SIM",K496="SIM",AF496="SIM",AL496="SIM",OR(AN496="Dados pessoais",AN496="Dados sensíveis",AN496="Dados pessoais e sensíveis"),O496="Acima de 10.000 titulares por mês",(IF(I496="SIM",2,0)+IF(K496="SIM",2,0)+IF(AF496="SIM",2,0)+IF(OR(AN496="Dados pessoais",AN496="Dados sensíveis",AN496="Dados pessoais e sensíveis"),2,0)+IF(O496="De 1.001 a 10.000 titulares por mês",1,0)+IF(AA496="SIM",1,0)+IF(R496="SIM",1,0)+IF(AL496="SIM",1,0)+IF(AJ496="NÃO",1,0))&gt;=3),"DPIA indicado ou em avaliação em razão de: " &amp; TRIM(IF(I496="SIM","tratamento de dados sensíveis; ","") &amp; IF(K496="SIM","utilização de dados de menores; ","") &amp; IF(AF496="SIM","transferência internacional de dados; ","") &amp; IF(AL496="SIM","utilização de inteligência artificial; ","") &amp; IF(OR(AN496="Dados pessoais",AN496="Dados sensíveis",AN496="Dados pessoais e sensíveis"),"dados inseridos em IA; ","") &amp; IF(O496="Acima de 10.000 titulares por mês","volume crítico de titulares; ","") &amp; IF(O496="De 1.001 a 10.000 titulares por mês","volume moderado de titulares; ","") &amp; IF(AA496="SIM","compartilhamento com terceiros; ","") &amp; IF(R496="SIM","compartilhamento com órgãos governamentais; ","") &amp; IF(AJ496="NÃO","ausência de controle de acesso por perfil; ","")),"DPIA não indicado: Processo de baixa criticidade."))</f>
      </c>
    </row>
    <row x14ac:dyDescent="0.25" r="497" customHeight="1" ht="15.75">
      <c r="A497" s="46"/>
      <c r="B497" s="6"/>
      <c r="C497" s="11"/>
      <c r="D497" s="11"/>
      <c r="E497" s="11"/>
      <c r="F497" s="29"/>
      <c r="G497" s="11"/>
      <c r="H497" s="11"/>
      <c r="I497" s="29"/>
      <c r="J497" s="11"/>
      <c r="K497" s="29"/>
      <c r="L497" s="11"/>
      <c r="M497" s="11"/>
      <c r="N497" s="11"/>
      <c r="O497" s="29"/>
      <c r="P497" s="29"/>
      <c r="Q497" s="11"/>
      <c r="R497" s="29"/>
      <c r="S497" s="11"/>
      <c r="T497" s="6"/>
      <c r="U497" s="29"/>
      <c r="V497" s="11"/>
      <c r="W497" s="11"/>
      <c r="X497" s="29"/>
      <c r="Y497" s="11"/>
      <c r="Z497" s="29"/>
      <c r="AA497" s="29"/>
      <c r="AB497" s="11"/>
      <c r="AC497" s="11"/>
      <c r="AD497" s="29"/>
      <c r="AE497" s="11"/>
      <c r="AF497" s="29"/>
      <c r="AG497" s="11"/>
      <c r="AH497" s="29"/>
      <c r="AI497" s="11"/>
      <c r="AJ497" s="29"/>
      <c r="AK497" s="29"/>
      <c r="AL497" s="29"/>
      <c r="AM497" s="11"/>
      <c r="AN497" s="29"/>
      <c r="AO497" s="29"/>
      <c r="AP497" s="6"/>
      <c r="AQ497" s="113">
        <f>IF(AND(I497="",K497="",AF497="",AL497="",AN497="",O497=""),"",IF(OR(I497="SIM",K497="SIM",AF497="SIM",AL497="SIM",AN497="Dados pessoais",AN497="Dados sensíveis",AN497="Dados pessoais e sensíveis",O497="Acima de 10.000 titulares por mês"),"SIM - Alta criticidade",IF((IF(I497="SIM",2,0)+IF(K497="SIM",2,0)+IF(AF497="SIM",2,0)+IF(OR(AN497="Dados pessoais",AN497="Dados sensíveis",AN497="Dados pessoais e sensíveis"),2,0)+IF(O497="De 1.001 a 10.000 titulares por mês",1,0)+IF(AA497="SIM",1,0)+IF(R497="SIM",1,0)+IF(AL497="SIM",1,0)+IF(AJ497="NÃO",1,0))&gt;=5,"SIM - Alta criticidade",IF((IF(I497="SIM",2,0)+IF(K497="SIM",2,0)+IF(AF497="SIM",2,0)+IF(OR(AN497="Dados pessoais",AN497="Dados sensíveis",AN497="Dados pessoais e sensíveis"),2,0)+IF(O497="De 1.001 a 10.000 titulares por mês",1,0)+IF(AA497="SIM",1,0)+IF(R497="SIM",1,0)+IF(AL497="SIM",1,0)+IF(AJ497="NÃO",1,0))&gt;=3,"Avaliação necessária","NÃO"))))</f>
      </c>
      <c r="AR497" s="11"/>
      <c r="AS497" s="113">
        <f>IF(AND(I497="",K497="",AF497="",AL497="",AN497="",O497=""),"",IF(OR(I497="SIM",K497="SIM",AF497="SIM",AL497="SIM",OR(AN497="Dados pessoais",AN497="Dados sensíveis",AN497="Dados pessoais e sensíveis"),O497="Acima de 10.000 titulares por mês",(IF(I497="SIM",2,0)+IF(K497="SIM",2,0)+IF(AF497="SIM",2,0)+IF(OR(AN497="Dados pessoais",AN497="Dados sensíveis",AN497="Dados pessoais e sensíveis"),2,0)+IF(O497="De 1.001 a 10.000 titulares por mês",1,0)+IF(AA497="SIM",1,0)+IF(R497="SIM",1,0)+IF(AL497="SIM",1,0)+IF(AJ497="NÃO",1,0))&gt;=3),"DPIA indicado ou em avaliação em razão de: " &amp; TRIM(IF(I497="SIM","tratamento de dados sensíveis; ","") &amp; IF(K497="SIM","utilização de dados de menores; ","") &amp; IF(AF497="SIM","transferência internacional de dados; ","") &amp; IF(AL497="SIM","utilização de inteligência artificial; ","") &amp; IF(OR(AN497="Dados pessoais",AN497="Dados sensíveis",AN497="Dados pessoais e sensíveis"),"dados inseridos em IA; ","") &amp; IF(O497="Acima de 10.000 titulares por mês","volume crítico de titulares; ","") &amp; IF(O497="De 1.001 a 10.000 titulares por mês","volume moderado de titulares; ","") &amp; IF(AA497="SIM","compartilhamento com terceiros; ","") &amp; IF(R497="SIM","compartilhamento com órgãos governamentais; ","") &amp; IF(AJ497="NÃO","ausência de controle de acesso por perfil; ","")),"DPIA não indicado: Processo de baixa criticidade."))</f>
      </c>
    </row>
    <row x14ac:dyDescent="0.25" r="498" customHeight="1" ht="15.75">
      <c r="A498" s="46"/>
      <c r="B498" s="6"/>
      <c r="C498" s="11"/>
      <c r="D498" s="11"/>
      <c r="E498" s="11"/>
      <c r="F498" s="29"/>
      <c r="G498" s="11"/>
      <c r="H498" s="11"/>
      <c r="I498" s="29"/>
      <c r="J498" s="11"/>
      <c r="K498" s="29"/>
      <c r="L498" s="11"/>
      <c r="M498" s="11"/>
      <c r="N498" s="11"/>
      <c r="O498" s="29"/>
      <c r="P498" s="29"/>
      <c r="Q498" s="11"/>
      <c r="R498" s="29"/>
      <c r="S498" s="11"/>
      <c r="T498" s="6"/>
      <c r="U498" s="29"/>
      <c r="V498" s="11"/>
      <c r="W498" s="11"/>
      <c r="X498" s="29"/>
      <c r="Y498" s="11"/>
      <c r="Z498" s="29"/>
      <c r="AA498" s="29"/>
      <c r="AB498" s="11"/>
      <c r="AC498" s="11"/>
      <c r="AD498" s="29"/>
      <c r="AE498" s="11"/>
      <c r="AF498" s="29"/>
      <c r="AG498" s="11"/>
      <c r="AH498" s="29"/>
      <c r="AI498" s="11"/>
      <c r="AJ498" s="29"/>
      <c r="AK498" s="29"/>
      <c r="AL498" s="29"/>
      <c r="AM498" s="11"/>
      <c r="AN498" s="29"/>
      <c r="AO498" s="29"/>
      <c r="AP498" s="6"/>
      <c r="AQ498" s="113">
        <f>IF(AND(I498="",K498="",AF498="",AL498="",AN498="",O498=""),"",IF(OR(I498="SIM",K498="SIM",AF498="SIM",AL498="SIM",AN498="Dados pessoais",AN498="Dados sensíveis",AN498="Dados pessoais e sensíveis",O498="Acima de 10.000 titulares por mês"),"SIM - Alta criticidade",IF((IF(I498="SIM",2,0)+IF(K498="SIM",2,0)+IF(AF498="SIM",2,0)+IF(OR(AN498="Dados pessoais",AN498="Dados sensíveis",AN498="Dados pessoais e sensíveis"),2,0)+IF(O498="De 1.001 a 10.000 titulares por mês",1,0)+IF(AA498="SIM",1,0)+IF(R498="SIM",1,0)+IF(AL498="SIM",1,0)+IF(AJ498="NÃO",1,0))&gt;=5,"SIM - Alta criticidade",IF((IF(I498="SIM",2,0)+IF(K498="SIM",2,0)+IF(AF498="SIM",2,0)+IF(OR(AN498="Dados pessoais",AN498="Dados sensíveis",AN498="Dados pessoais e sensíveis"),2,0)+IF(O498="De 1.001 a 10.000 titulares por mês",1,0)+IF(AA498="SIM",1,0)+IF(R498="SIM",1,0)+IF(AL498="SIM",1,0)+IF(AJ498="NÃO",1,0))&gt;=3,"Avaliação necessária","NÃO"))))</f>
      </c>
      <c r="AR498" s="11"/>
      <c r="AS498" s="113">
        <f>IF(AND(I498="",K498="",AF498="",AL498="",AN498="",O498=""),"",IF(OR(I498="SIM",K498="SIM",AF498="SIM",AL498="SIM",OR(AN498="Dados pessoais",AN498="Dados sensíveis",AN498="Dados pessoais e sensíveis"),O498="Acima de 10.000 titulares por mês",(IF(I498="SIM",2,0)+IF(K498="SIM",2,0)+IF(AF498="SIM",2,0)+IF(OR(AN498="Dados pessoais",AN498="Dados sensíveis",AN498="Dados pessoais e sensíveis"),2,0)+IF(O498="De 1.001 a 10.000 titulares por mês",1,0)+IF(AA498="SIM",1,0)+IF(R498="SIM",1,0)+IF(AL498="SIM",1,0)+IF(AJ498="NÃO",1,0))&gt;=3),"DPIA indicado ou em avaliação em razão de: " &amp; TRIM(IF(I498="SIM","tratamento de dados sensíveis; ","") &amp; IF(K498="SIM","utilização de dados de menores; ","") &amp; IF(AF498="SIM","transferência internacional de dados; ","") &amp; IF(AL498="SIM","utilização de inteligência artificial; ","") &amp; IF(OR(AN498="Dados pessoais",AN498="Dados sensíveis",AN498="Dados pessoais e sensíveis"),"dados inseridos em IA; ","") &amp; IF(O498="Acima de 10.000 titulares por mês","volume crítico de titulares; ","") &amp; IF(O498="De 1.001 a 10.000 titulares por mês","volume moderado de titulares; ","") &amp; IF(AA498="SIM","compartilhamento com terceiros; ","") &amp; IF(R498="SIM","compartilhamento com órgãos governamentais; ","") &amp; IF(AJ498="NÃO","ausência de controle de acesso por perfil; ","")),"DPIA não indicado: Processo de baixa criticidade."))</f>
      </c>
    </row>
    <row x14ac:dyDescent="0.25" r="499" customHeight="1" ht="15.75">
      <c r="A499" s="46"/>
      <c r="B499" s="6"/>
      <c r="C499" s="11"/>
      <c r="D499" s="11"/>
      <c r="E499" s="11"/>
      <c r="F499" s="29"/>
      <c r="G499" s="11"/>
      <c r="H499" s="11"/>
      <c r="I499" s="29"/>
      <c r="J499" s="11"/>
      <c r="K499" s="29"/>
      <c r="L499" s="11"/>
      <c r="M499" s="11"/>
      <c r="N499" s="11"/>
      <c r="O499" s="29"/>
      <c r="P499" s="29"/>
      <c r="Q499" s="11"/>
      <c r="R499" s="29"/>
      <c r="S499" s="11"/>
      <c r="T499" s="6"/>
      <c r="U499" s="29"/>
      <c r="V499" s="11"/>
      <c r="W499" s="11"/>
      <c r="X499" s="29"/>
      <c r="Y499" s="11"/>
      <c r="Z499" s="29"/>
      <c r="AA499" s="29"/>
      <c r="AB499" s="11"/>
      <c r="AC499" s="11"/>
      <c r="AD499" s="29"/>
      <c r="AE499" s="11"/>
      <c r="AF499" s="29"/>
      <c r="AG499" s="11"/>
      <c r="AH499" s="29"/>
      <c r="AI499" s="11"/>
      <c r="AJ499" s="29"/>
      <c r="AK499" s="29"/>
      <c r="AL499" s="29"/>
      <c r="AM499" s="11"/>
      <c r="AN499" s="29"/>
      <c r="AO499" s="29"/>
      <c r="AP499" s="6"/>
      <c r="AQ499" s="113">
        <f>IF(AND(I499="",K499="",AF499="",AL499="",AN499="",O499=""),"",IF(OR(I499="SIM",K499="SIM",AF499="SIM",AL499="SIM",AN499="Dados pessoais",AN499="Dados sensíveis",AN499="Dados pessoais e sensíveis",O499="Acima de 10.000 titulares por mês"),"SIM - Alta criticidade",IF((IF(I499="SIM",2,0)+IF(K499="SIM",2,0)+IF(AF499="SIM",2,0)+IF(OR(AN499="Dados pessoais",AN499="Dados sensíveis",AN499="Dados pessoais e sensíveis"),2,0)+IF(O499="De 1.001 a 10.000 titulares por mês",1,0)+IF(AA499="SIM",1,0)+IF(R499="SIM",1,0)+IF(AL499="SIM",1,0)+IF(AJ499="NÃO",1,0))&gt;=5,"SIM - Alta criticidade",IF((IF(I499="SIM",2,0)+IF(K499="SIM",2,0)+IF(AF499="SIM",2,0)+IF(OR(AN499="Dados pessoais",AN499="Dados sensíveis",AN499="Dados pessoais e sensíveis"),2,0)+IF(O499="De 1.001 a 10.000 titulares por mês",1,0)+IF(AA499="SIM",1,0)+IF(R499="SIM",1,0)+IF(AL499="SIM",1,0)+IF(AJ499="NÃO",1,0))&gt;=3,"Avaliação necessária","NÃO"))))</f>
      </c>
      <c r="AR499" s="11"/>
      <c r="AS499" s="113">
        <f>IF(AND(I499="",K499="",AF499="",AL499="",AN499="",O499=""),"",IF(OR(I499="SIM",K499="SIM",AF499="SIM",AL499="SIM",OR(AN499="Dados pessoais",AN499="Dados sensíveis",AN499="Dados pessoais e sensíveis"),O499="Acima de 10.000 titulares por mês",(IF(I499="SIM",2,0)+IF(K499="SIM",2,0)+IF(AF499="SIM",2,0)+IF(OR(AN499="Dados pessoais",AN499="Dados sensíveis",AN499="Dados pessoais e sensíveis"),2,0)+IF(O499="De 1.001 a 10.000 titulares por mês",1,0)+IF(AA499="SIM",1,0)+IF(R499="SIM",1,0)+IF(AL499="SIM",1,0)+IF(AJ499="NÃO",1,0))&gt;=3),"DPIA indicado ou em avaliação em razão de: " &amp; TRIM(IF(I499="SIM","tratamento de dados sensíveis; ","") &amp; IF(K499="SIM","utilização de dados de menores; ","") &amp; IF(AF499="SIM","transferência internacional de dados; ","") &amp; IF(AL499="SIM","utilização de inteligência artificial; ","") &amp; IF(OR(AN499="Dados pessoais",AN499="Dados sensíveis",AN499="Dados pessoais e sensíveis"),"dados inseridos em IA; ","") &amp; IF(O499="Acima de 10.000 titulares por mês","volume crítico de titulares; ","") &amp; IF(O499="De 1.001 a 10.000 titulares por mês","volume moderado de titulares; ","") &amp; IF(AA499="SIM","compartilhamento com terceiros; ","") &amp; IF(R499="SIM","compartilhamento com órgãos governamentais; ","") &amp; IF(AJ499="NÃO","ausência de controle de acesso por perfil; ","")),"DPIA não indicado: Processo de baixa criticidade."))</f>
      </c>
    </row>
    <row x14ac:dyDescent="0.25" r="500" customHeight="1" ht="15.75">
      <c r="A500" s="46"/>
      <c r="B500" s="6"/>
      <c r="C500" s="11"/>
      <c r="D500" s="11"/>
      <c r="E500" s="11"/>
      <c r="F500" s="29"/>
      <c r="G500" s="11"/>
      <c r="H500" s="11"/>
      <c r="I500" s="29"/>
      <c r="J500" s="11"/>
      <c r="K500" s="29"/>
      <c r="L500" s="11"/>
      <c r="M500" s="11"/>
      <c r="N500" s="11"/>
      <c r="O500" s="29"/>
      <c r="P500" s="29"/>
      <c r="Q500" s="11"/>
      <c r="R500" s="29"/>
      <c r="S500" s="11"/>
      <c r="T500" s="6"/>
      <c r="U500" s="29"/>
      <c r="V500" s="11"/>
      <c r="W500" s="11"/>
      <c r="X500" s="29"/>
      <c r="Y500" s="11"/>
      <c r="Z500" s="29"/>
      <c r="AA500" s="29"/>
      <c r="AB500" s="11"/>
      <c r="AC500" s="11"/>
      <c r="AD500" s="29"/>
      <c r="AE500" s="11"/>
      <c r="AF500" s="29"/>
      <c r="AG500" s="11"/>
      <c r="AH500" s="29"/>
      <c r="AI500" s="11"/>
      <c r="AJ500" s="29"/>
      <c r="AK500" s="29"/>
      <c r="AL500" s="29"/>
      <c r="AM500" s="11"/>
      <c r="AN500" s="29"/>
      <c r="AO500" s="29"/>
      <c r="AP500" s="6"/>
      <c r="AQ500" s="113">
        <f>IF(AND(I500="",K500="",AF500="",AL500="",AN500="",O500=""),"",IF(OR(I500="SIM",K500="SIM",AF500="SIM",AL500="SIM",AN500="Dados pessoais",AN500="Dados sensíveis",AN500="Dados pessoais e sensíveis",O500="Acima de 10.000 titulares por mês"),"SIM - Alta criticidade",IF((IF(I500="SIM",2,0)+IF(K500="SIM",2,0)+IF(AF500="SIM",2,0)+IF(OR(AN500="Dados pessoais",AN500="Dados sensíveis",AN500="Dados pessoais e sensíveis"),2,0)+IF(O500="De 1.001 a 10.000 titulares por mês",1,0)+IF(AA500="SIM",1,0)+IF(R500="SIM",1,0)+IF(AL500="SIM",1,0)+IF(AJ500="NÃO",1,0))&gt;=5,"SIM - Alta criticidade",IF((IF(I500="SIM",2,0)+IF(K500="SIM",2,0)+IF(AF500="SIM",2,0)+IF(OR(AN500="Dados pessoais",AN500="Dados sensíveis",AN500="Dados pessoais e sensíveis"),2,0)+IF(O500="De 1.001 a 10.000 titulares por mês",1,0)+IF(AA500="SIM",1,0)+IF(R500="SIM",1,0)+IF(AL500="SIM",1,0)+IF(AJ500="NÃO",1,0))&gt;=3,"Avaliação necessária","NÃO"))))</f>
      </c>
      <c r="AR500" s="11"/>
      <c r="AS500" s="113">
        <f>IF(AND(I500="",K500="",AF500="",AL500="",AN500="",O500=""),"",IF(OR(I500="SIM",K500="SIM",AF500="SIM",AL500="SIM",OR(AN500="Dados pessoais",AN500="Dados sensíveis",AN500="Dados pessoais e sensíveis"),O500="Acima de 10.000 titulares por mês",(IF(I500="SIM",2,0)+IF(K500="SIM",2,0)+IF(AF500="SIM",2,0)+IF(OR(AN500="Dados pessoais",AN500="Dados sensíveis",AN500="Dados pessoais e sensíveis"),2,0)+IF(O500="De 1.001 a 10.000 titulares por mês",1,0)+IF(AA500="SIM",1,0)+IF(R500="SIM",1,0)+IF(AL500="SIM",1,0)+IF(AJ500="NÃO",1,0))&gt;=3),"DPIA indicado ou em avaliação em razão de: " &amp; TRIM(IF(I500="SIM","tratamento de dados sensíveis; ","") &amp; IF(K500="SIM","utilização de dados de menores; ","") &amp; IF(AF500="SIM","transferência internacional de dados; ","") &amp; IF(AL500="SIM","utilização de inteligência artificial; ","") &amp; IF(OR(AN500="Dados pessoais",AN500="Dados sensíveis",AN500="Dados pessoais e sensíveis"),"dados inseridos em IA; ","") &amp; IF(O500="Acima de 10.000 titulares por mês","volume crítico de titulares; ","") &amp; IF(O500="De 1.001 a 10.000 titulares por mês","volume moderado de titulares; ","") &amp; IF(AA500="SIM","compartilhamento com terceiros; ","") &amp; IF(R500="SIM","compartilhamento com órgãos governamentais; ","") &amp; IF(AJ500="NÃO","ausência de controle de acesso por perfil; ","")),"DPIA não indicado: Processo de baixa criticidade."))</f>
      </c>
    </row>
    <row x14ac:dyDescent="0.25" r="501" customHeight="1" ht="15.75">
      <c r="A501" s="46"/>
      <c r="B501" s="6"/>
      <c r="C501" s="11"/>
      <c r="D501" s="11"/>
      <c r="E501" s="11"/>
      <c r="F501" s="29"/>
      <c r="G501" s="11"/>
      <c r="H501" s="11"/>
      <c r="I501" s="29"/>
      <c r="J501" s="11"/>
      <c r="K501" s="29"/>
      <c r="L501" s="11"/>
      <c r="M501" s="11"/>
      <c r="N501" s="11"/>
      <c r="O501" s="29"/>
      <c r="P501" s="29"/>
      <c r="Q501" s="11"/>
      <c r="R501" s="29"/>
      <c r="S501" s="11"/>
      <c r="T501" s="6"/>
      <c r="U501" s="29"/>
      <c r="V501" s="11"/>
      <c r="W501" s="11"/>
      <c r="X501" s="29"/>
      <c r="Y501" s="11"/>
      <c r="Z501" s="29"/>
      <c r="AA501" s="29"/>
      <c r="AB501" s="11"/>
      <c r="AC501" s="11"/>
      <c r="AD501" s="29"/>
      <c r="AE501" s="11"/>
      <c r="AF501" s="29"/>
      <c r="AG501" s="11"/>
      <c r="AH501" s="29"/>
      <c r="AI501" s="11"/>
      <c r="AJ501" s="29"/>
      <c r="AK501" s="29"/>
      <c r="AL501" s="29"/>
      <c r="AM501" s="11"/>
      <c r="AN501" s="29"/>
      <c r="AO501" s="29"/>
      <c r="AP501" s="6"/>
      <c r="AQ501" s="113">
        <f>IF(AND(I501="",K501="",AF501="",AL501="",AN501="",O501=""),"",IF(OR(I501="SIM",K501="SIM",AF501="SIM",AL501="SIM",AN501="Dados pessoais",AN501="Dados sensíveis",AN501="Dados pessoais e sensíveis",O501="Acima de 10.000 titulares por mês"),"SIM - Alta criticidade",IF((IF(I501="SIM",2,0)+IF(K501="SIM",2,0)+IF(AF501="SIM",2,0)+IF(OR(AN501="Dados pessoais",AN501="Dados sensíveis",AN501="Dados pessoais e sensíveis"),2,0)+IF(O501="De 1.001 a 10.000 titulares por mês",1,0)+IF(AA501="SIM",1,0)+IF(R501="SIM",1,0)+IF(AL501="SIM",1,0)+IF(AJ501="NÃO",1,0))&gt;=5,"SIM - Alta criticidade",IF((IF(I501="SIM",2,0)+IF(K501="SIM",2,0)+IF(AF501="SIM",2,0)+IF(OR(AN501="Dados pessoais",AN501="Dados sensíveis",AN501="Dados pessoais e sensíveis"),2,0)+IF(O501="De 1.001 a 10.000 titulares por mês",1,0)+IF(AA501="SIM",1,0)+IF(R501="SIM",1,0)+IF(AL501="SIM",1,0)+IF(AJ501="NÃO",1,0))&gt;=3,"Avaliação necessária","NÃO"))))</f>
      </c>
      <c r="AR501" s="11"/>
      <c r="AS501" s="113">
        <f>IF(AND(I501="",K501="",AF501="",AL501="",AN501="",O501=""),"",IF(OR(I501="SIM",K501="SIM",AF501="SIM",AL501="SIM",OR(AN501="Dados pessoais",AN501="Dados sensíveis",AN501="Dados pessoais e sensíveis"),O501="Acima de 10.000 titulares por mês",(IF(I501="SIM",2,0)+IF(K501="SIM",2,0)+IF(AF501="SIM",2,0)+IF(OR(AN501="Dados pessoais",AN501="Dados sensíveis",AN501="Dados pessoais e sensíveis"),2,0)+IF(O501="De 1.001 a 10.000 titulares por mês",1,0)+IF(AA501="SIM",1,0)+IF(R501="SIM",1,0)+IF(AL501="SIM",1,0)+IF(AJ501="NÃO",1,0))&gt;=3),"DPIA indicado ou em avaliação em razão de: " &amp; TRIM(IF(I501="SIM","tratamento de dados sensíveis; ","") &amp; IF(K501="SIM","utilização de dados de menores; ","") &amp; IF(AF501="SIM","transferência internacional de dados; ","") &amp; IF(AL501="SIM","utilização de inteligência artificial; ","") &amp; IF(OR(AN501="Dados pessoais",AN501="Dados sensíveis",AN501="Dados pessoais e sensíveis"),"dados inseridos em IA; ","") &amp; IF(O501="Acima de 10.000 titulares por mês","volume crítico de titulares; ","") &amp; IF(O501="De 1.001 a 10.000 titulares por mês","volume moderado de titulares; ","") &amp; IF(AA501="SIM","compartilhamento com terceiros; ","") &amp; IF(R501="SIM","compartilhamento com órgãos governamentais; ","") &amp; IF(AJ501="NÃO","ausência de controle de acesso por perfil; ","")),"DPIA não indicado: Processo de baixa criticidade."))</f>
      </c>
    </row>
    <row x14ac:dyDescent="0.25" r="502" customHeight="1" ht="15.75">
      <c r="A502" s="46"/>
      <c r="B502" s="6"/>
      <c r="C502" s="11"/>
      <c r="D502" s="11"/>
      <c r="E502" s="11"/>
      <c r="F502" s="29"/>
      <c r="G502" s="11"/>
      <c r="H502" s="11"/>
      <c r="I502" s="29"/>
      <c r="J502" s="11"/>
      <c r="K502" s="29"/>
      <c r="L502" s="11"/>
      <c r="M502" s="11"/>
      <c r="N502" s="11"/>
      <c r="O502" s="29"/>
      <c r="P502" s="29"/>
      <c r="Q502" s="11"/>
      <c r="R502" s="29"/>
      <c r="S502" s="11"/>
      <c r="T502" s="6"/>
      <c r="U502" s="29"/>
      <c r="V502" s="11"/>
      <c r="W502" s="11"/>
      <c r="X502" s="29"/>
      <c r="Y502" s="11"/>
      <c r="Z502" s="29"/>
      <c r="AA502" s="29"/>
      <c r="AB502" s="11"/>
      <c r="AC502" s="11"/>
      <c r="AD502" s="29"/>
      <c r="AE502" s="11"/>
      <c r="AF502" s="29"/>
      <c r="AG502" s="11"/>
      <c r="AH502" s="29"/>
      <c r="AI502" s="11"/>
      <c r="AJ502" s="29"/>
      <c r="AK502" s="29"/>
      <c r="AL502" s="29"/>
      <c r="AM502" s="11"/>
      <c r="AN502" s="29"/>
      <c r="AO502" s="29"/>
      <c r="AP502" s="6"/>
      <c r="AQ502" s="113">
        <f>IF(AND(I502="",K502="",AF502="",AL502="",AN502="",O502=""),"",IF(OR(I502="SIM",K502="SIM",AF502="SIM",AL502="SIM",AN502="Dados pessoais",AN502="Dados sensíveis",AN502="Dados pessoais e sensíveis",O502="Acima de 10.000 titulares por mês"),"SIM - Alta criticidade",IF((IF(I502="SIM",2,0)+IF(K502="SIM",2,0)+IF(AF502="SIM",2,0)+IF(OR(AN502="Dados pessoais",AN502="Dados sensíveis",AN502="Dados pessoais e sensíveis"),2,0)+IF(O502="De 1.001 a 10.000 titulares por mês",1,0)+IF(AA502="SIM",1,0)+IF(R502="SIM",1,0)+IF(AL502="SIM",1,0)+IF(AJ502="NÃO",1,0))&gt;=5,"SIM - Alta criticidade",IF((IF(I502="SIM",2,0)+IF(K502="SIM",2,0)+IF(AF502="SIM",2,0)+IF(OR(AN502="Dados pessoais",AN502="Dados sensíveis",AN502="Dados pessoais e sensíveis"),2,0)+IF(O502="De 1.001 a 10.000 titulares por mês",1,0)+IF(AA502="SIM",1,0)+IF(R502="SIM",1,0)+IF(AL502="SIM",1,0)+IF(AJ502="NÃO",1,0))&gt;=3,"Avaliação necessária","NÃO"))))</f>
      </c>
      <c r="AR502" s="11"/>
      <c r="AS502" s="113">
        <f>IF(AND(I502="",K502="",AF502="",AL502="",AN502="",O502=""),"",IF(OR(I502="SIM",K502="SIM",AF502="SIM",AL502="SIM",OR(AN502="Dados pessoais",AN502="Dados sensíveis",AN502="Dados pessoais e sensíveis"),O502="Acima de 10.000 titulares por mês",(IF(I502="SIM",2,0)+IF(K502="SIM",2,0)+IF(AF502="SIM",2,0)+IF(OR(AN502="Dados pessoais",AN502="Dados sensíveis",AN502="Dados pessoais e sensíveis"),2,0)+IF(O502="De 1.001 a 10.000 titulares por mês",1,0)+IF(AA502="SIM",1,0)+IF(R502="SIM",1,0)+IF(AL502="SIM",1,0)+IF(AJ502="NÃO",1,0))&gt;=3),"DPIA indicado ou em avaliação em razão de: " &amp; TRIM(IF(I502="SIM","tratamento de dados sensíveis; ","") &amp; IF(K502="SIM","utilização de dados de menores; ","") &amp; IF(AF502="SIM","transferência internacional de dados; ","") &amp; IF(AL502="SIM","utilização de inteligência artificial; ","") &amp; IF(OR(AN502="Dados pessoais",AN502="Dados sensíveis",AN502="Dados pessoais e sensíveis"),"dados inseridos em IA; ","") &amp; IF(O502="Acima de 10.000 titulares por mês","volume crítico de titulares; ","") &amp; IF(O502="De 1.001 a 10.000 titulares por mês","volume moderado de titulares; ","") &amp; IF(AA502="SIM","compartilhamento com terceiros; ","") &amp; IF(R502="SIM","compartilhamento com órgãos governamentais; ","") &amp; IF(AJ502="NÃO","ausência de controle de acesso por perfil; ","")),"DPIA não indicado: Processo de baixa criticidade."))</f>
      </c>
    </row>
    <row x14ac:dyDescent="0.25" r="503" customHeight="1" ht="15.75">
      <c r="A503" s="46"/>
      <c r="B503" s="6"/>
      <c r="C503" s="11"/>
      <c r="D503" s="11"/>
      <c r="E503" s="11"/>
      <c r="F503" s="29"/>
      <c r="G503" s="11"/>
      <c r="H503" s="11"/>
      <c r="I503" s="29"/>
      <c r="J503" s="11"/>
      <c r="K503" s="29"/>
      <c r="L503" s="11"/>
      <c r="M503" s="11"/>
      <c r="N503" s="11"/>
      <c r="O503" s="29"/>
      <c r="P503" s="29"/>
      <c r="Q503" s="11"/>
      <c r="R503" s="29"/>
      <c r="S503" s="11"/>
      <c r="T503" s="6"/>
      <c r="U503" s="29"/>
      <c r="V503" s="11"/>
      <c r="W503" s="11"/>
      <c r="X503" s="29"/>
      <c r="Y503" s="11"/>
      <c r="Z503" s="29"/>
      <c r="AA503" s="29"/>
      <c r="AB503" s="11"/>
      <c r="AC503" s="11"/>
      <c r="AD503" s="29"/>
      <c r="AE503" s="11"/>
      <c r="AF503" s="29"/>
      <c r="AG503" s="11"/>
      <c r="AH503" s="29"/>
      <c r="AI503" s="11"/>
      <c r="AJ503" s="29"/>
      <c r="AK503" s="29"/>
      <c r="AL503" s="29"/>
      <c r="AM503" s="11"/>
      <c r="AN503" s="29"/>
      <c r="AO503" s="29"/>
      <c r="AP503" s="6"/>
      <c r="AQ503" s="113">
        <f>IF(AND(I503="",K503="",AF503="",AL503="",AN503="",O503=""),"",IF(OR(I503="SIM",K503="SIM",AF503="SIM",AL503="SIM",AN503="Dados pessoais",AN503="Dados sensíveis",AN503="Dados pessoais e sensíveis",O503="Acima de 10.000 titulares por mês"),"SIM - Alta criticidade",IF((IF(I503="SIM",2,0)+IF(K503="SIM",2,0)+IF(AF503="SIM",2,0)+IF(OR(AN503="Dados pessoais",AN503="Dados sensíveis",AN503="Dados pessoais e sensíveis"),2,0)+IF(O503="De 1.001 a 10.000 titulares por mês",1,0)+IF(AA503="SIM",1,0)+IF(R503="SIM",1,0)+IF(AL503="SIM",1,0)+IF(AJ503="NÃO",1,0))&gt;=5,"SIM - Alta criticidade",IF((IF(I503="SIM",2,0)+IF(K503="SIM",2,0)+IF(AF503="SIM",2,0)+IF(OR(AN503="Dados pessoais",AN503="Dados sensíveis",AN503="Dados pessoais e sensíveis"),2,0)+IF(O503="De 1.001 a 10.000 titulares por mês",1,0)+IF(AA503="SIM",1,0)+IF(R503="SIM",1,0)+IF(AL503="SIM",1,0)+IF(AJ503="NÃO",1,0))&gt;=3,"Avaliação necessária","NÃO"))))</f>
      </c>
      <c r="AR503" s="11"/>
      <c r="AS503" s="113">
        <f>IF(AND(I503="",K503="",AF503="",AL503="",AN503="",O503=""),"",IF(OR(I503="SIM",K503="SIM",AF503="SIM",AL503="SIM",OR(AN503="Dados pessoais",AN503="Dados sensíveis",AN503="Dados pessoais e sensíveis"),O503="Acima de 10.000 titulares por mês",(IF(I503="SIM",2,0)+IF(K503="SIM",2,0)+IF(AF503="SIM",2,0)+IF(OR(AN503="Dados pessoais",AN503="Dados sensíveis",AN503="Dados pessoais e sensíveis"),2,0)+IF(O503="De 1.001 a 10.000 titulares por mês",1,0)+IF(AA503="SIM",1,0)+IF(R503="SIM",1,0)+IF(AL503="SIM",1,0)+IF(AJ503="NÃO",1,0))&gt;=3),"DPIA indicado ou em avaliação em razão de: " &amp; TRIM(IF(I503="SIM","tratamento de dados sensíveis; ","") &amp; IF(K503="SIM","utilização de dados de menores; ","") &amp; IF(AF503="SIM","transferência internacional de dados; ","") &amp; IF(AL503="SIM","utilização de inteligência artificial; ","") &amp; IF(OR(AN503="Dados pessoais",AN503="Dados sensíveis",AN503="Dados pessoais e sensíveis"),"dados inseridos em IA; ","") &amp; IF(O503="Acima de 10.000 titulares por mês","volume crítico de titulares; ","") &amp; IF(O503="De 1.001 a 10.000 titulares por mês","volume moderado de titulares; ","") &amp; IF(AA503="SIM","compartilhamento com terceiros; ","") &amp; IF(R503="SIM","compartilhamento com órgãos governamentais; ","") &amp; IF(AJ503="NÃO","ausência de controle de acesso por perfil; ","")),"DPIA não indicado: Processo de baixa criticidade."))</f>
      </c>
    </row>
    <row x14ac:dyDescent="0.25" r="504" customHeight="1" ht="15.75">
      <c r="A504" s="46"/>
      <c r="B504" s="6"/>
      <c r="C504" s="11"/>
      <c r="D504" s="11"/>
      <c r="E504" s="11"/>
      <c r="F504" s="29"/>
      <c r="G504" s="11"/>
      <c r="H504" s="11"/>
      <c r="I504" s="29"/>
      <c r="J504" s="11"/>
      <c r="K504" s="29"/>
      <c r="L504" s="11"/>
      <c r="M504" s="11"/>
      <c r="N504" s="11"/>
      <c r="O504" s="29"/>
      <c r="P504" s="29"/>
      <c r="Q504" s="11"/>
      <c r="R504" s="29"/>
      <c r="S504" s="11"/>
      <c r="T504" s="6"/>
      <c r="U504" s="29"/>
      <c r="V504" s="11"/>
      <c r="W504" s="11"/>
      <c r="X504" s="29"/>
      <c r="Y504" s="11"/>
      <c r="Z504" s="29"/>
      <c r="AA504" s="29"/>
      <c r="AB504" s="11"/>
      <c r="AC504" s="11"/>
      <c r="AD504" s="29"/>
      <c r="AE504" s="11"/>
      <c r="AF504" s="29"/>
      <c r="AG504" s="11"/>
      <c r="AH504" s="29"/>
      <c r="AI504" s="11"/>
      <c r="AJ504" s="29"/>
      <c r="AK504" s="29"/>
      <c r="AL504" s="29"/>
      <c r="AM504" s="11"/>
      <c r="AN504" s="29"/>
      <c r="AO504" s="29"/>
      <c r="AP504" s="6"/>
      <c r="AQ504" s="113">
        <f>IF(AND(I504="",K504="",AF504="",AL504="",AN504="",O504=""),"",IF(OR(I504="SIM",K504="SIM",AF504="SIM",AL504="SIM",AN504="Dados pessoais",AN504="Dados sensíveis",AN504="Dados pessoais e sensíveis",O504="Acima de 10.000 titulares por mês"),"SIM - Alta criticidade",IF((IF(I504="SIM",2,0)+IF(K504="SIM",2,0)+IF(AF504="SIM",2,0)+IF(OR(AN504="Dados pessoais",AN504="Dados sensíveis",AN504="Dados pessoais e sensíveis"),2,0)+IF(O504="De 1.001 a 10.000 titulares por mês",1,0)+IF(AA504="SIM",1,0)+IF(R504="SIM",1,0)+IF(AL504="SIM",1,0)+IF(AJ504="NÃO",1,0))&gt;=5,"SIM - Alta criticidade",IF((IF(I504="SIM",2,0)+IF(K504="SIM",2,0)+IF(AF504="SIM",2,0)+IF(OR(AN504="Dados pessoais",AN504="Dados sensíveis",AN504="Dados pessoais e sensíveis"),2,0)+IF(O504="De 1.001 a 10.000 titulares por mês",1,0)+IF(AA504="SIM",1,0)+IF(R504="SIM",1,0)+IF(AL504="SIM",1,0)+IF(AJ504="NÃO",1,0))&gt;=3,"Avaliação necessária","NÃO"))))</f>
      </c>
      <c r="AR504" s="11"/>
      <c r="AS504" s="113">
        <f>IF(AND(I504="",K504="",AF504="",AL504="",AN504="",O504=""),"",IF(OR(I504="SIM",K504="SIM",AF504="SIM",AL504="SIM",OR(AN504="Dados pessoais",AN504="Dados sensíveis",AN504="Dados pessoais e sensíveis"),O504="Acima de 10.000 titulares por mês",(IF(I504="SIM",2,0)+IF(K504="SIM",2,0)+IF(AF504="SIM",2,0)+IF(OR(AN504="Dados pessoais",AN504="Dados sensíveis",AN504="Dados pessoais e sensíveis"),2,0)+IF(O504="De 1.001 a 10.000 titulares por mês",1,0)+IF(AA504="SIM",1,0)+IF(R504="SIM",1,0)+IF(AL504="SIM",1,0)+IF(AJ504="NÃO",1,0))&gt;=3),"DPIA indicado ou em avaliação em razão de: " &amp; TRIM(IF(I504="SIM","tratamento de dados sensíveis; ","") &amp; IF(K504="SIM","utilização de dados de menores; ","") &amp; IF(AF504="SIM","transferência internacional de dados; ","") &amp; IF(AL504="SIM","utilização de inteligência artificial; ","") &amp; IF(OR(AN504="Dados pessoais",AN504="Dados sensíveis",AN504="Dados pessoais e sensíveis"),"dados inseridos em IA; ","") &amp; IF(O504="Acima de 10.000 titulares por mês","volume crítico de titulares; ","") &amp; IF(O504="De 1.001 a 10.000 titulares por mês","volume moderado de titulares; ","") &amp; IF(AA504="SIM","compartilhamento com terceiros; ","") &amp; IF(R504="SIM","compartilhamento com órgãos governamentais; ","") &amp; IF(AJ504="NÃO","ausência de controle de acesso por perfil; ","")),"DPIA não indicado: Processo de baixa criticidade."))</f>
      </c>
    </row>
    <row x14ac:dyDescent="0.25" r="505" customHeight="1" ht="15.75">
      <c r="A505" s="46"/>
      <c r="B505" s="6"/>
      <c r="C505" s="11"/>
      <c r="D505" s="11"/>
      <c r="E505" s="11"/>
      <c r="F505" s="29"/>
      <c r="G505" s="11"/>
      <c r="H505" s="11"/>
      <c r="I505" s="29"/>
      <c r="J505" s="11"/>
      <c r="K505" s="29"/>
      <c r="L505" s="11"/>
      <c r="M505" s="11"/>
      <c r="N505" s="11"/>
      <c r="O505" s="29"/>
      <c r="P505" s="29"/>
      <c r="Q505" s="11"/>
      <c r="R505" s="29"/>
      <c r="S505" s="11"/>
      <c r="T505" s="6"/>
      <c r="U505" s="29"/>
      <c r="V505" s="11"/>
      <c r="W505" s="11"/>
      <c r="X505" s="29"/>
      <c r="Y505" s="11"/>
      <c r="Z505" s="29"/>
      <c r="AA505" s="29"/>
      <c r="AB505" s="11"/>
      <c r="AC505" s="11"/>
      <c r="AD505" s="29"/>
      <c r="AE505" s="11"/>
      <c r="AF505" s="29"/>
      <c r="AG505" s="11"/>
      <c r="AH505" s="29"/>
      <c r="AI505" s="11"/>
      <c r="AJ505" s="29"/>
      <c r="AK505" s="29"/>
      <c r="AL505" s="29"/>
      <c r="AM505" s="11"/>
      <c r="AN505" s="29"/>
      <c r="AO505" s="29"/>
      <c r="AP505" s="6"/>
      <c r="AQ505" s="113">
        <f>IF(AND(I505="",K505="",AF505="",AL505="",AN505="",O505=""),"",IF(OR(I505="SIM",K505="SIM",AF505="SIM",AL505="SIM",AN505="Dados pessoais",AN505="Dados sensíveis",AN505="Dados pessoais e sensíveis",O505="Acima de 10.000 titulares por mês"),"SIM - Alta criticidade",IF((IF(I505="SIM",2,0)+IF(K505="SIM",2,0)+IF(AF505="SIM",2,0)+IF(OR(AN505="Dados pessoais",AN505="Dados sensíveis",AN505="Dados pessoais e sensíveis"),2,0)+IF(O505="De 1.001 a 10.000 titulares por mês",1,0)+IF(AA505="SIM",1,0)+IF(R505="SIM",1,0)+IF(AL505="SIM",1,0)+IF(AJ505="NÃO",1,0))&gt;=5,"SIM - Alta criticidade",IF((IF(I505="SIM",2,0)+IF(K505="SIM",2,0)+IF(AF505="SIM",2,0)+IF(OR(AN505="Dados pessoais",AN505="Dados sensíveis",AN505="Dados pessoais e sensíveis"),2,0)+IF(O505="De 1.001 a 10.000 titulares por mês",1,0)+IF(AA505="SIM",1,0)+IF(R505="SIM",1,0)+IF(AL505="SIM",1,0)+IF(AJ505="NÃO",1,0))&gt;=3,"Avaliação necessária","NÃO"))))</f>
      </c>
      <c r="AR505" s="11"/>
      <c r="AS505" s="113">
        <f>IF(AND(I505="",K505="",AF505="",AL505="",AN505="",O505=""),"",IF(OR(I505="SIM",K505="SIM",AF505="SIM",AL505="SIM",OR(AN505="Dados pessoais",AN505="Dados sensíveis",AN505="Dados pessoais e sensíveis"),O505="Acima de 10.000 titulares por mês",(IF(I505="SIM",2,0)+IF(K505="SIM",2,0)+IF(AF505="SIM",2,0)+IF(OR(AN505="Dados pessoais",AN505="Dados sensíveis",AN505="Dados pessoais e sensíveis"),2,0)+IF(O505="De 1.001 a 10.000 titulares por mês",1,0)+IF(AA505="SIM",1,0)+IF(R505="SIM",1,0)+IF(AL505="SIM",1,0)+IF(AJ505="NÃO",1,0))&gt;=3),"DPIA indicado ou em avaliação em razão de: " &amp; TRIM(IF(I505="SIM","tratamento de dados sensíveis; ","") &amp; IF(K505="SIM","utilização de dados de menores; ","") &amp; IF(AF505="SIM","transferência internacional de dados; ","") &amp; IF(AL505="SIM","utilização de inteligência artificial; ","") &amp; IF(OR(AN505="Dados pessoais",AN505="Dados sensíveis",AN505="Dados pessoais e sensíveis"),"dados inseridos em IA; ","") &amp; IF(O505="Acima de 10.000 titulares por mês","volume crítico de titulares; ","") &amp; IF(O505="De 1.001 a 10.000 titulares por mês","volume moderado de titulares; ","") &amp; IF(AA505="SIM","compartilhamento com terceiros; ","") &amp; IF(R505="SIM","compartilhamento com órgãos governamentais; ","") &amp; IF(AJ505="NÃO","ausência de controle de acesso por perfil; ","")),"DPIA não indicado: Processo de baixa criticidade."))</f>
      </c>
    </row>
    <row x14ac:dyDescent="0.25" r="506" customHeight="1" ht="15.75">
      <c r="A506" s="46"/>
      <c r="B506" s="6"/>
      <c r="C506" s="11"/>
      <c r="D506" s="11"/>
      <c r="E506" s="11"/>
      <c r="F506" s="29"/>
      <c r="G506" s="11"/>
      <c r="H506" s="11"/>
      <c r="I506" s="29"/>
      <c r="J506" s="11"/>
      <c r="K506" s="29"/>
      <c r="L506" s="11"/>
      <c r="M506" s="11"/>
      <c r="N506" s="11"/>
      <c r="O506" s="29"/>
      <c r="P506" s="29"/>
      <c r="Q506" s="11"/>
      <c r="R506" s="29"/>
      <c r="S506" s="11"/>
      <c r="T506" s="6"/>
      <c r="U506" s="29"/>
      <c r="V506" s="11"/>
      <c r="W506" s="11"/>
      <c r="X506" s="29"/>
      <c r="Y506" s="11"/>
      <c r="Z506" s="29"/>
      <c r="AA506" s="29"/>
      <c r="AB506" s="11"/>
      <c r="AC506" s="11"/>
      <c r="AD506" s="29"/>
      <c r="AE506" s="11"/>
      <c r="AF506" s="29"/>
      <c r="AG506" s="11"/>
      <c r="AH506" s="29"/>
      <c r="AI506" s="11"/>
      <c r="AJ506" s="29"/>
      <c r="AK506" s="29"/>
      <c r="AL506" s="29"/>
      <c r="AM506" s="11"/>
      <c r="AN506" s="29"/>
      <c r="AO506" s="29"/>
      <c r="AP506" s="6"/>
      <c r="AQ506" s="113">
        <f>IF(AND(I506="",K506="",AF506="",AL506="",AN506="",O506=""),"",IF(OR(I506="SIM",K506="SIM",AF506="SIM",AL506="SIM",AN506="Dados pessoais",AN506="Dados sensíveis",AN506="Dados pessoais e sensíveis",O506="Acima de 10.000 titulares por mês"),"SIM - Alta criticidade",IF((IF(I506="SIM",2,0)+IF(K506="SIM",2,0)+IF(AF506="SIM",2,0)+IF(OR(AN506="Dados pessoais",AN506="Dados sensíveis",AN506="Dados pessoais e sensíveis"),2,0)+IF(O506="De 1.001 a 10.000 titulares por mês",1,0)+IF(AA506="SIM",1,0)+IF(R506="SIM",1,0)+IF(AL506="SIM",1,0)+IF(AJ506="NÃO",1,0))&gt;=5,"SIM - Alta criticidade",IF((IF(I506="SIM",2,0)+IF(K506="SIM",2,0)+IF(AF506="SIM",2,0)+IF(OR(AN506="Dados pessoais",AN506="Dados sensíveis",AN506="Dados pessoais e sensíveis"),2,0)+IF(O506="De 1.001 a 10.000 titulares por mês",1,0)+IF(AA506="SIM",1,0)+IF(R506="SIM",1,0)+IF(AL506="SIM",1,0)+IF(AJ506="NÃO",1,0))&gt;=3,"Avaliação necessária","NÃO"))))</f>
      </c>
      <c r="AR506" s="11"/>
      <c r="AS506" s="113">
        <f>IF(AND(I506="",K506="",AF506="",AL506="",AN506="",O506=""),"",IF(OR(I506="SIM",K506="SIM",AF506="SIM",AL506="SIM",OR(AN506="Dados pessoais",AN506="Dados sensíveis",AN506="Dados pessoais e sensíveis"),O506="Acima de 10.000 titulares por mês",(IF(I506="SIM",2,0)+IF(K506="SIM",2,0)+IF(AF506="SIM",2,0)+IF(OR(AN506="Dados pessoais",AN506="Dados sensíveis",AN506="Dados pessoais e sensíveis"),2,0)+IF(O506="De 1.001 a 10.000 titulares por mês",1,0)+IF(AA506="SIM",1,0)+IF(R506="SIM",1,0)+IF(AL506="SIM",1,0)+IF(AJ506="NÃO",1,0))&gt;=3),"DPIA indicado ou em avaliação em razão de: " &amp; TRIM(IF(I506="SIM","tratamento de dados sensíveis; ","") &amp; IF(K506="SIM","utilização de dados de menores; ","") &amp; IF(AF506="SIM","transferência internacional de dados; ","") &amp; IF(AL506="SIM","utilização de inteligência artificial; ","") &amp; IF(OR(AN506="Dados pessoais",AN506="Dados sensíveis",AN506="Dados pessoais e sensíveis"),"dados inseridos em IA; ","") &amp; IF(O506="Acima de 10.000 titulares por mês","volume crítico de titulares; ","") &amp; IF(O506="De 1.001 a 10.000 titulares por mês","volume moderado de titulares; ","") &amp; IF(AA506="SIM","compartilhamento com terceiros; ","") &amp; IF(R506="SIM","compartilhamento com órgãos governamentais; ","") &amp; IF(AJ506="NÃO","ausência de controle de acesso por perfil; ","")),"DPIA não indicado: Processo de baixa criticidade."))</f>
      </c>
    </row>
    <row x14ac:dyDescent="0.25" r="507" customHeight="1" ht="15.75">
      <c r="A507" s="46"/>
      <c r="B507" s="6"/>
      <c r="C507" s="11"/>
      <c r="D507" s="11"/>
      <c r="E507" s="11"/>
      <c r="F507" s="29"/>
      <c r="G507" s="11"/>
      <c r="H507" s="11"/>
      <c r="I507" s="29"/>
      <c r="J507" s="11"/>
      <c r="K507" s="29"/>
      <c r="L507" s="11"/>
      <c r="M507" s="11"/>
      <c r="N507" s="11"/>
      <c r="O507" s="29"/>
      <c r="P507" s="29"/>
      <c r="Q507" s="11"/>
      <c r="R507" s="29"/>
      <c r="S507" s="11"/>
      <c r="T507" s="6"/>
      <c r="U507" s="29"/>
      <c r="V507" s="11"/>
      <c r="W507" s="11"/>
      <c r="X507" s="29"/>
      <c r="Y507" s="11"/>
      <c r="Z507" s="29"/>
      <c r="AA507" s="29"/>
      <c r="AB507" s="11"/>
      <c r="AC507" s="11"/>
      <c r="AD507" s="29"/>
      <c r="AE507" s="11"/>
      <c r="AF507" s="29"/>
      <c r="AG507" s="11"/>
      <c r="AH507" s="29"/>
      <c r="AI507" s="11"/>
      <c r="AJ507" s="29"/>
      <c r="AK507" s="29"/>
      <c r="AL507" s="29"/>
      <c r="AM507" s="11"/>
      <c r="AN507" s="29"/>
      <c r="AO507" s="29"/>
      <c r="AP507" s="6"/>
      <c r="AQ507" s="113">
        <f>IF(AND(I507="",K507="",AF507="",AL507="",AN507="",O507=""),"",IF(OR(I507="SIM",K507="SIM",AF507="SIM",AL507="SIM",AN507="Dados pessoais",AN507="Dados sensíveis",AN507="Dados pessoais e sensíveis",O507="Acima de 10.000 titulares por mês"),"SIM - Alta criticidade",IF((IF(I507="SIM",2,0)+IF(K507="SIM",2,0)+IF(AF507="SIM",2,0)+IF(OR(AN507="Dados pessoais",AN507="Dados sensíveis",AN507="Dados pessoais e sensíveis"),2,0)+IF(O507="De 1.001 a 10.000 titulares por mês",1,0)+IF(AA507="SIM",1,0)+IF(R507="SIM",1,0)+IF(AL507="SIM",1,0)+IF(AJ507="NÃO",1,0))&gt;=5,"SIM - Alta criticidade",IF((IF(I507="SIM",2,0)+IF(K507="SIM",2,0)+IF(AF507="SIM",2,0)+IF(OR(AN507="Dados pessoais",AN507="Dados sensíveis",AN507="Dados pessoais e sensíveis"),2,0)+IF(O507="De 1.001 a 10.000 titulares por mês",1,0)+IF(AA507="SIM",1,0)+IF(R507="SIM",1,0)+IF(AL507="SIM",1,0)+IF(AJ507="NÃO",1,0))&gt;=3,"Avaliação necessária","NÃO"))))</f>
      </c>
      <c r="AR507" s="11"/>
      <c r="AS507" s="113">
        <f>IF(AND(I507="",K507="",AF507="",AL507="",AN507="",O507=""),"",IF(OR(I507="SIM",K507="SIM",AF507="SIM",AL507="SIM",OR(AN507="Dados pessoais",AN507="Dados sensíveis",AN507="Dados pessoais e sensíveis"),O507="Acima de 10.000 titulares por mês",(IF(I507="SIM",2,0)+IF(K507="SIM",2,0)+IF(AF507="SIM",2,0)+IF(OR(AN507="Dados pessoais",AN507="Dados sensíveis",AN507="Dados pessoais e sensíveis"),2,0)+IF(O507="De 1.001 a 10.000 titulares por mês",1,0)+IF(AA507="SIM",1,0)+IF(R507="SIM",1,0)+IF(AL507="SIM",1,0)+IF(AJ507="NÃO",1,0))&gt;=3),"DPIA indicado ou em avaliação em razão de: " &amp; TRIM(IF(I507="SIM","tratamento de dados sensíveis; ","") &amp; IF(K507="SIM","utilização de dados de menores; ","") &amp; IF(AF507="SIM","transferência internacional de dados; ","") &amp; IF(AL507="SIM","utilização de inteligência artificial; ","") &amp; IF(OR(AN507="Dados pessoais",AN507="Dados sensíveis",AN507="Dados pessoais e sensíveis"),"dados inseridos em IA; ","") &amp; IF(O507="Acima de 10.000 titulares por mês","volume crítico de titulares; ","") &amp; IF(O507="De 1.001 a 10.000 titulares por mês","volume moderado de titulares; ","") &amp; IF(AA507="SIM","compartilhamento com terceiros; ","") &amp; IF(R507="SIM","compartilhamento com órgãos governamentais; ","") &amp; IF(AJ507="NÃO","ausência de controle de acesso por perfil; ","")),"DPIA não indicado: Processo de baixa criticidade."))</f>
      </c>
    </row>
    <row x14ac:dyDescent="0.25" r="508" customHeight="1" ht="15.75">
      <c r="A508" s="46"/>
      <c r="B508" s="6"/>
      <c r="C508" s="11"/>
      <c r="D508" s="11"/>
      <c r="E508" s="11"/>
      <c r="F508" s="29"/>
      <c r="G508" s="11"/>
      <c r="H508" s="11"/>
      <c r="I508" s="29"/>
      <c r="J508" s="11"/>
      <c r="K508" s="29"/>
      <c r="L508" s="11"/>
      <c r="M508" s="11"/>
      <c r="N508" s="11"/>
      <c r="O508" s="29"/>
      <c r="P508" s="29"/>
      <c r="Q508" s="11"/>
      <c r="R508" s="29"/>
      <c r="S508" s="11"/>
      <c r="T508" s="6"/>
      <c r="U508" s="29"/>
      <c r="V508" s="11"/>
      <c r="W508" s="11"/>
      <c r="X508" s="29"/>
      <c r="Y508" s="11"/>
      <c r="Z508" s="29"/>
      <c r="AA508" s="29"/>
      <c r="AB508" s="11"/>
      <c r="AC508" s="11"/>
      <c r="AD508" s="29"/>
      <c r="AE508" s="11"/>
      <c r="AF508" s="29"/>
      <c r="AG508" s="11"/>
      <c r="AH508" s="29"/>
      <c r="AI508" s="11"/>
      <c r="AJ508" s="29"/>
      <c r="AK508" s="29"/>
      <c r="AL508" s="29"/>
      <c r="AM508" s="11"/>
      <c r="AN508" s="29"/>
      <c r="AO508" s="29"/>
      <c r="AP508" s="6"/>
      <c r="AQ508" s="113">
        <f>IF(AND(I508="",K508="",AF508="",AL508="",AN508="",O508=""),"",IF(OR(I508="SIM",K508="SIM",AF508="SIM",AL508="SIM",AN508="Dados pessoais",AN508="Dados sensíveis",AN508="Dados pessoais e sensíveis",O508="Acima de 10.000 titulares por mês"),"SIM - Alta criticidade",IF((IF(I508="SIM",2,0)+IF(K508="SIM",2,0)+IF(AF508="SIM",2,0)+IF(OR(AN508="Dados pessoais",AN508="Dados sensíveis",AN508="Dados pessoais e sensíveis"),2,0)+IF(O508="De 1.001 a 10.000 titulares por mês",1,0)+IF(AA508="SIM",1,0)+IF(R508="SIM",1,0)+IF(AL508="SIM",1,0)+IF(AJ508="NÃO",1,0))&gt;=5,"SIM - Alta criticidade",IF((IF(I508="SIM",2,0)+IF(K508="SIM",2,0)+IF(AF508="SIM",2,0)+IF(OR(AN508="Dados pessoais",AN508="Dados sensíveis",AN508="Dados pessoais e sensíveis"),2,0)+IF(O508="De 1.001 a 10.000 titulares por mês",1,0)+IF(AA508="SIM",1,0)+IF(R508="SIM",1,0)+IF(AL508="SIM",1,0)+IF(AJ508="NÃO",1,0))&gt;=3,"Avaliação necessária","NÃO"))))</f>
      </c>
      <c r="AR508" s="11"/>
      <c r="AS508" s="113">
        <f>IF(AND(I508="",K508="",AF508="",AL508="",AN508="",O508=""),"",IF(OR(I508="SIM",K508="SIM",AF508="SIM",AL508="SIM",OR(AN508="Dados pessoais",AN508="Dados sensíveis",AN508="Dados pessoais e sensíveis"),O508="Acima de 10.000 titulares por mês",(IF(I508="SIM",2,0)+IF(K508="SIM",2,0)+IF(AF508="SIM",2,0)+IF(OR(AN508="Dados pessoais",AN508="Dados sensíveis",AN508="Dados pessoais e sensíveis"),2,0)+IF(O508="De 1.001 a 10.000 titulares por mês",1,0)+IF(AA508="SIM",1,0)+IF(R508="SIM",1,0)+IF(AL508="SIM",1,0)+IF(AJ508="NÃO",1,0))&gt;=3),"DPIA indicado ou em avaliação em razão de: " &amp; TRIM(IF(I508="SIM","tratamento de dados sensíveis; ","") &amp; IF(K508="SIM","utilização de dados de menores; ","") &amp; IF(AF508="SIM","transferência internacional de dados; ","") &amp; IF(AL508="SIM","utilização de inteligência artificial; ","") &amp; IF(OR(AN508="Dados pessoais",AN508="Dados sensíveis",AN508="Dados pessoais e sensíveis"),"dados inseridos em IA; ","") &amp; IF(O508="Acima de 10.000 titulares por mês","volume crítico de titulares; ","") &amp; IF(O508="De 1.001 a 10.000 titulares por mês","volume moderado de titulares; ","") &amp; IF(AA508="SIM","compartilhamento com terceiros; ","") &amp; IF(R508="SIM","compartilhamento com órgãos governamentais; ","") &amp; IF(AJ508="NÃO","ausência de controle de acesso por perfil; ","")),"DPIA não indicado: Processo de baixa criticidade."))</f>
      </c>
    </row>
    <row x14ac:dyDescent="0.25" r="509" customHeight="1" ht="15.75">
      <c r="A509" s="46"/>
      <c r="B509" s="6"/>
      <c r="C509" s="11"/>
      <c r="D509" s="11"/>
      <c r="E509" s="11"/>
      <c r="F509" s="29"/>
      <c r="G509" s="11"/>
      <c r="H509" s="11"/>
      <c r="I509" s="29"/>
      <c r="J509" s="11"/>
      <c r="K509" s="29"/>
      <c r="L509" s="11"/>
      <c r="M509" s="11"/>
      <c r="N509" s="11"/>
      <c r="O509" s="29"/>
      <c r="P509" s="29"/>
      <c r="Q509" s="11"/>
      <c r="R509" s="29"/>
      <c r="S509" s="11"/>
      <c r="T509" s="6"/>
      <c r="U509" s="29"/>
      <c r="V509" s="11"/>
      <c r="W509" s="11"/>
      <c r="X509" s="29"/>
      <c r="Y509" s="11"/>
      <c r="Z509" s="29"/>
      <c r="AA509" s="29"/>
      <c r="AB509" s="11"/>
      <c r="AC509" s="11"/>
      <c r="AD509" s="29"/>
      <c r="AE509" s="11"/>
      <c r="AF509" s="29"/>
      <c r="AG509" s="11"/>
      <c r="AH509" s="29"/>
      <c r="AI509" s="11"/>
      <c r="AJ509" s="29"/>
      <c r="AK509" s="29"/>
      <c r="AL509" s="29"/>
      <c r="AM509" s="11"/>
      <c r="AN509" s="29"/>
      <c r="AO509" s="29"/>
      <c r="AP509" s="6"/>
      <c r="AQ509" s="113">
        <f>IF(AND(I509="",K509="",AF509="",AL509="",AN509="",O509=""),"",IF(OR(I509="SIM",K509="SIM",AF509="SIM",AL509="SIM",AN509="Dados pessoais",AN509="Dados sensíveis",AN509="Dados pessoais e sensíveis",O509="Acima de 10.000 titulares por mês"),"SIM - Alta criticidade",IF((IF(I509="SIM",2,0)+IF(K509="SIM",2,0)+IF(AF509="SIM",2,0)+IF(OR(AN509="Dados pessoais",AN509="Dados sensíveis",AN509="Dados pessoais e sensíveis"),2,0)+IF(O509="De 1.001 a 10.000 titulares por mês",1,0)+IF(AA509="SIM",1,0)+IF(R509="SIM",1,0)+IF(AL509="SIM",1,0)+IF(AJ509="NÃO",1,0))&gt;=5,"SIM - Alta criticidade",IF((IF(I509="SIM",2,0)+IF(K509="SIM",2,0)+IF(AF509="SIM",2,0)+IF(OR(AN509="Dados pessoais",AN509="Dados sensíveis",AN509="Dados pessoais e sensíveis"),2,0)+IF(O509="De 1.001 a 10.000 titulares por mês",1,0)+IF(AA509="SIM",1,0)+IF(R509="SIM",1,0)+IF(AL509="SIM",1,0)+IF(AJ509="NÃO",1,0))&gt;=3,"Avaliação necessária","NÃO"))))</f>
      </c>
      <c r="AR509" s="11"/>
      <c r="AS509" s="113">
        <f>IF(AND(I509="",K509="",AF509="",AL509="",AN509="",O509=""),"",IF(OR(I509="SIM",K509="SIM",AF509="SIM",AL509="SIM",OR(AN509="Dados pessoais",AN509="Dados sensíveis",AN509="Dados pessoais e sensíveis"),O509="Acima de 10.000 titulares por mês",(IF(I509="SIM",2,0)+IF(K509="SIM",2,0)+IF(AF509="SIM",2,0)+IF(OR(AN509="Dados pessoais",AN509="Dados sensíveis",AN509="Dados pessoais e sensíveis"),2,0)+IF(O509="De 1.001 a 10.000 titulares por mês",1,0)+IF(AA509="SIM",1,0)+IF(R509="SIM",1,0)+IF(AL509="SIM",1,0)+IF(AJ509="NÃO",1,0))&gt;=3),"DPIA indicado ou em avaliação em razão de: " &amp; TRIM(IF(I509="SIM","tratamento de dados sensíveis; ","") &amp; IF(K509="SIM","utilização de dados de menores; ","") &amp; IF(AF509="SIM","transferência internacional de dados; ","") &amp; IF(AL509="SIM","utilização de inteligência artificial; ","") &amp; IF(OR(AN509="Dados pessoais",AN509="Dados sensíveis",AN509="Dados pessoais e sensíveis"),"dados inseridos em IA; ","") &amp; IF(O509="Acima de 10.000 titulares por mês","volume crítico de titulares; ","") &amp; IF(O509="De 1.001 a 10.000 titulares por mês","volume moderado de titulares; ","") &amp; IF(AA509="SIM","compartilhamento com terceiros; ","") &amp; IF(R509="SIM","compartilhamento com órgãos governamentais; ","") &amp; IF(AJ509="NÃO","ausência de controle de acesso por perfil; ","")),"DPIA não indicado: Processo de baixa criticidade."))</f>
      </c>
    </row>
    <row x14ac:dyDescent="0.25" r="510" customHeight="1" ht="15.75">
      <c r="A510" s="46"/>
      <c r="B510" s="6"/>
      <c r="C510" s="11"/>
      <c r="D510" s="11"/>
      <c r="E510" s="11"/>
      <c r="F510" s="29"/>
      <c r="G510" s="11"/>
      <c r="H510" s="11"/>
      <c r="I510" s="29"/>
      <c r="J510" s="11"/>
      <c r="K510" s="29"/>
      <c r="L510" s="11"/>
      <c r="M510" s="11"/>
      <c r="N510" s="11"/>
      <c r="O510" s="29"/>
      <c r="P510" s="29"/>
      <c r="Q510" s="11"/>
      <c r="R510" s="29"/>
      <c r="S510" s="11"/>
      <c r="T510" s="6"/>
      <c r="U510" s="29"/>
      <c r="V510" s="11"/>
      <c r="W510" s="11"/>
      <c r="X510" s="29"/>
      <c r="Y510" s="11"/>
      <c r="Z510" s="29"/>
      <c r="AA510" s="29"/>
      <c r="AB510" s="11"/>
      <c r="AC510" s="11"/>
      <c r="AD510" s="29"/>
      <c r="AE510" s="11"/>
      <c r="AF510" s="29"/>
      <c r="AG510" s="11"/>
      <c r="AH510" s="29"/>
      <c r="AI510" s="11"/>
      <c r="AJ510" s="29"/>
      <c r="AK510" s="29"/>
      <c r="AL510" s="29"/>
      <c r="AM510" s="11"/>
      <c r="AN510" s="29"/>
      <c r="AO510" s="29"/>
      <c r="AP510" s="6"/>
      <c r="AQ510" s="113">
        <f>IF(AND(I510="",K510="",AF510="",AL510="",AN510="",O510=""),"",IF(OR(I510="SIM",K510="SIM",AF510="SIM",AL510="SIM",AN510="Dados pessoais",AN510="Dados sensíveis",AN510="Dados pessoais e sensíveis",O510="Acima de 10.000 titulares por mês"),"SIM - Alta criticidade",IF((IF(I510="SIM",2,0)+IF(K510="SIM",2,0)+IF(AF510="SIM",2,0)+IF(OR(AN510="Dados pessoais",AN510="Dados sensíveis",AN510="Dados pessoais e sensíveis"),2,0)+IF(O510="De 1.001 a 10.000 titulares por mês",1,0)+IF(AA510="SIM",1,0)+IF(R510="SIM",1,0)+IF(AL510="SIM",1,0)+IF(AJ510="NÃO",1,0))&gt;=5,"SIM - Alta criticidade",IF((IF(I510="SIM",2,0)+IF(K510="SIM",2,0)+IF(AF510="SIM",2,0)+IF(OR(AN510="Dados pessoais",AN510="Dados sensíveis",AN510="Dados pessoais e sensíveis"),2,0)+IF(O510="De 1.001 a 10.000 titulares por mês",1,0)+IF(AA510="SIM",1,0)+IF(R510="SIM",1,0)+IF(AL510="SIM",1,0)+IF(AJ510="NÃO",1,0))&gt;=3,"Avaliação necessária","NÃO"))))</f>
      </c>
      <c r="AR510" s="11"/>
      <c r="AS510" s="113">
        <f>IF(AND(I510="",K510="",AF510="",AL510="",AN510="",O510=""),"",IF(OR(I510="SIM",K510="SIM",AF510="SIM",AL510="SIM",OR(AN510="Dados pessoais",AN510="Dados sensíveis",AN510="Dados pessoais e sensíveis"),O510="Acima de 10.000 titulares por mês",(IF(I510="SIM",2,0)+IF(K510="SIM",2,0)+IF(AF510="SIM",2,0)+IF(OR(AN510="Dados pessoais",AN510="Dados sensíveis",AN510="Dados pessoais e sensíveis"),2,0)+IF(O510="De 1.001 a 10.000 titulares por mês",1,0)+IF(AA510="SIM",1,0)+IF(R510="SIM",1,0)+IF(AL510="SIM",1,0)+IF(AJ510="NÃO",1,0))&gt;=3),"DPIA indicado ou em avaliação em razão de: " &amp; TRIM(IF(I510="SIM","tratamento de dados sensíveis; ","") &amp; IF(K510="SIM","utilização de dados de menores; ","") &amp; IF(AF510="SIM","transferência internacional de dados; ","") &amp; IF(AL510="SIM","utilização de inteligência artificial; ","") &amp; IF(OR(AN510="Dados pessoais",AN510="Dados sensíveis",AN510="Dados pessoais e sensíveis"),"dados inseridos em IA; ","") &amp; IF(O510="Acima de 10.000 titulares por mês","volume crítico de titulares; ","") &amp; IF(O510="De 1.001 a 10.000 titulares por mês","volume moderado de titulares; ","") &amp; IF(AA510="SIM","compartilhamento com terceiros; ","") &amp; IF(R510="SIM","compartilhamento com órgãos governamentais; ","") &amp; IF(AJ510="NÃO","ausência de controle de acesso por perfil; ","")),"DPIA não indicado: Processo de baixa criticidade."))</f>
      </c>
    </row>
    <row x14ac:dyDescent="0.25" r="511" customHeight="1" ht="15.75">
      <c r="A511" s="46"/>
      <c r="B511" s="6"/>
      <c r="C511" s="11"/>
      <c r="D511" s="11"/>
      <c r="E511" s="11"/>
      <c r="F511" s="29"/>
      <c r="G511" s="11"/>
      <c r="H511" s="11"/>
      <c r="I511" s="29"/>
      <c r="J511" s="11"/>
      <c r="K511" s="29"/>
      <c r="L511" s="11"/>
      <c r="M511" s="11"/>
      <c r="N511" s="11"/>
      <c r="O511" s="29"/>
      <c r="P511" s="29"/>
      <c r="Q511" s="11"/>
      <c r="R511" s="29"/>
      <c r="S511" s="11"/>
      <c r="T511" s="6"/>
      <c r="U511" s="29"/>
      <c r="V511" s="11"/>
      <c r="W511" s="11"/>
      <c r="X511" s="29"/>
      <c r="Y511" s="11"/>
      <c r="Z511" s="29"/>
      <c r="AA511" s="29"/>
      <c r="AB511" s="11"/>
      <c r="AC511" s="11"/>
      <c r="AD511" s="29"/>
      <c r="AE511" s="11"/>
      <c r="AF511" s="29"/>
      <c r="AG511" s="11"/>
      <c r="AH511" s="29"/>
      <c r="AI511" s="11"/>
      <c r="AJ511" s="29"/>
      <c r="AK511" s="29"/>
      <c r="AL511" s="29"/>
      <c r="AM511" s="11"/>
      <c r="AN511" s="29"/>
      <c r="AO511" s="29"/>
      <c r="AP511" s="6"/>
      <c r="AQ511" s="113">
        <f>IF(AND(I511="",K511="",AF511="",AL511="",AN511="",O511=""),"",IF(OR(I511="SIM",K511="SIM",AF511="SIM",AL511="SIM",AN511="Dados pessoais",AN511="Dados sensíveis",AN511="Dados pessoais e sensíveis",O511="Acima de 10.000 titulares por mês"),"SIM - Alta criticidade",IF((IF(I511="SIM",2,0)+IF(K511="SIM",2,0)+IF(AF511="SIM",2,0)+IF(OR(AN511="Dados pessoais",AN511="Dados sensíveis",AN511="Dados pessoais e sensíveis"),2,0)+IF(O511="De 1.001 a 10.000 titulares por mês",1,0)+IF(AA511="SIM",1,0)+IF(R511="SIM",1,0)+IF(AL511="SIM",1,0)+IF(AJ511="NÃO",1,0))&gt;=5,"SIM - Alta criticidade",IF((IF(I511="SIM",2,0)+IF(K511="SIM",2,0)+IF(AF511="SIM",2,0)+IF(OR(AN511="Dados pessoais",AN511="Dados sensíveis",AN511="Dados pessoais e sensíveis"),2,0)+IF(O511="De 1.001 a 10.000 titulares por mês",1,0)+IF(AA511="SIM",1,0)+IF(R511="SIM",1,0)+IF(AL511="SIM",1,0)+IF(AJ511="NÃO",1,0))&gt;=3,"Avaliação necessária","NÃO"))))</f>
      </c>
      <c r="AR511" s="11"/>
      <c r="AS511" s="113">
        <f>IF(AND(I511="",K511="",AF511="",AL511="",AN511="",O511=""),"",IF(OR(I511="SIM",K511="SIM",AF511="SIM",AL511="SIM",OR(AN511="Dados pessoais",AN511="Dados sensíveis",AN511="Dados pessoais e sensíveis"),O511="Acima de 10.000 titulares por mês",(IF(I511="SIM",2,0)+IF(K511="SIM",2,0)+IF(AF511="SIM",2,0)+IF(OR(AN511="Dados pessoais",AN511="Dados sensíveis",AN511="Dados pessoais e sensíveis"),2,0)+IF(O511="De 1.001 a 10.000 titulares por mês",1,0)+IF(AA511="SIM",1,0)+IF(R511="SIM",1,0)+IF(AL511="SIM",1,0)+IF(AJ511="NÃO",1,0))&gt;=3),"DPIA indicado ou em avaliação em razão de: " &amp; TRIM(IF(I511="SIM","tratamento de dados sensíveis; ","") &amp; IF(K511="SIM","utilização de dados de menores; ","") &amp; IF(AF511="SIM","transferência internacional de dados; ","") &amp; IF(AL511="SIM","utilização de inteligência artificial; ","") &amp; IF(OR(AN511="Dados pessoais",AN511="Dados sensíveis",AN511="Dados pessoais e sensíveis"),"dados inseridos em IA; ","") &amp; IF(O511="Acima de 10.000 titulares por mês","volume crítico de titulares; ","") &amp; IF(O511="De 1.001 a 10.000 titulares por mês","volume moderado de titulares; ","") &amp; IF(AA511="SIM","compartilhamento com terceiros; ","") &amp; IF(R511="SIM","compartilhamento com órgãos governamentais; ","") &amp; IF(AJ511="NÃO","ausência de controle de acesso por perfil; ","")),"DPIA não indicado: Processo de baixa criticidade."))</f>
      </c>
    </row>
    <row x14ac:dyDescent="0.25" r="512" customHeight="1" ht="15.75">
      <c r="A512" s="46"/>
      <c r="B512" s="6"/>
      <c r="C512" s="11"/>
      <c r="D512" s="11"/>
      <c r="E512" s="11"/>
      <c r="F512" s="29"/>
      <c r="G512" s="11"/>
      <c r="H512" s="11"/>
      <c r="I512" s="29"/>
      <c r="J512" s="11"/>
      <c r="K512" s="29"/>
      <c r="L512" s="11"/>
      <c r="M512" s="11"/>
      <c r="N512" s="11"/>
      <c r="O512" s="29"/>
      <c r="P512" s="29"/>
      <c r="Q512" s="11"/>
      <c r="R512" s="29"/>
      <c r="S512" s="11"/>
      <c r="T512" s="6"/>
      <c r="U512" s="29"/>
      <c r="V512" s="11"/>
      <c r="W512" s="11"/>
      <c r="X512" s="29"/>
      <c r="Y512" s="11"/>
      <c r="Z512" s="29"/>
      <c r="AA512" s="29"/>
      <c r="AB512" s="11"/>
      <c r="AC512" s="11"/>
      <c r="AD512" s="29"/>
      <c r="AE512" s="11"/>
      <c r="AF512" s="29"/>
      <c r="AG512" s="11"/>
      <c r="AH512" s="29"/>
      <c r="AI512" s="11"/>
      <c r="AJ512" s="29"/>
      <c r="AK512" s="29"/>
      <c r="AL512" s="29"/>
      <c r="AM512" s="11"/>
      <c r="AN512" s="29"/>
      <c r="AO512" s="29"/>
      <c r="AP512" s="6"/>
      <c r="AQ512" s="113">
        <f>IF(AND(I512="",K512="",AF512="",AL512="",AN512="",O512=""),"",IF(OR(I512="SIM",K512="SIM",AF512="SIM",AL512="SIM",AN512="Dados pessoais",AN512="Dados sensíveis",AN512="Dados pessoais e sensíveis",O512="Acima de 10.000 titulares por mês"),"SIM - Alta criticidade",IF((IF(I512="SIM",2,0)+IF(K512="SIM",2,0)+IF(AF512="SIM",2,0)+IF(OR(AN512="Dados pessoais",AN512="Dados sensíveis",AN512="Dados pessoais e sensíveis"),2,0)+IF(O512="De 1.001 a 10.000 titulares por mês",1,0)+IF(AA512="SIM",1,0)+IF(R512="SIM",1,0)+IF(AL512="SIM",1,0)+IF(AJ512="NÃO",1,0))&gt;=5,"SIM - Alta criticidade",IF((IF(I512="SIM",2,0)+IF(K512="SIM",2,0)+IF(AF512="SIM",2,0)+IF(OR(AN512="Dados pessoais",AN512="Dados sensíveis",AN512="Dados pessoais e sensíveis"),2,0)+IF(O512="De 1.001 a 10.000 titulares por mês",1,0)+IF(AA512="SIM",1,0)+IF(R512="SIM",1,0)+IF(AL512="SIM",1,0)+IF(AJ512="NÃO",1,0))&gt;=3,"Avaliação necessária","NÃO"))))</f>
      </c>
      <c r="AR512" s="11"/>
      <c r="AS512" s="113">
        <f>IF(AND(I512="",K512="",AF512="",AL512="",AN512="",O512=""),"",IF(OR(I512="SIM",K512="SIM",AF512="SIM",AL512="SIM",OR(AN512="Dados pessoais",AN512="Dados sensíveis",AN512="Dados pessoais e sensíveis"),O512="Acima de 10.000 titulares por mês",(IF(I512="SIM",2,0)+IF(K512="SIM",2,0)+IF(AF512="SIM",2,0)+IF(OR(AN512="Dados pessoais",AN512="Dados sensíveis",AN512="Dados pessoais e sensíveis"),2,0)+IF(O512="De 1.001 a 10.000 titulares por mês",1,0)+IF(AA512="SIM",1,0)+IF(R512="SIM",1,0)+IF(AL512="SIM",1,0)+IF(AJ512="NÃO",1,0))&gt;=3),"DPIA indicado ou em avaliação em razão de: " &amp; TRIM(IF(I512="SIM","tratamento de dados sensíveis; ","") &amp; IF(K512="SIM","utilização de dados de menores; ","") &amp; IF(AF512="SIM","transferência internacional de dados; ","") &amp; IF(AL512="SIM","utilização de inteligência artificial; ","") &amp; IF(OR(AN512="Dados pessoais",AN512="Dados sensíveis",AN512="Dados pessoais e sensíveis"),"dados inseridos em IA; ","") &amp; IF(O512="Acima de 10.000 titulares por mês","volume crítico de titulares; ","") &amp; IF(O512="De 1.001 a 10.000 titulares por mês","volume moderado de titulares; ","") &amp; IF(AA512="SIM","compartilhamento com terceiros; ","") &amp; IF(R512="SIM","compartilhamento com órgãos governamentais; ","") &amp; IF(AJ512="NÃO","ausência de controle de acesso por perfil; ","")),"DPIA não indicado: Processo de baixa criticidade."))</f>
      </c>
    </row>
    <row x14ac:dyDescent="0.25" r="513" customHeight="1" ht="15.75">
      <c r="A513" s="46"/>
      <c r="B513" s="6"/>
      <c r="C513" s="11"/>
      <c r="D513" s="11"/>
      <c r="E513" s="11"/>
      <c r="F513" s="29"/>
      <c r="G513" s="11"/>
      <c r="H513" s="11"/>
      <c r="I513" s="29"/>
      <c r="J513" s="11"/>
      <c r="K513" s="29"/>
      <c r="L513" s="11"/>
      <c r="M513" s="11"/>
      <c r="N513" s="11"/>
      <c r="O513" s="29"/>
      <c r="P513" s="29"/>
      <c r="Q513" s="11"/>
      <c r="R513" s="29"/>
      <c r="S513" s="11"/>
      <c r="T513" s="6"/>
      <c r="U513" s="29"/>
      <c r="V513" s="11"/>
      <c r="W513" s="11"/>
      <c r="X513" s="29"/>
      <c r="Y513" s="11"/>
      <c r="Z513" s="29"/>
      <c r="AA513" s="29"/>
      <c r="AB513" s="11"/>
      <c r="AC513" s="11"/>
      <c r="AD513" s="29"/>
      <c r="AE513" s="11"/>
      <c r="AF513" s="29"/>
      <c r="AG513" s="11"/>
      <c r="AH513" s="29"/>
      <c r="AI513" s="11"/>
      <c r="AJ513" s="29"/>
      <c r="AK513" s="29"/>
      <c r="AL513" s="29"/>
      <c r="AM513" s="11"/>
      <c r="AN513" s="29"/>
      <c r="AO513" s="29"/>
      <c r="AP513" s="6"/>
      <c r="AQ513" s="113">
        <f>IF(AND(I513="",K513="",AF513="",AL513="",AN513="",O513=""),"",IF(OR(I513="SIM",K513="SIM",AF513="SIM",AL513="SIM",AN513="Dados pessoais",AN513="Dados sensíveis",AN513="Dados pessoais e sensíveis",O513="Acima de 10.000 titulares por mês"),"SIM - Alta criticidade",IF((IF(I513="SIM",2,0)+IF(K513="SIM",2,0)+IF(AF513="SIM",2,0)+IF(OR(AN513="Dados pessoais",AN513="Dados sensíveis",AN513="Dados pessoais e sensíveis"),2,0)+IF(O513="De 1.001 a 10.000 titulares por mês",1,0)+IF(AA513="SIM",1,0)+IF(R513="SIM",1,0)+IF(AL513="SIM",1,0)+IF(AJ513="NÃO",1,0))&gt;=5,"SIM - Alta criticidade",IF((IF(I513="SIM",2,0)+IF(K513="SIM",2,0)+IF(AF513="SIM",2,0)+IF(OR(AN513="Dados pessoais",AN513="Dados sensíveis",AN513="Dados pessoais e sensíveis"),2,0)+IF(O513="De 1.001 a 10.000 titulares por mês",1,0)+IF(AA513="SIM",1,0)+IF(R513="SIM",1,0)+IF(AL513="SIM",1,0)+IF(AJ513="NÃO",1,0))&gt;=3,"Avaliação necessária","NÃO"))))</f>
      </c>
      <c r="AR513" s="11"/>
      <c r="AS513" s="113">
        <f>IF(AND(I513="",K513="",AF513="",AL513="",AN513="",O513=""),"",IF(OR(I513="SIM",K513="SIM",AF513="SIM",AL513="SIM",OR(AN513="Dados pessoais",AN513="Dados sensíveis",AN513="Dados pessoais e sensíveis"),O513="Acima de 10.000 titulares por mês",(IF(I513="SIM",2,0)+IF(K513="SIM",2,0)+IF(AF513="SIM",2,0)+IF(OR(AN513="Dados pessoais",AN513="Dados sensíveis",AN513="Dados pessoais e sensíveis"),2,0)+IF(O513="De 1.001 a 10.000 titulares por mês",1,0)+IF(AA513="SIM",1,0)+IF(R513="SIM",1,0)+IF(AL513="SIM",1,0)+IF(AJ513="NÃO",1,0))&gt;=3),"DPIA indicado ou em avaliação em razão de: " &amp; TRIM(IF(I513="SIM","tratamento de dados sensíveis; ","") &amp; IF(K513="SIM","utilização de dados de menores; ","") &amp; IF(AF513="SIM","transferência internacional de dados; ","") &amp; IF(AL513="SIM","utilização de inteligência artificial; ","") &amp; IF(OR(AN513="Dados pessoais",AN513="Dados sensíveis",AN513="Dados pessoais e sensíveis"),"dados inseridos em IA; ","") &amp; IF(O513="Acima de 10.000 titulares por mês","volume crítico de titulares; ","") &amp; IF(O513="De 1.001 a 10.000 titulares por mês","volume moderado de titulares; ","") &amp; IF(AA513="SIM","compartilhamento com terceiros; ","") &amp; IF(R513="SIM","compartilhamento com órgãos governamentais; ","") &amp; IF(AJ513="NÃO","ausência de controle de acesso por perfil; ","")),"DPIA não indicado: Processo de baixa criticidade."))</f>
      </c>
    </row>
    <row x14ac:dyDescent="0.25" r="514" customHeight="1" ht="15.75">
      <c r="A514" s="46"/>
      <c r="B514" s="6"/>
      <c r="C514" s="11"/>
      <c r="D514" s="11"/>
      <c r="E514" s="11"/>
      <c r="F514" s="29"/>
      <c r="G514" s="11"/>
      <c r="H514" s="11"/>
      <c r="I514" s="29"/>
      <c r="J514" s="11"/>
      <c r="K514" s="29"/>
      <c r="L514" s="11"/>
      <c r="M514" s="11"/>
      <c r="N514" s="11"/>
      <c r="O514" s="29"/>
      <c r="P514" s="29"/>
      <c r="Q514" s="11"/>
      <c r="R514" s="29"/>
      <c r="S514" s="11"/>
      <c r="T514" s="6"/>
      <c r="U514" s="29"/>
      <c r="V514" s="11"/>
      <c r="W514" s="11"/>
      <c r="X514" s="29"/>
      <c r="Y514" s="11"/>
      <c r="Z514" s="29"/>
      <c r="AA514" s="29"/>
      <c r="AB514" s="11"/>
      <c r="AC514" s="11"/>
      <c r="AD514" s="29"/>
      <c r="AE514" s="11"/>
      <c r="AF514" s="29"/>
      <c r="AG514" s="11"/>
      <c r="AH514" s="29"/>
      <c r="AI514" s="11"/>
      <c r="AJ514" s="29"/>
      <c r="AK514" s="29"/>
      <c r="AL514" s="29"/>
      <c r="AM514" s="11"/>
      <c r="AN514" s="29"/>
      <c r="AO514" s="29"/>
      <c r="AP514" s="6"/>
      <c r="AQ514" s="113">
        <f>IF(AND(I514="",K514="",AF514="",AL514="",AN514="",O514=""),"",IF(OR(I514="SIM",K514="SIM",AF514="SIM",AL514="SIM",AN514="Dados pessoais",AN514="Dados sensíveis",AN514="Dados pessoais e sensíveis",O514="Acima de 10.000 titulares por mês"),"SIM - Alta criticidade",IF((IF(I514="SIM",2,0)+IF(K514="SIM",2,0)+IF(AF514="SIM",2,0)+IF(OR(AN514="Dados pessoais",AN514="Dados sensíveis",AN514="Dados pessoais e sensíveis"),2,0)+IF(O514="De 1.001 a 10.000 titulares por mês",1,0)+IF(AA514="SIM",1,0)+IF(R514="SIM",1,0)+IF(AL514="SIM",1,0)+IF(AJ514="NÃO",1,0))&gt;=5,"SIM - Alta criticidade",IF((IF(I514="SIM",2,0)+IF(K514="SIM",2,0)+IF(AF514="SIM",2,0)+IF(OR(AN514="Dados pessoais",AN514="Dados sensíveis",AN514="Dados pessoais e sensíveis"),2,0)+IF(O514="De 1.001 a 10.000 titulares por mês",1,0)+IF(AA514="SIM",1,0)+IF(R514="SIM",1,0)+IF(AL514="SIM",1,0)+IF(AJ514="NÃO",1,0))&gt;=3,"Avaliação necessária","NÃO"))))</f>
      </c>
      <c r="AR514" s="11"/>
      <c r="AS514" s="113">
        <f>IF(AND(I514="",K514="",AF514="",AL514="",AN514="",O514=""),"",IF(OR(I514="SIM",K514="SIM",AF514="SIM",AL514="SIM",OR(AN514="Dados pessoais",AN514="Dados sensíveis",AN514="Dados pessoais e sensíveis"),O514="Acima de 10.000 titulares por mês",(IF(I514="SIM",2,0)+IF(K514="SIM",2,0)+IF(AF514="SIM",2,0)+IF(OR(AN514="Dados pessoais",AN514="Dados sensíveis",AN514="Dados pessoais e sensíveis"),2,0)+IF(O514="De 1.001 a 10.000 titulares por mês",1,0)+IF(AA514="SIM",1,0)+IF(R514="SIM",1,0)+IF(AL514="SIM",1,0)+IF(AJ514="NÃO",1,0))&gt;=3),"DPIA indicado ou em avaliação em razão de: " &amp; TRIM(IF(I514="SIM","tratamento de dados sensíveis; ","") &amp; IF(K514="SIM","utilização de dados de menores; ","") &amp; IF(AF514="SIM","transferência internacional de dados; ","") &amp; IF(AL514="SIM","utilização de inteligência artificial; ","") &amp; IF(OR(AN514="Dados pessoais",AN514="Dados sensíveis",AN514="Dados pessoais e sensíveis"),"dados inseridos em IA; ","") &amp; IF(O514="Acima de 10.000 titulares por mês","volume crítico de titulares; ","") &amp; IF(O514="De 1.001 a 10.000 titulares por mês","volume moderado de titulares; ","") &amp; IF(AA514="SIM","compartilhamento com terceiros; ","") &amp; IF(R514="SIM","compartilhamento com órgãos governamentais; ","") &amp; IF(AJ514="NÃO","ausência de controle de acesso por perfil; ","")),"DPIA não indicado: Processo de baixa criticidade."))</f>
      </c>
    </row>
    <row x14ac:dyDescent="0.25" r="515" customHeight="1" ht="15.75">
      <c r="A515" s="46"/>
      <c r="B515" s="6"/>
      <c r="C515" s="11"/>
      <c r="D515" s="11"/>
      <c r="E515" s="11"/>
      <c r="F515" s="29"/>
      <c r="G515" s="11"/>
      <c r="H515" s="11"/>
      <c r="I515" s="29"/>
      <c r="J515" s="11"/>
      <c r="K515" s="29"/>
      <c r="L515" s="11"/>
      <c r="M515" s="11"/>
      <c r="N515" s="11"/>
      <c r="O515" s="29"/>
      <c r="P515" s="29"/>
      <c r="Q515" s="11"/>
      <c r="R515" s="29"/>
      <c r="S515" s="11"/>
      <c r="T515" s="6"/>
      <c r="U515" s="29"/>
      <c r="V515" s="11"/>
      <c r="W515" s="11"/>
      <c r="X515" s="29"/>
      <c r="Y515" s="11"/>
      <c r="Z515" s="29"/>
      <c r="AA515" s="29"/>
      <c r="AB515" s="11"/>
      <c r="AC515" s="11"/>
      <c r="AD515" s="29"/>
      <c r="AE515" s="11"/>
      <c r="AF515" s="29"/>
      <c r="AG515" s="11"/>
      <c r="AH515" s="29"/>
      <c r="AI515" s="11"/>
      <c r="AJ515" s="29"/>
      <c r="AK515" s="29"/>
      <c r="AL515" s="29"/>
      <c r="AM515" s="11"/>
      <c r="AN515" s="29"/>
      <c r="AO515" s="29"/>
      <c r="AP515" s="6"/>
      <c r="AQ515" s="113">
        <f>IF(AND(I515="",K515="",AF515="",AL515="",AN515="",O515=""),"",IF(OR(I515="SIM",K515="SIM",AF515="SIM",AL515="SIM",AN515="Dados pessoais",AN515="Dados sensíveis",AN515="Dados pessoais e sensíveis",O515="Acima de 10.000 titulares por mês"),"SIM - Alta criticidade",IF((IF(I515="SIM",2,0)+IF(K515="SIM",2,0)+IF(AF515="SIM",2,0)+IF(OR(AN515="Dados pessoais",AN515="Dados sensíveis",AN515="Dados pessoais e sensíveis"),2,0)+IF(O515="De 1.001 a 10.000 titulares por mês",1,0)+IF(AA515="SIM",1,0)+IF(R515="SIM",1,0)+IF(AL515="SIM",1,0)+IF(AJ515="NÃO",1,0))&gt;=5,"SIM - Alta criticidade",IF((IF(I515="SIM",2,0)+IF(K515="SIM",2,0)+IF(AF515="SIM",2,0)+IF(OR(AN515="Dados pessoais",AN515="Dados sensíveis",AN515="Dados pessoais e sensíveis"),2,0)+IF(O515="De 1.001 a 10.000 titulares por mês",1,0)+IF(AA515="SIM",1,0)+IF(R515="SIM",1,0)+IF(AL515="SIM",1,0)+IF(AJ515="NÃO",1,0))&gt;=3,"Avaliação necessária","NÃO"))))</f>
      </c>
      <c r="AR515" s="11"/>
      <c r="AS515" s="113">
        <f>IF(AND(I515="",K515="",AF515="",AL515="",AN515="",O515=""),"",IF(OR(I515="SIM",K515="SIM",AF515="SIM",AL515="SIM",OR(AN515="Dados pessoais",AN515="Dados sensíveis",AN515="Dados pessoais e sensíveis"),O515="Acima de 10.000 titulares por mês",(IF(I515="SIM",2,0)+IF(K515="SIM",2,0)+IF(AF515="SIM",2,0)+IF(OR(AN515="Dados pessoais",AN515="Dados sensíveis",AN515="Dados pessoais e sensíveis"),2,0)+IF(O515="De 1.001 a 10.000 titulares por mês",1,0)+IF(AA515="SIM",1,0)+IF(R515="SIM",1,0)+IF(AL515="SIM",1,0)+IF(AJ515="NÃO",1,0))&gt;=3),"DPIA indicado ou em avaliação em razão de: " &amp; TRIM(IF(I515="SIM","tratamento de dados sensíveis; ","") &amp; IF(K515="SIM","utilização de dados de menores; ","") &amp; IF(AF515="SIM","transferência internacional de dados; ","") &amp; IF(AL515="SIM","utilização de inteligência artificial; ","") &amp; IF(OR(AN515="Dados pessoais",AN515="Dados sensíveis",AN515="Dados pessoais e sensíveis"),"dados inseridos em IA; ","") &amp; IF(O515="Acima de 10.000 titulares por mês","volume crítico de titulares; ","") &amp; IF(O515="De 1.001 a 10.000 titulares por mês","volume moderado de titulares; ","") &amp; IF(AA515="SIM","compartilhamento com terceiros; ","") &amp; IF(R515="SIM","compartilhamento com órgãos governamentais; ","") &amp; IF(AJ515="NÃO","ausência de controle de acesso por perfil; ","")),"DPIA não indicado: Processo de baixa criticidade."))</f>
      </c>
    </row>
    <row x14ac:dyDescent="0.25" r="516" customHeight="1" ht="15.75">
      <c r="A516" s="46"/>
      <c r="B516" s="6"/>
      <c r="C516" s="11"/>
      <c r="D516" s="11"/>
      <c r="E516" s="11"/>
      <c r="F516" s="29"/>
      <c r="G516" s="11"/>
      <c r="H516" s="11"/>
      <c r="I516" s="29"/>
      <c r="J516" s="11"/>
      <c r="K516" s="29"/>
      <c r="L516" s="11"/>
      <c r="M516" s="11"/>
      <c r="N516" s="11"/>
      <c r="O516" s="29"/>
      <c r="P516" s="29"/>
      <c r="Q516" s="11"/>
      <c r="R516" s="29"/>
      <c r="S516" s="11"/>
      <c r="T516" s="6"/>
      <c r="U516" s="29"/>
      <c r="V516" s="11"/>
      <c r="W516" s="11"/>
      <c r="X516" s="29"/>
      <c r="Y516" s="11"/>
      <c r="Z516" s="29"/>
      <c r="AA516" s="29"/>
      <c r="AB516" s="11"/>
      <c r="AC516" s="11"/>
      <c r="AD516" s="29"/>
      <c r="AE516" s="11"/>
      <c r="AF516" s="29"/>
      <c r="AG516" s="11"/>
      <c r="AH516" s="29"/>
      <c r="AI516" s="11"/>
      <c r="AJ516" s="29"/>
      <c r="AK516" s="29"/>
      <c r="AL516" s="29"/>
      <c r="AM516" s="11"/>
      <c r="AN516" s="29"/>
      <c r="AO516" s="29"/>
      <c r="AP516" s="6"/>
      <c r="AQ516" s="113">
        <f>IF(AND(I516="",K516="",AF516="",AL516="",AN516="",O516=""),"",IF(OR(I516="SIM",K516="SIM",AF516="SIM",AL516="SIM",AN516="Dados pessoais",AN516="Dados sensíveis",AN516="Dados pessoais e sensíveis",O516="Acima de 10.000 titulares por mês"),"SIM - Alta criticidade",IF((IF(I516="SIM",2,0)+IF(K516="SIM",2,0)+IF(AF516="SIM",2,0)+IF(OR(AN516="Dados pessoais",AN516="Dados sensíveis",AN516="Dados pessoais e sensíveis"),2,0)+IF(O516="De 1.001 a 10.000 titulares por mês",1,0)+IF(AA516="SIM",1,0)+IF(R516="SIM",1,0)+IF(AL516="SIM",1,0)+IF(AJ516="NÃO",1,0))&gt;=5,"SIM - Alta criticidade",IF((IF(I516="SIM",2,0)+IF(K516="SIM",2,0)+IF(AF516="SIM",2,0)+IF(OR(AN516="Dados pessoais",AN516="Dados sensíveis",AN516="Dados pessoais e sensíveis"),2,0)+IF(O516="De 1.001 a 10.000 titulares por mês",1,0)+IF(AA516="SIM",1,0)+IF(R516="SIM",1,0)+IF(AL516="SIM",1,0)+IF(AJ516="NÃO",1,0))&gt;=3,"Avaliação necessária","NÃO"))))</f>
      </c>
      <c r="AR516" s="11"/>
      <c r="AS516" s="113">
        <f>IF(AND(I516="",K516="",AF516="",AL516="",AN516="",O516=""),"",IF(OR(I516="SIM",K516="SIM",AF516="SIM",AL516="SIM",OR(AN516="Dados pessoais",AN516="Dados sensíveis",AN516="Dados pessoais e sensíveis"),O516="Acima de 10.000 titulares por mês",(IF(I516="SIM",2,0)+IF(K516="SIM",2,0)+IF(AF516="SIM",2,0)+IF(OR(AN516="Dados pessoais",AN516="Dados sensíveis",AN516="Dados pessoais e sensíveis"),2,0)+IF(O516="De 1.001 a 10.000 titulares por mês",1,0)+IF(AA516="SIM",1,0)+IF(R516="SIM",1,0)+IF(AL516="SIM",1,0)+IF(AJ516="NÃO",1,0))&gt;=3),"DPIA indicado ou em avaliação em razão de: " &amp; TRIM(IF(I516="SIM","tratamento de dados sensíveis; ","") &amp; IF(K516="SIM","utilização de dados de menores; ","") &amp; IF(AF516="SIM","transferência internacional de dados; ","") &amp; IF(AL516="SIM","utilização de inteligência artificial; ","") &amp; IF(OR(AN516="Dados pessoais",AN516="Dados sensíveis",AN516="Dados pessoais e sensíveis"),"dados inseridos em IA; ","") &amp; IF(O516="Acima de 10.000 titulares por mês","volume crítico de titulares; ","") &amp; IF(O516="De 1.001 a 10.000 titulares por mês","volume moderado de titulares; ","") &amp; IF(AA516="SIM","compartilhamento com terceiros; ","") &amp; IF(R516="SIM","compartilhamento com órgãos governamentais; ","") &amp; IF(AJ516="NÃO","ausência de controle de acesso por perfil; ","")),"DPIA não indicado: Processo de baixa criticidade."))</f>
      </c>
    </row>
    <row x14ac:dyDescent="0.25" r="517" customHeight="1" ht="15.75">
      <c r="A517" s="46"/>
      <c r="B517" s="6"/>
      <c r="C517" s="11"/>
      <c r="D517" s="11"/>
      <c r="E517" s="11"/>
      <c r="F517" s="29"/>
      <c r="G517" s="11"/>
      <c r="H517" s="11"/>
      <c r="I517" s="29"/>
      <c r="J517" s="11"/>
      <c r="K517" s="29"/>
      <c r="L517" s="11"/>
      <c r="M517" s="11"/>
      <c r="N517" s="11"/>
      <c r="O517" s="29"/>
      <c r="P517" s="29"/>
      <c r="Q517" s="11"/>
      <c r="R517" s="29"/>
      <c r="S517" s="11"/>
      <c r="T517" s="6"/>
      <c r="U517" s="29"/>
      <c r="V517" s="11"/>
      <c r="W517" s="11"/>
      <c r="X517" s="29"/>
      <c r="Y517" s="11"/>
      <c r="Z517" s="29"/>
      <c r="AA517" s="29"/>
      <c r="AB517" s="11"/>
      <c r="AC517" s="11"/>
      <c r="AD517" s="29"/>
      <c r="AE517" s="11"/>
      <c r="AF517" s="29"/>
      <c r="AG517" s="11"/>
      <c r="AH517" s="29"/>
      <c r="AI517" s="11"/>
      <c r="AJ517" s="29"/>
      <c r="AK517" s="29"/>
      <c r="AL517" s="29"/>
      <c r="AM517" s="11"/>
      <c r="AN517" s="29"/>
      <c r="AO517" s="29"/>
      <c r="AP517" s="6"/>
      <c r="AQ517" s="113">
        <f>IF(AND(I517="",K517="",AF517="",AL517="",AN517="",O517=""),"",IF(OR(I517="SIM",K517="SIM",AF517="SIM",AL517="SIM",AN517="Dados pessoais",AN517="Dados sensíveis",AN517="Dados pessoais e sensíveis",O517="Acima de 10.000 titulares por mês"),"SIM - Alta criticidade",IF((IF(I517="SIM",2,0)+IF(K517="SIM",2,0)+IF(AF517="SIM",2,0)+IF(OR(AN517="Dados pessoais",AN517="Dados sensíveis",AN517="Dados pessoais e sensíveis"),2,0)+IF(O517="De 1.001 a 10.000 titulares por mês",1,0)+IF(AA517="SIM",1,0)+IF(R517="SIM",1,0)+IF(AL517="SIM",1,0)+IF(AJ517="NÃO",1,0))&gt;=5,"SIM - Alta criticidade",IF((IF(I517="SIM",2,0)+IF(K517="SIM",2,0)+IF(AF517="SIM",2,0)+IF(OR(AN517="Dados pessoais",AN517="Dados sensíveis",AN517="Dados pessoais e sensíveis"),2,0)+IF(O517="De 1.001 a 10.000 titulares por mês",1,0)+IF(AA517="SIM",1,0)+IF(R517="SIM",1,0)+IF(AL517="SIM",1,0)+IF(AJ517="NÃO",1,0))&gt;=3,"Avaliação necessária","NÃO"))))</f>
      </c>
      <c r="AR517" s="11"/>
      <c r="AS517" s="113">
        <f>IF(AND(I517="",K517="",AF517="",AL517="",AN517="",O517=""),"",IF(OR(I517="SIM",K517="SIM",AF517="SIM",AL517="SIM",OR(AN517="Dados pessoais",AN517="Dados sensíveis",AN517="Dados pessoais e sensíveis"),O517="Acima de 10.000 titulares por mês",(IF(I517="SIM",2,0)+IF(K517="SIM",2,0)+IF(AF517="SIM",2,0)+IF(OR(AN517="Dados pessoais",AN517="Dados sensíveis",AN517="Dados pessoais e sensíveis"),2,0)+IF(O517="De 1.001 a 10.000 titulares por mês",1,0)+IF(AA517="SIM",1,0)+IF(R517="SIM",1,0)+IF(AL517="SIM",1,0)+IF(AJ517="NÃO",1,0))&gt;=3),"DPIA indicado ou em avaliação em razão de: " &amp; TRIM(IF(I517="SIM","tratamento de dados sensíveis; ","") &amp; IF(K517="SIM","utilização de dados de menores; ","") &amp; IF(AF517="SIM","transferência internacional de dados; ","") &amp; IF(AL517="SIM","utilização de inteligência artificial; ","") &amp; IF(OR(AN517="Dados pessoais",AN517="Dados sensíveis",AN517="Dados pessoais e sensíveis"),"dados inseridos em IA; ","") &amp; IF(O517="Acima de 10.000 titulares por mês","volume crítico de titulares; ","") &amp; IF(O517="De 1.001 a 10.000 titulares por mês","volume moderado de titulares; ","") &amp; IF(AA517="SIM","compartilhamento com terceiros; ","") &amp; IF(R517="SIM","compartilhamento com órgãos governamentais; ","") &amp; IF(AJ517="NÃO","ausência de controle de acesso por perfil; ","")),"DPIA não indicado: Processo de baixa criticidade."))</f>
      </c>
    </row>
    <row x14ac:dyDescent="0.25" r="518" customHeight="1" ht="15.75">
      <c r="A518" s="46"/>
      <c r="B518" s="6"/>
      <c r="C518" s="11"/>
      <c r="D518" s="11"/>
      <c r="E518" s="11"/>
      <c r="F518" s="29"/>
      <c r="G518" s="11"/>
      <c r="H518" s="11"/>
      <c r="I518" s="29"/>
      <c r="J518" s="11"/>
      <c r="K518" s="29"/>
      <c r="L518" s="11"/>
      <c r="M518" s="11"/>
      <c r="N518" s="11"/>
      <c r="O518" s="29"/>
      <c r="P518" s="29"/>
      <c r="Q518" s="11"/>
      <c r="R518" s="29"/>
      <c r="S518" s="11"/>
      <c r="T518" s="6"/>
      <c r="U518" s="29"/>
      <c r="V518" s="11"/>
      <c r="W518" s="11"/>
      <c r="X518" s="29"/>
      <c r="Y518" s="11"/>
      <c r="Z518" s="29"/>
      <c r="AA518" s="29"/>
      <c r="AB518" s="11"/>
      <c r="AC518" s="11"/>
      <c r="AD518" s="29"/>
      <c r="AE518" s="11"/>
      <c r="AF518" s="29"/>
      <c r="AG518" s="11"/>
      <c r="AH518" s="29"/>
      <c r="AI518" s="11"/>
      <c r="AJ518" s="29"/>
      <c r="AK518" s="29"/>
      <c r="AL518" s="29"/>
      <c r="AM518" s="11"/>
      <c r="AN518" s="29"/>
      <c r="AO518" s="29"/>
      <c r="AP518" s="6"/>
      <c r="AQ518" s="113">
        <f>IF(AND(I518="",K518="",AF518="",AL518="",AN518="",O518=""),"",IF(OR(I518="SIM",K518="SIM",AF518="SIM",AL518="SIM",AN518="Dados pessoais",AN518="Dados sensíveis",AN518="Dados pessoais e sensíveis",O518="Acima de 10.000 titulares por mês"),"SIM - Alta criticidade",IF((IF(I518="SIM",2,0)+IF(K518="SIM",2,0)+IF(AF518="SIM",2,0)+IF(OR(AN518="Dados pessoais",AN518="Dados sensíveis",AN518="Dados pessoais e sensíveis"),2,0)+IF(O518="De 1.001 a 10.000 titulares por mês",1,0)+IF(AA518="SIM",1,0)+IF(R518="SIM",1,0)+IF(AL518="SIM",1,0)+IF(AJ518="NÃO",1,0))&gt;=5,"SIM - Alta criticidade",IF((IF(I518="SIM",2,0)+IF(K518="SIM",2,0)+IF(AF518="SIM",2,0)+IF(OR(AN518="Dados pessoais",AN518="Dados sensíveis",AN518="Dados pessoais e sensíveis"),2,0)+IF(O518="De 1.001 a 10.000 titulares por mês",1,0)+IF(AA518="SIM",1,0)+IF(R518="SIM",1,0)+IF(AL518="SIM",1,0)+IF(AJ518="NÃO",1,0))&gt;=3,"Avaliação necessária","NÃO"))))</f>
      </c>
      <c r="AR518" s="11"/>
      <c r="AS518" s="113">
        <f>IF(AND(I518="",K518="",AF518="",AL518="",AN518="",O518=""),"",IF(OR(I518="SIM",K518="SIM",AF518="SIM",AL518="SIM",OR(AN518="Dados pessoais",AN518="Dados sensíveis",AN518="Dados pessoais e sensíveis"),O518="Acima de 10.000 titulares por mês",(IF(I518="SIM",2,0)+IF(K518="SIM",2,0)+IF(AF518="SIM",2,0)+IF(OR(AN518="Dados pessoais",AN518="Dados sensíveis",AN518="Dados pessoais e sensíveis"),2,0)+IF(O518="De 1.001 a 10.000 titulares por mês",1,0)+IF(AA518="SIM",1,0)+IF(R518="SIM",1,0)+IF(AL518="SIM",1,0)+IF(AJ518="NÃO",1,0))&gt;=3),"DPIA indicado ou em avaliação em razão de: " &amp; TRIM(IF(I518="SIM","tratamento de dados sensíveis; ","") &amp; IF(K518="SIM","utilização de dados de menores; ","") &amp; IF(AF518="SIM","transferência internacional de dados; ","") &amp; IF(AL518="SIM","utilização de inteligência artificial; ","") &amp; IF(OR(AN518="Dados pessoais",AN518="Dados sensíveis",AN518="Dados pessoais e sensíveis"),"dados inseridos em IA; ","") &amp; IF(O518="Acima de 10.000 titulares por mês","volume crítico de titulares; ","") &amp; IF(O518="De 1.001 a 10.000 titulares por mês","volume moderado de titulares; ","") &amp; IF(AA518="SIM","compartilhamento com terceiros; ","") &amp; IF(R518="SIM","compartilhamento com órgãos governamentais; ","") &amp; IF(AJ518="NÃO","ausência de controle de acesso por perfil; ","")),"DPIA não indicado: Processo de baixa criticidade."))</f>
      </c>
    </row>
    <row x14ac:dyDescent="0.25" r="519" customHeight="1" ht="15.75">
      <c r="A519" s="46"/>
      <c r="B519" s="6"/>
      <c r="C519" s="11"/>
      <c r="D519" s="11"/>
      <c r="E519" s="11"/>
      <c r="F519" s="29"/>
      <c r="G519" s="11"/>
      <c r="H519" s="11"/>
      <c r="I519" s="29"/>
      <c r="J519" s="11"/>
      <c r="K519" s="29"/>
      <c r="L519" s="11"/>
      <c r="M519" s="11"/>
      <c r="N519" s="11"/>
      <c r="O519" s="29"/>
      <c r="P519" s="29"/>
      <c r="Q519" s="11"/>
      <c r="R519" s="29"/>
      <c r="S519" s="11"/>
      <c r="T519" s="6"/>
      <c r="U519" s="29"/>
      <c r="V519" s="11"/>
      <c r="W519" s="11"/>
      <c r="X519" s="29"/>
      <c r="Y519" s="11"/>
      <c r="Z519" s="29"/>
      <c r="AA519" s="29"/>
      <c r="AB519" s="11"/>
      <c r="AC519" s="11"/>
      <c r="AD519" s="29"/>
      <c r="AE519" s="11"/>
      <c r="AF519" s="29"/>
      <c r="AG519" s="11"/>
      <c r="AH519" s="29"/>
      <c r="AI519" s="11"/>
      <c r="AJ519" s="29"/>
      <c r="AK519" s="29"/>
      <c r="AL519" s="29"/>
      <c r="AM519" s="11"/>
      <c r="AN519" s="29"/>
      <c r="AO519" s="29"/>
      <c r="AP519" s="6"/>
      <c r="AQ519" s="113">
        <f>IF(AND(I519="",K519="",AF519="",AL519="",AN519="",O519=""),"",IF(OR(I519="SIM",K519="SIM",AF519="SIM",AL519="SIM",AN519="Dados pessoais",AN519="Dados sensíveis",AN519="Dados pessoais e sensíveis",O519="Acima de 10.000 titulares por mês"),"SIM - Alta criticidade",IF((IF(I519="SIM",2,0)+IF(K519="SIM",2,0)+IF(AF519="SIM",2,0)+IF(OR(AN519="Dados pessoais",AN519="Dados sensíveis",AN519="Dados pessoais e sensíveis"),2,0)+IF(O519="De 1.001 a 10.000 titulares por mês",1,0)+IF(AA519="SIM",1,0)+IF(R519="SIM",1,0)+IF(AL519="SIM",1,0)+IF(AJ519="NÃO",1,0))&gt;=5,"SIM - Alta criticidade",IF((IF(I519="SIM",2,0)+IF(K519="SIM",2,0)+IF(AF519="SIM",2,0)+IF(OR(AN519="Dados pessoais",AN519="Dados sensíveis",AN519="Dados pessoais e sensíveis"),2,0)+IF(O519="De 1.001 a 10.000 titulares por mês",1,0)+IF(AA519="SIM",1,0)+IF(R519="SIM",1,0)+IF(AL519="SIM",1,0)+IF(AJ519="NÃO",1,0))&gt;=3,"Avaliação necessária","NÃO"))))</f>
      </c>
      <c r="AR519" s="11"/>
      <c r="AS519" s="113">
        <f>IF(AND(I519="",K519="",AF519="",AL519="",AN519="",O519=""),"",IF(OR(I519="SIM",K519="SIM",AF519="SIM",AL519="SIM",OR(AN519="Dados pessoais",AN519="Dados sensíveis",AN519="Dados pessoais e sensíveis"),O519="Acima de 10.000 titulares por mês",(IF(I519="SIM",2,0)+IF(K519="SIM",2,0)+IF(AF519="SIM",2,0)+IF(OR(AN519="Dados pessoais",AN519="Dados sensíveis",AN519="Dados pessoais e sensíveis"),2,0)+IF(O519="De 1.001 a 10.000 titulares por mês",1,0)+IF(AA519="SIM",1,0)+IF(R519="SIM",1,0)+IF(AL519="SIM",1,0)+IF(AJ519="NÃO",1,0))&gt;=3),"DPIA indicado ou em avaliação em razão de: " &amp; TRIM(IF(I519="SIM","tratamento de dados sensíveis; ","") &amp; IF(K519="SIM","utilização de dados de menores; ","") &amp; IF(AF519="SIM","transferência internacional de dados; ","") &amp; IF(AL519="SIM","utilização de inteligência artificial; ","") &amp; IF(OR(AN519="Dados pessoais",AN519="Dados sensíveis",AN519="Dados pessoais e sensíveis"),"dados inseridos em IA; ","") &amp; IF(O519="Acima de 10.000 titulares por mês","volume crítico de titulares; ","") &amp; IF(O519="De 1.001 a 10.000 titulares por mês","volume moderado de titulares; ","") &amp; IF(AA519="SIM","compartilhamento com terceiros; ","") &amp; IF(R519="SIM","compartilhamento com órgãos governamentais; ","") &amp; IF(AJ519="NÃO","ausência de controle de acesso por perfil; ","")),"DPIA não indicado: Processo de baixa criticidade."))</f>
      </c>
    </row>
    <row x14ac:dyDescent="0.25" r="520" customHeight="1" ht="15.75">
      <c r="A520" s="46"/>
      <c r="B520" s="6"/>
      <c r="C520" s="11"/>
      <c r="D520" s="11"/>
      <c r="E520" s="11"/>
      <c r="F520" s="29"/>
      <c r="G520" s="11"/>
      <c r="H520" s="11"/>
      <c r="I520" s="29"/>
      <c r="J520" s="11"/>
      <c r="K520" s="29"/>
      <c r="L520" s="11"/>
      <c r="M520" s="11"/>
      <c r="N520" s="11"/>
      <c r="O520" s="29"/>
      <c r="P520" s="29"/>
      <c r="Q520" s="11"/>
      <c r="R520" s="29"/>
      <c r="S520" s="11"/>
      <c r="T520" s="6"/>
      <c r="U520" s="29"/>
      <c r="V520" s="11"/>
      <c r="W520" s="11"/>
      <c r="X520" s="29"/>
      <c r="Y520" s="11"/>
      <c r="Z520" s="29"/>
      <c r="AA520" s="29"/>
      <c r="AB520" s="11"/>
      <c r="AC520" s="11"/>
      <c r="AD520" s="29"/>
      <c r="AE520" s="11"/>
      <c r="AF520" s="29"/>
      <c r="AG520" s="11"/>
      <c r="AH520" s="29"/>
      <c r="AI520" s="11"/>
      <c r="AJ520" s="29"/>
      <c r="AK520" s="29"/>
      <c r="AL520" s="29"/>
      <c r="AM520" s="11"/>
      <c r="AN520" s="29"/>
      <c r="AO520" s="29"/>
      <c r="AP520" s="6"/>
      <c r="AQ520" s="113">
        <f>IF(AND(I520="",K520="",AF520="",AL520="",AN520="",O520=""),"",IF(OR(I520="SIM",K520="SIM",AF520="SIM",AL520="SIM",AN520="Dados pessoais",AN520="Dados sensíveis",AN520="Dados pessoais e sensíveis",O520="Acima de 10.000 titulares por mês"),"SIM - Alta criticidade",IF((IF(I520="SIM",2,0)+IF(K520="SIM",2,0)+IF(AF520="SIM",2,0)+IF(OR(AN520="Dados pessoais",AN520="Dados sensíveis",AN520="Dados pessoais e sensíveis"),2,0)+IF(O520="De 1.001 a 10.000 titulares por mês",1,0)+IF(AA520="SIM",1,0)+IF(R520="SIM",1,0)+IF(AL520="SIM",1,0)+IF(AJ520="NÃO",1,0))&gt;=5,"SIM - Alta criticidade",IF((IF(I520="SIM",2,0)+IF(K520="SIM",2,0)+IF(AF520="SIM",2,0)+IF(OR(AN520="Dados pessoais",AN520="Dados sensíveis",AN520="Dados pessoais e sensíveis"),2,0)+IF(O520="De 1.001 a 10.000 titulares por mês",1,0)+IF(AA520="SIM",1,0)+IF(R520="SIM",1,0)+IF(AL520="SIM",1,0)+IF(AJ520="NÃO",1,0))&gt;=3,"Avaliação necessária","NÃO"))))</f>
      </c>
      <c r="AR520" s="11"/>
      <c r="AS520" s="113">
        <f>IF(AND(I520="",K520="",AF520="",AL520="",AN520="",O520=""),"",IF(OR(I520="SIM",K520="SIM",AF520="SIM",AL520="SIM",OR(AN520="Dados pessoais",AN520="Dados sensíveis",AN520="Dados pessoais e sensíveis"),O520="Acima de 10.000 titulares por mês",(IF(I520="SIM",2,0)+IF(K520="SIM",2,0)+IF(AF520="SIM",2,0)+IF(OR(AN520="Dados pessoais",AN520="Dados sensíveis",AN520="Dados pessoais e sensíveis"),2,0)+IF(O520="De 1.001 a 10.000 titulares por mês",1,0)+IF(AA520="SIM",1,0)+IF(R520="SIM",1,0)+IF(AL520="SIM",1,0)+IF(AJ520="NÃO",1,0))&gt;=3),"DPIA indicado ou em avaliação em razão de: " &amp; TRIM(IF(I520="SIM","tratamento de dados sensíveis; ","") &amp; IF(K520="SIM","utilização de dados de menores; ","") &amp; IF(AF520="SIM","transferência internacional de dados; ","") &amp; IF(AL520="SIM","utilização de inteligência artificial; ","") &amp; IF(OR(AN520="Dados pessoais",AN520="Dados sensíveis",AN520="Dados pessoais e sensíveis"),"dados inseridos em IA; ","") &amp; IF(O520="Acima de 10.000 titulares por mês","volume crítico de titulares; ","") &amp; IF(O520="De 1.001 a 10.000 titulares por mês","volume moderado de titulares; ","") &amp; IF(AA520="SIM","compartilhamento com terceiros; ","") &amp; IF(R520="SIM","compartilhamento com órgãos governamentais; ","") &amp; IF(AJ520="NÃO","ausência de controle de acesso por perfil; ","")),"DPIA não indicado: Processo de baixa criticidade."))</f>
      </c>
    </row>
    <row x14ac:dyDescent="0.25" r="521" customHeight="1" ht="15.75">
      <c r="A521" s="46"/>
      <c r="B521" s="6"/>
      <c r="C521" s="11"/>
      <c r="D521" s="11"/>
      <c r="E521" s="11"/>
      <c r="F521" s="29"/>
      <c r="G521" s="11"/>
      <c r="H521" s="11"/>
      <c r="I521" s="29"/>
      <c r="J521" s="11"/>
      <c r="K521" s="29"/>
      <c r="L521" s="11"/>
      <c r="M521" s="11"/>
      <c r="N521" s="11"/>
      <c r="O521" s="29"/>
      <c r="P521" s="29"/>
      <c r="Q521" s="11"/>
      <c r="R521" s="29"/>
      <c r="S521" s="11"/>
      <c r="T521" s="6"/>
      <c r="U521" s="29"/>
      <c r="V521" s="11"/>
      <c r="W521" s="11"/>
      <c r="X521" s="29"/>
      <c r="Y521" s="11"/>
      <c r="Z521" s="29"/>
      <c r="AA521" s="29"/>
      <c r="AB521" s="11"/>
      <c r="AC521" s="11"/>
      <c r="AD521" s="29"/>
      <c r="AE521" s="11"/>
      <c r="AF521" s="29"/>
      <c r="AG521" s="11"/>
      <c r="AH521" s="29"/>
      <c r="AI521" s="11"/>
      <c r="AJ521" s="29"/>
      <c r="AK521" s="29"/>
      <c r="AL521" s="29"/>
      <c r="AM521" s="11"/>
      <c r="AN521" s="29"/>
      <c r="AO521" s="29"/>
      <c r="AP521" s="6"/>
      <c r="AQ521" s="113">
        <f>IF(AND(I521="",K521="",AF521="",AL521="",AN521="",O521=""),"",IF(OR(I521="SIM",K521="SIM",AF521="SIM",AL521="SIM",AN521="Dados pessoais",AN521="Dados sensíveis",AN521="Dados pessoais e sensíveis",O521="Acima de 10.000 titulares por mês"),"SIM - Alta criticidade",IF((IF(I521="SIM",2,0)+IF(K521="SIM",2,0)+IF(AF521="SIM",2,0)+IF(OR(AN521="Dados pessoais",AN521="Dados sensíveis",AN521="Dados pessoais e sensíveis"),2,0)+IF(O521="De 1.001 a 10.000 titulares por mês",1,0)+IF(AA521="SIM",1,0)+IF(R521="SIM",1,0)+IF(AL521="SIM",1,0)+IF(AJ521="NÃO",1,0))&gt;=5,"SIM - Alta criticidade",IF((IF(I521="SIM",2,0)+IF(K521="SIM",2,0)+IF(AF521="SIM",2,0)+IF(OR(AN521="Dados pessoais",AN521="Dados sensíveis",AN521="Dados pessoais e sensíveis"),2,0)+IF(O521="De 1.001 a 10.000 titulares por mês",1,0)+IF(AA521="SIM",1,0)+IF(R521="SIM",1,0)+IF(AL521="SIM",1,0)+IF(AJ521="NÃO",1,0))&gt;=3,"Avaliação necessária","NÃO"))))</f>
      </c>
      <c r="AR521" s="11"/>
      <c r="AS521" s="113">
        <f>IF(AND(I521="",K521="",AF521="",AL521="",AN521="",O521=""),"",IF(OR(I521="SIM",K521="SIM",AF521="SIM",AL521="SIM",OR(AN521="Dados pessoais",AN521="Dados sensíveis",AN521="Dados pessoais e sensíveis"),O521="Acima de 10.000 titulares por mês",(IF(I521="SIM",2,0)+IF(K521="SIM",2,0)+IF(AF521="SIM",2,0)+IF(OR(AN521="Dados pessoais",AN521="Dados sensíveis",AN521="Dados pessoais e sensíveis"),2,0)+IF(O521="De 1.001 a 10.000 titulares por mês",1,0)+IF(AA521="SIM",1,0)+IF(R521="SIM",1,0)+IF(AL521="SIM",1,0)+IF(AJ521="NÃO",1,0))&gt;=3),"DPIA indicado ou em avaliação em razão de: " &amp; TRIM(IF(I521="SIM","tratamento de dados sensíveis; ","") &amp; IF(K521="SIM","utilização de dados de menores; ","") &amp; IF(AF521="SIM","transferência internacional de dados; ","") &amp; IF(AL521="SIM","utilização de inteligência artificial; ","") &amp; IF(OR(AN521="Dados pessoais",AN521="Dados sensíveis",AN521="Dados pessoais e sensíveis"),"dados inseridos em IA; ","") &amp; IF(O521="Acima de 10.000 titulares por mês","volume crítico de titulares; ","") &amp; IF(O521="De 1.001 a 10.000 titulares por mês","volume moderado de titulares; ","") &amp; IF(AA521="SIM","compartilhamento com terceiros; ","") &amp; IF(R521="SIM","compartilhamento com órgãos governamentais; ","") &amp; IF(AJ521="NÃO","ausência de controle de acesso por perfil; ","")),"DPIA não indicado: Processo de baixa criticidade."))</f>
      </c>
    </row>
    <row x14ac:dyDescent="0.25" r="522" customHeight="1" ht="15.75">
      <c r="A522" s="46"/>
      <c r="B522" s="6"/>
      <c r="C522" s="11"/>
      <c r="D522" s="11"/>
      <c r="E522" s="11"/>
      <c r="F522" s="29"/>
      <c r="G522" s="11"/>
      <c r="H522" s="11"/>
      <c r="I522" s="29"/>
      <c r="J522" s="11"/>
      <c r="K522" s="29"/>
      <c r="L522" s="11"/>
      <c r="M522" s="11"/>
      <c r="N522" s="11"/>
      <c r="O522" s="29"/>
      <c r="P522" s="29"/>
      <c r="Q522" s="11"/>
      <c r="R522" s="29"/>
      <c r="S522" s="11"/>
      <c r="T522" s="6"/>
      <c r="U522" s="29"/>
      <c r="V522" s="11"/>
      <c r="W522" s="11"/>
      <c r="X522" s="29"/>
      <c r="Y522" s="11"/>
      <c r="Z522" s="29"/>
      <c r="AA522" s="29"/>
      <c r="AB522" s="11"/>
      <c r="AC522" s="11"/>
      <c r="AD522" s="29"/>
      <c r="AE522" s="11"/>
      <c r="AF522" s="29"/>
      <c r="AG522" s="11"/>
      <c r="AH522" s="29"/>
      <c r="AI522" s="11"/>
      <c r="AJ522" s="29"/>
      <c r="AK522" s="29"/>
      <c r="AL522" s="29"/>
      <c r="AM522" s="11"/>
      <c r="AN522" s="29"/>
      <c r="AO522" s="29"/>
      <c r="AP522" s="6"/>
      <c r="AQ522" s="113">
        <f>IF(AND(I522="",K522="",AF522="",AL522="",AN522="",O522=""),"",IF(OR(I522="SIM",K522="SIM",AF522="SIM",AL522="SIM",AN522="Dados pessoais",AN522="Dados sensíveis",AN522="Dados pessoais e sensíveis",O522="Acima de 10.000 titulares por mês"),"SIM - Alta criticidade",IF((IF(I522="SIM",2,0)+IF(K522="SIM",2,0)+IF(AF522="SIM",2,0)+IF(OR(AN522="Dados pessoais",AN522="Dados sensíveis",AN522="Dados pessoais e sensíveis"),2,0)+IF(O522="De 1.001 a 10.000 titulares por mês",1,0)+IF(AA522="SIM",1,0)+IF(R522="SIM",1,0)+IF(AL522="SIM",1,0)+IF(AJ522="NÃO",1,0))&gt;=5,"SIM - Alta criticidade",IF((IF(I522="SIM",2,0)+IF(K522="SIM",2,0)+IF(AF522="SIM",2,0)+IF(OR(AN522="Dados pessoais",AN522="Dados sensíveis",AN522="Dados pessoais e sensíveis"),2,0)+IF(O522="De 1.001 a 10.000 titulares por mês",1,0)+IF(AA522="SIM",1,0)+IF(R522="SIM",1,0)+IF(AL522="SIM",1,0)+IF(AJ522="NÃO",1,0))&gt;=3,"Avaliação necessária","NÃO"))))</f>
      </c>
      <c r="AR522" s="11"/>
      <c r="AS522" s="113">
        <f>IF(AND(I522="",K522="",AF522="",AL522="",AN522="",O522=""),"",IF(OR(I522="SIM",K522="SIM",AF522="SIM",AL522="SIM",OR(AN522="Dados pessoais",AN522="Dados sensíveis",AN522="Dados pessoais e sensíveis"),O522="Acima de 10.000 titulares por mês",(IF(I522="SIM",2,0)+IF(K522="SIM",2,0)+IF(AF522="SIM",2,0)+IF(OR(AN522="Dados pessoais",AN522="Dados sensíveis",AN522="Dados pessoais e sensíveis"),2,0)+IF(O522="De 1.001 a 10.000 titulares por mês",1,0)+IF(AA522="SIM",1,0)+IF(R522="SIM",1,0)+IF(AL522="SIM",1,0)+IF(AJ522="NÃO",1,0))&gt;=3),"DPIA indicado ou em avaliação em razão de: " &amp; TRIM(IF(I522="SIM","tratamento de dados sensíveis; ","") &amp; IF(K522="SIM","utilização de dados de menores; ","") &amp; IF(AF522="SIM","transferência internacional de dados; ","") &amp; IF(AL522="SIM","utilização de inteligência artificial; ","") &amp; IF(OR(AN522="Dados pessoais",AN522="Dados sensíveis",AN522="Dados pessoais e sensíveis"),"dados inseridos em IA; ","") &amp; IF(O522="Acima de 10.000 titulares por mês","volume crítico de titulares; ","") &amp; IF(O522="De 1.001 a 10.000 titulares por mês","volume moderado de titulares; ","") &amp; IF(AA522="SIM","compartilhamento com terceiros; ","") &amp; IF(R522="SIM","compartilhamento com órgãos governamentais; ","") &amp; IF(AJ522="NÃO","ausência de controle de acesso por perfil; ","")),"DPIA não indicado: Processo de baixa criticidade."))</f>
      </c>
    </row>
    <row x14ac:dyDescent="0.25" r="523" customHeight="1" ht="15.75">
      <c r="A523" s="46"/>
      <c r="B523" s="6"/>
      <c r="C523" s="11"/>
      <c r="D523" s="11"/>
      <c r="E523" s="11"/>
      <c r="F523" s="29"/>
      <c r="G523" s="11"/>
      <c r="H523" s="11"/>
      <c r="I523" s="29"/>
      <c r="J523" s="11"/>
      <c r="K523" s="29"/>
      <c r="L523" s="11"/>
      <c r="M523" s="11"/>
      <c r="N523" s="11"/>
      <c r="O523" s="29"/>
      <c r="P523" s="29"/>
      <c r="Q523" s="11"/>
      <c r="R523" s="29"/>
      <c r="S523" s="11"/>
      <c r="T523" s="6"/>
      <c r="U523" s="29"/>
      <c r="V523" s="11"/>
      <c r="W523" s="11"/>
      <c r="X523" s="29"/>
      <c r="Y523" s="11"/>
      <c r="Z523" s="29"/>
      <c r="AA523" s="29"/>
      <c r="AB523" s="11"/>
      <c r="AC523" s="11"/>
      <c r="AD523" s="29"/>
      <c r="AE523" s="11"/>
      <c r="AF523" s="29"/>
      <c r="AG523" s="11"/>
      <c r="AH523" s="29"/>
      <c r="AI523" s="11"/>
      <c r="AJ523" s="29"/>
      <c r="AK523" s="29"/>
      <c r="AL523" s="29"/>
      <c r="AM523" s="11"/>
      <c r="AN523" s="29"/>
      <c r="AO523" s="29"/>
      <c r="AP523" s="6"/>
      <c r="AQ523" s="113">
        <f>IF(AND(I523="",K523="",AF523="",AL523="",AN523="",O523=""),"",IF(OR(I523="SIM",K523="SIM",AF523="SIM",AL523="SIM",AN523="Dados pessoais",AN523="Dados sensíveis",AN523="Dados pessoais e sensíveis",O523="Acima de 10.000 titulares por mês"),"SIM - Alta criticidade",IF((IF(I523="SIM",2,0)+IF(K523="SIM",2,0)+IF(AF523="SIM",2,0)+IF(OR(AN523="Dados pessoais",AN523="Dados sensíveis",AN523="Dados pessoais e sensíveis"),2,0)+IF(O523="De 1.001 a 10.000 titulares por mês",1,0)+IF(AA523="SIM",1,0)+IF(R523="SIM",1,0)+IF(AL523="SIM",1,0)+IF(AJ523="NÃO",1,0))&gt;=5,"SIM - Alta criticidade",IF((IF(I523="SIM",2,0)+IF(K523="SIM",2,0)+IF(AF523="SIM",2,0)+IF(OR(AN523="Dados pessoais",AN523="Dados sensíveis",AN523="Dados pessoais e sensíveis"),2,0)+IF(O523="De 1.001 a 10.000 titulares por mês",1,0)+IF(AA523="SIM",1,0)+IF(R523="SIM",1,0)+IF(AL523="SIM",1,0)+IF(AJ523="NÃO",1,0))&gt;=3,"Avaliação necessária","NÃO"))))</f>
      </c>
      <c r="AR523" s="11"/>
      <c r="AS523" s="113">
        <f>IF(AND(I523="",K523="",AF523="",AL523="",AN523="",O523=""),"",IF(OR(I523="SIM",K523="SIM",AF523="SIM",AL523="SIM",OR(AN523="Dados pessoais",AN523="Dados sensíveis",AN523="Dados pessoais e sensíveis"),O523="Acima de 10.000 titulares por mês",(IF(I523="SIM",2,0)+IF(K523="SIM",2,0)+IF(AF523="SIM",2,0)+IF(OR(AN523="Dados pessoais",AN523="Dados sensíveis",AN523="Dados pessoais e sensíveis"),2,0)+IF(O523="De 1.001 a 10.000 titulares por mês",1,0)+IF(AA523="SIM",1,0)+IF(R523="SIM",1,0)+IF(AL523="SIM",1,0)+IF(AJ523="NÃO",1,0))&gt;=3),"DPIA indicado ou em avaliação em razão de: " &amp; TRIM(IF(I523="SIM","tratamento de dados sensíveis; ","") &amp; IF(K523="SIM","utilização de dados de menores; ","") &amp; IF(AF523="SIM","transferência internacional de dados; ","") &amp; IF(AL523="SIM","utilização de inteligência artificial; ","") &amp; IF(OR(AN523="Dados pessoais",AN523="Dados sensíveis",AN523="Dados pessoais e sensíveis"),"dados inseridos em IA; ","") &amp; IF(O523="Acima de 10.000 titulares por mês","volume crítico de titulares; ","") &amp; IF(O523="De 1.001 a 10.000 titulares por mês","volume moderado de titulares; ","") &amp; IF(AA523="SIM","compartilhamento com terceiros; ","") &amp; IF(R523="SIM","compartilhamento com órgãos governamentais; ","") &amp; IF(AJ523="NÃO","ausência de controle de acesso por perfil; ","")),"DPIA não indicado: Processo de baixa criticidade."))</f>
      </c>
    </row>
    <row x14ac:dyDescent="0.25" r="524" customHeight="1" ht="15.75">
      <c r="A524" s="46"/>
      <c r="B524" s="6"/>
      <c r="C524" s="11"/>
      <c r="D524" s="11"/>
      <c r="E524" s="11"/>
      <c r="F524" s="29"/>
      <c r="G524" s="11"/>
      <c r="H524" s="11"/>
      <c r="I524" s="29"/>
      <c r="J524" s="11"/>
      <c r="K524" s="29"/>
      <c r="L524" s="11"/>
      <c r="M524" s="11"/>
      <c r="N524" s="11"/>
      <c r="O524" s="29"/>
      <c r="P524" s="29"/>
      <c r="Q524" s="11"/>
      <c r="R524" s="29"/>
      <c r="S524" s="11"/>
      <c r="T524" s="6"/>
      <c r="U524" s="29"/>
      <c r="V524" s="11"/>
      <c r="W524" s="11"/>
      <c r="X524" s="29"/>
      <c r="Y524" s="11"/>
      <c r="Z524" s="29"/>
      <c r="AA524" s="29"/>
      <c r="AB524" s="11"/>
      <c r="AC524" s="11"/>
      <c r="AD524" s="29"/>
      <c r="AE524" s="11"/>
      <c r="AF524" s="29"/>
      <c r="AG524" s="11"/>
      <c r="AH524" s="29"/>
      <c r="AI524" s="11"/>
      <c r="AJ524" s="29"/>
      <c r="AK524" s="29"/>
      <c r="AL524" s="29"/>
      <c r="AM524" s="11"/>
      <c r="AN524" s="29"/>
      <c r="AO524" s="29"/>
      <c r="AP524" s="6"/>
      <c r="AQ524" s="113">
        <f>IF(AND(I524="",K524="",AF524="",AL524="",AN524="",O524=""),"",IF(OR(I524="SIM",K524="SIM",AF524="SIM",AL524="SIM",AN524="Dados pessoais",AN524="Dados sensíveis",AN524="Dados pessoais e sensíveis",O524="Acima de 10.000 titulares por mês"),"SIM - Alta criticidade",IF((IF(I524="SIM",2,0)+IF(K524="SIM",2,0)+IF(AF524="SIM",2,0)+IF(OR(AN524="Dados pessoais",AN524="Dados sensíveis",AN524="Dados pessoais e sensíveis"),2,0)+IF(O524="De 1.001 a 10.000 titulares por mês",1,0)+IF(AA524="SIM",1,0)+IF(R524="SIM",1,0)+IF(AL524="SIM",1,0)+IF(AJ524="NÃO",1,0))&gt;=5,"SIM - Alta criticidade",IF((IF(I524="SIM",2,0)+IF(K524="SIM",2,0)+IF(AF524="SIM",2,0)+IF(OR(AN524="Dados pessoais",AN524="Dados sensíveis",AN524="Dados pessoais e sensíveis"),2,0)+IF(O524="De 1.001 a 10.000 titulares por mês",1,0)+IF(AA524="SIM",1,0)+IF(R524="SIM",1,0)+IF(AL524="SIM",1,0)+IF(AJ524="NÃO",1,0))&gt;=3,"Avaliação necessária","NÃO"))))</f>
      </c>
      <c r="AR524" s="11"/>
      <c r="AS524" s="113">
        <f>IF(AND(I524="",K524="",AF524="",AL524="",AN524="",O524=""),"",IF(OR(I524="SIM",K524="SIM",AF524="SIM",AL524="SIM",OR(AN524="Dados pessoais",AN524="Dados sensíveis",AN524="Dados pessoais e sensíveis"),O524="Acima de 10.000 titulares por mês",(IF(I524="SIM",2,0)+IF(K524="SIM",2,0)+IF(AF524="SIM",2,0)+IF(OR(AN524="Dados pessoais",AN524="Dados sensíveis",AN524="Dados pessoais e sensíveis"),2,0)+IF(O524="De 1.001 a 10.000 titulares por mês",1,0)+IF(AA524="SIM",1,0)+IF(R524="SIM",1,0)+IF(AL524="SIM",1,0)+IF(AJ524="NÃO",1,0))&gt;=3),"DPIA indicado ou em avaliação em razão de: " &amp; TRIM(IF(I524="SIM","tratamento de dados sensíveis; ","") &amp; IF(K524="SIM","utilização de dados de menores; ","") &amp; IF(AF524="SIM","transferência internacional de dados; ","") &amp; IF(AL524="SIM","utilização de inteligência artificial; ","") &amp; IF(OR(AN524="Dados pessoais",AN524="Dados sensíveis",AN524="Dados pessoais e sensíveis"),"dados inseridos em IA; ","") &amp; IF(O524="Acima de 10.000 titulares por mês","volume crítico de titulares; ","") &amp; IF(O524="De 1.001 a 10.000 titulares por mês","volume moderado de titulares; ","") &amp; IF(AA524="SIM","compartilhamento com terceiros; ","") &amp; IF(R524="SIM","compartilhamento com órgãos governamentais; ","") &amp; IF(AJ524="NÃO","ausência de controle de acesso por perfil; ","")),"DPIA não indicado: Processo de baixa criticidade."))</f>
      </c>
    </row>
    <row x14ac:dyDescent="0.25" r="525" customHeight="1" ht="15.75">
      <c r="A525" s="46"/>
      <c r="B525" s="6"/>
      <c r="C525" s="11"/>
      <c r="D525" s="11"/>
      <c r="E525" s="11"/>
      <c r="F525" s="29"/>
      <c r="G525" s="11"/>
      <c r="H525" s="11"/>
      <c r="I525" s="29"/>
      <c r="J525" s="11"/>
      <c r="K525" s="29"/>
      <c r="L525" s="11"/>
      <c r="M525" s="11"/>
      <c r="N525" s="11"/>
      <c r="O525" s="29"/>
      <c r="P525" s="29"/>
      <c r="Q525" s="11"/>
      <c r="R525" s="29"/>
      <c r="S525" s="11"/>
      <c r="T525" s="6"/>
      <c r="U525" s="29"/>
      <c r="V525" s="11"/>
      <c r="W525" s="11"/>
      <c r="X525" s="29"/>
      <c r="Y525" s="11"/>
      <c r="Z525" s="29"/>
      <c r="AA525" s="29"/>
      <c r="AB525" s="11"/>
      <c r="AC525" s="11"/>
      <c r="AD525" s="29"/>
      <c r="AE525" s="11"/>
      <c r="AF525" s="29"/>
      <c r="AG525" s="11"/>
      <c r="AH525" s="29"/>
      <c r="AI525" s="11"/>
      <c r="AJ525" s="29"/>
      <c r="AK525" s="29"/>
      <c r="AL525" s="29"/>
      <c r="AM525" s="11"/>
      <c r="AN525" s="29"/>
      <c r="AO525" s="29"/>
      <c r="AP525" s="6"/>
      <c r="AQ525" s="113">
        <f>IF(AND(I525="",K525="",AF525="",AL525="",AN525="",O525=""),"",IF(OR(I525="SIM",K525="SIM",AF525="SIM",AL525="SIM",AN525="Dados pessoais",AN525="Dados sensíveis",AN525="Dados pessoais e sensíveis",O525="Acima de 10.000 titulares por mês"),"SIM - Alta criticidade",IF((IF(I525="SIM",2,0)+IF(K525="SIM",2,0)+IF(AF525="SIM",2,0)+IF(OR(AN525="Dados pessoais",AN525="Dados sensíveis",AN525="Dados pessoais e sensíveis"),2,0)+IF(O525="De 1.001 a 10.000 titulares por mês",1,0)+IF(AA525="SIM",1,0)+IF(R525="SIM",1,0)+IF(AL525="SIM",1,0)+IF(AJ525="NÃO",1,0))&gt;=5,"SIM - Alta criticidade",IF((IF(I525="SIM",2,0)+IF(K525="SIM",2,0)+IF(AF525="SIM",2,0)+IF(OR(AN525="Dados pessoais",AN525="Dados sensíveis",AN525="Dados pessoais e sensíveis"),2,0)+IF(O525="De 1.001 a 10.000 titulares por mês",1,0)+IF(AA525="SIM",1,0)+IF(R525="SIM",1,0)+IF(AL525="SIM",1,0)+IF(AJ525="NÃO",1,0))&gt;=3,"Avaliação necessária","NÃO"))))</f>
      </c>
      <c r="AR525" s="11"/>
      <c r="AS525" s="113">
        <f>IF(AND(I525="",K525="",AF525="",AL525="",AN525="",O525=""),"",IF(OR(I525="SIM",K525="SIM",AF525="SIM",AL525="SIM",OR(AN525="Dados pessoais",AN525="Dados sensíveis",AN525="Dados pessoais e sensíveis"),O525="Acima de 10.000 titulares por mês",(IF(I525="SIM",2,0)+IF(K525="SIM",2,0)+IF(AF525="SIM",2,0)+IF(OR(AN525="Dados pessoais",AN525="Dados sensíveis",AN525="Dados pessoais e sensíveis"),2,0)+IF(O525="De 1.001 a 10.000 titulares por mês",1,0)+IF(AA525="SIM",1,0)+IF(R525="SIM",1,0)+IF(AL525="SIM",1,0)+IF(AJ525="NÃO",1,0))&gt;=3),"DPIA indicado ou em avaliação em razão de: " &amp; TRIM(IF(I525="SIM","tratamento de dados sensíveis; ","") &amp; IF(K525="SIM","utilização de dados de menores; ","") &amp; IF(AF525="SIM","transferência internacional de dados; ","") &amp; IF(AL525="SIM","utilização de inteligência artificial; ","") &amp; IF(OR(AN525="Dados pessoais",AN525="Dados sensíveis",AN525="Dados pessoais e sensíveis"),"dados inseridos em IA; ","") &amp; IF(O525="Acima de 10.000 titulares por mês","volume crítico de titulares; ","") &amp; IF(O525="De 1.001 a 10.000 titulares por mês","volume moderado de titulares; ","") &amp; IF(AA525="SIM","compartilhamento com terceiros; ","") &amp; IF(R525="SIM","compartilhamento com órgãos governamentais; ","") &amp; IF(AJ525="NÃO","ausência de controle de acesso por perfil; ","")),"DPIA não indicado: Processo de baixa criticidade."))</f>
      </c>
    </row>
    <row x14ac:dyDescent="0.25" r="526" customHeight="1" ht="15.75">
      <c r="A526" s="46"/>
      <c r="B526" s="6"/>
      <c r="C526" s="11"/>
      <c r="D526" s="11"/>
      <c r="E526" s="11"/>
      <c r="F526" s="29"/>
      <c r="G526" s="11"/>
      <c r="H526" s="11"/>
      <c r="I526" s="29"/>
      <c r="J526" s="11"/>
      <c r="K526" s="29"/>
      <c r="L526" s="11"/>
      <c r="M526" s="11"/>
      <c r="N526" s="11"/>
      <c r="O526" s="29"/>
      <c r="P526" s="29"/>
      <c r="Q526" s="11"/>
      <c r="R526" s="29"/>
      <c r="S526" s="11"/>
      <c r="T526" s="6"/>
      <c r="U526" s="29"/>
      <c r="V526" s="11"/>
      <c r="W526" s="11"/>
      <c r="X526" s="29"/>
      <c r="Y526" s="11"/>
      <c r="Z526" s="29"/>
      <c r="AA526" s="29"/>
      <c r="AB526" s="11"/>
      <c r="AC526" s="11"/>
      <c r="AD526" s="29"/>
      <c r="AE526" s="11"/>
      <c r="AF526" s="29"/>
      <c r="AG526" s="11"/>
      <c r="AH526" s="29"/>
      <c r="AI526" s="11"/>
      <c r="AJ526" s="29"/>
      <c r="AK526" s="29"/>
      <c r="AL526" s="29"/>
      <c r="AM526" s="11"/>
      <c r="AN526" s="29"/>
      <c r="AO526" s="29"/>
      <c r="AP526" s="6"/>
      <c r="AQ526" s="113">
        <f>IF(AND(I526="",K526="",AF526="",AL526="",AN526="",O526=""),"",IF(OR(I526="SIM",K526="SIM",AF526="SIM",AL526="SIM",AN526="Dados pessoais",AN526="Dados sensíveis",AN526="Dados pessoais e sensíveis",O526="Acima de 10.000 titulares por mês"),"SIM - Alta criticidade",IF((IF(I526="SIM",2,0)+IF(K526="SIM",2,0)+IF(AF526="SIM",2,0)+IF(OR(AN526="Dados pessoais",AN526="Dados sensíveis",AN526="Dados pessoais e sensíveis"),2,0)+IF(O526="De 1.001 a 10.000 titulares por mês",1,0)+IF(AA526="SIM",1,0)+IF(R526="SIM",1,0)+IF(AL526="SIM",1,0)+IF(AJ526="NÃO",1,0))&gt;=5,"SIM - Alta criticidade",IF((IF(I526="SIM",2,0)+IF(K526="SIM",2,0)+IF(AF526="SIM",2,0)+IF(OR(AN526="Dados pessoais",AN526="Dados sensíveis",AN526="Dados pessoais e sensíveis"),2,0)+IF(O526="De 1.001 a 10.000 titulares por mês",1,0)+IF(AA526="SIM",1,0)+IF(R526="SIM",1,0)+IF(AL526="SIM",1,0)+IF(AJ526="NÃO",1,0))&gt;=3,"Avaliação necessária","NÃO"))))</f>
      </c>
      <c r="AR526" s="11"/>
      <c r="AS526" s="113">
        <f>IF(AND(I526="",K526="",AF526="",AL526="",AN526="",O526=""),"",IF(OR(I526="SIM",K526="SIM",AF526="SIM",AL526="SIM",OR(AN526="Dados pessoais",AN526="Dados sensíveis",AN526="Dados pessoais e sensíveis"),O526="Acima de 10.000 titulares por mês",(IF(I526="SIM",2,0)+IF(K526="SIM",2,0)+IF(AF526="SIM",2,0)+IF(OR(AN526="Dados pessoais",AN526="Dados sensíveis",AN526="Dados pessoais e sensíveis"),2,0)+IF(O526="De 1.001 a 10.000 titulares por mês",1,0)+IF(AA526="SIM",1,0)+IF(R526="SIM",1,0)+IF(AL526="SIM",1,0)+IF(AJ526="NÃO",1,0))&gt;=3),"DPIA indicado ou em avaliação em razão de: " &amp; TRIM(IF(I526="SIM","tratamento de dados sensíveis; ","") &amp; IF(K526="SIM","utilização de dados de menores; ","") &amp; IF(AF526="SIM","transferência internacional de dados; ","") &amp; IF(AL526="SIM","utilização de inteligência artificial; ","") &amp; IF(OR(AN526="Dados pessoais",AN526="Dados sensíveis",AN526="Dados pessoais e sensíveis"),"dados inseridos em IA; ","") &amp; IF(O526="Acima de 10.000 titulares por mês","volume crítico de titulares; ","") &amp; IF(O526="De 1.001 a 10.000 titulares por mês","volume moderado de titulares; ","") &amp; IF(AA526="SIM","compartilhamento com terceiros; ","") &amp; IF(R526="SIM","compartilhamento com órgãos governamentais; ","") &amp; IF(AJ526="NÃO","ausência de controle de acesso por perfil; ","")),"DPIA não indicado: Processo de baixa criticidade."))</f>
      </c>
    </row>
    <row x14ac:dyDescent="0.25" r="527" customHeight="1" ht="15.75">
      <c r="A527" s="46"/>
      <c r="B527" s="6"/>
      <c r="C527" s="11"/>
      <c r="D527" s="11"/>
      <c r="E527" s="11"/>
      <c r="F527" s="29"/>
      <c r="G527" s="11"/>
      <c r="H527" s="11"/>
      <c r="I527" s="29"/>
      <c r="J527" s="11"/>
      <c r="K527" s="29"/>
      <c r="L527" s="11"/>
      <c r="M527" s="11"/>
      <c r="N527" s="11"/>
      <c r="O527" s="29"/>
      <c r="P527" s="29"/>
      <c r="Q527" s="11"/>
      <c r="R527" s="29"/>
      <c r="S527" s="11"/>
      <c r="T527" s="6"/>
      <c r="U527" s="29"/>
      <c r="V527" s="11"/>
      <c r="W527" s="11"/>
      <c r="X527" s="29"/>
      <c r="Y527" s="11"/>
      <c r="Z527" s="29"/>
      <c r="AA527" s="29"/>
      <c r="AB527" s="11"/>
      <c r="AC527" s="11"/>
      <c r="AD527" s="29"/>
      <c r="AE527" s="11"/>
      <c r="AF527" s="29"/>
      <c r="AG527" s="11"/>
      <c r="AH527" s="29"/>
      <c r="AI527" s="11"/>
      <c r="AJ527" s="29"/>
      <c r="AK527" s="29"/>
      <c r="AL527" s="29"/>
      <c r="AM527" s="11"/>
      <c r="AN527" s="29"/>
      <c r="AO527" s="29"/>
      <c r="AP527" s="6"/>
      <c r="AQ527" s="113">
        <f>IF(AND(I527="",K527="",AF527="",AL527="",AN527="",O527=""),"",IF(OR(I527="SIM",K527="SIM",AF527="SIM",AL527="SIM",AN527="Dados pessoais",AN527="Dados sensíveis",AN527="Dados pessoais e sensíveis",O527="Acima de 10.000 titulares por mês"),"SIM - Alta criticidade",IF((IF(I527="SIM",2,0)+IF(K527="SIM",2,0)+IF(AF527="SIM",2,0)+IF(OR(AN527="Dados pessoais",AN527="Dados sensíveis",AN527="Dados pessoais e sensíveis"),2,0)+IF(O527="De 1.001 a 10.000 titulares por mês",1,0)+IF(AA527="SIM",1,0)+IF(R527="SIM",1,0)+IF(AL527="SIM",1,0)+IF(AJ527="NÃO",1,0))&gt;=5,"SIM - Alta criticidade",IF((IF(I527="SIM",2,0)+IF(K527="SIM",2,0)+IF(AF527="SIM",2,0)+IF(OR(AN527="Dados pessoais",AN527="Dados sensíveis",AN527="Dados pessoais e sensíveis"),2,0)+IF(O527="De 1.001 a 10.000 titulares por mês",1,0)+IF(AA527="SIM",1,0)+IF(R527="SIM",1,0)+IF(AL527="SIM",1,0)+IF(AJ527="NÃO",1,0))&gt;=3,"Avaliação necessária","NÃO"))))</f>
      </c>
      <c r="AR527" s="11"/>
      <c r="AS527" s="113">
        <f>IF(AND(I527="",K527="",AF527="",AL527="",AN527="",O527=""),"",IF(OR(I527="SIM",K527="SIM",AF527="SIM",AL527="SIM",OR(AN527="Dados pessoais",AN527="Dados sensíveis",AN527="Dados pessoais e sensíveis"),O527="Acima de 10.000 titulares por mês",(IF(I527="SIM",2,0)+IF(K527="SIM",2,0)+IF(AF527="SIM",2,0)+IF(OR(AN527="Dados pessoais",AN527="Dados sensíveis",AN527="Dados pessoais e sensíveis"),2,0)+IF(O527="De 1.001 a 10.000 titulares por mês",1,0)+IF(AA527="SIM",1,0)+IF(R527="SIM",1,0)+IF(AL527="SIM",1,0)+IF(AJ527="NÃO",1,0))&gt;=3),"DPIA indicado ou em avaliação em razão de: " &amp; TRIM(IF(I527="SIM","tratamento de dados sensíveis; ","") &amp; IF(K527="SIM","utilização de dados de menores; ","") &amp; IF(AF527="SIM","transferência internacional de dados; ","") &amp; IF(AL527="SIM","utilização de inteligência artificial; ","") &amp; IF(OR(AN527="Dados pessoais",AN527="Dados sensíveis",AN527="Dados pessoais e sensíveis"),"dados inseridos em IA; ","") &amp; IF(O527="Acima de 10.000 titulares por mês","volume crítico de titulares; ","") &amp; IF(O527="De 1.001 a 10.000 titulares por mês","volume moderado de titulares; ","") &amp; IF(AA527="SIM","compartilhamento com terceiros; ","") &amp; IF(R527="SIM","compartilhamento com órgãos governamentais; ","") &amp; IF(AJ527="NÃO","ausência de controle de acesso por perfil; ","")),"DPIA não indicado: Processo de baixa criticidade."))</f>
      </c>
    </row>
    <row x14ac:dyDescent="0.25" r="528" customHeight="1" ht="15.75">
      <c r="A528" s="46"/>
      <c r="B528" s="6"/>
      <c r="C528" s="11"/>
      <c r="D528" s="11"/>
      <c r="E528" s="11"/>
      <c r="F528" s="29"/>
      <c r="G528" s="11"/>
      <c r="H528" s="11"/>
      <c r="I528" s="29"/>
      <c r="J528" s="11"/>
      <c r="K528" s="29"/>
      <c r="L528" s="11"/>
      <c r="M528" s="11"/>
      <c r="N528" s="11"/>
      <c r="O528" s="29"/>
      <c r="P528" s="29"/>
      <c r="Q528" s="11"/>
      <c r="R528" s="29"/>
      <c r="S528" s="11"/>
      <c r="T528" s="6"/>
      <c r="U528" s="29"/>
      <c r="V528" s="11"/>
      <c r="W528" s="11"/>
      <c r="X528" s="29"/>
      <c r="Y528" s="11"/>
      <c r="Z528" s="29"/>
      <c r="AA528" s="29"/>
      <c r="AB528" s="11"/>
      <c r="AC528" s="11"/>
      <c r="AD528" s="29"/>
      <c r="AE528" s="11"/>
      <c r="AF528" s="29"/>
      <c r="AG528" s="11"/>
      <c r="AH528" s="29"/>
      <c r="AI528" s="11"/>
      <c r="AJ528" s="29"/>
      <c r="AK528" s="29"/>
      <c r="AL528" s="29"/>
      <c r="AM528" s="11"/>
      <c r="AN528" s="29"/>
      <c r="AO528" s="29"/>
      <c r="AP528" s="6"/>
      <c r="AQ528" s="113">
        <f>IF(AND(I528="",K528="",AF528="",AL528="",AN528="",O528=""),"",IF(OR(I528="SIM",K528="SIM",AF528="SIM",AL528="SIM",AN528="Dados pessoais",AN528="Dados sensíveis",AN528="Dados pessoais e sensíveis",O528="Acima de 10.000 titulares por mês"),"SIM - Alta criticidade",IF((IF(I528="SIM",2,0)+IF(K528="SIM",2,0)+IF(AF528="SIM",2,0)+IF(OR(AN528="Dados pessoais",AN528="Dados sensíveis",AN528="Dados pessoais e sensíveis"),2,0)+IF(O528="De 1.001 a 10.000 titulares por mês",1,0)+IF(AA528="SIM",1,0)+IF(R528="SIM",1,0)+IF(AL528="SIM",1,0)+IF(AJ528="NÃO",1,0))&gt;=5,"SIM - Alta criticidade",IF((IF(I528="SIM",2,0)+IF(K528="SIM",2,0)+IF(AF528="SIM",2,0)+IF(OR(AN528="Dados pessoais",AN528="Dados sensíveis",AN528="Dados pessoais e sensíveis"),2,0)+IF(O528="De 1.001 a 10.000 titulares por mês",1,0)+IF(AA528="SIM",1,0)+IF(R528="SIM",1,0)+IF(AL528="SIM",1,0)+IF(AJ528="NÃO",1,0))&gt;=3,"Avaliação necessária","NÃO"))))</f>
      </c>
      <c r="AR528" s="11"/>
      <c r="AS528" s="113">
        <f>IF(AND(I528="",K528="",AF528="",AL528="",AN528="",O528=""),"",IF(OR(I528="SIM",K528="SIM",AF528="SIM",AL528="SIM",OR(AN528="Dados pessoais",AN528="Dados sensíveis",AN528="Dados pessoais e sensíveis"),O528="Acima de 10.000 titulares por mês",(IF(I528="SIM",2,0)+IF(K528="SIM",2,0)+IF(AF528="SIM",2,0)+IF(OR(AN528="Dados pessoais",AN528="Dados sensíveis",AN528="Dados pessoais e sensíveis"),2,0)+IF(O528="De 1.001 a 10.000 titulares por mês",1,0)+IF(AA528="SIM",1,0)+IF(R528="SIM",1,0)+IF(AL528="SIM",1,0)+IF(AJ528="NÃO",1,0))&gt;=3),"DPIA indicado ou em avaliação em razão de: " &amp; TRIM(IF(I528="SIM","tratamento de dados sensíveis; ","") &amp; IF(K528="SIM","utilização de dados de menores; ","") &amp; IF(AF528="SIM","transferência internacional de dados; ","") &amp; IF(AL528="SIM","utilização de inteligência artificial; ","") &amp; IF(OR(AN528="Dados pessoais",AN528="Dados sensíveis",AN528="Dados pessoais e sensíveis"),"dados inseridos em IA; ","") &amp; IF(O528="Acima de 10.000 titulares por mês","volume crítico de titulares; ","") &amp; IF(O528="De 1.001 a 10.000 titulares por mês","volume moderado de titulares; ","") &amp; IF(AA528="SIM","compartilhamento com terceiros; ","") &amp; IF(R528="SIM","compartilhamento com órgãos governamentais; ","") &amp; IF(AJ528="NÃO","ausência de controle de acesso por perfil; ","")),"DPIA não indicado: Processo de baixa criticidade."))</f>
      </c>
    </row>
    <row x14ac:dyDescent="0.25" r="529" customHeight="1" ht="15.75">
      <c r="A529" s="46"/>
      <c r="B529" s="6"/>
      <c r="C529" s="11"/>
      <c r="D529" s="11"/>
      <c r="E529" s="11"/>
      <c r="F529" s="29"/>
      <c r="G529" s="11"/>
      <c r="H529" s="11"/>
      <c r="I529" s="29"/>
      <c r="J529" s="11"/>
      <c r="K529" s="29"/>
      <c r="L529" s="11"/>
      <c r="M529" s="11"/>
      <c r="N529" s="11"/>
      <c r="O529" s="29"/>
      <c r="P529" s="29"/>
      <c r="Q529" s="11"/>
      <c r="R529" s="29"/>
      <c r="S529" s="11"/>
      <c r="T529" s="6"/>
      <c r="U529" s="29"/>
      <c r="V529" s="11"/>
      <c r="W529" s="11"/>
      <c r="X529" s="29"/>
      <c r="Y529" s="11"/>
      <c r="Z529" s="29"/>
      <c r="AA529" s="29"/>
      <c r="AB529" s="11"/>
      <c r="AC529" s="11"/>
      <c r="AD529" s="29"/>
      <c r="AE529" s="11"/>
      <c r="AF529" s="29"/>
      <c r="AG529" s="11"/>
      <c r="AH529" s="29"/>
      <c r="AI529" s="11"/>
      <c r="AJ529" s="29"/>
      <c r="AK529" s="29"/>
      <c r="AL529" s="29"/>
      <c r="AM529" s="11"/>
      <c r="AN529" s="29"/>
      <c r="AO529" s="29"/>
      <c r="AP529" s="6"/>
      <c r="AQ529" s="113">
        <f>IF(AND(I529="",K529="",AF529="",AL529="",AN529="",O529=""),"",IF(OR(I529="SIM",K529="SIM",AF529="SIM",AL529="SIM",AN529="Dados pessoais",AN529="Dados sensíveis",AN529="Dados pessoais e sensíveis",O529="Acima de 10.000 titulares por mês"),"SIM - Alta criticidade",IF((IF(I529="SIM",2,0)+IF(K529="SIM",2,0)+IF(AF529="SIM",2,0)+IF(OR(AN529="Dados pessoais",AN529="Dados sensíveis",AN529="Dados pessoais e sensíveis"),2,0)+IF(O529="De 1.001 a 10.000 titulares por mês",1,0)+IF(AA529="SIM",1,0)+IF(R529="SIM",1,0)+IF(AL529="SIM",1,0)+IF(AJ529="NÃO",1,0))&gt;=5,"SIM - Alta criticidade",IF((IF(I529="SIM",2,0)+IF(K529="SIM",2,0)+IF(AF529="SIM",2,0)+IF(OR(AN529="Dados pessoais",AN529="Dados sensíveis",AN529="Dados pessoais e sensíveis"),2,0)+IF(O529="De 1.001 a 10.000 titulares por mês",1,0)+IF(AA529="SIM",1,0)+IF(R529="SIM",1,0)+IF(AL529="SIM",1,0)+IF(AJ529="NÃO",1,0))&gt;=3,"Avaliação necessária","NÃO"))))</f>
      </c>
      <c r="AR529" s="11"/>
      <c r="AS529" s="113">
        <f>IF(AND(I529="",K529="",AF529="",AL529="",AN529="",O529=""),"",IF(OR(I529="SIM",K529="SIM",AF529="SIM",AL529="SIM",OR(AN529="Dados pessoais",AN529="Dados sensíveis",AN529="Dados pessoais e sensíveis"),O529="Acima de 10.000 titulares por mês",(IF(I529="SIM",2,0)+IF(K529="SIM",2,0)+IF(AF529="SIM",2,0)+IF(OR(AN529="Dados pessoais",AN529="Dados sensíveis",AN529="Dados pessoais e sensíveis"),2,0)+IF(O529="De 1.001 a 10.000 titulares por mês",1,0)+IF(AA529="SIM",1,0)+IF(R529="SIM",1,0)+IF(AL529="SIM",1,0)+IF(AJ529="NÃO",1,0))&gt;=3),"DPIA indicado ou em avaliação em razão de: " &amp; TRIM(IF(I529="SIM","tratamento de dados sensíveis; ","") &amp; IF(K529="SIM","utilização de dados de menores; ","") &amp; IF(AF529="SIM","transferência internacional de dados; ","") &amp; IF(AL529="SIM","utilização de inteligência artificial; ","") &amp; IF(OR(AN529="Dados pessoais",AN529="Dados sensíveis",AN529="Dados pessoais e sensíveis"),"dados inseridos em IA; ","") &amp; IF(O529="Acima de 10.000 titulares por mês","volume crítico de titulares; ","") &amp; IF(O529="De 1.001 a 10.000 titulares por mês","volume moderado de titulares; ","") &amp; IF(AA529="SIM","compartilhamento com terceiros; ","") &amp; IF(R529="SIM","compartilhamento com órgãos governamentais; ","") &amp; IF(AJ529="NÃO","ausência de controle de acesso por perfil; ","")),"DPIA não indicado: Processo de baixa criticidade."))</f>
      </c>
    </row>
    <row x14ac:dyDescent="0.25" r="530" customHeight="1" ht="15.75">
      <c r="A530" s="46"/>
      <c r="B530" s="6"/>
      <c r="C530" s="11"/>
      <c r="D530" s="11"/>
      <c r="E530" s="11"/>
      <c r="F530" s="29"/>
      <c r="G530" s="11"/>
      <c r="H530" s="11"/>
      <c r="I530" s="29"/>
      <c r="J530" s="11"/>
      <c r="K530" s="29"/>
      <c r="L530" s="11"/>
      <c r="M530" s="11"/>
      <c r="N530" s="11"/>
      <c r="O530" s="29"/>
      <c r="P530" s="29"/>
      <c r="Q530" s="11"/>
      <c r="R530" s="29"/>
      <c r="S530" s="11"/>
      <c r="T530" s="6"/>
      <c r="U530" s="29"/>
      <c r="V530" s="11"/>
      <c r="W530" s="11"/>
      <c r="X530" s="29"/>
      <c r="Y530" s="11"/>
      <c r="Z530" s="29"/>
      <c r="AA530" s="29"/>
      <c r="AB530" s="11"/>
      <c r="AC530" s="11"/>
      <c r="AD530" s="29"/>
      <c r="AE530" s="11"/>
      <c r="AF530" s="29"/>
      <c r="AG530" s="11"/>
      <c r="AH530" s="29"/>
      <c r="AI530" s="11"/>
      <c r="AJ530" s="29"/>
      <c r="AK530" s="29"/>
      <c r="AL530" s="29"/>
      <c r="AM530" s="11"/>
      <c r="AN530" s="29"/>
      <c r="AO530" s="29"/>
      <c r="AP530" s="6"/>
      <c r="AQ530" s="113">
        <f>IF(AND(I530="",K530="",AF530="",AL530="",AN530="",O530=""),"",IF(OR(I530="SIM",K530="SIM",AF530="SIM",AL530="SIM",AN530="Dados pessoais",AN530="Dados sensíveis",AN530="Dados pessoais e sensíveis",O530="Acima de 10.000 titulares por mês"),"SIM - Alta criticidade",IF((IF(I530="SIM",2,0)+IF(K530="SIM",2,0)+IF(AF530="SIM",2,0)+IF(OR(AN530="Dados pessoais",AN530="Dados sensíveis",AN530="Dados pessoais e sensíveis"),2,0)+IF(O530="De 1.001 a 10.000 titulares por mês",1,0)+IF(AA530="SIM",1,0)+IF(R530="SIM",1,0)+IF(AL530="SIM",1,0)+IF(AJ530="NÃO",1,0))&gt;=5,"SIM - Alta criticidade",IF((IF(I530="SIM",2,0)+IF(K530="SIM",2,0)+IF(AF530="SIM",2,0)+IF(OR(AN530="Dados pessoais",AN530="Dados sensíveis",AN530="Dados pessoais e sensíveis"),2,0)+IF(O530="De 1.001 a 10.000 titulares por mês",1,0)+IF(AA530="SIM",1,0)+IF(R530="SIM",1,0)+IF(AL530="SIM",1,0)+IF(AJ530="NÃO",1,0))&gt;=3,"Avaliação necessária","NÃO"))))</f>
      </c>
      <c r="AR530" s="11"/>
      <c r="AS530" s="113">
        <f>IF(AND(I530="",K530="",AF530="",AL530="",AN530="",O530=""),"",IF(OR(I530="SIM",K530="SIM",AF530="SIM",AL530="SIM",OR(AN530="Dados pessoais",AN530="Dados sensíveis",AN530="Dados pessoais e sensíveis"),O530="Acima de 10.000 titulares por mês",(IF(I530="SIM",2,0)+IF(K530="SIM",2,0)+IF(AF530="SIM",2,0)+IF(OR(AN530="Dados pessoais",AN530="Dados sensíveis",AN530="Dados pessoais e sensíveis"),2,0)+IF(O530="De 1.001 a 10.000 titulares por mês",1,0)+IF(AA530="SIM",1,0)+IF(R530="SIM",1,0)+IF(AL530="SIM",1,0)+IF(AJ530="NÃO",1,0))&gt;=3),"DPIA indicado ou em avaliação em razão de: " &amp; TRIM(IF(I530="SIM","tratamento de dados sensíveis; ","") &amp; IF(K530="SIM","utilização de dados de menores; ","") &amp; IF(AF530="SIM","transferência internacional de dados; ","") &amp; IF(AL530="SIM","utilização de inteligência artificial; ","") &amp; IF(OR(AN530="Dados pessoais",AN530="Dados sensíveis",AN530="Dados pessoais e sensíveis"),"dados inseridos em IA; ","") &amp; IF(O530="Acima de 10.000 titulares por mês","volume crítico de titulares; ","") &amp; IF(O530="De 1.001 a 10.000 titulares por mês","volume moderado de titulares; ","") &amp; IF(AA530="SIM","compartilhamento com terceiros; ","") &amp; IF(R530="SIM","compartilhamento com órgãos governamentais; ","") &amp; IF(AJ530="NÃO","ausência de controle de acesso por perfil; ","")),"DPIA não indicado: Processo de baixa criticidade."))</f>
      </c>
    </row>
    <row x14ac:dyDescent="0.25" r="531" customHeight="1" ht="15.75">
      <c r="A531" s="46"/>
      <c r="B531" s="6"/>
      <c r="C531" s="11"/>
      <c r="D531" s="11"/>
      <c r="E531" s="11"/>
      <c r="F531" s="29"/>
      <c r="G531" s="11"/>
      <c r="H531" s="11"/>
      <c r="I531" s="29"/>
      <c r="J531" s="11"/>
      <c r="K531" s="29"/>
      <c r="L531" s="11"/>
      <c r="M531" s="11"/>
      <c r="N531" s="11"/>
      <c r="O531" s="29"/>
      <c r="P531" s="29"/>
      <c r="Q531" s="11"/>
      <c r="R531" s="29"/>
      <c r="S531" s="11"/>
      <c r="T531" s="6"/>
      <c r="U531" s="29"/>
      <c r="V531" s="11"/>
      <c r="W531" s="11"/>
      <c r="X531" s="29"/>
      <c r="Y531" s="11"/>
      <c r="Z531" s="29"/>
      <c r="AA531" s="29"/>
      <c r="AB531" s="11"/>
      <c r="AC531" s="11"/>
      <c r="AD531" s="29"/>
      <c r="AE531" s="11"/>
      <c r="AF531" s="29"/>
      <c r="AG531" s="11"/>
      <c r="AH531" s="29"/>
      <c r="AI531" s="11"/>
      <c r="AJ531" s="29"/>
      <c r="AK531" s="29"/>
      <c r="AL531" s="29"/>
      <c r="AM531" s="11"/>
      <c r="AN531" s="29"/>
      <c r="AO531" s="29"/>
      <c r="AP531" s="6"/>
      <c r="AQ531" s="113">
        <f>IF(AND(I531="",K531="",AF531="",AL531="",AN531="",O531=""),"",IF(OR(I531="SIM",K531="SIM",AF531="SIM",AL531="SIM",AN531="Dados pessoais",AN531="Dados sensíveis",AN531="Dados pessoais e sensíveis",O531="Acima de 10.000 titulares por mês"),"SIM - Alta criticidade",IF((IF(I531="SIM",2,0)+IF(K531="SIM",2,0)+IF(AF531="SIM",2,0)+IF(OR(AN531="Dados pessoais",AN531="Dados sensíveis",AN531="Dados pessoais e sensíveis"),2,0)+IF(O531="De 1.001 a 10.000 titulares por mês",1,0)+IF(AA531="SIM",1,0)+IF(R531="SIM",1,0)+IF(AL531="SIM",1,0)+IF(AJ531="NÃO",1,0))&gt;=5,"SIM - Alta criticidade",IF((IF(I531="SIM",2,0)+IF(K531="SIM",2,0)+IF(AF531="SIM",2,0)+IF(OR(AN531="Dados pessoais",AN531="Dados sensíveis",AN531="Dados pessoais e sensíveis"),2,0)+IF(O531="De 1.001 a 10.000 titulares por mês",1,0)+IF(AA531="SIM",1,0)+IF(R531="SIM",1,0)+IF(AL531="SIM",1,0)+IF(AJ531="NÃO",1,0))&gt;=3,"Avaliação necessária","NÃO"))))</f>
      </c>
      <c r="AR531" s="11"/>
      <c r="AS531" s="113">
        <f>IF(AND(I531="",K531="",AF531="",AL531="",AN531="",O531=""),"",IF(OR(I531="SIM",K531="SIM",AF531="SIM",AL531="SIM",OR(AN531="Dados pessoais",AN531="Dados sensíveis",AN531="Dados pessoais e sensíveis"),O531="Acima de 10.000 titulares por mês",(IF(I531="SIM",2,0)+IF(K531="SIM",2,0)+IF(AF531="SIM",2,0)+IF(OR(AN531="Dados pessoais",AN531="Dados sensíveis",AN531="Dados pessoais e sensíveis"),2,0)+IF(O531="De 1.001 a 10.000 titulares por mês",1,0)+IF(AA531="SIM",1,0)+IF(R531="SIM",1,0)+IF(AL531="SIM",1,0)+IF(AJ531="NÃO",1,0))&gt;=3),"DPIA indicado ou em avaliação em razão de: " &amp; TRIM(IF(I531="SIM","tratamento de dados sensíveis; ","") &amp; IF(K531="SIM","utilização de dados de menores; ","") &amp; IF(AF531="SIM","transferência internacional de dados; ","") &amp; IF(AL531="SIM","utilização de inteligência artificial; ","") &amp; IF(OR(AN531="Dados pessoais",AN531="Dados sensíveis",AN531="Dados pessoais e sensíveis"),"dados inseridos em IA; ","") &amp; IF(O531="Acima de 10.000 titulares por mês","volume crítico de titulares; ","") &amp; IF(O531="De 1.001 a 10.000 titulares por mês","volume moderado de titulares; ","") &amp; IF(AA531="SIM","compartilhamento com terceiros; ","") &amp; IF(R531="SIM","compartilhamento com órgãos governamentais; ","") &amp; IF(AJ531="NÃO","ausência de controle de acesso por perfil; ","")),"DPIA não indicado: Processo de baixa criticidade."))</f>
      </c>
    </row>
    <row x14ac:dyDescent="0.25" r="532" customHeight="1" ht="15.75">
      <c r="A532" s="46"/>
      <c r="B532" s="6"/>
      <c r="C532" s="11"/>
      <c r="D532" s="11"/>
      <c r="E532" s="11"/>
      <c r="F532" s="29"/>
      <c r="G532" s="11"/>
      <c r="H532" s="11"/>
      <c r="I532" s="29"/>
      <c r="J532" s="11"/>
      <c r="K532" s="29"/>
      <c r="L532" s="11"/>
      <c r="M532" s="11"/>
      <c r="N532" s="11"/>
      <c r="O532" s="29"/>
      <c r="P532" s="29"/>
      <c r="Q532" s="11"/>
      <c r="R532" s="29"/>
      <c r="S532" s="11"/>
      <c r="T532" s="6"/>
      <c r="U532" s="29"/>
      <c r="V532" s="11"/>
      <c r="W532" s="11"/>
      <c r="X532" s="29"/>
      <c r="Y532" s="11"/>
      <c r="Z532" s="29"/>
      <c r="AA532" s="29"/>
      <c r="AB532" s="11"/>
      <c r="AC532" s="11"/>
      <c r="AD532" s="29"/>
      <c r="AE532" s="11"/>
      <c r="AF532" s="29"/>
      <c r="AG532" s="11"/>
      <c r="AH532" s="29"/>
      <c r="AI532" s="11"/>
      <c r="AJ532" s="29"/>
      <c r="AK532" s="29"/>
      <c r="AL532" s="29"/>
      <c r="AM532" s="11"/>
      <c r="AN532" s="29"/>
      <c r="AO532" s="29"/>
      <c r="AP532" s="6"/>
      <c r="AQ532" s="113">
        <f>IF(AND(I532="",K532="",AF532="",AL532="",AN532="",O532=""),"",IF(OR(I532="SIM",K532="SIM",AF532="SIM",AL532="SIM",AN532="Dados pessoais",AN532="Dados sensíveis",AN532="Dados pessoais e sensíveis",O532="Acima de 10.000 titulares por mês"),"SIM - Alta criticidade",IF((IF(I532="SIM",2,0)+IF(K532="SIM",2,0)+IF(AF532="SIM",2,0)+IF(OR(AN532="Dados pessoais",AN532="Dados sensíveis",AN532="Dados pessoais e sensíveis"),2,0)+IF(O532="De 1.001 a 10.000 titulares por mês",1,0)+IF(AA532="SIM",1,0)+IF(R532="SIM",1,0)+IF(AL532="SIM",1,0)+IF(AJ532="NÃO",1,0))&gt;=5,"SIM - Alta criticidade",IF((IF(I532="SIM",2,0)+IF(K532="SIM",2,0)+IF(AF532="SIM",2,0)+IF(OR(AN532="Dados pessoais",AN532="Dados sensíveis",AN532="Dados pessoais e sensíveis"),2,0)+IF(O532="De 1.001 a 10.000 titulares por mês",1,0)+IF(AA532="SIM",1,0)+IF(R532="SIM",1,0)+IF(AL532="SIM",1,0)+IF(AJ532="NÃO",1,0))&gt;=3,"Avaliação necessária","NÃO"))))</f>
      </c>
      <c r="AR532" s="11"/>
      <c r="AS532" s="113">
        <f>IF(AND(I532="",K532="",AF532="",AL532="",AN532="",O532=""),"",IF(OR(I532="SIM",K532="SIM",AF532="SIM",AL532="SIM",OR(AN532="Dados pessoais",AN532="Dados sensíveis",AN532="Dados pessoais e sensíveis"),O532="Acima de 10.000 titulares por mês",(IF(I532="SIM",2,0)+IF(K532="SIM",2,0)+IF(AF532="SIM",2,0)+IF(OR(AN532="Dados pessoais",AN532="Dados sensíveis",AN532="Dados pessoais e sensíveis"),2,0)+IF(O532="De 1.001 a 10.000 titulares por mês",1,0)+IF(AA532="SIM",1,0)+IF(R532="SIM",1,0)+IF(AL532="SIM",1,0)+IF(AJ532="NÃO",1,0))&gt;=3),"DPIA indicado ou em avaliação em razão de: " &amp; TRIM(IF(I532="SIM","tratamento de dados sensíveis; ","") &amp; IF(K532="SIM","utilização de dados de menores; ","") &amp; IF(AF532="SIM","transferência internacional de dados; ","") &amp; IF(AL532="SIM","utilização de inteligência artificial; ","") &amp; IF(OR(AN532="Dados pessoais",AN532="Dados sensíveis",AN532="Dados pessoais e sensíveis"),"dados inseridos em IA; ","") &amp; IF(O532="Acima de 10.000 titulares por mês","volume crítico de titulares; ","") &amp; IF(O532="De 1.001 a 10.000 titulares por mês","volume moderado de titulares; ","") &amp; IF(AA532="SIM","compartilhamento com terceiros; ","") &amp; IF(R532="SIM","compartilhamento com órgãos governamentais; ","") &amp; IF(AJ532="NÃO","ausência de controle de acesso por perfil; ","")),"DPIA não indicado: Processo de baixa criticidade."))</f>
      </c>
    </row>
    <row x14ac:dyDescent="0.25" r="533" customHeight="1" ht="15.75">
      <c r="A533" s="46"/>
      <c r="B533" s="6"/>
      <c r="C533" s="11"/>
      <c r="D533" s="11"/>
      <c r="E533" s="11"/>
      <c r="F533" s="29"/>
      <c r="G533" s="11"/>
      <c r="H533" s="11"/>
      <c r="I533" s="29"/>
      <c r="J533" s="11"/>
      <c r="K533" s="29"/>
      <c r="L533" s="11"/>
      <c r="M533" s="11"/>
      <c r="N533" s="11"/>
      <c r="O533" s="29"/>
      <c r="P533" s="29"/>
      <c r="Q533" s="11"/>
      <c r="R533" s="29"/>
      <c r="S533" s="11"/>
      <c r="T533" s="6"/>
      <c r="U533" s="29"/>
      <c r="V533" s="11"/>
      <c r="W533" s="11"/>
      <c r="X533" s="29"/>
      <c r="Y533" s="11"/>
      <c r="Z533" s="29"/>
      <c r="AA533" s="29"/>
      <c r="AB533" s="11"/>
      <c r="AC533" s="11"/>
      <c r="AD533" s="29"/>
      <c r="AE533" s="11"/>
      <c r="AF533" s="29"/>
      <c r="AG533" s="11"/>
      <c r="AH533" s="29"/>
      <c r="AI533" s="11"/>
      <c r="AJ533" s="29"/>
      <c r="AK533" s="29"/>
      <c r="AL533" s="29"/>
      <c r="AM533" s="11"/>
      <c r="AN533" s="29"/>
      <c r="AO533" s="29"/>
      <c r="AP533" s="6"/>
      <c r="AQ533" s="113">
        <f>IF(AND(I533="",K533="",AF533="",AL533="",AN533="",O533=""),"",IF(OR(I533="SIM",K533="SIM",AF533="SIM",AL533="SIM",AN533="Dados pessoais",AN533="Dados sensíveis",AN533="Dados pessoais e sensíveis",O533="Acima de 10.000 titulares por mês"),"SIM - Alta criticidade",IF((IF(I533="SIM",2,0)+IF(K533="SIM",2,0)+IF(AF533="SIM",2,0)+IF(OR(AN533="Dados pessoais",AN533="Dados sensíveis",AN533="Dados pessoais e sensíveis"),2,0)+IF(O533="De 1.001 a 10.000 titulares por mês",1,0)+IF(AA533="SIM",1,0)+IF(R533="SIM",1,0)+IF(AL533="SIM",1,0)+IF(AJ533="NÃO",1,0))&gt;=5,"SIM - Alta criticidade",IF((IF(I533="SIM",2,0)+IF(K533="SIM",2,0)+IF(AF533="SIM",2,0)+IF(OR(AN533="Dados pessoais",AN533="Dados sensíveis",AN533="Dados pessoais e sensíveis"),2,0)+IF(O533="De 1.001 a 10.000 titulares por mês",1,0)+IF(AA533="SIM",1,0)+IF(R533="SIM",1,0)+IF(AL533="SIM",1,0)+IF(AJ533="NÃO",1,0))&gt;=3,"Avaliação necessária","NÃO"))))</f>
      </c>
      <c r="AR533" s="11"/>
      <c r="AS533" s="113">
        <f>IF(AND(I533="",K533="",AF533="",AL533="",AN533="",O533=""),"",IF(OR(I533="SIM",K533="SIM",AF533="SIM",AL533="SIM",OR(AN533="Dados pessoais",AN533="Dados sensíveis",AN533="Dados pessoais e sensíveis"),O533="Acima de 10.000 titulares por mês",(IF(I533="SIM",2,0)+IF(K533="SIM",2,0)+IF(AF533="SIM",2,0)+IF(OR(AN533="Dados pessoais",AN533="Dados sensíveis",AN533="Dados pessoais e sensíveis"),2,0)+IF(O533="De 1.001 a 10.000 titulares por mês",1,0)+IF(AA533="SIM",1,0)+IF(R533="SIM",1,0)+IF(AL533="SIM",1,0)+IF(AJ533="NÃO",1,0))&gt;=3),"DPIA indicado ou em avaliação em razão de: " &amp; TRIM(IF(I533="SIM","tratamento de dados sensíveis; ","") &amp; IF(K533="SIM","utilização de dados de menores; ","") &amp; IF(AF533="SIM","transferência internacional de dados; ","") &amp; IF(AL533="SIM","utilização de inteligência artificial; ","") &amp; IF(OR(AN533="Dados pessoais",AN533="Dados sensíveis",AN533="Dados pessoais e sensíveis"),"dados inseridos em IA; ","") &amp; IF(O533="Acima de 10.000 titulares por mês","volume crítico de titulares; ","") &amp; IF(O533="De 1.001 a 10.000 titulares por mês","volume moderado de titulares; ","") &amp; IF(AA533="SIM","compartilhamento com terceiros; ","") &amp; IF(R533="SIM","compartilhamento com órgãos governamentais; ","") &amp; IF(AJ533="NÃO","ausência de controle de acesso por perfil; ","")),"DPIA não indicado: Processo de baixa criticidade."))</f>
      </c>
    </row>
    <row x14ac:dyDescent="0.25" r="534" customHeight="1" ht="15.75">
      <c r="A534" s="46"/>
      <c r="B534" s="6"/>
      <c r="C534" s="11"/>
      <c r="D534" s="11"/>
      <c r="E534" s="11"/>
      <c r="F534" s="29"/>
      <c r="G534" s="11"/>
      <c r="H534" s="11"/>
      <c r="I534" s="29"/>
      <c r="J534" s="11"/>
      <c r="K534" s="29"/>
      <c r="L534" s="11"/>
      <c r="M534" s="11"/>
      <c r="N534" s="11"/>
      <c r="O534" s="29"/>
      <c r="P534" s="29"/>
      <c r="Q534" s="11"/>
      <c r="R534" s="29"/>
      <c r="S534" s="11"/>
      <c r="T534" s="6"/>
      <c r="U534" s="29"/>
      <c r="V534" s="11"/>
      <c r="W534" s="11"/>
      <c r="X534" s="29"/>
      <c r="Y534" s="11"/>
      <c r="Z534" s="29"/>
      <c r="AA534" s="29"/>
      <c r="AB534" s="11"/>
      <c r="AC534" s="11"/>
      <c r="AD534" s="29"/>
      <c r="AE534" s="11"/>
      <c r="AF534" s="29"/>
      <c r="AG534" s="11"/>
      <c r="AH534" s="29"/>
      <c r="AI534" s="11"/>
      <c r="AJ534" s="29"/>
      <c r="AK534" s="29"/>
      <c r="AL534" s="29"/>
      <c r="AM534" s="11"/>
      <c r="AN534" s="29"/>
      <c r="AO534" s="29"/>
      <c r="AP534" s="6"/>
      <c r="AQ534" s="113">
        <f>IF(AND(I534="",K534="",AF534="",AL534="",AN534="",O534=""),"",IF(OR(I534="SIM",K534="SIM",AF534="SIM",AL534="SIM",AN534="Dados pessoais",AN534="Dados sensíveis",AN534="Dados pessoais e sensíveis",O534="Acima de 10.000 titulares por mês"),"SIM - Alta criticidade",IF((IF(I534="SIM",2,0)+IF(K534="SIM",2,0)+IF(AF534="SIM",2,0)+IF(OR(AN534="Dados pessoais",AN534="Dados sensíveis",AN534="Dados pessoais e sensíveis"),2,0)+IF(O534="De 1.001 a 10.000 titulares por mês",1,0)+IF(AA534="SIM",1,0)+IF(R534="SIM",1,0)+IF(AL534="SIM",1,0)+IF(AJ534="NÃO",1,0))&gt;=5,"SIM - Alta criticidade",IF((IF(I534="SIM",2,0)+IF(K534="SIM",2,0)+IF(AF534="SIM",2,0)+IF(OR(AN534="Dados pessoais",AN534="Dados sensíveis",AN534="Dados pessoais e sensíveis"),2,0)+IF(O534="De 1.001 a 10.000 titulares por mês",1,0)+IF(AA534="SIM",1,0)+IF(R534="SIM",1,0)+IF(AL534="SIM",1,0)+IF(AJ534="NÃO",1,0))&gt;=3,"Avaliação necessária","NÃO"))))</f>
      </c>
      <c r="AR534" s="11"/>
      <c r="AS534" s="113">
        <f>IF(AND(I534="",K534="",AF534="",AL534="",AN534="",O534=""),"",IF(OR(I534="SIM",K534="SIM",AF534="SIM",AL534="SIM",OR(AN534="Dados pessoais",AN534="Dados sensíveis",AN534="Dados pessoais e sensíveis"),O534="Acima de 10.000 titulares por mês",(IF(I534="SIM",2,0)+IF(K534="SIM",2,0)+IF(AF534="SIM",2,0)+IF(OR(AN534="Dados pessoais",AN534="Dados sensíveis",AN534="Dados pessoais e sensíveis"),2,0)+IF(O534="De 1.001 a 10.000 titulares por mês",1,0)+IF(AA534="SIM",1,0)+IF(R534="SIM",1,0)+IF(AL534="SIM",1,0)+IF(AJ534="NÃO",1,0))&gt;=3),"DPIA indicado ou em avaliação em razão de: " &amp; TRIM(IF(I534="SIM","tratamento de dados sensíveis; ","") &amp; IF(K534="SIM","utilização de dados de menores; ","") &amp; IF(AF534="SIM","transferência internacional de dados; ","") &amp; IF(AL534="SIM","utilização de inteligência artificial; ","") &amp; IF(OR(AN534="Dados pessoais",AN534="Dados sensíveis",AN534="Dados pessoais e sensíveis"),"dados inseridos em IA; ","") &amp; IF(O534="Acima de 10.000 titulares por mês","volume crítico de titulares; ","") &amp; IF(O534="De 1.001 a 10.000 titulares por mês","volume moderado de titulares; ","") &amp; IF(AA534="SIM","compartilhamento com terceiros; ","") &amp; IF(R534="SIM","compartilhamento com órgãos governamentais; ","") &amp; IF(AJ534="NÃO","ausência de controle de acesso por perfil; ","")),"DPIA não indicado: Processo de baixa criticidade."))</f>
      </c>
    </row>
    <row x14ac:dyDescent="0.25" r="535" customHeight="1" ht="15.75">
      <c r="A535" s="46"/>
      <c r="B535" s="6"/>
      <c r="C535" s="11"/>
      <c r="D535" s="11"/>
      <c r="E535" s="11"/>
      <c r="F535" s="29"/>
      <c r="G535" s="11"/>
      <c r="H535" s="11"/>
      <c r="I535" s="29"/>
      <c r="J535" s="11"/>
      <c r="K535" s="29"/>
      <c r="L535" s="11"/>
      <c r="M535" s="11"/>
      <c r="N535" s="11"/>
      <c r="O535" s="29"/>
      <c r="P535" s="29"/>
      <c r="Q535" s="11"/>
      <c r="R535" s="29"/>
      <c r="S535" s="11"/>
      <c r="T535" s="6"/>
      <c r="U535" s="29"/>
      <c r="V535" s="11"/>
      <c r="W535" s="11"/>
      <c r="X535" s="29"/>
      <c r="Y535" s="11"/>
      <c r="Z535" s="29"/>
      <c r="AA535" s="29"/>
      <c r="AB535" s="11"/>
      <c r="AC535" s="11"/>
      <c r="AD535" s="29"/>
      <c r="AE535" s="11"/>
      <c r="AF535" s="29"/>
      <c r="AG535" s="11"/>
      <c r="AH535" s="29"/>
      <c r="AI535" s="11"/>
      <c r="AJ535" s="29"/>
      <c r="AK535" s="29"/>
      <c r="AL535" s="29"/>
      <c r="AM535" s="11"/>
      <c r="AN535" s="29"/>
      <c r="AO535" s="29"/>
      <c r="AP535" s="6"/>
      <c r="AQ535" s="113">
        <f>IF(AND(I535="",K535="",AF535="",AL535="",AN535="",O535=""),"",IF(OR(I535="SIM",K535="SIM",AF535="SIM",AL535="SIM",AN535="Dados pessoais",AN535="Dados sensíveis",AN535="Dados pessoais e sensíveis",O535="Acima de 10.000 titulares por mês"),"SIM - Alta criticidade",IF((IF(I535="SIM",2,0)+IF(K535="SIM",2,0)+IF(AF535="SIM",2,0)+IF(OR(AN535="Dados pessoais",AN535="Dados sensíveis",AN535="Dados pessoais e sensíveis"),2,0)+IF(O535="De 1.001 a 10.000 titulares por mês",1,0)+IF(AA535="SIM",1,0)+IF(R535="SIM",1,0)+IF(AL535="SIM",1,0)+IF(AJ535="NÃO",1,0))&gt;=5,"SIM - Alta criticidade",IF((IF(I535="SIM",2,0)+IF(K535="SIM",2,0)+IF(AF535="SIM",2,0)+IF(OR(AN535="Dados pessoais",AN535="Dados sensíveis",AN535="Dados pessoais e sensíveis"),2,0)+IF(O535="De 1.001 a 10.000 titulares por mês",1,0)+IF(AA535="SIM",1,0)+IF(R535="SIM",1,0)+IF(AL535="SIM",1,0)+IF(AJ535="NÃO",1,0))&gt;=3,"Avaliação necessária","NÃO"))))</f>
      </c>
      <c r="AR535" s="11"/>
      <c r="AS535" s="113">
        <f>IF(AND(I535="",K535="",AF535="",AL535="",AN535="",O535=""),"",IF(OR(I535="SIM",K535="SIM",AF535="SIM",AL535="SIM",OR(AN535="Dados pessoais",AN535="Dados sensíveis",AN535="Dados pessoais e sensíveis"),O535="Acima de 10.000 titulares por mês",(IF(I535="SIM",2,0)+IF(K535="SIM",2,0)+IF(AF535="SIM",2,0)+IF(OR(AN535="Dados pessoais",AN535="Dados sensíveis",AN535="Dados pessoais e sensíveis"),2,0)+IF(O535="De 1.001 a 10.000 titulares por mês",1,0)+IF(AA535="SIM",1,0)+IF(R535="SIM",1,0)+IF(AL535="SIM",1,0)+IF(AJ535="NÃO",1,0))&gt;=3),"DPIA indicado ou em avaliação em razão de: " &amp; TRIM(IF(I535="SIM","tratamento de dados sensíveis; ","") &amp; IF(K535="SIM","utilização de dados de menores; ","") &amp; IF(AF535="SIM","transferência internacional de dados; ","") &amp; IF(AL535="SIM","utilização de inteligência artificial; ","") &amp; IF(OR(AN535="Dados pessoais",AN535="Dados sensíveis",AN535="Dados pessoais e sensíveis"),"dados inseridos em IA; ","") &amp; IF(O535="Acima de 10.000 titulares por mês","volume crítico de titulares; ","") &amp; IF(O535="De 1.001 a 10.000 titulares por mês","volume moderado de titulares; ","") &amp; IF(AA535="SIM","compartilhamento com terceiros; ","") &amp; IF(R535="SIM","compartilhamento com órgãos governamentais; ","") &amp; IF(AJ535="NÃO","ausência de controle de acesso por perfil; ","")),"DPIA não indicado: Processo de baixa criticidade."))</f>
      </c>
    </row>
    <row x14ac:dyDescent="0.25" r="536" customHeight="1" ht="15.75">
      <c r="A536" s="46"/>
      <c r="B536" s="6"/>
      <c r="C536" s="11"/>
      <c r="D536" s="11"/>
      <c r="E536" s="11"/>
      <c r="F536" s="29"/>
      <c r="G536" s="11"/>
      <c r="H536" s="11"/>
      <c r="I536" s="29"/>
      <c r="J536" s="11"/>
      <c r="K536" s="29"/>
      <c r="L536" s="11"/>
      <c r="M536" s="11"/>
      <c r="N536" s="11"/>
      <c r="O536" s="29"/>
      <c r="P536" s="29"/>
      <c r="Q536" s="11"/>
      <c r="R536" s="29"/>
      <c r="S536" s="11"/>
      <c r="T536" s="6"/>
      <c r="U536" s="29"/>
      <c r="V536" s="11"/>
      <c r="W536" s="11"/>
      <c r="X536" s="29"/>
      <c r="Y536" s="11"/>
      <c r="Z536" s="29"/>
      <c r="AA536" s="29"/>
      <c r="AB536" s="11"/>
      <c r="AC536" s="11"/>
      <c r="AD536" s="29"/>
      <c r="AE536" s="11"/>
      <c r="AF536" s="29"/>
      <c r="AG536" s="11"/>
      <c r="AH536" s="29"/>
      <c r="AI536" s="11"/>
      <c r="AJ536" s="29"/>
      <c r="AK536" s="29"/>
      <c r="AL536" s="29"/>
      <c r="AM536" s="11"/>
      <c r="AN536" s="29"/>
      <c r="AO536" s="29"/>
      <c r="AP536" s="6"/>
      <c r="AQ536" s="113">
        <f>IF(AND(I536="",K536="",AF536="",AL536="",AN536="",O536=""),"",IF(OR(I536="SIM",K536="SIM",AF536="SIM",AL536="SIM",AN536="Dados pessoais",AN536="Dados sensíveis",AN536="Dados pessoais e sensíveis",O536="Acima de 10.000 titulares por mês"),"SIM - Alta criticidade",IF((IF(I536="SIM",2,0)+IF(K536="SIM",2,0)+IF(AF536="SIM",2,0)+IF(OR(AN536="Dados pessoais",AN536="Dados sensíveis",AN536="Dados pessoais e sensíveis"),2,0)+IF(O536="De 1.001 a 10.000 titulares por mês",1,0)+IF(AA536="SIM",1,0)+IF(R536="SIM",1,0)+IF(AL536="SIM",1,0)+IF(AJ536="NÃO",1,0))&gt;=5,"SIM - Alta criticidade",IF((IF(I536="SIM",2,0)+IF(K536="SIM",2,0)+IF(AF536="SIM",2,0)+IF(OR(AN536="Dados pessoais",AN536="Dados sensíveis",AN536="Dados pessoais e sensíveis"),2,0)+IF(O536="De 1.001 a 10.000 titulares por mês",1,0)+IF(AA536="SIM",1,0)+IF(R536="SIM",1,0)+IF(AL536="SIM",1,0)+IF(AJ536="NÃO",1,0))&gt;=3,"Avaliação necessária","NÃO"))))</f>
      </c>
      <c r="AR536" s="11"/>
      <c r="AS536" s="113">
        <f>IF(AND(I536="",K536="",AF536="",AL536="",AN536="",O536=""),"",IF(OR(I536="SIM",K536="SIM",AF536="SIM",AL536="SIM",OR(AN536="Dados pessoais",AN536="Dados sensíveis",AN536="Dados pessoais e sensíveis"),O536="Acima de 10.000 titulares por mês",(IF(I536="SIM",2,0)+IF(K536="SIM",2,0)+IF(AF536="SIM",2,0)+IF(OR(AN536="Dados pessoais",AN536="Dados sensíveis",AN536="Dados pessoais e sensíveis"),2,0)+IF(O536="De 1.001 a 10.000 titulares por mês",1,0)+IF(AA536="SIM",1,0)+IF(R536="SIM",1,0)+IF(AL536="SIM",1,0)+IF(AJ536="NÃO",1,0))&gt;=3),"DPIA indicado ou em avaliação em razão de: " &amp; TRIM(IF(I536="SIM","tratamento de dados sensíveis; ","") &amp; IF(K536="SIM","utilização de dados de menores; ","") &amp; IF(AF536="SIM","transferência internacional de dados; ","") &amp; IF(AL536="SIM","utilização de inteligência artificial; ","") &amp; IF(OR(AN536="Dados pessoais",AN536="Dados sensíveis",AN536="Dados pessoais e sensíveis"),"dados inseridos em IA; ","") &amp; IF(O536="Acima de 10.000 titulares por mês","volume crítico de titulares; ","") &amp; IF(O536="De 1.001 a 10.000 titulares por mês","volume moderado de titulares; ","") &amp; IF(AA536="SIM","compartilhamento com terceiros; ","") &amp; IF(R536="SIM","compartilhamento com órgãos governamentais; ","") &amp; IF(AJ536="NÃO","ausência de controle de acesso por perfil; ","")),"DPIA não indicado: Processo de baixa criticidade."))</f>
      </c>
    </row>
    <row x14ac:dyDescent="0.25" r="537" customHeight="1" ht="15.75">
      <c r="A537" s="46"/>
      <c r="B537" s="6"/>
      <c r="C537" s="11"/>
      <c r="D537" s="11"/>
      <c r="E537" s="11"/>
      <c r="F537" s="29"/>
      <c r="G537" s="11"/>
      <c r="H537" s="11"/>
      <c r="I537" s="29"/>
      <c r="J537" s="11"/>
      <c r="K537" s="29"/>
      <c r="L537" s="11"/>
      <c r="M537" s="11"/>
      <c r="N537" s="11"/>
      <c r="O537" s="29"/>
      <c r="P537" s="29"/>
      <c r="Q537" s="11"/>
      <c r="R537" s="29"/>
      <c r="S537" s="11"/>
      <c r="T537" s="6"/>
      <c r="U537" s="29"/>
      <c r="V537" s="11"/>
      <c r="W537" s="11"/>
      <c r="X537" s="29"/>
      <c r="Y537" s="11"/>
      <c r="Z537" s="29"/>
      <c r="AA537" s="29"/>
      <c r="AB537" s="11"/>
      <c r="AC537" s="11"/>
      <c r="AD537" s="29"/>
      <c r="AE537" s="11"/>
      <c r="AF537" s="29"/>
      <c r="AG537" s="11"/>
      <c r="AH537" s="29"/>
      <c r="AI537" s="11"/>
      <c r="AJ537" s="29"/>
      <c r="AK537" s="29"/>
      <c r="AL537" s="29"/>
      <c r="AM537" s="11"/>
      <c r="AN537" s="29"/>
      <c r="AO537" s="29"/>
      <c r="AP537" s="6"/>
      <c r="AQ537" s="113">
        <f>IF(AND(I537="",K537="",AF537="",AL537="",AN537="",O537=""),"",IF(OR(I537="SIM",K537="SIM",AF537="SIM",AL537="SIM",AN537="Dados pessoais",AN537="Dados sensíveis",AN537="Dados pessoais e sensíveis",O537="Acima de 10.000 titulares por mês"),"SIM - Alta criticidade",IF((IF(I537="SIM",2,0)+IF(K537="SIM",2,0)+IF(AF537="SIM",2,0)+IF(OR(AN537="Dados pessoais",AN537="Dados sensíveis",AN537="Dados pessoais e sensíveis"),2,0)+IF(O537="De 1.001 a 10.000 titulares por mês",1,0)+IF(AA537="SIM",1,0)+IF(R537="SIM",1,0)+IF(AL537="SIM",1,0)+IF(AJ537="NÃO",1,0))&gt;=5,"SIM - Alta criticidade",IF((IF(I537="SIM",2,0)+IF(K537="SIM",2,0)+IF(AF537="SIM",2,0)+IF(OR(AN537="Dados pessoais",AN537="Dados sensíveis",AN537="Dados pessoais e sensíveis"),2,0)+IF(O537="De 1.001 a 10.000 titulares por mês",1,0)+IF(AA537="SIM",1,0)+IF(R537="SIM",1,0)+IF(AL537="SIM",1,0)+IF(AJ537="NÃO",1,0))&gt;=3,"Avaliação necessária","NÃO"))))</f>
      </c>
      <c r="AR537" s="11"/>
      <c r="AS537" s="113">
        <f>IF(AND(I537="",K537="",AF537="",AL537="",AN537="",O537=""),"",IF(OR(I537="SIM",K537="SIM",AF537="SIM",AL537="SIM",OR(AN537="Dados pessoais",AN537="Dados sensíveis",AN537="Dados pessoais e sensíveis"),O537="Acima de 10.000 titulares por mês",(IF(I537="SIM",2,0)+IF(K537="SIM",2,0)+IF(AF537="SIM",2,0)+IF(OR(AN537="Dados pessoais",AN537="Dados sensíveis",AN537="Dados pessoais e sensíveis"),2,0)+IF(O537="De 1.001 a 10.000 titulares por mês",1,0)+IF(AA537="SIM",1,0)+IF(R537="SIM",1,0)+IF(AL537="SIM",1,0)+IF(AJ537="NÃO",1,0))&gt;=3),"DPIA indicado ou em avaliação em razão de: " &amp; TRIM(IF(I537="SIM","tratamento de dados sensíveis; ","") &amp; IF(K537="SIM","utilização de dados de menores; ","") &amp; IF(AF537="SIM","transferência internacional de dados; ","") &amp; IF(AL537="SIM","utilização de inteligência artificial; ","") &amp; IF(OR(AN537="Dados pessoais",AN537="Dados sensíveis",AN537="Dados pessoais e sensíveis"),"dados inseridos em IA; ","") &amp; IF(O537="Acima de 10.000 titulares por mês","volume crítico de titulares; ","") &amp; IF(O537="De 1.001 a 10.000 titulares por mês","volume moderado de titulares; ","") &amp; IF(AA537="SIM","compartilhamento com terceiros; ","") &amp; IF(R537="SIM","compartilhamento com órgãos governamentais; ","") &amp; IF(AJ537="NÃO","ausência de controle de acesso por perfil; ","")),"DPIA não indicado: Processo de baixa criticidade."))</f>
      </c>
    </row>
    <row x14ac:dyDescent="0.25" r="538" customHeight="1" ht="15.75">
      <c r="A538" s="46"/>
      <c r="B538" s="6"/>
      <c r="C538" s="11"/>
      <c r="D538" s="11"/>
      <c r="E538" s="11"/>
      <c r="F538" s="29"/>
      <c r="G538" s="11"/>
      <c r="H538" s="11"/>
      <c r="I538" s="29"/>
      <c r="J538" s="11"/>
      <c r="K538" s="29"/>
      <c r="L538" s="11"/>
      <c r="M538" s="11"/>
      <c r="N538" s="11"/>
      <c r="O538" s="29"/>
      <c r="P538" s="29"/>
      <c r="Q538" s="11"/>
      <c r="R538" s="29"/>
      <c r="S538" s="11"/>
      <c r="T538" s="6"/>
      <c r="U538" s="29"/>
      <c r="V538" s="11"/>
      <c r="W538" s="11"/>
      <c r="X538" s="29"/>
      <c r="Y538" s="11"/>
      <c r="Z538" s="29"/>
      <c r="AA538" s="29"/>
      <c r="AB538" s="11"/>
      <c r="AC538" s="11"/>
      <c r="AD538" s="29"/>
      <c r="AE538" s="11"/>
      <c r="AF538" s="29"/>
      <c r="AG538" s="11"/>
      <c r="AH538" s="29"/>
      <c r="AI538" s="11"/>
      <c r="AJ538" s="29"/>
      <c r="AK538" s="29"/>
      <c r="AL538" s="29"/>
      <c r="AM538" s="11"/>
      <c r="AN538" s="29"/>
      <c r="AO538" s="29"/>
      <c r="AP538" s="6"/>
      <c r="AQ538" s="113">
        <f>IF(AND(I538="",K538="",AF538="",AL538="",AN538="",O538=""),"",IF(OR(I538="SIM",K538="SIM",AF538="SIM",AL538="SIM",AN538="Dados pessoais",AN538="Dados sensíveis",AN538="Dados pessoais e sensíveis",O538="Acima de 10.000 titulares por mês"),"SIM - Alta criticidade",IF((IF(I538="SIM",2,0)+IF(K538="SIM",2,0)+IF(AF538="SIM",2,0)+IF(OR(AN538="Dados pessoais",AN538="Dados sensíveis",AN538="Dados pessoais e sensíveis"),2,0)+IF(O538="De 1.001 a 10.000 titulares por mês",1,0)+IF(AA538="SIM",1,0)+IF(R538="SIM",1,0)+IF(AL538="SIM",1,0)+IF(AJ538="NÃO",1,0))&gt;=5,"SIM - Alta criticidade",IF((IF(I538="SIM",2,0)+IF(K538="SIM",2,0)+IF(AF538="SIM",2,0)+IF(OR(AN538="Dados pessoais",AN538="Dados sensíveis",AN538="Dados pessoais e sensíveis"),2,0)+IF(O538="De 1.001 a 10.000 titulares por mês",1,0)+IF(AA538="SIM",1,0)+IF(R538="SIM",1,0)+IF(AL538="SIM",1,0)+IF(AJ538="NÃO",1,0))&gt;=3,"Avaliação necessária","NÃO"))))</f>
      </c>
      <c r="AR538" s="11"/>
      <c r="AS538" s="113">
        <f>IF(AND(I538="",K538="",AF538="",AL538="",AN538="",O538=""),"",IF(OR(I538="SIM",K538="SIM",AF538="SIM",AL538="SIM",OR(AN538="Dados pessoais",AN538="Dados sensíveis",AN538="Dados pessoais e sensíveis"),O538="Acima de 10.000 titulares por mês",(IF(I538="SIM",2,0)+IF(K538="SIM",2,0)+IF(AF538="SIM",2,0)+IF(OR(AN538="Dados pessoais",AN538="Dados sensíveis",AN538="Dados pessoais e sensíveis"),2,0)+IF(O538="De 1.001 a 10.000 titulares por mês",1,0)+IF(AA538="SIM",1,0)+IF(R538="SIM",1,0)+IF(AL538="SIM",1,0)+IF(AJ538="NÃO",1,0))&gt;=3),"DPIA indicado ou em avaliação em razão de: " &amp; TRIM(IF(I538="SIM","tratamento de dados sensíveis; ","") &amp; IF(K538="SIM","utilização de dados de menores; ","") &amp; IF(AF538="SIM","transferência internacional de dados; ","") &amp; IF(AL538="SIM","utilização de inteligência artificial; ","") &amp; IF(OR(AN538="Dados pessoais",AN538="Dados sensíveis",AN538="Dados pessoais e sensíveis"),"dados inseridos em IA; ","") &amp; IF(O538="Acima de 10.000 titulares por mês","volume crítico de titulares; ","") &amp; IF(O538="De 1.001 a 10.000 titulares por mês","volume moderado de titulares; ","") &amp; IF(AA538="SIM","compartilhamento com terceiros; ","") &amp; IF(R538="SIM","compartilhamento com órgãos governamentais; ","") &amp; IF(AJ538="NÃO","ausência de controle de acesso por perfil; ","")),"DPIA não indicado: Processo de baixa criticidade."))</f>
      </c>
    </row>
    <row x14ac:dyDescent="0.25" r="539" customHeight="1" ht="15.75">
      <c r="A539" s="46"/>
      <c r="B539" s="6"/>
      <c r="C539" s="11"/>
      <c r="D539" s="11"/>
      <c r="E539" s="11"/>
      <c r="F539" s="29"/>
      <c r="G539" s="11"/>
      <c r="H539" s="11"/>
      <c r="I539" s="29"/>
      <c r="J539" s="11"/>
      <c r="K539" s="29"/>
      <c r="L539" s="11"/>
      <c r="M539" s="11"/>
      <c r="N539" s="11"/>
      <c r="O539" s="29"/>
      <c r="P539" s="29"/>
      <c r="Q539" s="11"/>
      <c r="R539" s="29"/>
      <c r="S539" s="11"/>
      <c r="T539" s="6"/>
      <c r="U539" s="29"/>
      <c r="V539" s="11"/>
      <c r="W539" s="11"/>
      <c r="X539" s="29"/>
      <c r="Y539" s="11"/>
      <c r="Z539" s="29"/>
      <c r="AA539" s="29"/>
      <c r="AB539" s="11"/>
      <c r="AC539" s="11"/>
      <c r="AD539" s="29"/>
      <c r="AE539" s="11"/>
      <c r="AF539" s="29"/>
      <c r="AG539" s="11"/>
      <c r="AH539" s="29"/>
      <c r="AI539" s="11"/>
      <c r="AJ539" s="29"/>
      <c r="AK539" s="29"/>
      <c r="AL539" s="29"/>
      <c r="AM539" s="11"/>
      <c r="AN539" s="29"/>
      <c r="AO539" s="29"/>
      <c r="AP539" s="6"/>
      <c r="AQ539" s="113">
        <f>IF(AND(I539="",K539="",AF539="",AL539="",AN539="",O539=""),"",IF(OR(I539="SIM",K539="SIM",AF539="SIM",AL539="SIM",AN539="Dados pessoais",AN539="Dados sensíveis",AN539="Dados pessoais e sensíveis",O539="Acima de 10.000 titulares por mês"),"SIM - Alta criticidade",IF((IF(I539="SIM",2,0)+IF(K539="SIM",2,0)+IF(AF539="SIM",2,0)+IF(OR(AN539="Dados pessoais",AN539="Dados sensíveis",AN539="Dados pessoais e sensíveis"),2,0)+IF(O539="De 1.001 a 10.000 titulares por mês",1,0)+IF(AA539="SIM",1,0)+IF(R539="SIM",1,0)+IF(AL539="SIM",1,0)+IF(AJ539="NÃO",1,0))&gt;=5,"SIM - Alta criticidade",IF((IF(I539="SIM",2,0)+IF(K539="SIM",2,0)+IF(AF539="SIM",2,0)+IF(OR(AN539="Dados pessoais",AN539="Dados sensíveis",AN539="Dados pessoais e sensíveis"),2,0)+IF(O539="De 1.001 a 10.000 titulares por mês",1,0)+IF(AA539="SIM",1,0)+IF(R539="SIM",1,0)+IF(AL539="SIM",1,0)+IF(AJ539="NÃO",1,0))&gt;=3,"Avaliação necessária","NÃO"))))</f>
      </c>
      <c r="AR539" s="11"/>
      <c r="AS539" s="113">
        <f>IF(AND(I539="",K539="",AF539="",AL539="",AN539="",O539=""),"",IF(OR(I539="SIM",K539="SIM",AF539="SIM",AL539="SIM",OR(AN539="Dados pessoais",AN539="Dados sensíveis",AN539="Dados pessoais e sensíveis"),O539="Acima de 10.000 titulares por mês",(IF(I539="SIM",2,0)+IF(K539="SIM",2,0)+IF(AF539="SIM",2,0)+IF(OR(AN539="Dados pessoais",AN539="Dados sensíveis",AN539="Dados pessoais e sensíveis"),2,0)+IF(O539="De 1.001 a 10.000 titulares por mês",1,0)+IF(AA539="SIM",1,0)+IF(R539="SIM",1,0)+IF(AL539="SIM",1,0)+IF(AJ539="NÃO",1,0))&gt;=3),"DPIA indicado ou em avaliação em razão de: " &amp; TRIM(IF(I539="SIM","tratamento de dados sensíveis; ","") &amp; IF(K539="SIM","utilização de dados de menores; ","") &amp; IF(AF539="SIM","transferência internacional de dados; ","") &amp; IF(AL539="SIM","utilização de inteligência artificial; ","") &amp; IF(OR(AN539="Dados pessoais",AN539="Dados sensíveis",AN539="Dados pessoais e sensíveis"),"dados inseridos em IA; ","") &amp; IF(O539="Acima de 10.000 titulares por mês","volume crítico de titulares; ","") &amp; IF(O539="De 1.001 a 10.000 titulares por mês","volume moderado de titulares; ","") &amp; IF(AA539="SIM","compartilhamento com terceiros; ","") &amp; IF(R539="SIM","compartilhamento com órgãos governamentais; ","") &amp; IF(AJ539="NÃO","ausência de controle de acesso por perfil; ","")),"DPIA não indicado: Processo de baixa criticidade."))</f>
      </c>
    </row>
    <row x14ac:dyDescent="0.25" r="540" customHeight="1" ht="15.75">
      <c r="A540" s="46"/>
      <c r="B540" s="6"/>
      <c r="C540" s="11"/>
      <c r="D540" s="11"/>
      <c r="E540" s="11"/>
      <c r="F540" s="29"/>
      <c r="G540" s="11"/>
      <c r="H540" s="11"/>
      <c r="I540" s="29"/>
      <c r="J540" s="11"/>
      <c r="K540" s="29"/>
      <c r="L540" s="11"/>
      <c r="M540" s="11"/>
      <c r="N540" s="11"/>
      <c r="O540" s="29"/>
      <c r="P540" s="29"/>
      <c r="Q540" s="11"/>
      <c r="R540" s="29"/>
      <c r="S540" s="11"/>
      <c r="T540" s="6"/>
      <c r="U540" s="29"/>
      <c r="V540" s="11"/>
      <c r="W540" s="11"/>
      <c r="X540" s="29"/>
      <c r="Y540" s="11"/>
      <c r="Z540" s="29"/>
      <c r="AA540" s="29"/>
      <c r="AB540" s="11"/>
      <c r="AC540" s="11"/>
      <c r="AD540" s="29"/>
      <c r="AE540" s="11"/>
      <c r="AF540" s="29"/>
      <c r="AG540" s="11"/>
      <c r="AH540" s="29"/>
      <c r="AI540" s="11"/>
      <c r="AJ540" s="29"/>
      <c r="AK540" s="29"/>
      <c r="AL540" s="29"/>
      <c r="AM540" s="11"/>
      <c r="AN540" s="29"/>
      <c r="AO540" s="29"/>
      <c r="AP540" s="6"/>
      <c r="AQ540" s="113">
        <f>IF(AND(I540="",K540="",AF540="",AL540="",AN540="",O540=""),"",IF(OR(I540="SIM",K540="SIM",AF540="SIM",AL540="SIM",AN540="Dados pessoais",AN540="Dados sensíveis",AN540="Dados pessoais e sensíveis",O540="Acima de 10.000 titulares por mês"),"SIM - Alta criticidade",IF((IF(I540="SIM",2,0)+IF(K540="SIM",2,0)+IF(AF540="SIM",2,0)+IF(OR(AN540="Dados pessoais",AN540="Dados sensíveis",AN540="Dados pessoais e sensíveis"),2,0)+IF(O540="De 1.001 a 10.000 titulares por mês",1,0)+IF(AA540="SIM",1,0)+IF(R540="SIM",1,0)+IF(AL540="SIM",1,0)+IF(AJ540="NÃO",1,0))&gt;=5,"SIM - Alta criticidade",IF((IF(I540="SIM",2,0)+IF(K540="SIM",2,0)+IF(AF540="SIM",2,0)+IF(OR(AN540="Dados pessoais",AN540="Dados sensíveis",AN540="Dados pessoais e sensíveis"),2,0)+IF(O540="De 1.001 a 10.000 titulares por mês",1,0)+IF(AA540="SIM",1,0)+IF(R540="SIM",1,0)+IF(AL540="SIM",1,0)+IF(AJ540="NÃO",1,0))&gt;=3,"Avaliação necessária","NÃO"))))</f>
      </c>
      <c r="AR540" s="11"/>
      <c r="AS540" s="113">
        <f>IF(AND(I540="",K540="",AF540="",AL540="",AN540="",O540=""),"",IF(OR(I540="SIM",K540="SIM",AF540="SIM",AL540="SIM",OR(AN540="Dados pessoais",AN540="Dados sensíveis",AN540="Dados pessoais e sensíveis"),O540="Acima de 10.000 titulares por mês",(IF(I540="SIM",2,0)+IF(K540="SIM",2,0)+IF(AF540="SIM",2,0)+IF(OR(AN540="Dados pessoais",AN540="Dados sensíveis",AN540="Dados pessoais e sensíveis"),2,0)+IF(O540="De 1.001 a 10.000 titulares por mês",1,0)+IF(AA540="SIM",1,0)+IF(R540="SIM",1,0)+IF(AL540="SIM",1,0)+IF(AJ540="NÃO",1,0))&gt;=3),"DPIA indicado ou em avaliação em razão de: " &amp; TRIM(IF(I540="SIM","tratamento de dados sensíveis; ","") &amp; IF(K540="SIM","utilização de dados de menores; ","") &amp; IF(AF540="SIM","transferência internacional de dados; ","") &amp; IF(AL540="SIM","utilização de inteligência artificial; ","") &amp; IF(OR(AN540="Dados pessoais",AN540="Dados sensíveis",AN540="Dados pessoais e sensíveis"),"dados inseridos em IA; ","") &amp; IF(O540="Acima de 10.000 titulares por mês","volume crítico de titulares; ","") &amp; IF(O540="De 1.001 a 10.000 titulares por mês","volume moderado de titulares; ","") &amp; IF(AA540="SIM","compartilhamento com terceiros; ","") &amp; IF(R540="SIM","compartilhamento com órgãos governamentais; ","") &amp; IF(AJ540="NÃO","ausência de controle de acesso por perfil; ","")),"DPIA não indicado: Processo de baixa criticidade."))</f>
      </c>
    </row>
    <row x14ac:dyDescent="0.25" r="541" customHeight="1" ht="15.75">
      <c r="A541" s="46"/>
      <c r="B541" s="6"/>
      <c r="C541" s="11"/>
      <c r="D541" s="11"/>
      <c r="E541" s="11"/>
      <c r="F541" s="29"/>
      <c r="G541" s="11"/>
      <c r="H541" s="11"/>
      <c r="I541" s="29"/>
      <c r="J541" s="11"/>
      <c r="K541" s="29"/>
      <c r="L541" s="11"/>
      <c r="M541" s="11"/>
      <c r="N541" s="11"/>
      <c r="O541" s="29"/>
      <c r="P541" s="29"/>
      <c r="Q541" s="11"/>
      <c r="R541" s="29"/>
      <c r="S541" s="11"/>
      <c r="T541" s="6"/>
      <c r="U541" s="29"/>
      <c r="V541" s="11"/>
      <c r="W541" s="11"/>
      <c r="X541" s="29"/>
      <c r="Y541" s="11"/>
      <c r="Z541" s="29"/>
      <c r="AA541" s="29"/>
      <c r="AB541" s="11"/>
      <c r="AC541" s="11"/>
      <c r="AD541" s="29"/>
      <c r="AE541" s="11"/>
      <c r="AF541" s="29"/>
      <c r="AG541" s="11"/>
      <c r="AH541" s="29"/>
      <c r="AI541" s="11"/>
      <c r="AJ541" s="29"/>
      <c r="AK541" s="29"/>
      <c r="AL541" s="29"/>
      <c r="AM541" s="11"/>
      <c r="AN541" s="29"/>
      <c r="AO541" s="29"/>
      <c r="AP541" s="6"/>
      <c r="AQ541" s="113">
        <f>IF(AND(I541="",K541="",AF541="",AL541="",AN541="",O541=""),"",IF(OR(I541="SIM",K541="SIM",AF541="SIM",AL541="SIM",AN541="Dados pessoais",AN541="Dados sensíveis",AN541="Dados pessoais e sensíveis",O541="Acima de 10.000 titulares por mês"),"SIM - Alta criticidade",IF((IF(I541="SIM",2,0)+IF(K541="SIM",2,0)+IF(AF541="SIM",2,0)+IF(OR(AN541="Dados pessoais",AN541="Dados sensíveis",AN541="Dados pessoais e sensíveis"),2,0)+IF(O541="De 1.001 a 10.000 titulares por mês",1,0)+IF(AA541="SIM",1,0)+IF(R541="SIM",1,0)+IF(AL541="SIM",1,0)+IF(AJ541="NÃO",1,0))&gt;=5,"SIM - Alta criticidade",IF((IF(I541="SIM",2,0)+IF(K541="SIM",2,0)+IF(AF541="SIM",2,0)+IF(OR(AN541="Dados pessoais",AN541="Dados sensíveis",AN541="Dados pessoais e sensíveis"),2,0)+IF(O541="De 1.001 a 10.000 titulares por mês",1,0)+IF(AA541="SIM",1,0)+IF(R541="SIM",1,0)+IF(AL541="SIM",1,0)+IF(AJ541="NÃO",1,0))&gt;=3,"Avaliação necessária","NÃO"))))</f>
      </c>
      <c r="AR541" s="11"/>
      <c r="AS541" s="113">
        <f>IF(AND(I541="",K541="",AF541="",AL541="",AN541="",O541=""),"",IF(OR(I541="SIM",K541="SIM",AF541="SIM",AL541="SIM",OR(AN541="Dados pessoais",AN541="Dados sensíveis",AN541="Dados pessoais e sensíveis"),O541="Acima de 10.000 titulares por mês",(IF(I541="SIM",2,0)+IF(K541="SIM",2,0)+IF(AF541="SIM",2,0)+IF(OR(AN541="Dados pessoais",AN541="Dados sensíveis",AN541="Dados pessoais e sensíveis"),2,0)+IF(O541="De 1.001 a 10.000 titulares por mês",1,0)+IF(AA541="SIM",1,0)+IF(R541="SIM",1,0)+IF(AL541="SIM",1,0)+IF(AJ541="NÃO",1,0))&gt;=3),"DPIA indicado ou em avaliação em razão de: " &amp; TRIM(IF(I541="SIM","tratamento de dados sensíveis; ","") &amp; IF(K541="SIM","utilização de dados de menores; ","") &amp; IF(AF541="SIM","transferência internacional de dados; ","") &amp; IF(AL541="SIM","utilização de inteligência artificial; ","") &amp; IF(OR(AN541="Dados pessoais",AN541="Dados sensíveis",AN541="Dados pessoais e sensíveis"),"dados inseridos em IA; ","") &amp; IF(O541="Acima de 10.000 titulares por mês","volume crítico de titulares; ","") &amp; IF(O541="De 1.001 a 10.000 titulares por mês","volume moderado de titulares; ","") &amp; IF(AA541="SIM","compartilhamento com terceiros; ","") &amp; IF(R541="SIM","compartilhamento com órgãos governamentais; ","") &amp; IF(AJ541="NÃO","ausência de controle de acesso por perfil; ","")),"DPIA não indicado: Processo de baixa criticidade."))</f>
      </c>
    </row>
    <row x14ac:dyDescent="0.25" r="542" customHeight="1" ht="15.75">
      <c r="A542" s="46"/>
      <c r="B542" s="6"/>
      <c r="C542" s="11"/>
      <c r="D542" s="11"/>
      <c r="E542" s="11"/>
      <c r="F542" s="29"/>
      <c r="G542" s="11"/>
      <c r="H542" s="11"/>
      <c r="I542" s="29"/>
      <c r="J542" s="11"/>
      <c r="K542" s="29"/>
      <c r="L542" s="11"/>
      <c r="M542" s="11"/>
      <c r="N542" s="11"/>
      <c r="O542" s="29"/>
      <c r="P542" s="29"/>
      <c r="Q542" s="11"/>
      <c r="R542" s="29"/>
      <c r="S542" s="11"/>
      <c r="T542" s="6"/>
      <c r="U542" s="29"/>
      <c r="V542" s="11"/>
      <c r="W542" s="11"/>
      <c r="X542" s="29"/>
      <c r="Y542" s="11"/>
      <c r="Z542" s="29"/>
      <c r="AA542" s="29"/>
      <c r="AB542" s="11"/>
      <c r="AC542" s="11"/>
      <c r="AD542" s="29"/>
      <c r="AE542" s="11"/>
      <c r="AF542" s="29"/>
      <c r="AG542" s="11"/>
      <c r="AH542" s="29"/>
      <c r="AI542" s="11"/>
      <c r="AJ542" s="29"/>
      <c r="AK542" s="29"/>
      <c r="AL542" s="29"/>
      <c r="AM542" s="11"/>
      <c r="AN542" s="29"/>
      <c r="AO542" s="29"/>
      <c r="AP542" s="6"/>
      <c r="AQ542" s="113">
        <f>IF(AND(I542="",K542="",AF542="",AL542="",AN542="",O542=""),"",IF(OR(I542="SIM",K542="SIM",AF542="SIM",AL542="SIM",AN542="Dados pessoais",AN542="Dados sensíveis",AN542="Dados pessoais e sensíveis",O542="Acima de 10.000 titulares por mês"),"SIM - Alta criticidade",IF((IF(I542="SIM",2,0)+IF(K542="SIM",2,0)+IF(AF542="SIM",2,0)+IF(OR(AN542="Dados pessoais",AN542="Dados sensíveis",AN542="Dados pessoais e sensíveis"),2,0)+IF(O542="De 1.001 a 10.000 titulares por mês",1,0)+IF(AA542="SIM",1,0)+IF(R542="SIM",1,0)+IF(AL542="SIM",1,0)+IF(AJ542="NÃO",1,0))&gt;=5,"SIM - Alta criticidade",IF((IF(I542="SIM",2,0)+IF(K542="SIM",2,0)+IF(AF542="SIM",2,0)+IF(OR(AN542="Dados pessoais",AN542="Dados sensíveis",AN542="Dados pessoais e sensíveis"),2,0)+IF(O542="De 1.001 a 10.000 titulares por mês",1,0)+IF(AA542="SIM",1,0)+IF(R542="SIM",1,0)+IF(AL542="SIM",1,0)+IF(AJ542="NÃO",1,0))&gt;=3,"Avaliação necessária","NÃO"))))</f>
      </c>
      <c r="AR542" s="11"/>
      <c r="AS542" s="113">
        <f>IF(AND(I542="",K542="",AF542="",AL542="",AN542="",O542=""),"",IF(OR(I542="SIM",K542="SIM",AF542="SIM",AL542="SIM",OR(AN542="Dados pessoais",AN542="Dados sensíveis",AN542="Dados pessoais e sensíveis"),O542="Acima de 10.000 titulares por mês",(IF(I542="SIM",2,0)+IF(K542="SIM",2,0)+IF(AF542="SIM",2,0)+IF(OR(AN542="Dados pessoais",AN542="Dados sensíveis",AN542="Dados pessoais e sensíveis"),2,0)+IF(O542="De 1.001 a 10.000 titulares por mês",1,0)+IF(AA542="SIM",1,0)+IF(R542="SIM",1,0)+IF(AL542="SIM",1,0)+IF(AJ542="NÃO",1,0))&gt;=3),"DPIA indicado ou em avaliação em razão de: " &amp; TRIM(IF(I542="SIM","tratamento de dados sensíveis; ","") &amp; IF(K542="SIM","utilização de dados de menores; ","") &amp; IF(AF542="SIM","transferência internacional de dados; ","") &amp; IF(AL542="SIM","utilização de inteligência artificial; ","") &amp; IF(OR(AN542="Dados pessoais",AN542="Dados sensíveis",AN542="Dados pessoais e sensíveis"),"dados inseridos em IA; ","") &amp; IF(O542="Acima de 10.000 titulares por mês","volume crítico de titulares; ","") &amp; IF(O542="De 1.001 a 10.000 titulares por mês","volume moderado de titulares; ","") &amp; IF(AA542="SIM","compartilhamento com terceiros; ","") &amp; IF(R542="SIM","compartilhamento com órgãos governamentais; ","") &amp; IF(AJ542="NÃO","ausência de controle de acesso por perfil; ","")),"DPIA não indicado: Processo de baixa criticidade."))</f>
      </c>
    </row>
    <row x14ac:dyDescent="0.25" r="543" customHeight="1" ht="15.75">
      <c r="A543" s="46"/>
      <c r="B543" s="6"/>
      <c r="C543" s="11"/>
      <c r="D543" s="11"/>
      <c r="E543" s="11"/>
      <c r="F543" s="29"/>
      <c r="G543" s="11"/>
      <c r="H543" s="11"/>
      <c r="I543" s="29"/>
      <c r="J543" s="11"/>
      <c r="K543" s="29"/>
      <c r="L543" s="11"/>
      <c r="M543" s="11"/>
      <c r="N543" s="11"/>
      <c r="O543" s="29"/>
      <c r="P543" s="29"/>
      <c r="Q543" s="11"/>
      <c r="R543" s="29"/>
      <c r="S543" s="11"/>
      <c r="T543" s="6"/>
      <c r="U543" s="29"/>
      <c r="V543" s="11"/>
      <c r="W543" s="11"/>
      <c r="X543" s="29"/>
      <c r="Y543" s="11"/>
      <c r="Z543" s="29"/>
      <c r="AA543" s="29"/>
      <c r="AB543" s="11"/>
      <c r="AC543" s="11"/>
      <c r="AD543" s="29"/>
      <c r="AE543" s="11"/>
      <c r="AF543" s="29"/>
      <c r="AG543" s="11"/>
      <c r="AH543" s="29"/>
      <c r="AI543" s="11"/>
      <c r="AJ543" s="29"/>
      <c r="AK543" s="29"/>
      <c r="AL543" s="29"/>
      <c r="AM543" s="11"/>
      <c r="AN543" s="29"/>
      <c r="AO543" s="29"/>
      <c r="AP543" s="6"/>
      <c r="AQ543" s="113">
        <f>IF(AND(I543="",K543="",AF543="",AL543="",AN543="",O543=""),"",IF(OR(I543="SIM",K543="SIM",AF543="SIM",AL543="SIM",AN543="Dados pessoais",AN543="Dados sensíveis",AN543="Dados pessoais e sensíveis",O543="Acima de 10.000 titulares por mês"),"SIM - Alta criticidade",IF((IF(I543="SIM",2,0)+IF(K543="SIM",2,0)+IF(AF543="SIM",2,0)+IF(OR(AN543="Dados pessoais",AN543="Dados sensíveis",AN543="Dados pessoais e sensíveis"),2,0)+IF(O543="De 1.001 a 10.000 titulares por mês",1,0)+IF(AA543="SIM",1,0)+IF(R543="SIM",1,0)+IF(AL543="SIM",1,0)+IF(AJ543="NÃO",1,0))&gt;=5,"SIM - Alta criticidade",IF((IF(I543="SIM",2,0)+IF(K543="SIM",2,0)+IF(AF543="SIM",2,0)+IF(OR(AN543="Dados pessoais",AN543="Dados sensíveis",AN543="Dados pessoais e sensíveis"),2,0)+IF(O543="De 1.001 a 10.000 titulares por mês",1,0)+IF(AA543="SIM",1,0)+IF(R543="SIM",1,0)+IF(AL543="SIM",1,0)+IF(AJ543="NÃO",1,0))&gt;=3,"Avaliação necessária","NÃO"))))</f>
      </c>
      <c r="AR543" s="11"/>
      <c r="AS543" s="113">
        <f>IF(AND(I543="",K543="",AF543="",AL543="",AN543="",O543=""),"",IF(OR(I543="SIM",K543="SIM",AF543="SIM",AL543="SIM",OR(AN543="Dados pessoais",AN543="Dados sensíveis",AN543="Dados pessoais e sensíveis"),O543="Acima de 10.000 titulares por mês",(IF(I543="SIM",2,0)+IF(K543="SIM",2,0)+IF(AF543="SIM",2,0)+IF(OR(AN543="Dados pessoais",AN543="Dados sensíveis",AN543="Dados pessoais e sensíveis"),2,0)+IF(O543="De 1.001 a 10.000 titulares por mês",1,0)+IF(AA543="SIM",1,0)+IF(R543="SIM",1,0)+IF(AL543="SIM",1,0)+IF(AJ543="NÃO",1,0))&gt;=3),"DPIA indicado ou em avaliação em razão de: " &amp; TRIM(IF(I543="SIM","tratamento de dados sensíveis; ","") &amp; IF(K543="SIM","utilização de dados de menores; ","") &amp; IF(AF543="SIM","transferência internacional de dados; ","") &amp; IF(AL543="SIM","utilização de inteligência artificial; ","") &amp; IF(OR(AN543="Dados pessoais",AN543="Dados sensíveis",AN543="Dados pessoais e sensíveis"),"dados inseridos em IA; ","") &amp; IF(O543="Acima de 10.000 titulares por mês","volume crítico de titulares; ","") &amp; IF(O543="De 1.001 a 10.000 titulares por mês","volume moderado de titulares; ","") &amp; IF(AA543="SIM","compartilhamento com terceiros; ","") &amp; IF(R543="SIM","compartilhamento com órgãos governamentais; ","") &amp; IF(AJ543="NÃO","ausência de controle de acesso por perfil; ","")),"DPIA não indicado: Processo de baixa criticidade."))</f>
      </c>
    </row>
    <row x14ac:dyDescent="0.25" r="544" customHeight="1" ht="15.75">
      <c r="A544" s="46"/>
      <c r="B544" s="6"/>
      <c r="C544" s="11"/>
      <c r="D544" s="11"/>
      <c r="E544" s="11"/>
      <c r="F544" s="29"/>
      <c r="G544" s="11"/>
      <c r="H544" s="11"/>
      <c r="I544" s="29"/>
      <c r="J544" s="11"/>
      <c r="K544" s="29"/>
      <c r="L544" s="11"/>
      <c r="M544" s="11"/>
      <c r="N544" s="11"/>
      <c r="O544" s="29"/>
      <c r="P544" s="29"/>
      <c r="Q544" s="11"/>
      <c r="R544" s="29"/>
      <c r="S544" s="11"/>
      <c r="T544" s="6"/>
      <c r="U544" s="29"/>
      <c r="V544" s="11"/>
      <c r="W544" s="11"/>
      <c r="X544" s="29"/>
      <c r="Y544" s="11"/>
      <c r="Z544" s="29"/>
      <c r="AA544" s="29"/>
      <c r="AB544" s="11"/>
      <c r="AC544" s="11"/>
      <c r="AD544" s="29"/>
      <c r="AE544" s="11"/>
      <c r="AF544" s="29"/>
      <c r="AG544" s="11"/>
      <c r="AH544" s="29"/>
      <c r="AI544" s="11"/>
      <c r="AJ544" s="29"/>
      <c r="AK544" s="29"/>
      <c r="AL544" s="29"/>
      <c r="AM544" s="11"/>
      <c r="AN544" s="29"/>
      <c r="AO544" s="29"/>
      <c r="AP544" s="6"/>
      <c r="AQ544" s="113">
        <f>IF(AND(I544="",K544="",AF544="",AL544="",AN544="",O544=""),"",IF(OR(I544="SIM",K544="SIM",AF544="SIM",AL544="SIM",AN544="Dados pessoais",AN544="Dados sensíveis",AN544="Dados pessoais e sensíveis",O544="Acima de 10.000 titulares por mês"),"SIM - Alta criticidade",IF((IF(I544="SIM",2,0)+IF(K544="SIM",2,0)+IF(AF544="SIM",2,0)+IF(OR(AN544="Dados pessoais",AN544="Dados sensíveis",AN544="Dados pessoais e sensíveis"),2,0)+IF(O544="De 1.001 a 10.000 titulares por mês",1,0)+IF(AA544="SIM",1,0)+IF(R544="SIM",1,0)+IF(AL544="SIM",1,0)+IF(AJ544="NÃO",1,0))&gt;=5,"SIM - Alta criticidade",IF((IF(I544="SIM",2,0)+IF(K544="SIM",2,0)+IF(AF544="SIM",2,0)+IF(OR(AN544="Dados pessoais",AN544="Dados sensíveis",AN544="Dados pessoais e sensíveis"),2,0)+IF(O544="De 1.001 a 10.000 titulares por mês",1,0)+IF(AA544="SIM",1,0)+IF(R544="SIM",1,0)+IF(AL544="SIM",1,0)+IF(AJ544="NÃO",1,0))&gt;=3,"Avaliação necessária","NÃO"))))</f>
      </c>
      <c r="AR544" s="11"/>
      <c r="AS544" s="113">
        <f>IF(AND(I544="",K544="",AF544="",AL544="",AN544="",O544=""),"",IF(OR(I544="SIM",K544="SIM",AF544="SIM",AL544="SIM",OR(AN544="Dados pessoais",AN544="Dados sensíveis",AN544="Dados pessoais e sensíveis"),O544="Acima de 10.000 titulares por mês",(IF(I544="SIM",2,0)+IF(K544="SIM",2,0)+IF(AF544="SIM",2,0)+IF(OR(AN544="Dados pessoais",AN544="Dados sensíveis",AN544="Dados pessoais e sensíveis"),2,0)+IF(O544="De 1.001 a 10.000 titulares por mês",1,0)+IF(AA544="SIM",1,0)+IF(R544="SIM",1,0)+IF(AL544="SIM",1,0)+IF(AJ544="NÃO",1,0))&gt;=3),"DPIA indicado ou em avaliação em razão de: " &amp; TRIM(IF(I544="SIM","tratamento de dados sensíveis; ","") &amp; IF(K544="SIM","utilização de dados de menores; ","") &amp; IF(AF544="SIM","transferência internacional de dados; ","") &amp; IF(AL544="SIM","utilização de inteligência artificial; ","") &amp; IF(OR(AN544="Dados pessoais",AN544="Dados sensíveis",AN544="Dados pessoais e sensíveis"),"dados inseridos em IA; ","") &amp; IF(O544="Acima de 10.000 titulares por mês","volume crítico de titulares; ","") &amp; IF(O544="De 1.001 a 10.000 titulares por mês","volume moderado de titulares; ","") &amp; IF(AA544="SIM","compartilhamento com terceiros; ","") &amp; IF(R544="SIM","compartilhamento com órgãos governamentais; ","") &amp; IF(AJ544="NÃO","ausência de controle de acesso por perfil; ","")),"DPIA não indicado: Processo de baixa criticidade."))</f>
      </c>
    </row>
    <row x14ac:dyDescent="0.25" r="545" customHeight="1" ht="15.75">
      <c r="A545" s="46"/>
      <c r="B545" s="6"/>
      <c r="C545" s="11"/>
      <c r="D545" s="11"/>
      <c r="E545" s="11"/>
      <c r="F545" s="29"/>
      <c r="G545" s="11"/>
      <c r="H545" s="11"/>
      <c r="I545" s="29"/>
      <c r="J545" s="11"/>
      <c r="K545" s="29"/>
      <c r="L545" s="11"/>
      <c r="M545" s="11"/>
      <c r="N545" s="11"/>
      <c r="O545" s="29"/>
      <c r="P545" s="29"/>
      <c r="Q545" s="11"/>
      <c r="R545" s="29"/>
      <c r="S545" s="11"/>
      <c r="T545" s="6"/>
      <c r="U545" s="29"/>
      <c r="V545" s="11"/>
      <c r="W545" s="11"/>
      <c r="X545" s="29"/>
      <c r="Y545" s="11"/>
      <c r="Z545" s="29"/>
      <c r="AA545" s="29"/>
      <c r="AB545" s="11"/>
      <c r="AC545" s="11"/>
      <c r="AD545" s="29"/>
      <c r="AE545" s="11"/>
      <c r="AF545" s="29"/>
      <c r="AG545" s="11"/>
      <c r="AH545" s="29"/>
      <c r="AI545" s="11"/>
      <c r="AJ545" s="29"/>
      <c r="AK545" s="29"/>
      <c r="AL545" s="29"/>
      <c r="AM545" s="11"/>
      <c r="AN545" s="29"/>
      <c r="AO545" s="29"/>
      <c r="AP545" s="6"/>
      <c r="AQ545" s="113">
        <f>IF(AND(I545="",K545="",AF545="",AL545="",AN545="",O545=""),"",IF(OR(I545="SIM",K545="SIM",AF545="SIM",AL545="SIM",AN545="Dados pessoais",AN545="Dados sensíveis",AN545="Dados pessoais e sensíveis",O545="Acima de 10.000 titulares por mês"),"SIM - Alta criticidade",IF((IF(I545="SIM",2,0)+IF(K545="SIM",2,0)+IF(AF545="SIM",2,0)+IF(OR(AN545="Dados pessoais",AN545="Dados sensíveis",AN545="Dados pessoais e sensíveis"),2,0)+IF(O545="De 1.001 a 10.000 titulares por mês",1,0)+IF(AA545="SIM",1,0)+IF(R545="SIM",1,0)+IF(AL545="SIM",1,0)+IF(AJ545="NÃO",1,0))&gt;=5,"SIM - Alta criticidade",IF((IF(I545="SIM",2,0)+IF(K545="SIM",2,0)+IF(AF545="SIM",2,0)+IF(OR(AN545="Dados pessoais",AN545="Dados sensíveis",AN545="Dados pessoais e sensíveis"),2,0)+IF(O545="De 1.001 a 10.000 titulares por mês",1,0)+IF(AA545="SIM",1,0)+IF(R545="SIM",1,0)+IF(AL545="SIM",1,0)+IF(AJ545="NÃO",1,0))&gt;=3,"Avaliação necessária","NÃO"))))</f>
      </c>
      <c r="AR545" s="11"/>
      <c r="AS545" s="113">
        <f>IF(AND(I545="",K545="",AF545="",AL545="",AN545="",O545=""),"",IF(OR(I545="SIM",K545="SIM",AF545="SIM",AL545="SIM",OR(AN545="Dados pessoais",AN545="Dados sensíveis",AN545="Dados pessoais e sensíveis"),O545="Acima de 10.000 titulares por mês",(IF(I545="SIM",2,0)+IF(K545="SIM",2,0)+IF(AF545="SIM",2,0)+IF(OR(AN545="Dados pessoais",AN545="Dados sensíveis",AN545="Dados pessoais e sensíveis"),2,0)+IF(O545="De 1.001 a 10.000 titulares por mês",1,0)+IF(AA545="SIM",1,0)+IF(R545="SIM",1,0)+IF(AL545="SIM",1,0)+IF(AJ545="NÃO",1,0))&gt;=3),"DPIA indicado ou em avaliação em razão de: " &amp; TRIM(IF(I545="SIM","tratamento de dados sensíveis; ","") &amp; IF(K545="SIM","utilização de dados de menores; ","") &amp; IF(AF545="SIM","transferência internacional de dados; ","") &amp; IF(AL545="SIM","utilização de inteligência artificial; ","") &amp; IF(OR(AN545="Dados pessoais",AN545="Dados sensíveis",AN545="Dados pessoais e sensíveis"),"dados inseridos em IA; ","") &amp; IF(O545="Acima de 10.000 titulares por mês","volume crítico de titulares; ","") &amp; IF(O545="De 1.001 a 10.000 titulares por mês","volume moderado de titulares; ","") &amp; IF(AA545="SIM","compartilhamento com terceiros; ","") &amp; IF(R545="SIM","compartilhamento com órgãos governamentais; ","") &amp; IF(AJ545="NÃO","ausência de controle de acesso por perfil; ","")),"DPIA não indicado: Processo de baixa criticidade."))</f>
      </c>
    </row>
    <row x14ac:dyDescent="0.25" r="546" customHeight="1" ht="15.75">
      <c r="A546" s="46"/>
      <c r="B546" s="6"/>
      <c r="C546" s="11"/>
      <c r="D546" s="11"/>
      <c r="E546" s="11"/>
      <c r="F546" s="29"/>
      <c r="G546" s="11"/>
      <c r="H546" s="11"/>
      <c r="I546" s="29"/>
      <c r="J546" s="11"/>
      <c r="K546" s="29"/>
      <c r="L546" s="11"/>
      <c r="M546" s="11"/>
      <c r="N546" s="11"/>
      <c r="O546" s="29"/>
      <c r="P546" s="29"/>
      <c r="Q546" s="11"/>
      <c r="R546" s="29"/>
      <c r="S546" s="11"/>
      <c r="T546" s="6"/>
      <c r="U546" s="29"/>
      <c r="V546" s="11"/>
      <c r="W546" s="11"/>
      <c r="X546" s="29"/>
      <c r="Y546" s="11"/>
      <c r="Z546" s="29"/>
      <c r="AA546" s="29"/>
      <c r="AB546" s="11"/>
      <c r="AC546" s="11"/>
      <c r="AD546" s="29"/>
      <c r="AE546" s="11"/>
      <c r="AF546" s="29"/>
      <c r="AG546" s="11"/>
      <c r="AH546" s="29"/>
      <c r="AI546" s="11"/>
      <c r="AJ546" s="29"/>
      <c r="AK546" s="29"/>
      <c r="AL546" s="29"/>
      <c r="AM546" s="11"/>
      <c r="AN546" s="29"/>
      <c r="AO546" s="29"/>
      <c r="AP546" s="6"/>
      <c r="AQ546" s="113">
        <f>IF(AND(I546="",K546="",AF546="",AL546="",AN546="",O546=""),"",IF(OR(I546="SIM",K546="SIM",AF546="SIM",AL546="SIM",AN546="Dados pessoais",AN546="Dados sensíveis",AN546="Dados pessoais e sensíveis",O546="Acima de 10.000 titulares por mês"),"SIM - Alta criticidade",IF((IF(I546="SIM",2,0)+IF(K546="SIM",2,0)+IF(AF546="SIM",2,0)+IF(OR(AN546="Dados pessoais",AN546="Dados sensíveis",AN546="Dados pessoais e sensíveis"),2,0)+IF(O546="De 1.001 a 10.000 titulares por mês",1,0)+IF(AA546="SIM",1,0)+IF(R546="SIM",1,0)+IF(AL546="SIM",1,0)+IF(AJ546="NÃO",1,0))&gt;=5,"SIM - Alta criticidade",IF((IF(I546="SIM",2,0)+IF(K546="SIM",2,0)+IF(AF546="SIM",2,0)+IF(OR(AN546="Dados pessoais",AN546="Dados sensíveis",AN546="Dados pessoais e sensíveis"),2,0)+IF(O546="De 1.001 a 10.000 titulares por mês",1,0)+IF(AA546="SIM",1,0)+IF(R546="SIM",1,0)+IF(AL546="SIM",1,0)+IF(AJ546="NÃO",1,0))&gt;=3,"Avaliação necessária","NÃO"))))</f>
      </c>
      <c r="AR546" s="11"/>
      <c r="AS546" s="113">
        <f>IF(AND(I546="",K546="",AF546="",AL546="",AN546="",O546=""),"",IF(OR(I546="SIM",K546="SIM",AF546="SIM",AL546="SIM",OR(AN546="Dados pessoais",AN546="Dados sensíveis",AN546="Dados pessoais e sensíveis"),O546="Acima de 10.000 titulares por mês",(IF(I546="SIM",2,0)+IF(K546="SIM",2,0)+IF(AF546="SIM",2,0)+IF(OR(AN546="Dados pessoais",AN546="Dados sensíveis",AN546="Dados pessoais e sensíveis"),2,0)+IF(O546="De 1.001 a 10.000 titulares por mês",1,0)+IF(AA546="SIM",1,0)+IF(R546="SIM",1,0)+IF(AL546="SIM",1,0)+IF(AJ546="NÃO",1,0))&gt;=3),"DPIA indicado ou em avaliação em razão de: " &amp; TRIM(IF(I546="SIM","tratamento de dados sensíveis; ","") &amp; IF(K546="SIM","utilização de dados de menores; ","") &amp; IF(AF546="SIM","transferência internacional de dados; ","") &amp; IF(AL546="SIM","utilização de inteligência artificial; ","") &amp; IF(OR(AN546="Dados pessoais",AN546="Dados sensíveis",AN546="Dados pessoais e sensíveis"),"dados inseridos em IA; ","") &amp; IF(O546="Acima de 10.000 titulares por mês","volume crítico de titulares; ","") &amp; IF(O546="De 1.001 a 10.000 titulares por mês","volume moderado de titulares; ","") &amp; IF(AA546="SIM","compartilhamento com terceiros; ","") &amp; IF(R546="SIM","compartilhamento com órgãos governamentais; ","") &amp; IF(AJ546="NÃO","ausência de controle de acesso por perfil; ","")),"DPIA não indicado: Processo de baixa criticidade."))</f>
      </c>
    </row>
    <row x14ac:dyDescent="0.25" r="547" customHeight="1" ht="15.75">
      <c r="A547" s="46"/>
      <c r="B547" s="6"/>
      <c r="C547" s="11"/>
      <c r="D547" s="11"/>
      <c r="E547" s="11"/>
      <c r="F547" s="29"/>
      <c r="G547" s="11"/>
      <c r="H547" s="11"/>
      <c r="I547" s="29"/>
      <c r="J547" s="11"/>
      <c r="K547" s="29"/>
      <c r="L547" s="11"/>
      <c r="M547" s="11"/>
      <c r="N547" s="11"/>
      <c r="O547" s="29"/>
      <c r="P547" s="29"/>
      <c r="Q547" s="11"/>
      <c r="R547" s="29"/>
      <c r="S547" s="11"/>
      <c r="T547" s="6"/>
      <c r="U547" s="29"/>
      <c r="V547" s="11"/>
      <c r="W547" s="11"/>
      <c r="X547" s="29"/>
      <c r="Y547" s="11"/>
      <c r="Z547" s="29"/>
      <c r="AA547" s="29"/>
      <c r="AB547" s="11"/>
      <c r="AC547" s="11"/>
      <c r="AD547" s="29"/>
      <c r="AE547" s="11"/>
      <c r="AF547" s="29"/>
      <c r="AG547" s="11"/>
      <c r="AH547" s="29"/>
      <c r="AI547" s="11"/>
      <c r="AJ547" s="29"/>
      <c r="AK547" s="29"/>
      <c r="AL547" s="29"/>
      <c r="AM547" s="11"/>
      <c r="AN547" s="29"/>
      <c r="AO547" s="29"/>
      <c r="AP547" s="6"/>
      <c r="AQ547" s="113">
        <f>IF(AND(I547="",K547="",AF547="",AL547="",AN547="",O547=""),"",IF(OR(I547="SIM",K547="SIM",AF547="SIM",AL547="SIM",AN547="Dados pessoais",AN547="Dados sensíveis",AN547="Dados pessoais e sensíveis",O547="Acima de 10.000 titulares por mês"),"SIM - Alta criticidade",IF((IF(I547="SIM",2,0)+IF(K547="SIM",2,0)+IF(AF547="SIM",2,0)+IF(OR(AN547="Dados pessoais",AN547="Dados sensíveis",AN547="Dados pessoais e sensíveis"),2,0)+IF(O547="De 1.001 a 10.000 titulares por mês",1,0)+IF(AA547="SIM",1,0)+IF(R547="SIM",1,0)+IF(AL547="SIM",1,0)+IF(AJ547="NÃO",1,0))&gt;=5,"SIM - Alta criticidade",IF((IF(I547="SIM",2,0)+IF(K547="SIM",2,0)+IF(AF547="SIM",2,0)+IF(OR(AN547="Dados pessoais",AN547="Dados sensíveis",AN547="Dados pessoais e sensíveis"),2,0)+IF(O547="De 1.001 a 10.000 titulares por mês",1,0)+IF(AA547="SIM",1,0)+IF(R547="SIM",1,0)+IF(AL547="SIM",1,0)+IF(AJ547="NÃO",1,0))&gt;=3,"Avaliação necessária","NÃO"))))</f>
      </c>
      <c r="AR547" s="11"/>
      <c r="AS547" s="113">
        <f>IF(AND(I547="",K547="",AF547="",AL547="",AN547="",O547=""),"",IF(OR(I547="SIM",K547="SIM",AF547="SIM",AL547="SIM",OR(AN547="Dados pessoais",AN547="Dados sensíveis",AN547="Dados pessoais e sensíveis"),O547="Acima de 10.000 titulares por mês",(IF(I547="SIM",2,0)+IF(K547="SIM",2,0)+IF(AF547="SIM",2,0)+IF(OR(AN547="Dados pessoais",AN547="Dados sensíveis",AN547="Dados pessoais e sensíveis"),2,0)+IF(O547="De 1.001 a 10.000 titulares por mês",1,0)+IF(AA547="SIM",1,0)+IF(R547="SIM",1,0)+IF(AL547="SIM",1,0)+IF(AJ547="NÃO",1,0))&gt;=3),"DPIA indicado ou em avaliação em razão de: " &amp; TRIM(IF(I547="SIM","tratamento de dados sensíveis; ","") &amp; IF(K547="SIM","utilização de dados de menores; ","") &amp; IF(AF547="SIM","transferência internacional de dados; ","") &amp; IF(AL547="SIM","utilização de inteligência artificial; ","") &amp; IF(OR(AN547="Dados pessoais",AN547="Dados sensíveis",AN547="Dados pessoais e sensíveis"),"dados inseridos em IA; ","") &amp; IF(O547="Acima de 10.000 titulares por mês","volume crítico de titulares; ","") &amp; IF(O547="De 1.001 a 10.000 titulares por mês","volume moderado de titulares; ","") &amp; IF(AA547="SIM","compartilhamento com terceiros; ","") &amp; IF(R547="SIM","compartilhamento com órgãos governamentais; ","") &amp; IF(AJ547="NÃO","ausência de controle de acesso por perfil; ","")),"DPIA não indicado: Processo de baixa criticidade."))</f>
      </c>
    </row>
    <row x14ac:dyDescent="0.25" r="548" customHeight="1" ht="15.75">
      <c r="A548" s="46"/>
      <c r="B548" s="6"/>
      <c r="C548" s="11"/>
      <c r="D548" s="11"/>
      <c r="E548" s="11"/>
      <c r="F548" s="29"/>
      <c r="G548" s="11"/>
      <c r="H548" s="11"/>
      <c r="I548" s="29"/>
      <c r="J548" s="11"/>
      <c r="K548" s="29"/>
      <c r="L548" s="11"/>
      <c r="M548" s="11"/>
      <c r="N548" s="11"/>
      <c r="O548" s="29"/>
      <c r="P548" s="29"/>
      <c r="Q548" s="11"/>
      <c r="R548" s="29"/>
      <c r="S548" s="11"/>
      <c r="T548" s="6"/>
      <c r="U548" s="29"/>
      <c r="V548" s="11"/>
      <c r="W548" s="11"/>
      <c r="X548" s="29"/>
      <c r="Y548" s="11"/>
      <c r="Z548" s="29"/>
      <c r="AA548" s="29"/>
      <c r="AB548" s="11"/>
      <c r="AC548" s="11"/>
      <c r="AD548" s="29"/>
      <c r="AE548" s="11"/>
      <c r="AF548" s="29"/>
      <c r="AG548" s="11"/>
      <c r="AH548" s="29"/>
      <c r="AI548" s="11"/>
      <c r="AJ548" s="29"/>
      <c r="AK548" s="29"/>
      <c r="AL548" s="29"/>
      <c r="AM548" s="11"/>
      <c r="AN548" s="29"/>
      <c r="AO548" s="29"/>
      <c r="AP548" s="6"/>
      <c r="AQ548" s="113">
        <f>IF(AND(I548="",K548="",AF548="",AL548="",AN548="",O548=""),"",IF(OR(I548="SIM",K548="SIM",AF548="SIM",AL548="SIM",AN548="Dados pessoais",AN548="Dados sensíveis",AN548="Dados pessoais e sensíveis",O548="Acima de 10.000 titulares por mês"),"SIM - Alta criticidade",IF((IF(I548="SIM",2,0)+IF(K548="SIM",2,0)+IF(AF548="SIM",2,0)+IF(OR(AN548="Dados pessoais",AN548="Dados sensíveis",AN548="Dados pessoais e sensíveis"),2,0)+IF(O548="De 1.001 a 10.000 titulares por mês",1,0)+IF(AA548="SIM",1,0)+IF(R548="SIM",1,0)+IF(AL548="SIM",1,0)+IF(AJ548="NÃO",1,0))&gt;=5,"SIM - Alta criticidade",IF((IF(I548="SIM",2,0)+IF(K548="SIM",2,0)+IF(AF548="SIM",2,0)+IF(OR(AN548="Dados pessoais",AN548="Dados sensíveis",AN548="Dados pessoais e sensíveis"),2,0)+IF(O548="De 1.001 a 10.000 titulares por mês",1,0)+IF(AA548="SIM",1,0)+IF(R548="SIM",1,0)+IF(AL548="SIM",1,0)+IF(AJ548="NÃO",1,0))&gt;=3,"Avaliação necessária","NÃO"))))</f>
      </c>
      <c r="AR548" s="11"/>
      <c r="AS548" s="113">
        <f>IF(AND(I548="",K548="",AF548="",AL548="",AN548="",O548=""),"",IF(OR(I548="SIM",K548="SIM",AF548="SIM",AL548="SIM",OR(AN548="Dados pessoais",AN548="Dados sensíveis",AN548="Dados pessoais e sensíveis"),O548="Acima de 10.000 titulares por mês",(IF(I548="SIM",2,0)+IF(K548="SIM",2,0)+IF(AF548="SIM",2,0)+IF(OR(AN548="Dados pessoais",AN548="Dados sensíveis",AN548="Dados pessoais e sensíveis"),2,0)+IF(O548="De 1.001 a 10.000 titulares por mês",1,0)+IF(AA548="SIM",1,0)+IF(R548="SIM",1,0)+IF(AL548="SIM",1,0)+IF(AJ548="NÃO",1,0))&gt;=3),"DPIA indicado ou em avaliação em razão de: " &amp; TRIM(IF(I548="SIM","tratamento de dados sensíveis; ","") &amp; IF(K548="SIM","utilização de dados de menores; ","") &amp; IF(AF548="SIM","transferência internacional de dados; ","") &amp; IF(AL548="SIM","utilização de inteligência artificial; ","") &amp; IF(OR(AN548="Dados pessoais",AN548="Dados sensíveis",AN548="Dados pessoais e sensíveis"),"dados inseridos em IA; ","") &amp; IF(O548="Acima de 10.000 titulares por mês","volume crítico de titulares; ","") &amp; IF(O548="De 1.001 a 10.000 titulares por mês","volume moderado de titulares; ","") &amp; IF(AA548="SIM","compartilhamento com terceiros; ","") &amp; IF(R548="SIM","compartilhamento com órgãos governamentais; ","") &amp; IF(AJ548="NÃO","ausência de controle de acesso por perfil; ","")),"DPIA não indicado: Processo de baixa criticidade."))</f>
      </c>
    </row>
    <row x14ac:dyDescent="0.25" r="549" customHeight="1" ht="15.75">
      <c r="A549" s="46"/>
      <c r="B549" s="6"/>
      <c r="C549" s="11"/>
      <c r="D549" s="11"/>
      <c r="E549" s="11"/>
      <c r="F549" s="29"/>
      <c r="G549" s="11"/>
      <c r="H549" s="11"/>
      <c r="I549" s="29"/>
      <c r="J549" s="11"/>
      <c r="K549" s="29"/>
      <c r="L549" s="11"/>
      <c r="M549" s="11"/>
      <c r="N549" s="11"/>
      <c r="O549" s="29"/>
      <c r="P549" s="29"/>
      <c r="Q549" s="11"/>
      <c r="R549" s="29"/>
      <c r="S549" s="11"/>
      <c r="T549" s="6"/>
      <c r="U549" s="29"/>
      <c r="V549" s="11"/>
      <c r="W549" s="11"/>
      <c r="X549" s="29"/>
      <c r="Y549" s="11"/>
      <c r="Z549" s="29"/>
      <c r="AA549" s="29"/>
      <c r="AB549" s="11"/>
      <c r="AC549" s="11"/>
      <c r="AD549" s="29"/>
      <c r="AE549" s="11"/>
      <c r="AF549" s="29"/>
      <c r="AG549" s="11"/>
      <c r="AH549" s="29"/>
      <c r="AI549" s="11"/>
      <c r="AJ549" s="29"/>
      <c r="AK549" s="29"/>
      <c r="AL549" s="29"/>
      <c r="AM549" s="11"/>
      <c r="AN549" s="29"/>
      <c r="AO549" s="29"/>
      <c r="AP549" s="6"/>
      <c r="AQ549" s="113">
        <f>IF(AND(I549="",K549="",AF549="",AL549="",AN549="",O549=""),"",IF(OR(I549="SIM",K549="SIM",AF549="SIM",AL549="SIM",AN549="Dados pessoais",AN549="Dados sensíveis",AN549="Dados pessoais e sensíveis",O549="Acima de 10.000 titulares por mês"),"SIM - Alta criticidade",IF((IF(I549="SIM",2,0)+IF(K549="SIM",2,0)+IF(AF549="SIM",2,0)+IF(OR(AN549="Dados pessoais",AN549="Dados sensíveis",AN549="Dados pessoais e sensíveis"),2,0)+IF(O549="De 1.001 a 10.000 titulares por mês",1,0)+IF(AA549="SIM",1,0)+IF(R549="SIM",1,0)+IF(AL549="SIM",1,0)+IF(AJ549="NÃO",1,0))&gt;=5,"SIM - Alta criticidade",IF((IF(I549="SIM",2,0)+IF(K549="SIM",2,0)+IF(AF549="SIM",2,0)+IF(OR(AN549="Dados pessoais",AN549="Dados sensíveis",AN549="Dados pessoais e sensíveis"),2,0)+IF(O549="De 1.001 a 10.000 titulares por mês",1,0)+IF(AA549="SIM",1,0)+IF(R549="SIM",1,0)+IF(AL549="SIM",1,0)+IF(AJ549="NÃO",1,0))&gt;=3,"Avaliação necessária","NÃO"))))</f>
      </c>
      <c r="AR549" s="11"/>
      <c r="AS549" s="113">
        <f>IF(AND(I549="",K549="",AF549="",AL549="",AN549="",O549=""),"",IF(OR(I549="SIM",K549="SIM",AF549="SIM",AL549="SIM",OR(AN549="Dados pessoais",AN549="Dados sensíveis",AN549="Dados pessoais e sensíveis"),O549="Acima de 10.000 titulares por mês",(IF(I549="SIM",2,0)+IF(K549="SIM",2,0)+IF(AF549="SIM",2,0)+IF(OR(AN549="Dados pessoais",AN549="Dados sensíveis",AN549="Dados pessoais e sensíveis"),2,0)+IF(O549="De 1.001 a 10.000 titulares por mês",1,0)+IF(AA549="SIM",1,0)+IF(R549="SIM",1,0)+IF(AL549="SIM",1,0)+IF(AJ549="NÃO",1,0))&gt;=3),"DPIA indicado ou em avaliação em razão de: " &amp; TRIM(IF(I549="SIM","tratamento de dados sensíveis; ","") &amp; IF(K549="SIM","utilização de dados de menores; ","") &amp; IF(AF549="SIM","transferência internacional de dados; ","") &amp; IF(AL549="SIM","utilização de inteligência artificial; ","") &amp; IF(OR(AN549="Dados pessoais",AN549="Dados sensíveis",AN549="Dados pessoais e sensíveis"),"dados inseridos em IA; ","") &amp; IF(O549="Acima de 10.000 titulares por mês","volume crítico de titulares; ","") &amp; IF(O549="De 1.001 a 10.000 titulares por mês","volume moderado de titulares; ","") &amp; IF(AA549="SIM","compartilhamento com terceiros; ","") &amp; IF(R549="SIM","compartilhamento com órgãos governamentais; ","") &amp; IF(AJ549="NÃO","ausência de controle de acesso por perfil; ","")),"DPIA não indicado: Processo de baixa criticidade."))</f>
      </c>
    </row>
    <row x14ac:dyDescent="0.25" r="550" customHeight="1" ht="15.75">
      <c r="A550" s="46"/>
      <c r="B550" s="6"/>
      <c r="C550" s="11"/>
      <c r="D550" s="11"/>
      <c r="E550" s="11"/>
      <c r="F550" s="29"/>
      <c r="G550" s="11"/>
      <c r="H550" s="11"/>
      <c r="I550" s="29"/>
      <c r="J550" s="11"/>
      <c r="K550" s="29"/>
      <c r="L550" s="11"/>
      <c r="M550" s="11"/>
      <c r="N550" s="11"/>
      <c r="O550" s="29"/>
      <c r="P550" s="29"/>
      <c r="Q550" s="11"/>
      <c r="R550" s="29"/>
      <c r="S550" s="11"/>
      <c r="T550" s="6"/>
      <c r="U550" s="29"/>
      <c r="V550" s="11"/>
      <c r="W550" s="11"/>
      <c r="X550" s="29"/>
      <c r="Y550" s="11"/>
      <c r="Z550" s="29"/>
      <c r="AA550" s="29"/>
      <c r="AB550" s="11"/>
      <c r="AC550" s="11"/>
      <c r="AD550" s="29"/>
      <c r="AE550" s="11"/>
      <c r="AF550" s="29"/>
      <c r="AG550" s="11"/>
      <c r="AH550" s="29"/>
      <c r="AI550" s="11"/>
      <c r="AJ550" s="29"/>
      <c r="AK550" s="29"/>
      <c r="AL550" s="29"/>
      <c r="AM550" s="11"/>
      <c r="AN550" s="29"/>
      <c r="AO550" s="29"/>
      <c r="AP550" s="6"/>
      <c r="AQ550" s="113">
        <f>IF(AND(I550="",K550="",AF550="",AL550="",AN550="",O550=""),"",IF(OR(I550="SIM",K550="SIM",AF550="SIM",AL550="SIM",AN550="Dados pessoais",AN550="Dados sensíveis",AN550="Dados pessoais e sensíveis",O550="Acima de 10.000 titulares por mês"),"SIM - Alta criticidade",IF((IF(I550="SIM",2,0)+IF(K550="SIM",2,0)+IF(AF550="SIM",2,0)+IF(OR(AN550="Dados pessoais",AN550="Dados sensíveis",AN550="Dados pessoais e sensíveis"),2,0)+IF(O550="De 1.001 a 10.000 titulares por mês",1,0)+IF(AA550="SIM",1,0)+IF(R550="SIM",1,0)+IF(AL550="SIM",1,0)+IF(AJ550="NÃO",1,0))&gt;=5,"SIM - Alta criticidade",IF((IF(I550="SIM",2,0)+IF(K550="SIM",2,0)+IF(AF550="SIM",2,0)+IF(OR(AN550="Dados pessoais",AN550="Dados sensíveis",AN550="Dados pessoais e sensíveis"),2,0)+IF(O550="De 1.001 a 10.000 titulares por mês",1,0)+IF(AA550="SIM",1,0)+IF(R550="SIM",1,0)+IF(AL550="SIM",1,0)+IF(AJ550="NÃO",1,0))&gt;=3,"Avaliação necessária","NÃO"))))</f>
      </c>
      <c r="AR550" s="11"/>
      <c r="AS550" s="113">
        <f>IF(AND(I550="",K550="",AF550="",AL550="",AN550="",O550=""),"",IF(OR(I550="SIM",K550="SIM",AF550="SIM",AL550="SIM",OR(AN550="Dados pessoais",AN550="Dados sensíveis",AN550="Dados pessoais e sensíveis"),O550="Acima de 10.000 titulares por mês",(IF(I550="SIM",2,0)+IF(K550="SIM",2,0)+IF(AF550="SIM",2,0)+IF(OR(AN550="Dados pessoais",AN550="Dados sensíveis",AN550="Dados pessoais e sensíveis"),2,0)+IF(O550="De 1.001 a 10.000 titulares por mês",1,0)+IF(AA550="SIM",1,0)+IF(R550="SIM",1,0)+IF(AL550="SIM",1,0)+IF(AJ550="NÃO",1,0))&gt;=3),"DPIA indicado ou em avaliação em razão de: " &amp; TRIM(IF(I550="SIM","tratamento de dados sensíveis; ","") &amp; IF(K550="SIM","utilização de dados de menores; ","") &amp; IF(AF550="SIM","transferência internacional de dados; ","") &amp; IF(AL550="SIM","utilização de inteligência artificial; ","") &amp; IF(OR(AN550="Dados pessoais",AN550="Dados sensíveis",AN550="Dados pessoais e sensíveis"),"dados inseridos em IA; ","") &amp; IF(O550="Acima de 10.000 titulares por mês","volume crítico de titulares; ","") &amp; IF(O550="De 1.001 a 10.000 titulares por mês","volume moderado de titulares; ","") &amp; IF(AA550="SIM","compartilhamento com terceiros; ","") &amp; IF(R550="SIM","compartilhamento com órgãos governamentais; ","") &amp; IF(AJ550="NÃO","ausência de controle de acesso por perfil; ","")),"DPIA não indicado: Processo de baixa criticidade."))</f>
      </c>
    </row>
    <row x14ac:dyDescent="0.25" r="551" customHeight="1" ht="15.75">
      <c r="A551" s="46"/>
      <c r="B551" s="6"/>
      <c r="C551" s="11"/>
      <c r="D551" s="11"/>
      <c r="E551" s="11"/>
      <c r="F551" s="29"/>
      <c r="G551" s="11"/>
      <c r="H551" s="11"/>
      <c r="I551" s="29"/>
      <c r="J551" s="11"/>
      <c r="K551" s="29"/>
      <c r="L551" s="11"/>
      <c r="M551" s="11"/>
      <c r="N551" s="11"/>
      <c r="O551" s="29"/>
      <c r="P551" s="29"/>
      <c r="Q551" s="11"/>
      <c r="R551" s="29"/>
      <c r="S551" s="11"/>
      <c r="T551" s="6"/>
      <c r="U551" s="29"/>
      <c r="V551" s="11"/>
      <c r="W551" s="11"/>
      <c r="X551" s="29"/>
      <c r="Y551" s="11"/>
      <c r="Z551" s="29"/>
      <c r="AA551" s="29"/>
      <c r="AB551" s="11"/>
      <c r="AC551" s="11"/>
      <c r="AD551" s="29"/>
      <c r="AE551" s="11"/>
      <c r="AF551" s="29"/>
      <c r="AG551" s="11"/>
      <c r="AH551" s="29"/>
      <c r="AI551" s="11"/>
      <c r="AJ551" s="29"/>
      <c r="AK551" s="29"/>
      <c r="AL551" s="29"/>
      <c r="AM551" s="11"/>
      <c r="AN551" s="29"/>
      <c r="AO551" s="29"/>
      <c r="AP551" s="6"/>
      <c r="AQ551" s="113">
        <f>IF(AND(I551="",K551="",AF551="",AL551="",AN551="",O551=""),"",IF(OR(I551="SIM",K551="SIM",AF551="SIM",AL551="SIM",AN551="Dados pessoais",AN551="Dados sensíveis",AN551="Dados pessoais e sensíveis",O551="Acima de 10.000 titulares por mês"),"SIM - Alta criticidade",IF((IF(I551="SIM",2,0)+IF(K551="SIM",2,0)+IF(AF551="SIM",2,0)+IF(OR(AN551="Dados pessoais",AN551="Dados sensíveis",AN551="Dados pessoais e sensíveis"),2,0)+IF(O551="De 1.001 a 10.000 titulares por mês",1,0)+IF(AA551="SIM",1,0)+IF(R551="SIM",1,0)+IF(AL551="SIM",1,0)+IF(AJ551="NÃO",1,0))&gt;=5,"SIM - Alta criticidade",IF((IF(I551="SIM",2,0)+IF(K551="SIM",2,0)+IF(AF551="SIM",2,0)+IF(OR(AN551="Dados pessoais",AN551="Dados sensíveis",AN551="Dados pessoais e sensíveis"),2,0)+IF(O551="De 1.001 a 10.000 titulares por mês",1,0)+IF(AA551="SIM",1,0)+IF(R551="SIM",1,0)+IF(AL551="SIM",1,0)+IF(AJ551="NÃO",1,0))&gt;=3,"Avaliação necessária","NÃO"))))</f>
      </c>
      <c r="AR551" s="11"/>
      <c r="AS551" s="113">
        <f>IF(AND(I551="",K551="",AF551="",AL551="",AN551="",O551=""),"",IF(OR(I551="SIM",K551="SIM",AF551="SIM",AL551="SIM",OR(AN551="Dados pessoais",AN551="Dados sensíveis",AN551="Dados pessoais e sensíveis"),O551="Acima de 10.000 titulares por mês",(IF(I551="SIM",2,0)+IF(K551="SIM",2,0)+IF(AF551="SIM",2,0)+IF(OR(AN551="Dados pessoais",AN551="Dados sensíveis",AN551="Dados pessoais e sensíveis"),2,0)+IF(O551="De 1.001 a 10.000 titulares por mês",1,0)+IF(AA551="SIM",1,0)+IF(R551="SIM",1,0)+IF(AL551="SIM",1,0)+IF(AJ551="NÃO",1,0))&gt;=3),"DPIA indicado ou em avaliação em razão de: " &amp; TRIM(IF(I551="SIM","tratamento de dados sensíveis; ","") &amp; IF(K551="SIM","utilização de dados de menores; ","") &amp; IF(AF551="SIM","transferência internacional de dados; ","") &amp; IF(AL551="SIM","utilização de inteligência artificial; ","") &amp; IF(OR(AN551="Dados pessoais",AN551="Dados sensíveis",AN551="Dados pessoais e sensíveis"),"dados inseridos em IA; ","") &amp; IF(O551="Acima de 10.000 titulares por mês","volume crítico de titulares; ","") &amp; IF(O551="De 1.001 a 10.000 titulares por mês","volume moderado de titulares; ","") &amp; IF(AA551="SIM","compartilhamento com terceiros; ","") &amp; IF(R551="SIM","compartilhamento com órgãos governamentais; ","") &amp; IF(AJ551="NÃO","ausência de controle de acesso por perfil; ","")),"DPIA não indicado: Processo de baixa criticidade."))</f>
      </c>
    </row>
    <row x14ac:dyDescent="0.25" r="552" customHeight="1" ht="15.75">
      <c r="A552" s="46"/>
      <c r="B552" s="6"/>
      <c r="C552" s="11"/>
      <c r="D552" s="11"/>
      <c r="E552" s="11"/>
      <c r="F552" s="29"/>
      <c r="G552" s="11"/>
      <c r="H552" s="11"/>
      <c r="I552" s="29"/>
      <c r="J552" s="11"/>
      <c r="K552" s="29"/>
      <c r="L552" s="11"/>
      <c r="M552" s="11"/>
      <c r="N552" s="11"/>
      <c r="O552" s="29"/>
      <c r="P552" s="29"/>
      <c r="Q552" s="11"/>
      <c r="R552" s="29"/>
      <c r="S552" s="11"/>
      <c r="T552" s="6"/>
      <c r="U552" s="29"/>
      <c r="V552" s="11"/>
      <c r="W552" s="11"/>
      <c r="X552" s="29"/>
      <c r="Y552" s="11"/>
      <c r="Z552" s="29"/>
      <c r="AA552" s="29"/>
      <c r="AB552" s="11"/>
      <c r="AC552" s="11"/>
      <c r="AD552" s="29"/>
      <c r="AE552" s="11"/>
      <c r="AF552" s="29"/>
      <c r="AG552" s="11"/>
      <c r="AH552" s="29"/>
      <c r="AI552" s="11"/>
      <c r="AJ552" s="29"/>
      <c r="AK552" s="29"/>
      <c r="AL552" s="29"/>
      <c r="AM552" s="11"/>
      <c r="AN552" s="29"/>
      <c r="AO552" s="29"/>
      <c r="AP552" s="6"/>
      <c r="AQ552" s="113">
        <f>IF(AND(I552="",K552="",AF552="",AL552="",AN552="",O552=""),"",IF(OR(I552="SIM",K552="SIM",AF552="SIM",AL552="SIM",AN552="Dados pessoais",AN552="Dados sensíveis",AN552="Dados pessoais e sensíveis",O552="Acima de 10.000 titulares por mês"),"SIM - Alta criticidade",IF((IF(I552="SIM",2,0)+IF(K552="SIM",2,0)+IF(AF552="SIM",2,0)+IF(OR(AN552="Dados pessoais",AN552="Dados sensíveis",AN552="Dados pessoais e sensíveis"),2,0)+IF(O552="De 1.001 a 10.000 titulares por mês",1,0)+IF(AA552="SIM",1,0)+IF(R552="SIM",1,0)+IF(AL552="SIM",1,0)+IF(AJ552="NÃO",1,0))&gt;=5,"SIM - Alta criticidade",IF((IF(I552="SIM",2,0)+IF(K552="SIM",2,0)+IF(AF552="SIM",2,0)+IF(OR(AN552="Dados pessoais",AN552="Dados sensíveis",AN552="Dados pessoais e sensíveis"),2,0)+IF(O552="De 1.001 a 10.000 titulares por mês",1,0)+IF(AA552="SIM",1,0)+IF(R552="SIM",1,0)+IF(AL552="SIM",1,0)+IF(AJ552="NÃO",1,0))&gt;=3,"Avaliação necessária","NÃO"))))</f>
      </c>
      <c r="AR552" s="11"/>
      <c r="AS552" s="113">
        <f>IF(AND(I552="",K552="",AF552="",AL552="",AN552="",O552=""),"",IF(OR(I552="SIM",K552="SIM",AF552="SIM",AL552="SIM",OR(AN552="Dados pessoais",AN552="Dados sensíveis",AN552="Dados pessoais e sensíveis"),O552="Acima de 10.000 titulares por mês",(IF(I552="SIM",2,0)+IF(K552="SIM",2,0)+IF(AF552="SIM",2,0)+IF(OR(AN552="Dados pessoais",AN552="Dados sensíveis",AN552="Dados pessoais e sensíveis"),2,0)+IF(O552="De 1.001 a 10.000 titulares por mês",1,0)+IF(AA552="SIM",1,0)+IF(R552="SIM",1,0)+IF(AL552="SIM",1,0)+IF(AJ552="NÃO",1,0))&gt;=3),"DPIA indicado ou em avaliação em razão de: " &amp; TRIM(IF(I552="SIM","tratamento de dados sensíveis; ","") &amp; IF(K552="SIM","utilização de dados de menores; ","") &amp; IF(AF552="SIM","transferência internacional de dados; ","") &amp; IF(AL552="SIM","utilização de inteligência artificial; ","") &amp; IF(OR(AN552="Dados pessoais",AN552="Dados sensíveis",AN552="Dados pessoais e sensíveis"),"dados inseridos em IA; ","") &amp; IF(O552="Acima de 10.000 titulares por mês","volume crítico de titulares; ","") &amp; IF(O552="De 1.001 a 10.000 titulares por mês","volume moderado de titulares; ","") &amp; IF(AA552="SIM","compartilhamento com terceiros; ","") &amp; IF(R552="SIM","compartilhamento com órgãos governamentais; ","") &amp; IF(AJ552="NÃO","ausência de controle de acesso por perfil; ","")),"DPIA não indicado: Processo de baixa criticidade."))</f>
      </c>
    </row>
    <row x14ac:dyDescent="0.25" r="553" customHeight="1" ht="15.75">
      <c r="A553" s="46"/>
      <c r="B553" s="6"/>
      <c r="C553" s="11"/>
      <c r="D553" s="11"/>
      <c r="E553" s="11"/>
      <c r="F553" s="29"/>
      <c r="G553" s="11"/>
      <c r="H553" s="11"/>
      <c r="I553" s="29"/>
      <c r="J553" s="11"/>
      <c r="K553" s="29"/>
      <c r="L553" s="11"/>
      <c r="M553" s="11"/>
      <c r="N553" s="11"/>
      <c r="O553" s="29"/>
      <c r="P553" s="29"/>
      <c r="Q553" s="11"/>
      <c r="R553" s="29"/>
      <c r="S553" s="11"/>
      <c r="T553" s="6"/>
      <c r="U553" s="29"/>
      <c r="V553" s="11"/>
      <c r="W553" s="11"/>
      <c r="X553" s="29"/>
      <c r="Y553" s="11"/>
      <c r="Z553" s="29"/>
      <c r="AA553" s="29"/>
      <c r="AB553" s="11"/>
      <c r="AC553" s="11"/>
      <c r="AD553" s="29"/>
      <c r="AE553" s="11"/>
      <c r="AF553" s="29"/>
      <c r="AG553" s="11"/>
      <c r="AH553" s="29"/>
      <c r="AI553" s="11"/>
      <c r="AJ553" s="29"/>
      <c r="AK553" s="29"/>
      <c r="AL553" s="29"/>
      <c r="AM553" s="11"/>
      <c r="AN553" s="29"/>
      <c r="AO553" s="29"/>
      <c r="AP553" s="6"/>
      <c r="AQ553" s="113">
        <f>IF(AND(I553="",K553="",AF553="",AL553="",AN553="",O553=""),"",IF(OR(I553="SIM",K553="SIM",AF553="SIM",AL553="SIM",AN553="Dados pessoais",AN553="Dados sensíveis",AN553="Dados pessoais e sensíveis",O553="Acima de 10.000 titulares por mês"),"SIM - Alta criticidade",IF((IF(I553="SIM",2,0)+IF(K553="SIM",2,0)+IF(AF553="SIM",2,0)+IF(OR(AN553="Dados pessoais",AN553="Dados sensíveis",AN553="Dados pessoais e sensíveis"),2,0)+IF(O553="De 1.001 a 10.000 titulares por mês",1,0)+IF(AA553="SIM",1,0)+IF(R553="SIM",1,0)+IF(AL553="SIM",1,0)+IF(AJ553="NÃO",1,0))&gt;=5,"SIM - Alta criticidade",IF((IF(I553="SIM",2,0)+IF(K553="SIM",2,0)+IF(AF553="SIM",2,0)+IF(OR(AN553="Dados pessoais",AN553="Dados sensíveis",AN553="Dados pessoais e sensíveis"),2,0)+IF(O553="De 1.001 a 10.000 titulares por mês",1,0)+IF(AA553="SIM",1,0)+IF(R553="SIM",1,0)+IF(AL553="SIM",1,0)+IF(AJ553="NÃO",1,0))&gt;=3,"Avaliação necessária","NÃO"))))</f>
      </c>
      <c r="AR553" s="11"/>
      <c r="AS553" s="113">
        <f>IF(AND(I553="",K553="",AF553="",AL553="",AN553="",O553=""),"",IF(OR(I553="SIM",K553="SIM",AF553="SIM",AL553="SIM",OR(AN553="Dados pessoais",AN553="Dados sensíveis",AN553="Dados pessoais e sensíveis"),O553="Acima de 10.000 titulares por mês",(IF(I553="SIM",2,0)+IF(K553="SIM",2,0)+IF(AF553="SIM",2,0)+IF(OR(AN553="Dados pessoais",AN553="Dados sensíveis",AN553="Dados pessoais e sensíveis"),2,0)+IF(O553="De 1.001 a 10.000 titulares por mês",1,0)+IF(AA553="SIM",1,0)+IF(R553="SIM",1,0)+IF(AL553="SIM",1,0)+IF(AJ553="NÃO",1,0))&gt;=3),"DPIA indicado ou em avaliação em razão de: " &amp; TRIM(IF(I553="SIM","tratamento de dados sensíveis; ","") &amp; IF(K553="SIM","utilização de dados de menores; ","") &amp; IF(AF553="SIM","transferência internacional de dados; ","") &amp; IF(AL553="SIM","utilização de inteligência artificial; ","") &amp; IF(OR(AN553="Dados pessoais",AN553="Dados sensíveis",AN553="Dados pessoais e sensíveis"),"dados inseridos em IA; ","") &amp; IF(O553="Acima de 10.000 titulares por mês","volume crítico de titulares; ","") &amp; IF(O553="De 1.001 a 10.000 titulares por mês","volume moderado de titulares; ","") &amp; IF(AA553="SIM","compartilhamento com terceiros; ","") &amp; IF(R553="SIM","compartilhamento com órgãos governamentais; ","") &amp; IF(AJ553="NÃO","ausência de controle de acesso por perfil; ","")),"DPIA não indicado: Processo de baixa criticidade."))</f>
      </c>
    </row>
    <row x14ac:dyDescent="0.25" r="554" customHeight="1" ht="15.75">
      <c r="A554" s="46"/>
      <c r="B554" s="6"/>
      <c r="C554" s="11"/>
      <c r="D554" s="11"/>
      <c r="E554" s="11"/>
      <c r="F554" s="29"/>
      <c r="G554" s="11"/>
      <c r="H554" s="11"/>
      <c r="I554" s="29"/>
      <c r="J554" s="11"/>
      <c r="K554" s="29"/>
      <c r="L554" s="11"/>
      <c r="M554" s="11"/>
      <c r="N554" s="11"/>
      <c r="O554" s="29"/>
      <c r="P554" s="29"/>
      <c r="Q554" s="11"/>
      <c r="R554" s="29"/>
      <c r="S554" s="11"/>
      <c r="T554" s="6"/>
      <c r="U554" s="29"/>
      <c r="V554" s="11"/>
      <c r="W554" s="11"/>
      <c r="X554" s="29"/>
      <c r="Y554" s="11"/>
      <c r="Z554" s="29"/>
      <c r="AA554" s="29"/>
      <c r="AB554" s="11"/>
      <c r="AC554" s="11"/>
      <c r="AD554" s="29"/>
      <c r="AE554" s="11"/>
      <c r="AF554" s="29"/>
      <c r="AG554" s="11"/>
      <c r="AH554" s="29"/>
      <c r="AI554" s="11"/>
      <c r="AJ554" s="29"/>
      <c r="AK554" s="29"/>
      <c r="AL554" s="29"/>
      <c r="AM554" s="11"/>
      <c r="AN554" s="29"/>
      <c r="AO554" s="29"/>
      <c r="AP554" s="6"/>
      <c r="AQ554" s="113">
        <f>IF(AND(I554="",K554="",AF554="",AL554="",AN554="",O554=""),"",IF(OR(I554="SIM",K554="SIM",AF554="SIM",AL554="SIM",AN554="Dados pessoais",AN554="Dados sensíveis",AN554="Dados pessoais e sensíveis",O554="Acima de 10.000 titulares por mês"),"SIM - Alta criticidade",IF((IF(I554="SIM",2,0)+IF(K554="SIM",2,0)+IF(AF554="SIM",2,0)+IF(OR(AN554="Dados pessoais",AN554="Dados sensíveis",AN554="Dados pessoais e sensíveis"),2,0)+IF(O554="De 1.001 a 10.000 titulares por mês",1,0)+IF(AA554="SIM",1,0)+IF(R554="SIM",1,0)+IF(AL554="SIM",1,0)+IF(AJ554="NÃO",1,0))&gt;=5,"SIM - Alta criticidade",IF((IF(I554="SIM",2,0)+IF(K554="SIM",2,0)+IF(AF554="SIM",2,0)+IF(OR(AN554="Dados pessoais",AN554="Dados sensíveis",AN554="Dados pessoais e sensíveis"),2,0)+IF(O554="De 1.001 a 10.000 titulares por mês",1,0)+IF(AA554="SIM",1,0)+IF(R554="SIM",1,0)+IF(AL554="SIM",1,0)+IF(AJ554="NÃO",1,0))&gt;=3,"Avaliação necessária","NÃO"))))</f>
      </c>
      <c r="AR554" s="11"/>
      <c r="AS554" s="113">
        <f>IF(AND(I554="",K554="",AF554="",AL554="",AN554="",O554=""),"",IF(OR(I554="SIM",K554="SIM",AF554="SIM",AL554="SIM",OR(AN554="Dados pessoais",AN554="Dados sensíveis",AN554="Dados pessoais e sensíveis"),O554="Acima de 10.000 titulares por mês",(IF(I554="SIM",2,0)+IF(K554="SIM",2,0)+IF(AF554="SIM",2,0)+IF(OR(AN554="Dados pessoais",AN554="Dados sensíveis",AN554="Dados pessoais e sensíveis"),2,0)+IF(O554="De 1.001 a 10.000 titulares por mês",1,0)+IF(AA554="SIM",1,0)+IF(R554="SIM",1,0)+IF(AL554="SIM",1,0)+IF(AJ554="NÃO",1,0))&gt;=3),"DPIA indicado ou em avaliação em razão de: " &amp; TRIM(IF(I554="SIM","tratamento de dados sensíveis; ","") &amp; IF(K554="SIM","utilização de dados de menores; ","") &amp; IF(AF554="SIM","transferência internacional de dados; ","") &amp; IF(AL554="SIM","utilização de inteligência artificial; ","") &amp; IF(OR(AN554="Dados pessoais",AN554="Dados sensíveis",AN554="Dados pessoais e sensíveis"),"dados inseridos em IA; ","") &amp; IF(O554="Acima de 10.000 titulares por mês","volume crítico de titulares; ","") &amp; IF(O554="De 1.001 a 10.000 titulares por mês","volume moderado de titulares; ","") &amp; IF(AA554="SIM","compartilhamento com terceiros; ","") &amp; IF(R554="SIM","compartilhamento com órgãos governamentais; ","") &amp; IF(AJ554="NÃO","ausência de controle de acesso por perfil; ","")),"DPIA não indicado: Processo de baixa criticidade."))</f>
      </c>
    </row>
    <row x14ac:dyDescent="0.25" r="555" customHeight="1" ht="15.75">
      <c r="A555" s="46"/>
      <c r="B555" s="6"/>
      <c r="C555" s="11"/>
      <c r="D555" s="11"/>
      <c r="E555" s="11"/>
      <c r="F555" s="29"/>
      <c r="G555" s="11"/>
      <c r="H555" s="11"/>
      <c r="I555" s="29"/>
      <c r="J555" s="11"/>
      <c r="K555" s="29"/>
      <c r="L555" s="11"/>
      <c r="M555" s="11"/>
      <c r="N555" s="11"/>
      <c r="O555" s="29"/>
      <c r="P555" s="29"/>
      <c r="Q555" s="11"/>
      <c r="R555" s="29"/>
      <c r="S555" s="11"/>
      <c r="T555" s="6"/>
      <c r="U555" s="29"/>
      <c r="V555" s="11"/>
      <c r="W555" s="11"/>
      <c r="X555" s="29"/>
      <c r="Y555" s="11"/>
      <c r="Z555" s="29"/>
      <c r="AA555" s="29"/>
      <c r="AB555" s="11"/>
      <c r="AC555" s="11"/>
      <c r="AD555" s="29"/>
      <c r="AE555" s="11"/>
      <c r="AF555" s="29"/>
      <c r="AG555" s="11"/>
      <c r="AH555" s="29"/>
      <c r="AI555" s="11"/>
      <c r="AJ555" s="29"/>
      <c r="AK555" s="29"/>
      <c r="AL555" s="29"/>
      <c r="AM555" s="11"/>
      <c r="AN555" s="29"/>
      <c r="AO555" s="29"/>
      <c r="AP555" s="6"/>
      <c r="AQ555" s="113">
        <f>IF(AND(I555="",K555="",AF555="",AL555="",AN555="",O555=""),"",IF(OR(I555="SIM",K555="SIM",AF555="SIM",AL555="SIM",AN555="Dados pessoais",AN555="Dados sensíveis",AN555="Dados pessoais e sensíveis",O555="Acima de 10.000 titulares por mês"),"SIM - Alta criticidade",IF((IF(I555="SIM",2,0)+IF(K555="SIM",2,0)+IF(AF555="SIM",2,0)+IF(OR(AN555="Dados pessoais",AN555="Dados sensíveis",AN555="Dados pessoais e sensíveis"),2,0)+IF(O555="De 1.001 a 10.000 titulares por mês",1,0)+IF(AA555="SIM",1,0)+IF(R555="SIM",1,0)+IF(AL555="SIM",1,0)+IF(AJ555="NÃO",1,0))&gt;=5,"SIM - Alta criticidade",IF((IF(I555="SIM",2,0)+IF(K555="SIM",2,0)+IF(AF555="SIM",2,0)+IF(OR(AN555="Dados pessoais",AN555="Dados sensíveis",AN555="Dados pessoais e sensíveis"),2,0)+IF(O555="De 1.001 a 10.000 titulares por mês",1,0)+IF(AA555="SIM",1,0)+IF(R555="SIM",1,0)+IF(AL555="SIM",1,0)+IF(AJ555="NÃO",1,0))&gt;=3,"Avaliação necessária","NÃO"))))</f>
      </c>
      <c r="AR555" s="11"/>
      <c r="AS555" s="113">
        <f>IF(AND(I555="",K555="",AF555="",AL555="",AN555="",O555=""),"",IF(OR(I555="SIM",K555="SIM",AF555="SIM",AL555="SIM",OR(AN555="Dados pessoais",AN555="Dados sensíveis",AN555="Dados pessoais e sensíveis"),O555="Acima de 10.000 titulares por mês",(IF(I555="SIM",2,0)+IF(K555="SIM",2,0)+IF(AF555="SIM",2,0)+IF(OR(AN555="Dados pessoais",AN555="Dados sensíveis",AN555="Dados pessoais e sensíveis"),2,0)+IF(O555="De 1.001 a 10.000 titulares por mês",1,0)+IF(AA555="SIM",1,0)+IF(R555="SIM",1,0)+IF(AL555="SIM",1,0)+IF(AJ555="NÃO",1,0))&gt;=3),"DPIA indicado ou em avaliação em razão de: " &amp; TRIM(IF(I555="SIM","tratamento de dados sensíveis; ","") &amp; IF(K555="SIM","utilização de dados de menores; ","") &amp; IF(AF555="SIM","transferência internacional de dados; ","") &amp; IF(AL555="SIM","utilização de inteligência artificial; ","") &amp; IF(OR(AN555="Dados pessoais",AN555="Dados sensíveis",AN555="Dados pessoais e sensíveis"),"dados inseridos em IA; ","") &amp; IF(O555="Acima de 10.000 titulares por mês","volume crítico de titulares; ","") &amp; IF(O555="De 1.001 a 10.000 titulares por mês","volume moderado de titulares; ","") &amp; IF(AA555="SIM","compartilhamento com terceiros; ","") &amp; IF(R555="SIM","compartilhamento com órgãos governamentais; ","") &amp; IF(AJ555="NÃO","ausência de controle de acesso por perfil; ","")),"DPIA não indicado: Processo de baixa criticidade."))</f>
      </c>
    </row>
    <row x14ac:dyDescent="0.25" r="556" customHeight="1" ht="15.75">
      <c r="A556" s="46"/>
      <c r="B556" s="6"/>
      <c r="C556" s="11"/>
      <c r="D556" s="11"/>
      <c r="E556" s="11"/>
      <c r="F556" s="29"/>
      <c r="G556" s="11"/>
      <c r="H556" s="11"/>
      <c r="I556" s="29"/>
      <c r="J556" s="11"/>
      <c r="K556" s="29"/>
      <c r="L556" s="11"/>
      <c r="M556" s="11"/>
      <c r="N556" s="11"/>
      <c r="O556" s="29"/>
      <c r="P556" s="29"/>
      <c r="Q556" s="11"/>
      <c r="R556" s="29"/>
      <c r="S556" s="11"/>
      <c r="T556" s="6"/>
      <c r="U556" s="29"/>
      <c r="V556" s="11"/>
      <c r="W556" s="11"/>
      <c r="X556" s="29"/>
      <c r="Y556" s="11"/>
      <c r="Z556" s="29"/>
      <c r="AA556" s="29"/>
      <c r="AB556" s="11"/>
      <c r="AC556" s="11"/>
      <c r="AD556" s="29"/>
      <c r="AE556" s="11"/>
      <c r="AF556" s="29"/>
      <c r="AG556" s="11"/>
      <c r="AH556" s="29"/>
      <c r="AI556" s="11"/>
      <c r="AJ556" s="29"/>
      <c r="AK556" s="29"/>
      <c r="AL556" s="29"/>
      <c r="AM556" s="11"/>
      <c r="AN556" s="29"/>
      <c r="AO556" s="29"/>
      <c r="AP556" s="6"/>
      <c r="AQ556" s="113">
        <f>IF(AND(I556="",K556="",AF556="",AL556="",AN556="",O556=""),"",IF(OR(I556="SIM",K556="SIM",AF556="SIM",AL556="SIM",AN556="Dados pessoais",AN556="Dados sensíveis",AN556="Dados pessoais e sensíveis",O556="Acima de 10.000 titulares por mês"),"SIM - Alta criticidade",IF((IF(I556="SIM",2,0)+IF(K556="SIM",2,0)+IF(AF556="SIM",2,0)+IF(OR(AN556="Dados pessoais",AN556="Dados sensíveis",AN556="Dados pessoais e sensíveis"),2,0)+IF(O556="De 1.001 a 10.000 titulares por mês",1,0)+IF(AA556="SIM",1,0)+IF(R556="SIM",1,0)+IF(AL556="SIM",1,0)+IF(AJ556="NÃO",1,0))&gt;=5,"SIM - Alta criticidade",IF((IF(I556="SIM",2,0)+IF(K556="SIM",2,0)+IF(AF556="SIM",2,0)+IF(OR(AN556="Dados pessoais",AN556="Dados sensíveis",AN556="Dados pessoais e sensíveis"),2,0)+IF(O556="De 1.001 a 10.000 titulares por mês",1,0)+IF(AA556="SIM",1,0)+IF(R556="SIM",1,0)+IF(AL556="SIM",1,0)+IF(AJ556="NÃO",1,0))&gt;=3,"Avaliação necessária","NÃO"))))</f>
      </c>
      <c r="AR556" s="11"/>
      <c r="AS556" s="113">
        <f>IF(AND(I556="",K556="",AF556="",AL556="",AN556="",O556=""),"",IF(OR(I556="SIM",K556="SIM",AF556="SIM",AL556="SIM",OR(AN556="Dados pessoais",AN556="Dados sensíveis",AN556="Dados pessoais e sensíveis"),O556="Acima de 10.000 titulares por mês",(IF(I556="SIM",2,0)+IF(K556="SIM",2,0)+IF(AF556="SIM",2,0)+IF(OR(AN556="Dados pessoais",AN556="Dados sensíveis",AN556="Dados pessoais e sensíveis"),2,0)+IF(O556="De 1.001 a 10.000 titulares por mês",1,0)+IF(AA556="SIM",1,0)+IF(R556="SIM",1,0)+IF(AL556="SIM",1,0)+IF(AJ556="NÃO",1,0))&gt;=3),"DPIA indicado ou em avaliação em razão de: " &amp; TRIM(IF(I556="SIM","tratamento de dados sensíveis; ","") &amp; IF(K556="SIM","utilização de dados de menores; ","") &amp; IF(AF556="SIM","transferência internacional de dados; ","") &amp; IF(AL556="SIM","utilização de inteligência artificial; ","") &amp; IF(OR(AN556="Dados pessoais",AN556="Dados sensíveis",AN556="Dados pessoais e sensíveis"),"dados inseridos em IA; ","") &amp; IF(O556="Acima de 10.000 titulares por mês","volume crítico de titulares; ","") &amp; IF(O556="De 1.001 a 10.000 titulares por mês","volume moderado de titulares; ","") &amp; IF(AA556="SIM","compartilhamento com terceiros; ","") &amp; IF(R556="SIM","compartilhamento com órgãos governamentais; ","") &amp; IF(AJ556="NÃO","ausência de controle de acesso por perfil; ","")),"DPIA não indicado: Processo de baixa criticidade."))</f>
      </c>
    </row>
    <row x14ac:dyDescent="0.25" r="557" customHeight="1" ht="15.75">
      <c r="A557" s="46"/>
      <c r="B557" s="6"/>
      <c r="C557" s="11"/>
      <c r="D557" s="11"/>
      <c r="E557" s="11"/>
      <c r="F557" s="29"/>
      <c r="G557" s="11"/>
      <c r="H557" s="11"/>
      <c r="I557" s="29"/>
      <c r="J557" s="11"/>
      <c r="K557" s="29"/>
      <c r="L557" s="11"/>
      <c r="M557" s="11"/>
      <c r="N557" s="11"/>
      <c r="O557" s="29"/>
      <c r="P557" s="29"/>
      <c r="Q557" s="11"/>
      <c r="R557" s="29"/>
      <c r="S557" s="11"/>
      <c r="T557" s="6"/>
      <c r="U557" s="29"/>
      <c r="V557" s="11"/>
      <c r="W557" s="11"/>
      <c r="X557" s="29"/>
      <c r="Y557" s="11"/>
      <c r="Z557" s="29"/>
      <c r="AA557" s="29"/>
      <c r="AB557" s="11"/>
      <c r="AC557" s="11"/>
      <c r="AD557" s="29"/>
      <c r="AE557" s="11"/>
      <c r="AF557" s="29"/>
      <c r="AG557" s="11"/>
      <c r="AH557" s="29"/>
      <c r="AI557" s="11"/>
      <c r="AJ557" s="29"/>
      <c r="AK557" s="29"/>
      <c r="AL557" s="29"/>
      <c r="AM557" s="11"/>
      <c r="AN557" s="29"/>
      <c r="AO557" s="29"/>
      <c r="AP557" s="6"/>
      <c r="AQ557" s="113">
        <f>IF(AND(I557="",K557="",AF557="",AL557="",AN557="",O557=""),"",IF(OR(I557="SIM",K557="SIM",AF557="SIM",AL557="SIM",AN557="Dados pessoais",AN557="Dados sensíveis",AN557="Dados pessoais e sensíveis",O557="Acima de 10.000 titulares por mês"),"SIM - Alta criticidade",IF((IF(I557="SIM",2,0)+IF(K557="SIM",2,0)+IF(AF557="SIM",2,0)+IF(OR(AN557="Dados pessoais",AN557="Dados sensíveis",AN557="Dados pessoais e sensíveis"),2,0)+IF(O557="De 1.001 a 10.000 titulares por mês",1,0)+IF(AA557="SIM",1,0)+IF(R557="SIM",1,0)+IF(AL557="SIM",1,0)+IF(AJ557="NÃO",1,0))&gt;=5,"SIM - Alta criticidade",IF((IF(I557="SIM",2,0)+IF(K557="SIM",2,0)+IF(AF557="SIM",2,0)+IF(OR(AN557="Dados pessoais",AN557="Dados sensíveis",AN557="Dados pessoais e sensíveis"),2,0)+IF(O557="De 1.001 a 10.000 titulares por mês",1,0)+IF(AA557="SIM",1,0)+IF(R557="SIM",1,0)+IF(AL557="SIM",1,0)+IF(AJ557="NÃO",1,0))&gt;=3,"Avaliação necessária","NÃO"))))</f>
      </c>
      <c r="AR557" s="11"/>
      <c r="AS557" s="113">
        <f>IF(AND(I557="",K557="",AF557="",AL557="",AN557="",O557=""),"",IF(OR(I557="SIM",K557="SIM",AF557="SIM",AL557="SIM",OR(AN557="Dados pessoais",AN557="Dados sensíveis",AN557="Dados pessoais e sensíveis"),O557="Acima de 10.000 titulares por mês",(IF(I557="SIM",2,0)+IF(K557="SIM",2,0)+IF(AF557="SIM",2,0)+IF(OR(AN557="Dados pessoais",AN557="Dados sensíveis",AN557="Dados pessoais e sensíveis"),2,0)+IF(O557="De 1.001 a 10.000 titulares por mês",1,0)+IF(AA557="SIM",1,0)+IF(R557="SIM",1,0)+IF(AL557="SIM",1,0)+IF(AJ557="NÃO",1,0))&gt;=3),"DPIA indicado ou em avaliação em razão de: " &amp; TRIM(IF(I557="SIM","tratamento de dados sensíveis; ","") &amp; IF(K557="SIM","utilização de dados de menores; ","") &amp; IF(AF557="SIM","transferência internacional de dados; ","") &amp; IF(AL557="SIM","utilização de inteligência artificial; ","") &amp; IF(OR(AN557="Dados pessoais",AN557="Dados sensíveis",AN557="Dados pessoais e sensíveis"),"dados inseridos em IA; ","") &amp; IF(O557="Acima de 10.000 titulares por mês","volume crítico de titulares; ","") &amp; IF(O557="De 1.001 a 10.000 titulares por mês","volume moderado de titulares; ","") &amp; IF(AA557="SIM","compartilhamento com terceiros; ","") &amp; IF(R557="SIM","compartilhamento com órgãos governamentais; ","") &amp; IF(AJ557="NÃO","ausência de controle de acesso por perfil; ","")),"DPIA não indicado: Processo de baixa criticidade."))</f>
      </c>
    </row>
    <row x14ac:dyDescent="0.25" r="558" customHeight="1" ht="15.75">
      <c r="A558" s="46"/>
      <c r="B558" s="6"/>
      <c r="C558" s="11"/>
      <c r="D558" s="11"/>
      <c r="E558" s="11"/>
      <c r="F558" s="29"/>
      <c r="G558" s="11"/>
      <c r="H558" s="11"/>
      <c r="I558" s="29"/>
      <c r="J558" s="11"/>
      <c r="K558" s="29"/>
      <c r="L558" s="11"/>
      <c r="M558" s="11"/>
      <c r="N558" s="11"/>
      <c r="O558" s="29"/>
      <c r="P558" s="29"/>
      <c r="Q558" s="11"/>
      <c r="R558" s="29"/>
      <c r="S558" s="11"/>
      <c r="T558" s="6"/>
      <c r="U558" s="29"/>
      <c r="V558" s="11"/>
      <c r="W558" s="11"/>
      <c r="X558" s="29"/>
      <c r="Y558" s="11"/>
      <c r="Z558" s="29"/>
      <c r="AA558" s="29"/>
      <c r="AB558" s="11"/>
      <c r="AC558" s="11"/>
      <c r="AD558" s="29"/>
      <c r="AE558" s="11"/>
      <c r="AF558" s="29"/>
      <c r="AG558" s="11"/>
      <c r="AH558" s="29"/>
      <c r="AI558" s="11"/>
      <c r="AJ558" s="29"/>
      <c r="AK558" s="29"/>
      <c r="AL558" s="29"/>
      <c r="AM558" s="11"/>
      <c r="AN558" s="29"/>
      <c r="AO558" s="29"/>
      <c r="AP558" s="6"/>
      <c r="AQ558" s="113">
        <f>IF(AND(I558="",K558="",AF558="",AL558="",AN558="",O558=""),"",IF(OR(I558="SIM",K558="SIM",AF558="SIM",AL558="SIM",AN558="Dados pessoais",AN558="Dados sensíveis",AN558="Dados pessoais e sensíveis",O558="Acima de 10.000 titulares por mês"),"SIM - Alta criticidade",IF((IF(I558="SIM",2,0)+IF(K558="SIM",2,0)+IF(AF558="SIM",2,0)+IF(OR(AN558="Dados pessoais",AN558="Dados sensíveis",AN558="Dados pessoais e sensíveis"),2,0)+IF(O558="De 1.001 a 10.000 titulares por mês",1,0)+IF(AA558="SIM",1,0)+IF(R558="SIM",1,0)+IF(AL558="SIM",1,0)+IF(AJ558="NÃO",1,0))&gt;=5,"SIM - Alta criticidade",IF((IF(I558="SIM",2,0)+IF(K558="SIM",2,0)+IF(AF558="SIM",2,0)+IF(OR(AN558="Dados pessoais",AN558="Dados sensíveis",AN558="Dados pessoais e sensíveis"),2,0)+IF(O558="De 1.001 a 10.000 titulares por mês",1,0)+IF(AA558="SIM",1,0)+IF(R558="SIM",1,0)+IF(AL558="SIM",1,0)+IF(AJ558="NÃO",1,0))&gt;=3,"Avaliação necessária","NÃO"))))</f>
      </c>
      <c r="AR558" s="11"/>
      <c r="AS558" s="113">
        <f>IF(AND(I558="",K558="",AF558="",AL558="",AN558="",O558=""),"",IF(OR(I558="SIM",K558="SIM",AF558="SIM",AL558="SIM",OR(AN558="Dados pessoais",AN558="Dados sensíveis",AN558="Dados pessoais e sensíveis"),O558="Acima de 10.000 titulares por mês",(IF(I558="SIM",2,0)+IF(K558="SIM",2,0)+IF(AF558="SIM",2,0)+IF(OR(AN558="Dados pessoais",AN558="Dados sensíveis",AN558="Dados pessoais e sensíveis"),2,0)+IF(O558="De 1.001 a 10.000 titulares por mês",1,0)+IF(AA558="SIM",1,0)+IF(R558="SIM",1,0)+IF(AL558="SIM",1,0)+IF(AJ558="NÃO",1,0))&gt;=3),"DPIA indicado ou em avaliação em razão de: " &amp; TRIM(IF(I558="SIM","tratamento de dados sensíveis; ","") &amp; IF(K558="SIM","utilização de dados de menores; ","") &amp; IF(AF558="SIM","transferência internacional de dados; ","") &amp; IF(AL558="SIM","utilização de inteligência artificial; ","") &amp; IF(OR(AN558="Dados pessoais",AN558="Dados sensíveis",AN558="Dados pessoais e sensíveis"),"dados inseridos em IA; ","") &amp; IF(O558="Acima de 10.000 titulares por mês","volume crítico de titulares; ","") &amp; IF(O558="De 1.001 a 10.000 titulares por mês","volume moderado de titulares; ","") &amp; IF(AA558="SIM","compartilhamento com terceiros; ","") &amp; IF(R558="SIM","compartilhamento com órgãos governamentais; ","") &amp; IF(AJ558="NÃO","ausência de controle de acesso por perfil; ","")),"DPIA não indicado: Processo de baixa criticidade."))</f>
      </c>
    </row>
    <row x14ac:dyDescent="0.25" r="559" customHeight="1" ht="15.75">
      <c r="A559" s="46"/>
      <c r="B559" s="6"/>
      <c r="C559" s="11"/>
      <c r="D559" s="11"/>
      <c r="E559" s="11"/>
      <c r="F559" s="29"/>
      <c r="G559" s="11"/>
      <c r="H559" s="11"/>
      <c r="I559" s="29"/>
      <c r="J559" s="11"/>
      <c r="K559" s="29"/>
      <c r="L559" s="11"/>
      <c r="M559" s="11"/>
      <c r="N559" s="11"/>
      <c r="O559" s="29"/>
      <c r="P559" s="29"/>
      <c r="Q559" s="11"/>
      <c r="R559" s="29"/>
      <c r="S559" s="11"/>
      <c r="T559" s="6"/>
      <c r="U559" s="29"/>
      <c r="V559" s="11"/>
      <c r="W559" s="11"/>
      <c r="X559" s="29"/>
      <c r="Y559" s="11"/>
      <c r="Z559" s="29"/>
      <c r="AA559" s="29"/>
      <c r="AB559" s="11"/>
      <c r="AC559" s="11"/>
      <c r="AD559" s="29"/>
      <c r="AE559" s="11"/>
      <c r="AF559" s="29"/>
      <c r="AG559" s="11"/>
      <c r="AH559" s="29"/>
      <c r="AI559" s="11"/>
      <c r="AJ559" s="29"/>
      <c r="AK559" s="29"/>
      <c r="AL559" s="29"/>
      <c r="AM559" s="11"/>
      <c r="AN559" s="29"/>
      <c r="AO559" s="29"/>
      <c r="AP559" s="6"/>
      <c r="AQ559" s="113">
        <f>IF(AND(I559="",K559="",AF559="",AL559="",AN559="",O559=""),"",IF(OR(I559="SIM",K559="SIM",AF559="SIM",AL559="SIM",AN559="Dados pessoais",AN559="Dados sensíveis",AN559="Dados pessoais e sensíveis",O559="Acima de 10.000 titulares por mês"),"SIM - Alta criticidade",IF((IF(I559="SIM",2,0)+IF(K559="SIM",2,0)+IF(AF559="SIM",2,0)+IF(OR(AN559="Dados pessoais",AN559="Dados sensíveis",AN559="Dados pessoais e sensíveis"),2,0)+IF(O559="De 1.001 a 10.000 titulares por mês",1,0)+IF(AA559="SIM",1,0)+IF(R559="SIM",1,0)+IF(AL559="SIM",1,0)+IF(AJ559="NÃO",1,0))&gt;=5,"SIM - Alta criticidade",IF((IF(I559="SIM",2,0)+IF(K559="SIM",2,0)+IF(AF559="SIM",2,0)+IF(OR(AN559="Dados pessoais",AN559="Dados sensíveis",AN559="Dados pessoais e sensíveis"),2,0)+IF(O559="De 1.001 a 10.000 titulares por mês",1,0)+IF(AA559="SIM",1,0)+IF(R559="SIM",1,0)+IF(AL559="SIM",1,0)+IF(AJ559="NÃO",1,0))&gt;=3,"Avaliação necessária","NÃO"))))</f>
      </c>
      <c r="AR559" s="11"/>
      <c r="AS559" s="113">
        <f>IF(AND(I559="",K559="",AF559="",AL559="",AN559="",O559=""),"",IF(OR(I559="SIM",K559="SIM",AF559="SIM",AL559="SIM",OR(AN559="Dados pessoais",AN559="Dados sensíveis",AN559="Dados pessoais e sensíveis"),O559="Acima de 10.000 titulares por mês",(IF(I559="SIM",2,0)+IF(K559="SIM",2,0)+IF(AF559="SIM",2,0)+IF(OR(AN559="Dados pessoais",AN559="Dados sensíveis",AN559="Dados pessoais e sensíveis"),2,0)+IF(O559="De 1.001 a 10.000 titulares por mês",1,0)+IF(AA559="SIM",1,0)+IF(R559="SIM",1,0)+IF(AL559="SIM",1,0)+IF(AJ559="NÃO",1,0))&gt;=3),"DPIA indicado ou em avaliação em razão de: " &amp; TRIM(IF(I559="SIM","tratamento de dados sensíveis; ","") &amp; IF(K559="SIM","utilização de dados de menores; ","") &amp; IF(AF559="SIM","transferência internacional de dados; ","") &amp; IF(AL559="SIM","utilização de inteligência artificial; ","") &amp; IF(OR(AN559="Dados pessoais",AN559="Dados sensíveis",AN559="Dados pessoais e sensíveis"),"dados inseridos em IA; ","") &amp; IF(O559="Acima de 10.000 titulares por mês","volume crítico de titulares; ","") &amp; IF(O559="De 1.001 a 10.000 titulares por mês","volume moderado de titulares; ","") &amp; IF(AA559="SIM","compartilhamento com terceiros; ","") &amp; IF(R559="SIM","compartilhamento com órgãos governamentais; ","") &amp; IF(AJ559="NÃO","ausência de controle de acesso por perfil; ","")),"DPIA não indicado: Processo de baixa criticidade."))</f>
      </c>
    </row>
    <row x14ac:dyDescent="0.25" r="560" customHeight="1" ht="15.75">
      <c r="A560" s="46"/>
      <c r="B560" s="6"/>
      <c r="C560" s="11"/>
      <c r="D560" s="11"/>
      <c r="E560" s="11"/>
      <c r="F560" s="29"/>
      <c r="G560" s="11"/>
      <c r="H560" s="11"/>
      <c r="I560" s="29"/>
      <c r="J560" s="11"/>
      <c r="K560" s="29"/>
      <c r="L560" s="11"/>
      <c r="M560" s="11"/>
      <c r="N560" s="11"/>
      <c r="O560" s="29"/>
      <c r="P560" s="29"/>
      <c r="Q560" s="11"/>
      <c r="R560" s="29"/>
      <c r="S560" s="11"/>
      <c r="T560" s="6"/>
      <c r="U560" s="29"/>
      <c r="V560" s="11"/>
      <c r="W560" s="11"/>
      <c r="X560" s="29"/>
      <c r="Y560" s="11"/>
      <c r="Z560" s="29"/>
      <c r="AA560" s="29"/>
      <c r="AB560" s="11"/>
      <c r="AC560" s="11"/>
      <c r="AD560" s="29"/>
      <c r="AE560" s="11"/>
      <c r="AF560" s="29"/>
      <c r="AG560" s="11"/>
      <c r="AH560" s="29"/>
      <c r="AI560" s="11"/>
      <c r="AJ560" s="29"/>
      <c r="AK560" s="29"/>
      <c r="AL560" s="29"/>
      <c r="AM560" s="11"/>
      <c r="AN560" s="29"/>
      <c r="AO560" s="29"/>
      <c r="AP560" s="6"/>
      <c r="AQ560" s="113">
        <f>IF(AND(I560="",K560="",AF560="",AL560="",AN560="",O560=""),"",IF(OR(I560="SIM",K560="SIM",AF560="SIM",AL560="SIM",AN560="Dados pessoais",AN560="Dados sensíveis",AN560="Dados pessoais e sensíveis",O560="Acima de 10.000 titulares por mês"),"SIM - Alta criticidade",IF((IF(I560="SIM",2,0)+IF(K560="SIM",2,0)+IF(AF560="SIM",2,0)+IF(OR(AN560="Dados pessoais",AN560="Dados sensíveis",AN560="Dados pessoais e sensíveis"),2,0)+IF(O560="De 1.001 a 10.000 titulares por mês",1,0)+IF(AA560="SIM",1,0)+IF(R560="SIM",1,0)+IF(AL560="SIM",1,0)+IF(AJ560="NÃO",1,0))&gt;=5,"SIM - Alta criticidade",IF((IF(I560="SIM",2,0)+IF(K560="SIM",2,0)+IF(AF560="SIM",2,0)+IF(OR(AN560="Dados pessoais",AN560="Dados sensíveis",AN560="Dados pessoais e sensíveis"),2,0)+IF(O560="De 1.001 a 10.000 titulares por mês",1,0)+IF(AA560="SIM",1,0)+IF(R560="SIM",1,0)+IF(AL560="SIM",1,0)+IF(AJ560="NÃO",1,0))&gt;=3,"Avaliação necessária","NÃO"))))</f>
      </c>
      <c r="AR560" s="11"/>
      <c r="AS560" s="113">
        <f>IF(AND(I560="",K560="",AF560="",AL560="",AN560="",O560=""),"",IF(OR(I560="SIM",K560="SIM",AF560="SIM",AL560="SIM",OR(AN560="Dados pessoais",AN560="Dados sensíveis",AN560="Dados pessoais e sensíveis"),O560="Acima de 10.000 titulares por mês",(IF(I560="SIM",2,0)+IF(K560="SIM",2,0)+IF(AF560="SIM",2,0)+IF(OR(AN560="Dados pessoais",AN560="Dados sensíveis",AN560="Dados pessoais e sensíveis"),2,0)+IF(O560="De 1.001 a 10.000 titulares por mês",1,0)+IF(AA560="SIM",1,0)+IF(R560="SIM",1,0)+IF(AL560="SIM",1,0)+IF(AJ560="NÃO",1,0))&gt;=3),"DPIA indicado ou em avaliação em razão de: " &amp; TRIM(IF(I560="SIM","tratamento de dados sensíveis; ","") &amp; IF(K560="SIM","utilização de dados de menores; ","") &amp; IF(AF560="SIM","transferência internacional de dados; ","") &amp; IF(AL560="SIM","utilização de inteligência artificial; ","") &amp; IF(OR(AN560="Dados pessoais",AN560="Dados sensíveis",AN560="Dados pessoais e sensíveis"),"dados inseridos em IA; ","") &amp; IF(O560="Acima de 10.000 titulares por mês","volume crítico de titulares; ","") &amp; IF(O560="De 1.001 a 10.000 titulares por mês","volume moderado de titulares; ","") &amp; IF(AA560="SIM","compartilhamento com terceiros; ","") &amp; IF(R560="SIM","compartilhamento com órgãos governamentais; ","") &amp; IF(AJ560="NÃO","ausência de controle de acesso por perfil; ","")),"DPIA não indicado: Processo de baixa criticidade."))</f>
      </c>
    </row>
    <row x14ac:dyDescent="0.25" r="561" customHeight="1" ht="15.75">
      <c r="A561" s="46"/>
      <c r="B561" s="6"/>
      <c r="C561" s="11"/>
      <c r="D561" s="11"/>
      <c r="E561" s="11"/>
      <c r="F561" s="29"/>
      <c r="G561" s="11"/>
      <c r="H561" s="11"/>
      <c r="I561" s="29"/>
      <c r="J561" s="11"/>
      <c r="K561" s="29"/>
      <c r="L561" s="11"/>
      <c r="M561" s="11"/>
      <c r="N561" s="11"/>
      <c r="O561" s="29"/>
      <c r="P561" s="29"/>
      <c r="Q561" s="11"/>
      <c r="R561" s="29"/>
      <c r="S561" s="11"/>
      <c r="T561" s="6"/>
      <c r="U561" s="29"/>
      <c r="V561" s="11"/>
      <c r="W561" s="11"/>
      <c r="X561" s="29"/>
      <c r="Y561" s="11"/>
      <c r="Z561" s="29"/>
      <c r="AA561" s="29"/>
      <c r="AB561" s="11"/>
      <c r="AC561" s="11"/>
      <c r="AD561" s="29"/>
      <c r="AE561" s="11"/>
      <c r="AF561" s="29"/>
      <c r="AG561" s="11"/>
      <c r="AH561" s="29"/>
      <c r="AI561" s="11"/>
      <c r="AJ561" s="29"/>
      <c r="AK561" s="29"/>
      <c r="AL561" s="29"/>
      <c r="AM561" s="11"/>
      <c r="AN561" s="29"/>
      <c r="AO561" s="29"/>
      <c r="AP561" s="6"/>
      <c r="AQ561" s="113">
        <f>IF(AND(I561="",K561="",AF561="",AL561="",AN561="",O561=""),"",IF(OR(I561="SIM",K561="SIM",AF561="SIM",AL561="SIM",AN561="Dados pessoais",AN561="Dados sensíveis",AN561="Dados pessoais e sensíveis",O561="Acima de 10.000 titulares por mês"),"SIM - Alta criticidade",IF((IF(I561="SIM",2,0)+IF(K561="SIM",2,0)+IF(AF561="SIM",2,0)+IF(OR(AN561="Dados pessoais",AN561="Dados sensíveis",AN561="Dados pessoais e sensíveis"),2,0)+IF(O561="De 1.001 a 10.000 titulares por mês",1,0)+IF(AA561="SIM",1,0)+IF(R561="SIM",1,0)+IF(AL561="SIM",1,0)+IF(AJ561="NÃO",1,0))&gt;=5,"SIM - Alta criticidade",IF((IF(I561="SIM",2,0)+IF(K561="SIM",2,0)+IF(AF561="SIM",2,0)+IF(OR(AN561="Dados pessoais",AN561="Dados sensíveis",AN561="Dados pessoais e sensíveis"),2,0)+IF(O561="De 1.001 a 10.000 titulares por mês",1,0)+IF(AA561="SIM",1,0)+IF(R561="SIM",1,0)+IF(AL561="SIM",1,0)+IF(AJ561="NÃO",1,0))&gt;=3,"Avaliação necessária","NÃO"))))</f>
      </c>
      <c r="AR561" s="11"/>
      <c r="AS561" s="113">
        <f>IF(AND(I561="",K561="",AF561="",AL561="",AN561="",O561=""),"",IF(OR(I561="SIM",K561="SIM",AF561="SIM",AL561="SIM",OR(AN561="Dados pessoais",AN561="Dados sensíveis",AN561="Dados pessoais e sensíveis"),O561="Acima de 10.000 titulares por mês",(IF(I561="SIM",2,0)+IF(K561="SIM",2,0)+IF(AF561="SIM",2,0)+IF(OR(AN561="Dados pessoais",AN561="Dados sensíveis",AN561="Dados pessoais e sensíveis"),2,0)+IF(O561="De 1.001 a 10.000 titulares por mês",1,0)+IF(AA561="SIM",1,0)+IF(R561="SIM",1,0)+IF(AL561="SIM",1,0)+IF(AJ561="NÃO",1,0))&gt;=3),"DPIA indicado ou em avaliação em razão de: " &amp; TRIM(IF(I561="SIM","tratamento de dados sensíveis; ","") &amp; IF(K561="SIM","utilização de dados de menores; ","") &amp; IF(AF561="SIM","transferência internacional de dados; ","") &amp; IF(AL561="SIM","utilização de inteligência artificial; ","") &amp; IF(OR(AN561="Dados pessoais",AN561="Dados sensíveis",AN561="Dados pessoais e sensíveis"),"dados inseridos em IA; ","") &amp; IF(O561="Acima de 10.000 titulares por mês","volume crítico de titulares; ","") &amp; IF(O561="De 1.001 a 10.000 titulares por mês","volume moderado de titulares; ","") &amp; IF(AA561="SIM","compartilhamento com terceiros; ","") &amp; IF(R561="SIM","compartilhamento com órgãos governamentais; ","") &amp; IF(AJ561="NÃO","ausência de controle de acesso por perfil; ","")),"DPIA não indicado: Processo de baixa criticidade."))</f>
      </c>
    </row>
    <row x14ac:dyDescent="0.25" r="562" customHeight="1" ht="15.75">
      <c r="A562" s="46"/>
      <c r="B562" s="6"/>
      <c r="C562" s="11"/>
      <c r="D562" s="11"/>
      <c r="E562" s="11"/>
      <c r="F562" s="29"/>
      <c r="G562" s="11"/>
      <c r="H562" s="11"/>
      <c r="I562" s="29"/>
      <c r="J562" s="11"/>
      <c r="K562" s="29"/>
      <c r="L562" s="11"/>
      <c r="M562" s="11"/>
      <c r="N562" s="11"/>
      <c r="O562" s="29"/>
      <c r="P562" s="29"/>
      <c r="Q562" s="11"/>
      <c r="R562" s="29"/>
      <c r="S562" s="11"/>
      <c r="T562" s="6"/>
      <c r="U562" s="29"/>
      <c r="V562" s="11"/>
      <c r="W562" s="11"/>
      <c r="X562" s="29"/>
      <c r="Y562" s="11"/>
      <c r="Z562" s="29"/>
      <c r="AA562" s="29"/>
      <c r="AB562" s="11"/>
      <c r="AC562" s="11"/>
      <c r="AD562" s="29"/>
      <c r="AE562" s="11"/>
      <c r="AF562" s="29"/>
      <c r="AG562" s="11"/>
      <c r="AH562" s="29"/>
      <c r="AI562" s="11"/>
      <c r="AJ562" s="29"/>
      <c r="AK562" s="29"/>
      <c r="AL562" s="29"/>
      <c r="AM562" s="11"/>
      <c r="AN562" s="29"/>
      <c r="AO562" s="29"/>
      <c r="AP562" s="6"/>
      <c r="AQ562" s="113">
        <f>IF(AND(I562="",K562="",AF562="",AL562="",AN562="",O562=""),"",IF(OR(I562="SIM",K562="SIM",AF562="SIM",AL562="SIM",AN562="Dados pessoais",AN562="Dados sensíveis",AN562="Dados pessoais e sensíveis",O562="Acima de 10.000 titulares por mês"),"SIM - Alta criticidade",IF((IF(I562="SIM",2,0)+IF(K562="SIM",2,0)+IF(AF562="SIM",2,0)+IF(OR(AN562="Dados pessoais",AN562="Dados sensíveis",AN562="Dados pessoais e sensíveis"),2,0)+IF(O562="De 1.001 a 10.000 titulares por mês",1,0)+IF(AA562="SIM",1,0)+IF(R562="SIM",1,0)+IF(AL562="SIM",1,0)+IF(AJ562="NÃO",1,0))&gt;=5,"SIM - Alta criticidade",IF((IF(I562="SIM",2,0)+IF(K562="SIM",2,0)+IF(AF562="SIM",2,0)+IF(OR(AN562="Dados pessoais",AN562="Dados sensíveis",AN562="Dados pessoais e sensíveis"),2,0)+IF(O562="De 1.001 a 10.000 titulares por mês",1,0)+IF(AA562="SIM",1,0)+IF(R562="SIM",1,0)+IF(AL562="SIM",1,0)+IF(AJ562="NÃO",1,0))&gt;=3,"Avaliação necessária","NÃO"))))</f>
      </c>
      <c r="AR562" s="11"/>
      <c r="AS562" s="113">
        <f>IF(AND(I562="",K562="",AF562="",AL562="",AN562="",O562=""),"",IF(OR(I562="SIM",K562="SIM",AF562="SIM",AL562="SIM",OR(AN562="Dados pessoais",AN562="Dados sensíveis",AN562="Dados pessoais e sensíveis"),O562="Acima de 10.000 titulares por mês",(IF(I562="SIM",2,0)+IF(K562="SIM",2,0)+IF(AF562="SIM",2,0)+IF(OR(AN562="Dados pessoais",AN562="Dados sensíveis",AN562="Dados pessoais e sensíveis"),2,0)+IF(O562="De 1.001 a 10.000 titulares por mês",1,0)+IF(AA562="SIM",1,0)+IF(R562="SIM",1,0)+IF(AL562="SIM",1,0)+IF(AJ562="NÃO",1,0))&gt;=3),"DPIA indicado ou em avaliação em razão de: " &amp; TRIM(IF(I562="SIM","tratamento de dados sensíveis; ","") &amp; IF(K562="SIM","utilização de dados de menores; ","") &amp; IF(AF562="SIM","transferência internacional de dados; ","") &amp; IF(AL562="SIM","utilização de inteligência artificial; ","") &amp; IF(OR(AN562="Dados pessoais",AN562="Dados sensíveis",AN562="Dados pessoais e sensíveis"),"dados inseridos em IA; ","") &amp; IF(O562="Acima de 10.000 titulares por mês","volume crítico de titulares; ","") &amp; IF(O562="De 1.001 a 10.000 titulares por mês","volume moderado de titulares; ","") &amp; IF(AA562="SIM","compartilhamento com terceiros; ","") &amp; IF(R562="SIM","compartilhamento com órgãos governamentais; ","") &amp; IF(AJ562="NÃO","ausência de controle de acesso por perfil; ","")),"DPIA não indicado: Processo de baixa criticidade."))</f>
      </c>
    </row>
    <row x14ac:dyDescent="0.25" r="563" customHeight="1" ht="15.75">
      <c r="A563" s="46"/>
      <c r="B563" s="6"/>
      <c r="C563" s="11"/>
      <c r="D563" s="11"/>
      <c r="E563" s="11"/>
      <c r="F563" s="29"/>
      <c r="G563" s="11"/>
      <c r="H563" s="11"/>
      <c r="I563" s="29"/>
      <c r="J563" s="11"/>
      <c r="K563" s="29"/>
      <c r="L563" s="11"/>
      <c r="M563" s="11"/>
      <c r="N563" s="11"/>
      <c r="O563" s="29"/>
      <c r="P563" s="29"/>
      <c r="Q563" s="11"/>
      <c r="R563" s="29"/>
      <c r="S563" s="11"/>
      <c r="T563" s="6"/>
      <c r="U563" s="29"/>
      <c r="V563" s="11"/>
      <c r="W563" s="11"/>
      <c r="X563" s="29"/>
      <c r="Y563" s="11"/>
      <c r="Z563" s="29"/>
      <c r="AA563" s="29"/>
      <c r="AB563" s="11"/>
      <c r="AC563" s="11"/>
      <c r="AD563" s="29"/>
      <c r="AE563" s="11"/>
      <c r="AF563" s="29"/>
      <c r="AG563" s="11"/>
      <c r="AH563" s="29"/>
      <c r="AI563" s="11"/>
      <c r="AJ563" s="29"/>
      <c r="AK563" s="29"/>
      <c r="AL563" s="29"/>
      <c r="AM563" s="11"/>
      <c r="AN563" s="29"/>
      <c r="AO563" s="29"/>
      <c r="AP563" s="6"/>
      <c r="AQ563" s="113">
        <f>IF(AND(I563="",K563="",AF563="",AL563="",AN563="",O563=""),"",IF(OR(I563="SIM",K563="SIM",AF563="SIM",AL563="SIM",AN563="Dados pessoais",AN563="Dados sensíveis",AN563="Dados pessoais e sensíveis",O563="Acima de 10.000 titulares por mês"),"SIM - Alta criticidade",IF((IF(I563="SIM",2,0)+IF(K563="SIM",2,0)+IF(AF563="SIM",2,0)+IF(OR(AN563="Dados pessoais",AN563="Dados sensíveis",AN563="Dados pessoais e sensíveis"),2,0)+IF(O563="De 1.001 a 10.000 titulares por mês",1,0)+IF(AA563="SIM",1,0)+IF(R563="SIM",1,0)+IF(AL563="SIM",1,0)+IF(AJ563="NÃO",1,0))&gt;=5,"SIM - Alta criticidade",IF((IF(I563="SIM",2,0)+IF(K563="SIM",2,0)+IF(AF563="SIM",2,0)+IF(OR(AN563="Dados pessoais",AN563="Dados sensíveis",AN563="Dados pessoais e sensíveis"),2,0)+IF(O563="De 1.001 a 10.000 titulares por mês",1,0)+IF(AA563="SIM",1,0)+IF(R563="SIM",1,0)+IF(AL563="SIM",1,0)+IF(AJ563="NÃO",1,0))&gt;=3,"Avaliação necessária","NÃO"))))</f>
      </c>
      <c r="AR563" s="11"/>
      <c r="AS563" s="113">
        <f>IF(AND(I563="",K563="",AF563="",AL563="",AN563="",O563=""),"",IF(OR(I563="SIM",K563="SIM",AF563="SIM",AL563="SIM",OR(AN563="Dados pessoais",AN563="Dados sensíveis",AN563="Dados pessoais e sensíveis"),O563="Acima de 10.000 titulares por mês",(IF(I563="SIM",2,0)+IF(K563="SIM",2,0)+IF(AF563="SIM",2,0)+IF(OR(AN563="Dados pessoais",AN563="Dados sensíveis",AN563="Dados pessoais e sensíveis"),2,0)+IF(O563="De 1.001 a 10.000 titulares por mês",1,0)+IF(AA563="SIM",1,0)+IF(R563="SIM",1,0)+IF(AL563="SIM",1,0)+IF(AJ563="NÃO",1,0))&gt;=3),"DPIA indicado ou em avaliação em razão de: " &amp; TRIM(IF(I563="SIM","tratamento de dados sensíveis; ","") &amp; IF(K563="SIM","utilização de dados de menores; ","") &amp; IF(AF563="SIM","transferência internacional de dados; ","") &amp; IF(AL563="SIM","utilização de inteligência artificial; ","") &amp; IF(OR(AN563="Dados pessoais",AN563="Dados sensíveis",AN563="Dados pessoais e sensíveis"),"dados inseridos em IA; ","") &amp; IF(O563="Acima de 10.000 titulares por mês","volume crítico de titulares; ","") &amp; IF(O563="De 1.001 a 10.000 titulares por mês","volume moderado de titulares; ","") &amp; IF(AA563="SIM","compartilhamento com terceiros; ","") &amp; IF(R563="SIM","compartilhamento com órgãos governamentais; ","") &amp; IF(AJ563="NÃO","ausência de controle de acesso por perfil; ","")),"DPIA não indicado: Processo de baixa criticidade."))</f>
      </c>
    </row>
    <row x14ac:dyDescent="0.25" r="564" customHeight="1" ht="15.75">
      <c r="A564" s="46"/>
      <c r="B564" s="6"/>
      <c r="C564" s="11"/>
      <c r="D564" s="11"/>
      <c r="E564" s="11"/>
      <c r="F564" s="29"/>
      <c r="G564" s="11"/>
      <c r="H564" s="11"/>
      <c r="I564" s="29"/>
      <c r="J564" s="11"/>
      <c r="K564" s="29"/>
      <c r="L564" s="11"/>
      <c r="M564" s="11"/>
      <c r="N564" s="11"/>
      <c r="O564" s="29"/>
      <c r="P564" s="29"/>
      <c r="Q564" s="11"/>
      <c r="R564" s="29"/>
      <c r="S564" s="11"/>
      <c r="T564" s="6"/>
      <c r="U564" s="29"/>
      <c r="V564" s="11"/>
      <c r="W564" s="11"/>
      <c r="X564" s="29"/>
      <c r="Y564" s="11"/>
      <c r="Z564" s="29"/>
      <c r="AA564" s="29"/>
      <c r="AB564" s="11"/>
      <c r="AC564" s="11"/>
      <c r="AD564" s="29"/>
      <c r="AE564" s="11"/>
      <c r="AF564" s="29"/>
      <c r="AG564" s="11"/>
      <c r="AH564" s="29"/>
      <c r="AI564" s="11"/>
      <c r="AJ564" s="29"/>
      <c r="AK564" s="29"/>
      <c r="AL564" s="29"/>
      <c r="AM564" s="11"/>
      <c r="AN564" s="29"/>
      <c r="AO564" s="29"/>
      <c r="AP564" s="6"/>
      <c r="AQ564" s="113">
        <f>IF(AND(I564="",K564="",AF564="",AL564="",AN564="",O564=""),"",IF(OR(I564="SIM",K564="SIM",AF564="SIM",AL564="SIM",AN564="Dados pessoais",AN564="Dados sensíveis",AN564="Dados pessoais e sensíveis",O564="Acima de 10.000 titulares por mês"),"SIM - Alta criticidade",IF((IF(I564="SIM",2,0)+IF(K564="SIM",2,0)+IF(AF564="SIM",2,0)+IF(OR(AN564="Dados pessoais",AN564="Dados sensíveis",AN564="Dados pessoais e sensíveis"),2,0)+IF(O564="De 1.001 a 10.000 titulares por mês",1,0)+IF(AA564="SIM",1,0)+IF(R564="SIM",1,0)+IF(AL564="SIM",1,0)+IF(AJ564="NÃO",1,0))&gt;=5,"SIM - Alta criticidade",IF((IF(I564="SIM",2,0)+IF(K564="SIM",2,0)+IF(AF564="SIM",2,0)+IF(OR(AN564="Dados pessoais",AN564="Dados sensíveis",AN564="Dados pessoais e sensíveis"),2,0)+IF(O564="De 1.001 a 10.000 titulares por mês",1,0)+IF(AA564="SIM",1,0)+IF(R564="SIM",1,0)+IF(AL564="SIM",1,0)+IF(AJ564="NÃO",1,0))&gt;=3,"Avaliação necessária","NÃO"))))</f>
      </c>
      <c r="AR564" s="11"/>
      <c r="AS564" s="113">
        <f>IF(AND(I564="",K564="",AF564="",AL564="",AN564="",O564=""),"",IF(OR(I564="SIM",K564="SIM",AF564="SIM",AL564="SIM",OR(AN564="Dados pessoais",AN564="Dados sensíveis",AN564="Dados pessoais e sensíveis"),O564="Acima de 10.000 titulares por mês",(IF(I564="SIM",2,0)+IF(K564="SIM",2,0)+IF(AF564="SIM",2,0)+IF(OR(AN564="Dados pessoais",AN564="Dados sensíveis",AN564="Dados pessoais e sensíveis"),2,0)+IF(O564="De 1.001 a 10.000 titulares por mês",1,0)+IF(AA564="SIM",1,0)+IF(R564="SIM",1,0)+IF(AL564="SIM",1,0)+IF(AJ564="NÃO",1,0))&gt;=3),"DPIA indicado ou em avaliação em razão de: " &amp; TRIM(IF(I564="SIM","tratamento de dados sensíveis; ","") &amp; IF(K564="SIM","utilização de dados de menores; ","") &amp; IF(AF564="SIM","transferência internacional de dados; ","") &amp; IF(AL564="SIM","utilização de inteligência artificial; ","") &amp; IF(OR(AN564="Dados pessoais",AN564="Dados sensíveis",AN564="Dados pessoais e sensíveis"),"dados inseridos em IA; ","") &amp; IF(O564="Acima de 10.000 titulares por mês","volume crítico de titulares; ","") &amp; IF(O564="De 1.001 a 10.000 titulares por mês","volume moderado de titulares; ","") &amp; IF(AA564="SIM","compartilhamento com terceiros; ","") &amp; IF(R564="SIM","compartilhamento com órgãos governamentais; ","") &amp; IF(AJ564="NÃO","ausência de controle de acesso por perfil; ","")),"DPIA não indicado: Processo de baixa criticidade."))</f>
      </c>
    </row>
    <row x14ac:dyDescent="0.25" r="565" customHeight="1" ht="15.75">
      <c r="A565" s="46"/>
      <c r="B565" s="6"/>
      <c r="C565" s="11"/>
      <c r="D565" s="11"/>
      <c r="E565" s="11"/>
      <c r="F565" s="29"/>
      <c r="G565" s="11"/>
      <c r="H565" s="11"/>
      <c r="I565" s="29"/>
      <c r="J565" s="11"/>
      <c r="K565" s="29"/>
      <c r="L565" s="11"/>
      <c r="M565" s="11"/>
      <c r="N565" s="11"/>
      <c r="O565" s="29"/>
      <c r="P565" s="29"/>
      <c r="Q565" s="11"/>
      <c r="R565" s="29"/>
      <c r="S565" s="11"/>
      <c r="T565" s="6"/>
      <c r="U565" s="29"/>
      <c r="V565" s="11"/>
      <c r="W565" s="11"/>
      <c r="X565" s="29"/>
      <c r="Y565" s="11"/>
      <c r="Z565" s="29"/>
      <c r="AA565" s="29"/>
      <c r="AB565" s="11"/>
      <c r="AC565" s="11"/>
      <c r="AD565" s="29"/>
      <c r="AE565" s="11"/>
      <c r="AF565" s="29"/>
      <c r="AG565" s="11"/>
      <c r="AH565" s="29"/>
      <c r="AI565" s="11"/>
      <c r="AJ565" s="29"/>
      <c r="AK565" s="29"/>
      <c r="AL565" s="29"/>
      <c r="AM565" s="11"/>
      <c r="AN565" s="29"/>
      <c r="AO565" s="29"/>
      <c r="AP565" s="6"/>
      <c r="AQ565" s="113">
        <f>IF(AND(I565="",K565="",AF565="",AL565="",AN565="",O565=""),"",IF(OR(I565="SIM",K565="SIM",AF565="SIM",AL565="SIM",AN565="Dados pessoais",AN565="Dados sensíveis",AN565="Dados pessoais e sensíveis",O565="Acima de 10.000 titulares por mês"),"SIM - Alta criticidade",IF((IF(I565="SIM",2,0)+IF(K565="SIM",2,0)+IF(AF565="SIM",2,0)+IF(OR(AN565="Dados pessoais",AN565="Dados sensíveis",AN565="Dados pessoais e sensíveis"),2,0)+IF(O565="De 1.001 a 10.000 titulares por mês",1,0)+IF(AA565="SIM",1,0)+IF(R565="SIM",1,0)+IF(AL565="SIM",1,0)+IF(AJ565="NÃO",1,0))&gt;=5,"SIM - Alta criticidade",IF((IF(I565="SIM",2,0)+IF(K565="SIM",2,0)+IF(AF565="SIM",2,0)+IF(OR(AN565="Dados pessoais",AN565="Dados sensíveis",AN565="Dados pessoais e sensíveis"),2,0)+IF(O565="De 1.001 a 10.000 titulares por mês",1,0)+IF(AA565="SIM",1,0)+IF(R565="SIM",1,0)+IF(AL565="SIM",1,0)+IF(AJ565="NÃO",1,0))&gt;=3,"Avaliação necessária","NÃO"))))</f>
      </c>
      <c r="AR565" s="11"/>
      <c r="AS565" s="113">
        <f>IF(AND(I565="",K565="",AF565="",AL565="",AN565="",O565=""),"",IF(OR(I565="SIM",K565="SIM",AF565="SIM",AL565="SIM",OR(AN565="Dados pessoais",AN565="Dados sensíveis",AN565="Dados pessoais e sensíveis"),O565="Acima de 10.000 titulares por mês",(IF(I565="SIM",2,0)+IF(K565="SIM",2,0)+IF(AF565="SIM",2,0)+IF(OR(AN565="Dados pessoais",AN565="Dados sensíveis",AN565="Dados pessoais e sensíveis"),2,0)+IF(O565="De 1.001 a 10.000 titulares por mês",1,0)+IF(AA565="SIM",1,0)+IF(R565="SIM",1,0)+IF(AL565="SIM",1,0)+IF(AJ565="NÃO",1,0))&gt;=3),"DPIA indicado ou em avaliação em razão de: " &amp; TRIM(IF(I565="SIM","tratamento de dados sensíveis; ","") &amp; IF(K565="SIM","utilização de dados de menores; ","") &amp; IF(AF565="SIM","transferência internacional de dados; ","") &amp; IF(AL565="SIM","utilização de inteligência artificial; ","") &amp; IF(OR(AN565="Dados pessoais",AN565="Dados sensíveis",AN565="Dados pessoais e sensíveis"),"dados inseridos em IA; ","") &amp; IF(O565="Acima de 10.000 titulares por mês","volume crítico de titulares; ","") &amp; IF(O565="De 1.001 a 10.000 titulares por mês","volume moderado de titulares; ","") &amp; IF(AA565="SIM","compartilhamento com terceiros; ","") &amp; IF(R565="SIM","compartilhamento com órgãos governamentais; ","") &amp; IF(AJ565="NÃO","ausência de controle de acesso por perfil; ","")),"DPIA não indicado: Processo de baixa criticidade."))</f>
      </c>
    </row>
    <row x14ac:dyDescent="0.25" r="566" customHeight="1" ht="15.75">
      <c r="A566" s="46"/>
      <c r="B566" s="6"/>
      <c r="C566" s="11"/>
      <c r="D566" s="11"/>
      <c r="E566" s="11"/>
      <c r="F566" s="29"/>
      <c r="G566" s="11"/>
      <c r="H566" s="11"/>
      <c r="I566" s="29"/>
      <c r="J566" s="11"/>
      <c r="K566" s="29"/>
      <c r="L566" s="11"/>
      <c r="M566" s="11"/>
      <c r="N566" s="11"/>
      <c r="O566" s="29"/>
      <c r="P566" s="29"/>
      <c r="Q566" s="11"/>
      <c r="R566" s="29"/>
      <c r="S566" s="11"/>
      <c r="T566" s="6"/>
      <c r="U566" s="29"/>
      <c r="V566" s="11"/>
      <c r="W566" s="11"/>
      <c r="X566" s="29"/>
      <c r="Y566" s="11"/>
      <c r="Z566" s="29"/>
      <c r="AA566" s="29"/>
      <c r="AB566" s="11"/>
      <c r="AC566" s="11"/>
      <c r="AD566" s="29"/>
      <c r="AE566" s="11"/>
      <c r="AF566" s="29"/>
      <c r="AG566" s="11"/>
      <c r="AH566" s="29"/>
      <c r="AI566" s="11"/>
      <c r="AJ566" s="29"/>
      <c r="AK566" s="29"/>
      <c r="AL566" s="29"/>
      <c r="AM566" s="11"/>
      <c r="AN566" s="29"/>
      <c r="AO566" s="29"/>
      <c r="AP566" s="6"/>
      <c r="AQ566" s="113">
        <f>IF(AND(I566="",K566="",AF566="",AL566="",AN566="",O566=""),"",IF(OR(I566="SIM",K566="SIM",AF566="SIM",AL566="SIM",AN566="Dados pessoais",AN566="Dados sensíveis",AN566="Dados pessoais e sensíveis",O566="Acima de 10.000 titulares por mês"),"SIM - Alta criticidade",IF((IF(I566="SIM",2,0)+IF(K566="SIM",2,0)+IF(AF566="SIM",2,0)+IF(OR(AN566="Dados pessoais",AN566="Dados sensíveis",AN566="Dados pessoais e sensíveis"),2,0)+IF(O566="De 1.001 a 10.000 titulares por mês",1,0)+IF(AA566="SIM",1,0)+IF(R566="SIM",1,0)+IF(AL566="SIM",1,0)+IF(AJ566="NÃO",1,0))&gt;=5,"SIM - Alta criticidade",IF((IF(I566="SIM",2,0)+IF(K566="SIM",2,0)+IF(AF566="SIM",2,0)+IF(OR(AN566="Dados pessoais",AN566="Dados sensíveis",AN566="Dados pessoais e sensíveis"),2,0)+IF(O566="De 1.001 a 10.000 titulares por mês",1,0)+IF(AA566="SIM",1,0)+IF(R566="SIM",1,0)+IF(AL566="SIM",1,0)+IF(AJ566="NÃO",1,0))&gt;=3,"Avaliação necessária","NÃO"))))</f>
      </c>
      <c r="AR566" s="11"/>
      <c r="AS566" s="113">
        <f>IF(AND(I566="",K566="",AF566="",AL566="",AN566="",O566=""),"",IF(OR(I566="SIM",K566="SIM",AF566="SIM",AL566="SIM",OR(AN566="Dados pessoais",AN566="Dados sensíveis",AN566="Dados pessoais e sensíveis"),O566="Acima de 10.000 titulares por mês",(IF(I566="SIM",2,0)+IF(K566="SIM",2,0)+IF(AF566="SIM",2,0)+IF(OR(AN566="Dados pessoais",AN566="Dados sensíveis",AN566="Dados pessoais e sensíveis"),2,0)+IF(O566="De 1.001 a 10.000 titulares por mês",1,0)+IF(AA566="SIM",1,0)+IF(R566="SIM",1,0)+IF(AL566="SIM",1,0)+IF(AJ566="NÃO",1,0))&gt;=3),"DPIA indicado ou em avaliação em razão de: " &amp; TRIM(IF(I566="SIM","tratamento de dados sensíveis; ","") &amp; IF(K566="SIM","utilização de dados de menores; ","") &amp; IF(AF566="SIM","transferência internacional de dados; ","") &amp; IF(AL566="SIM","utilização de inteligência artificial; ","") &amp; IF(OR(AN566="Dados pessoais",AN566="Dados sensíveis",AN566="Dados pessoais e sensíveis"),"dados inseridos em IA; ","") &amp; IF(O566="Acima de 10.000 titulares por mês","volume crítico de titulares; ","") &amp; IF(O566="De 1.001 a 10.000 titulares por mês","volume moderado de titulares; ","") &amp; IF(AA566="SIM","compartilhamento com terceiros; ","") &amp; IF(R566="SIM","compartilhamento com órgãos governamentais; ","") &amp; IF(AJ566="NÃO","ausência de controle de acesso por perfil; ","")),"DPIA não indicado: Processo de baixa criticidade."))</f>
      </c>
    </row>
    <row x14ac:dyDescent="0.25" r="567" customHeight="1" ht="15.75">
      <c r="A567" s="46"/>
      <c r="B567" s="6"/>
      <c r="C567" s="11"/>
      <c r="D567" s="11"/>
      <c r="E567" s="11"/>
      <c r="F567" s="29"/>
      <c r="G567" s="11"/>
      <c r="H567" s="11"/>
      <c r="I567" s="29"/>
      <c r="J567" s="11"/>
      <c r="K567" s="29"/>
      <c r="L567" s="11"/>
      <c r="M567" s="11"/>
      <c r="N567" s="11"/>
      <c r="O567" s="29"/>
      <c r="P567" s="29"/>
      <c r="Q567" s="11"/>
      <c r="R567" s="29"/>
      <c r="S567" s="11"/>
      <c r="T567" s="6"/>
      <c r="U567" s="29"/>
      <c r="V567" s="11"/>
      <c r="W567" s="11"/>
      <c r="X567" s="29"/>
      <c r="Y567" s="11"/>
      <c r="Z567" s="29"/>
      <c r="AA567" s="29"/>
      <c r="AB567" s="11"/>
      <c r="AC567" s="11"/>
      <c r="AD567" s="29"/>
      <c r="AE567" s="11"/>
      <c r="AF567" s="29"/>
      <c r="AG567" s="11"/>
      <c r="AH567" s="29"/>
      <c r="AI567" s="11"/>
      <c r="AJ567" s="29"/>
      <c r="AK567" s="29"/>
      <c r="AL567" s="29"/>
      <c r="AM567" s="11"/>
      <c r="AN567" s="29"/>
      <c r="AO567" s="29"/>
      <c r="AP567" s="6"/>
      <c r="AQ567" s="113">
        <f>IF(AND(I567="",K567="",AF567="",AL567="",AN567="",O567=""),"",IF(OR(I567="SIM",K567="SIM",AF567="SIM",AL567="SIM",AN567="Dados pessoais",AN567="Dados sensíveis",AN567="Dados pessoais e sensíveis",O567="Acima de 10.000 titulares por mês"),"SIM - Alta criticidade",IF((IF(I567="SIM",2,0)+IF(K567="SIM",2,0)+IF(AF567="SIM",2,0)+IF(OR(AN567="Dados pessoais",AN567="Dados sensíveis",AN567="Dados pessoais e sensíveis"),2,0)+IF(O567="De 1.001 a 10.000 titulares por mês",1,0)+IF(AA567="SIM",1,0)+IF(R567="SIM",1,0)+IF(AL567="SIM",1,0)+IF(AJ567="NÃO",1,0))&gt;=5,"SIM - Alta criticidade",IF((IF(I567="SIM",2,0)+IF(K567="SIM",2,0)+IF(AF567="SIM",2,0)+IF(OR(AN567="Dados pessoais",AN567="Dados sensíveis",AN567="Dados pessoais e sensíveis"),2,0)+IF(O567="De 1.001 a 10.000 titulares por mês",1,0)+IF(AA567="SIM",1,0)+IF(R567="SIM",1,0)+IF(AL567="SIM",1,0)+IF(AJ567="NÃO",1,0))&gt;=3,"Avaliação necessária","NÃO"))))</f>
      </c>
      <c r="AR567" s="11"/>
      <c r="AS567" s="113">
        <f>IF(AND(I567="",K567="",AF567="",AL567="",AN567="",O567=""),"",IF(OR(I567="SIM",K567="SIM",AF567="SIM",AL567="SIM",OR(AN567="Dados pessoais",AN567="Dados sensíveis",AN567="Dados pessoais e sensíveis"),O567="Acima de 10.000 titulares por mês",(IF(I567="SIM",2,0)+IF(K567="SIM",2,0)+IF(AF567="SIM",2,0)+IF(OR(AN567="Dados pessoais",AN567="Dados sensíveis",AN567="Dados pessoais e sensíveis"),2,0)+IF(O567="De 1.001 a 10.000 titulares por mês",1,0)+IF(AA567="SIM",1,0)+IF(R567="SIM",1,0)+IF(AL567="SIM",1,0)+IF(AJ567="NÃO",1,0))&gt;=3),"DPIA indicado ou em avaliação em razão de: " &amp; TRIM(IF(I567="SIM","tratamento de dados sensíveis; ","") &amp; IF(K567="SIM","utilização de dados de menores; ","") &amp; IF(AF567="SIM","transferência internacional de dados; ","") &amp; IF(AL567="SIM","utilização de inteligência artificial; ","") &amp; IF(OR(AN567="Dados pessoais",AN567="Dados sensíveis",AN567="Dados pessoais e sensíveis"),"dados inseridos em IA; ","") &amp; IF(O567="Acima de 10.000 titulares por mês","volume crítico de titulares; ","") &amp; IF(O567="De 1.001 a 10.000 titulares por mês","volume moderado de titulares; ","") &amp; IF(AA567="SIM","compartilhamento com terceiros; ","") &amp; IF(R567="SIM","compartilhamento com órgãos governamentais; ","") &amp; IF(AJ567="NÃO","ausência de controle de acesso por perfil; ","")),"DPIA não indicado: Processo de baixa criticidade."))</f>
      </c>
    </row>
    <row x14ac:dyDescent="0.25" r="568" customHeight="1" ht="15.75">
      <c r="A568" s="46"/>
      <c r="B568" s="6"/>
      <c r="C568" s="11"/>
      <c r="D568" s="11"/>
      <c r="E568" s="11"/>
      <c r="F568" s="29"/>
      <c r="G568" s="11"/>
      <c r="H568" s="11"/>
      <c r="I568" s="29"/>
      <c r="J568" s="11"/>
      <c r="K568" s="29"/>
      <c r="L568" s="11"/>
      <c r="M568" s="11"/>
      <c r="N568" s="11"/>
      <c r="O568" s="29"/>
      <c r="P568" s="29"/>
      <c r="Q568" s="11"/>
      <c r="R568" s="29"/>
      <c r="S568" s="11"/>
      <c r="T568" s="6"/>
      <c r="U568" s="29"/>
      <c r="V568" s="11"/>
      <c r="W568" s="11"/>
      <c r="X568" s="29"/>
      <c r="Y568" s="11"/>
      <c r="Z568" s="29"/>
      <c r="AA568" s="29"/>
      <c r="AB568" s="11"/>
      <c r="AC568" s="11"/>
      <c r="AD568" s="29"/>
      <c r="AE568" s="11"/>
      <c r="AF568" s="29"/>
      <c r="AG568" s="11"/>
      <c r="AH568" s="29"/>
      <c r="AI568" s="11"/>
      <c r="AJ568" s="29"/>
      <c r="AK568" s="29"/>
      <c r="AL568" s="29"/>
      <c r="AM568" s="11"/>
      <c r="AN568" s="29"/>
      <c r="AO568" s="29"/>
      <c r="AP568" s="6"/>
      <c r="AQ568" s="113">
        <f>IF(AND(I568="",K568="",AF568="",AL568="",AN568="",O568=""),"",IF(OR(I568="SIM",K568="SIM",AF568="SIM",AL568="SIM",AN568="Dados pessoais",AN568="Dados sensíveis",AN568="Dados pessoais e sensíveis",O568="Acima de 10.000 titulares por mês"),"SIM - Alta criticidade",IF((IF(I568="SIM",2,0)+IF(K568="SIM",2,0)+IF(AF568="SIM",2,0)+IF(OR(AN568="Dados pessoais",AN568="Dados sensíveis",AN568="Dados pessoais e sensíveis"),2,0)+IF(O568="De 1.001 a 10.000 titulares por mês",1,0)+IF(AA568="SIM",1,0)+IF(R568="SIM",1,0)+IF(AL568="SIM",1,0)+IF(AJ568="NÃO",1,0))&gt;=5,"SIM - Alta criticidade",IF((IF(I568="SIM",2,0)+IF(K568="SIM",2,0)+IF(AF568="SIM",2,0)+IF(OR(AN568="Dados pessoais",AN568="Dados sensíveis",AN568="Dados pessoais e sensíveis"),2,0)+IF(O568="De 1.001 a 10.000 titulares por mês",1,0)+IF(AA568="SIM",1,0)+IF(R568="SIM",1,0)+IF(AL568="SIM",1,0)+IF(AJ568="NÃO",1,0))&gt;=3,"Avaliação necessária","NÃO"))))</f>
      </c>
      <c r="AR568" s="11"/>
      <c r="AS568" s="113">
        <f>IF(AND(I568="",K568="",AF568="",AL568="",AN568="",O568=""),"",IF(OR(I568="SIM",K568="SIM",AF568="SIM",AL568="SIM",OR(AN568="Dados pessoais",AN568="Dados sensíveis",AN568="Dados pessoais e sensíveis"),O568="Acima de 10.000 titulares por mês",(IF(I568="SIM",2,0)+IF(K568="SIM",2,0)+IF(AF568="SIM",2,0)+IF(OR(AN568="Dados pessoais",AN568="Dados sensíveis",AN568="Dados pessoais e sensíveis"),2,0)+IF(O568="De 1.001 a 10.000 titulares por mês",1,0)+IF(AA568="SIM",1,0)+IF(R568="SIM",1,0)+IF(AL568="SIM",1,0)+IF(AJ568="NÃO",1,0))&gt;=3),"DPIA indicado ou em avaliação em razão de: " &amp; TRIM(IF(I568="SIM","tratamento de dados sensíveis; ","") &amp; IF(K568="SIM","utilização de dados de menores; ","") &amp; IF(AF568="SIM","transferência internacional de dados; ","") &amp; IF(AL568="SIM","utilização de inteligência artificial; ","") &amp; IF(OR(AN568="Dados pessoais",AN568="Dados sensíveis",AN568="Dados pessoais e sensíveis"),"dados inseridos em IA; ","") &amp; IF(O568="Acima de 10.000 titulares por mês","volume crítico de titulares; ","") &amp; IF(O568="De 1.001 a 10.000 titulares por mês","volume moderado de titulares; ","") &amp; IF(AA568="SIM","compartilhamento com terceiros; ","") &amp; IF(R568="SIM","compartilhamento com órgãos governamentais; ","") &amp; IF(AJ568="NÃO","ausência de controle de acesso por perfil; ","")),"DPIA não indicado: Processo de baixa criticidade."))</f>
      </c>
    </row>
    <row x14ac:dyDescent="0.25" r="569" customHeight="1" ht="15.75">
      <c r="A569" s="46"/>
      <c r="B569" s="6"/>
      <c r="C569" s="11"/>
      <c r="D569" s="11"/>
      <c r="E569" s="11"/>
      <c r="F569" s="29"/>
      <c r="G569" s="11"/>
      <c r="H569" s="11"/>
      <c r="I569" s="29"/>
      <c r="J569" s="11"/>
      <c r="K569" s="29"/>
      <c r="L569" s="11"/>
      <c r="M569" s="11"/>
      <c r="N569" s="11"/>
      <c r="O569" s="29"/>
      <c r="P569" s="29"/>
      <c r="Q569" s="11"/>
      <c r="R569" s="29"/>
      <c r="S569" s="11"/>
      <c r="T569" s="6"/>
      <c r="U569" s="29"/>
      <c r="V569" s="11"/>
      <c r="W569" s="11"/>
      <c r="X569" s="29"/>
      <c r="Y569" s="11"/>
      <c r="Z569" s="29"/>
      <c r="AA569" s="29"/>
      <c r="AB569" s="11"/>
      <c r="AC569" s="11"/>
      <c r="AD569" s="29"/>
      <c r="AE569" s="11"/>
      <c r="AF569" s="29"/>
      <c r="AG569" s="11"/>
      <c r="AH569" s="29"/>
      <c r="AI569" s="11"/>
      <c r="AJ569" s="29"/>
      <c r="AK569" s="29"/>
      <c r="AL569" s="29"/>
      <c r="AM569" s="11"/>
      <c r="AN569" s="29"/>
      <c r="AO569" s="29"/>
      <c r="AP569" s="6"/>
      <c r="AQ569" s="113">
        <f>IF(AND(I569="",K569="",AF569="",AL569="",AN569="",O569=""),"",IF(OR(I569="SIM",K569="SIM",AF569="SIM",AL569="SIM",AN569="Dados pessoais",AN569="Dados sensíveis",AN569="Dados pessoais e sensíveis",O569="Acima de 10.000 titulares por mês"),"SIM - Alta criticidade",IF((IF(I569="SIM",2,0)+IF(K569="SIM",2,0)+IF(AF569="SIM",2,0)+IF(OR(AN569="Dados pessoais",AN569="Dados sensíveis",AN569="Dados pessoais e sensíveis"),2,0)+IF(O569="De 1.001 a 10.000 titulares por mês",1,0)+IF(AA569="SIM",1,0)+IF(R569="SIM",1,0)+IF(AL569="SIM",1,0)+IF(AJ569="NÃO",1,0))&gt;=5,"SIM - Alta criticidade",IF((IF(I569="SIM",2,0)+IF(K569="SIM",2,0)+IF(AF569="SIM",2,0)+IF(OR(AN569="Dados pessoais",AN569="Dados sensíveis",AN569="Dados pessoais e sensíveis"),2,0)+IF(O569="De 1.001 a 10.000 titulares por mês",1,0)+IF(AA569="SIM",1,0)+IF(R569="SIM",1,0)+IF(AL569="SIM",1,0)+IF(AJ569="NÃO",1,0))&gt;=3,"Avaliação necessária","NÃO"))))</f>
      </c>
      <c r="AR569" s="11"/>
      <c r="AS569" s="113">
        <f>IF(AND(I569="",K569="",AF569="",AL569="",AN569="",O569=""),"",IF(OR(I569="SIM",K569="SIM",AF569="SIM",AL569="SIM",OR(AN569="Dados pessoais",AN569="Dados sensíveis",AN569="Dados pessoais e sensíveis"),O569="Acima de 10.000 titulares por mês",(IF(I569="SIM",2,0)+IF(K569="SIM",2,0)+IF(AF569="SIM",2,0)+IF(OR(AN569="Dados pessoais",AN569="Dados sensíveis",AN569="Dados pessoais e sensíveis"),2,0)+IF(O569="De 1.001 a 10.000 titulares por mês",1,0)+IF(AA569="SIM",1,0)+IF(R569="SIM",1,0)+IF(AL569="SIM",1,0)+IF(AJ569="NÃO",1,0))&gt;=3),"DPIA indicado ou em avaliação em razão de: " &amp; TRIM(IF(I569="SIM","tratamento de dados sensíveis; ","") &amp; IF(K569="SIM","utilização de dados de menores; ","") &amp; IF(AF569="SIM","transferência internacional de dados; ","") &amp; IF(AL569="SIM","utilização de inteligência artificial; ","") &amp; IF(OR(AN569="Dados pessoais",AN569="Dados sensíveis",AN569="Dados pessoais e sensíveis"),"dados inseridos em IA; ","") &amp; IF(O569="Acima de 10.000 titulares por mês","volume crítico de titulares; ","") &amp; IF(O569="De 1.001 a 10.000 titulares por mês","volume moderado de titulares; ","") &amp; IF(AA569="SIM","compartilhamento com terceiros; ","") &amp; IF(R569="SIM","compartilhamento com órgãos governamentais; ","") &amp; IF(AJ569="NÃO","ausência de controle de acesso por perfil; ","")),"DPIA não indicado: Processo de baixa criticidade."))</f>
      </c>
    </row>
    <row x14ac:dyDescent="0.25" r="570" customHeight="1" ht="15.75">
      <c r="A570" s="46"/>
      <c r="B570" s="6"/>
      <c r="C570" s="11"/>
      <c r="D570" s="11"/>
      <c r="E570" s="11"/>
      <c r="F570" s="29"/>
      <c r="G570" s="11"/>
      <c r="H570" s="11"/>
      <c r="I570" s="29"/>
      <c r="J570" s="11"/>
      <c r="K570" s="29"/>
      <c r="L570" s="11"/>
      <c r="M570" s="11"/>
      <c r="N570" s="11"/>
      <c r="O570" s="29"/>
      <c r="P570" s="29"/>
      <c r="Q570" s="11"/>
      <c r="R570" s="29"/>
      <c r="S570" s="11"/>
      <c r="T570" s="6"/>
      <c r="U570" s="29"/>
      <c r="V570" s="11"/>
      <c r="W570" s="11"/>
      <c r="X570" s="29"/>
      <c r="Y570" s="11"/>
      <c r="Z570" s="29"/>
      <c r="AA570" s="29"/>
      <c r="AB570" s="11"/>
      <c r="AC570" s="11"/>
      <c r="AD570" s="29"/>
      <c r="AE570" s="11"/>
      <c r="AF570" s="29"/>
      <c r="AG570" s="11"/>
      <c r="AH570" s="29"/>
      <c r="AI570" s="11"/>
      <c r="AJ570" s="29"/>
      <c r="AK570" s="29"/>
      <c r="AL570" s="29"/>
      <c r="AM570" s="11"/>
      <c r="AN570" s="29"/>
      <c r="AO570" s="29"/>
      <c r="AP570" s="6"/>
      <c r="AQ570" s="113">
        <f>IF(AND(I570="",K570="",AF570="",AL570="",AN570="",O570=""),"",IF(OR(I570="SIM",K570="SIM",AF570="SIM",AL570="SIM",AN570="Dados pessoais",AN570="Dados sensíveis",AN570="Dados pessoais e sensíveis",O570="Acima de 10.000 titulares por mês"),"SIM - Alta criticidade",IF((IF(I570="SIM",2,0)+IF(K570="SIM",2,0)+IF(AF570="SIM",2,0)+IF(OR(AN570="Dados pessoais",AN570="Dados sensíveis",AN570="Dados pessoais e sensíveis"),2,0)+IF(O570="De 1.001 a 10.000 titulares por mês",1,0)+IF(AA570="SIM",1,0)+IF(R570="SIM",1,0)+IF(AL570="SIM",1,0)+IF(AJ570="NÃO",1,0))&gt;=5,"SIM - Alta criticidade",IF((IF(I570="SIM",2,0)+IF(K570="SIM",2,0)+IF(AF570="SIM",2,0)+IF(OR(AN570="Dados pessoais",AN570="Dados sensíveis",AN570="Dados pessoais e sensíveis"),2,0)+IF(O570="De 1.001 a 10.000 titulares por mês",1,0)+IF(AA570="SIM",1,0)+IF(R570="SIM",1,0)+IF(AL570="SIM",1,0)+IF(AJ570="NÃO",1,0))&gt;=3,"Avaliação necessária","NÃO"))))</f>
      </c>
      <c r="AR570" s="11"/>
      <c r="AS570" s="113">
        <f>IF(AND(I570="",K570="",AF570="",AL570="",AN570="",O570=""),"",IF(OR(I570="SIM",K570="SIM",AF570="SIM",AL570="SIM",OR(AN570="Dados pessoais",AN570="Dados sensíveis",AN570="Dados pessoais e sensíveis"),O570="Acima de 10.000 titulares por mês",(IF(I570="SIM",2,0)+IF(K570="SIM",2,0)+IF(AF570="SIM",2,0)+IF(OR(AN570="Dados pessoais",AN570="Dados sensíveis",AN570="Dados pessoais e sensíveis"),2,0)+IF(O570="De 1.001 a 10.000 titulares por mês",1,0)+IF(AA570="SIM",1,0)+IF(R570="SIM",1,0)+IF(AL570="SIM",1,0)+IF(AJ570="NÃO",1,0))&gt;=3),"DPIA indicado ou em avaliação em razão de: " &amp; TRIM(IF(I570="SIM","tratamento de dados sensíveis; ","") &amp; IF(K570="SIM","utilização de dados de menores; ","") &amp; IF(AF570="SIM","transferência internacional de dados; ","") &amp; IF(AL570="SIM","utilização de inteligência artificial; ","") &amp; IF(OR(AN570="Dados pessoais",AN570="Dados sensíveis",AN570="Dados pessoais e sensíveis"),"dados inseridos em IA; ","") &amp; IF(O570="Acima de 10.000 titulares por mês","volume crítico de titulares; ","") &amp; IF(O570="De 1.001 a 10.000 titulares por mês","volume moderado de titulares; ","") &amp; IF(AA570="SIM","compartilhamento com terceiros; ","") &amp; IF(R570="SIM","compartilhamento com órgãos governamentais; ","") &amp; IF(AJ570="NÃO","ausência de controle de acesso por perfil; ","")),"DPIA não indicado: Processo de baixa criticidade."))</f>
      </c>
    </row>
    <row x14ac:dyDescent="0.25" r="571" customHeight="1" ht="15.75">
      <c r="A571" s="46"/>
      <c r="B571" s="6"/>
      <c r="C571" s="11"/>
      <c r="D571" s="11"/>
      <c r="E571" s="11"/>
      <c r="F571" s="29"/>
      <c r="G571" s="11"/>
      <c r="H571" s="11"/>
      <c r="I571" s="29"/>
      <c r="J571" s="11"/>
      <c r="K571" s="29"/>
      <c r="L571" s="11"/>
      <c r="M571" s="11"/>
      <c r="N571" s="11"/>
      <c r="O571" s="29"/>
      <c r="P571" s="29"/>
      <c r="Q571" s="11"/>
      <c r="R571" s="29"/>
      <c r="S571" s="11"/>
      <c r="T571" s="6"/>
      <c r="U571" s="29"/>
      <c r="V571" s="11"/>
      <c r="W571" s="11"/>
      <c r="X571" s="29"/>
      <c r="Y571" s="11"/>
      <c r="Z571" s="29"/>
      <c r="AA571" s="29"/>
      <c r="AB571" s="11"/>
      <c r="AC571" s="11"/>
      <c r="AD571" s="29"/>
      <c r="AE571" s="11"/>
      <c r="AF571" s="29"/>
      <c r="AG571" s="11"/>
      <c r="AH571" s="29"/>
      <c r="AI571" s="11"/>
      <c r="AJ571" s="29"/>
      <c r="AK571" s="29"/>
      <c r="AL571" s="29"/>
      <c r="AM571" s="11"/>
      <c r="AN571" s="29"/>
      <c r="AO571" s="29"/>
      <c r="AP571" s="6"/>
      <c r="AQ571" s="113">
        <f>IF(AND(I571="",K571="",AF571="",AL571="",AN571="",O571=""),"",IF(OR(I571="SIM",K571="SIM",AF571="SIM",AL571="SIM",AN571="Dados pessoais",AN571="Dados sensíveis",AN571="Dados pessoais e sensíveis",O571="Acima de 10.000 titulares por mês"),"SIM - Alta criticidade",IF((IF(I571="SIM",2,0)+IF(K571="SIM",2,0)+IF(AF571="SIM",2,0)+IF(OR(AN571="Dados pessoais",AN571="Dados sensíveis",AN571="Dados pessoais e sensíveis"),2,0)+IF(O571="De 1.001 a 10.000 titulares por mês",1,0)+IF(AA571="SIM",1,0)+IF(R571="SIM",1,0)+IF(AL571="SIM",1,0)+IF(AJ571="NÃO",1,0))&gt;=5,"SIM - Alta criticidade",IF((IF(I571="SIM",2,0)+IF(K571="SIM",2,0)+IF(AF571="SIM",2,0)+IF(OR(AN571="Dados pessoais",AN571="Dados sensíveis",AN571="Dados pessoais e sensíveis"),2,0)+IF(O571="De 1.001 a 10.000 titulares por mês",1,0)+IF(AA571="SIM",1,0)+IF(R571="SIM",1,0)+IF(AL571="SIM",1,0)+IF(AJ571="NÃO",1,0))&gt;=3,"Avaliação necessária","NÃO"))))</f>
      </c>
      <c r="AR571" s="11"/>
      <c r="AS571" s="113">
        <f>IF(AND(I571="",K571="",AF571="",AL571="",AN571="",O571=""),"",IF(OR(I571="SIM",K571="SIM",AF571="SIM",AL571="SIM",OR(AN571="Dados pessoais",AN571="Dados sensíveis",AN571="Dados pessoais e sensíveis"),O571="Acima de 10.000 titulares por mês",(IF(I571="SIM",2,0)+IF(K571="SIM",2,0)+IF(AF571="SIM",2,0)+IF(OR(AN571="Dados pessoais",AN571="Dados sensíveis",AN571="Dados pessoais e sensíveis"),2,0)+IF(O571="De 1.001 a 10.000 titulares por mês",1,0)+IF(AA571="SIM",1,0)+IF(R571="SIM",1,0)+IF(AL571="SIM",1,0)+IF(AJ571="NÃO",1,0))&gt;=3),"DPIA indicado ou em avaliação em razão de: " &amp; TRIM(IF(I571="SIM","tratamento de dados sensíveis; ","") &amp; IF(K571="SIM","utilização de dados de menores; ","") &amp; IF(AF571="SIM","transferência internacional de dados; ","") &amp; IF(AL571="SIM","utilização de inteligência artificial; ","") &amp; IF(OR(AN571="Dados pessoais",AN571="Dados sensíveis",AN571="Dados pessoais e sensíveis"),"dados inseridos em IA; ","") &amp; IF(O571="Acima de 10.000 titulares por mês","volume crítico de titulares; ","") &amp; IF(O571="De 1.001 a 10.000 titulares por mês","volume moderado de titulares; ","") &amp; IF(AA571="SIM","compartilhamento com terceiros; ","") &amp; IF(R571="SIM","compartilhamento com órgãos governamentais; ","") &amp; IF(AJ571="NÃO","ausência de controle de acesso por perfil; ","")),"DPIA não indicado: Processo de baixa criticidade."))</f>
      </c>
    </row>
    <row x14ac:dyDescent="0.25" r="572" customHeight="1" ht="15.75">
      <c r="A572" s="46"/>
      <c r="B572" s="6"/>
      <c r="C572" s="11"/>
      <c r="D572" s="11"/>
      <c r="E572" s="11"/>
      <c r="F572" s="29"/>
      <c r="G572" s="11"/>
      <c r="H572" s="11"/>
      <c r="I572" s="29"/>
      <c r="J572" s="11"/>
      <c r="K572" s="29"/>
      <c r="L572" s="11"/>
      <c r="M572" s="11"/>
      <c r="N572" s="11"/>
      <c r="O572" s="29"/>
      <c r="P572" s="29"/>
      <c r="Q572" s="11"/>
      <c r="R572" s="29"/>
      <c r="S572" s="11"/>
      <c r="T572" s="6"/>
      <c r="U572" s="29"/>
      <c r="V572" s="11"/>
      <c r="W572" s="11"/>
      <c r="X572" s="29"/>
      <c r="Y572" s="11"/>
      <c r="Z572" s="29"/>
      <c r="AA572" s="29"/>
      <c r="AB572" s="11"/>
      <c r="AC572" s="11"/>
      <c r="AD572" s="29"/>
      <c r="AE572" s="11"/>
      <c r="AF572" s="29"/>
      <c r="AG572" s="11"/>
      <c r="AH572" s="29"/>
      <c r="AI572" s="11"/>
      <c r="AJ572" s="29"/>
      <c r="AK572" s="29"/>
      <c r="AL572" s="29"/>
      <c r="AM572" s="11"/>
      <c r="AN572" s="29"/>
      <c r="AO572" s="29"/>
      <c r="AP572" s="6"/>
      <c r="AQ572" s="113">
        <f>IF(AND(I572="",K572="",AF572="",AL572="",AN572="",O572=""),"",IF(OR(I572="SIM",K572="SIM",AF572="SIM",AL572="SIM",AN572="Dados pessoais",AN572="Dados sensíveis",AN572="Dados pessoais e sensíveis",O572="Acima de 10.000 titulares por mês"),"SIM - Alta criticidade",IF((IF(I572="SIM",2,0)+IF(K572="SIM",2,0)+IF(AF572="SIM",2,0)+IF(OR(AN572="Dados pessoais",AN572="Dados sensíveis",AN572="Dados pessoais e sensíveis"),2,0)+IF(O572="De 1.001 a 10.000 titulares por mês",1,0)+IF(AA572="SIM",1,0)+IF(R572="SIM",1,0)+IF(AL572="SIM",1,0)+IF(AJ572="NÃO",1,0))&gt;=5,"SIM - Alta criticidade",IF((IF(I572="SIM",2,0)+IF(K572="SIM",2,0)+IF(AF572="SIM",2,0)+IF(OR(AN572="Dados pessoais",AN572="Dados sensíveis",AN572="Dados pessoais e sensíveis"),2,0)+IF(O572="De 1.001 a 10.000 titulares por mês",1,0)+IF(AA572="SIM",1,0)+IF(R572="SIM",1,0)+IF(AL572="SIM",1,0)+IF(AJ572="NÃO",1,0))&gt;=3,"Avaliação necessária","NÃO"))))</f>
      </c>
      <c r="AR572" s="11"/>
      <c r="AS572" s="113">
        <f>IF(AND(I572="",K572="",AF572="",AL572="",AN572="",O572=""),"",IF(OR(I572="SIM",K572="SIM",AF572="SIM",AL572="SIM",OR(AN572="Dados pessoais",AN572="Dados sensíveis",AN572="Dados pessoais e sensíveis"),O572="Acima de 10.000 titulares por mês",(IF(I572="SIM",2,0)+IF(K572="SIM",2,0)+IF(AF572="SIM",2,0)+IF(OR(AN572="Dados pessoais",AN572="Dados sensíveis",AN572="Dados pessoais e sensíveis"),2,0)+IF(O572="De 1.001 a 10.000 titulares por mês",1,0)+IF(AA572="SIM",1,0)+IF(R572="SIM",1,0)+IF(AL572="SIM",1,0)+IF(AJ572="NÃO",1,0))&gt;=3),"DPIA indicado ou em avaliação em razão de: " &amp; TRIM(IF(I572="SIM","tratamento de dados sensíveis; ","") &amp; IF(K572="SIM","utilização de dados de menores; ","") &amp; IF(AF572="SIM","transferência internacional de dados; ","") &amp; IF(AL572="SIM","utilização de inteligência artificial; ","") &amp; IF(OR(AN572="Dados pessoais",AN572="Dados sensíveis",AN572="Dados pessoais e sensíveis"),"dados inseridos em IA; ","") &amp; IF(O572="Acima de 10.000 titulares por mês","volume crítico de titulares; ","") &amp; IF(O572="De 1.001 a 10.000 titulares por mês","volume moderado de titulares; ","") &amp; IF(AA572="SIM","compartilhamento com terceiros; ","") &amp; IF(R572="SIM","compartilhamento com órgãos governamentais; ","") &amp; IF(AJ572="NÃO","ausência de controle de acesso por perfil; ","")),"DPIA não indicado: Processo de baixa criticidade."))</f>
      </c>
    </row>
    <row x14ac:dyDescent="0.25" r="573" customHeight="1" ht="15.75">
      <c r="A573" s="46"/>
      <c r="B573" s="6"/>
      <c r="C573" s="11"/>
      <c r="D573" s="11"/>
      <c r="E573" s="11"/>
      <c r="F573" s="29"/>
      <c r="G573" s="11"/>
      <c r="H573" s="11"/>
      <c r="I573" s="29"/>
      <c r="J573" s="11"/>
      <c r="K573" s="29"/>
      <c r="L573" s="11"/>
      <c r="M573" s="11"/>
      <c r="N573" s="11"/>
      <c r="O573" s="29"/>
      <c r="P573" s="29"/>
      <c r="Q573" s="11"/>
      <c r="R573" s="29"/>
      <c r="S573" s="11"/>
      <c r="T573" s="6"/>
      <c r="U573" s="29"/>
      <c r="V573" s="11"/>
      <c r="W573" s="11"/>
      <c r="X573" s="29"/>
      <c r="Y573" s="11"/>
      <c r="Z573" s="29"/>
      <c r="AA573" s="29"/>
      <c r="AB573" s="11"/>
      <c r="AC573" s="11"/>
      <c r="AD573" s="29"/>
      <c r="AE573" s="11"/>
      <c r="AF573" s="29"/>
      <c r="AG573" s="11"/>
      <c r="AH573" s="29"/>
      <c r="AI573" s="11"/>
      <c r="AJ573" s="29"/>
      <c r="AK573" s="29"/>
      <c r="AL573" s="29"/>
      <c r="AM573" s="11"/>
      <c r="AN573" s="29"/>
      <c r="AO573" s="29"/>
      <c r="AP573" s="6"/>
      <c r="AQ573" s="113">
        <f>IF(AND(I573="",K573="",AF573="",AL573="",AN573="",O573=""),"",IF(OR(I573="SIM",K573="SIM",AF573="SIM",AL573="SIM",AN573="Dados pessoais",AN573="Dados sensíveis",AN573="Dados pessoais e sensíveis",O573="Acima de 10.000 titulares por mês"),"SIM - Alta criticidade",IF((IF(I573="SIM",2,0)+IF(K573="SIM",2,0)+IF(AF573="SIM",2,0)+IF(OR(AN573="Dados pessoais",AN573="Dados sensíveis",AN573="Dados pessoais e sensíveis"),2,0)+IF(O573="De 1.001 a 10.000 titulares por mês",1,0)+IF(AA573="SIM",1,0)+IF(R573="SIM",1,0)+IF(AL573="SIM",1,0)+IF(AJ573="NÃO",1,0))&gt;=5,"SIM - Alta criticidade",IF((IF(I573="SIM",2,0)+IF(K573="SIM",2,0)+IF(AF573="SIM",2,0)+IF(OR(AN573="Dados pessoais",AN573="Dados sensíveis",AN573="Dados pessoais e sensíveis"),2,0)+IF(O573="De 1.001 a 10.000 titulares por mês",1,0)+IF(AA573="SIM",1,0)+IF(R573="SIM",1,0)+IF(AL573="SIM",1,0)+IF(AJ573="NÃO",1,0))&gt;=3,"Avaliação necessária","NÃO"))))</f>
      </c>
      <c r="AR573" s="11"/>
      <c r="AS573" s="113">
        <f>IF(AND(I573="",K573="",AF573="",AL573="",AN573="",O573=""),"",IF(OR(I573="SIM",K573="SIM",AF573="SIM",AL573="SIM",OR(AN573="Dados pessoais",AN573="Dados sensíveis",AN573="Dados pessoais e sensíveis"),O573="Acima de 10.000 titulares por mês",(IF(I573="SIM",2,0)+IF(K573="SIM",2,0)+IF(AF573="SIM",2,0)+IF(OR(AN573="Dados pessoais",AN573="Dados sensíveis",AN573="Dados pessoais e sensíveis"),2,0)+IF(O573="De 1.001 a 10.000 titulares por mês",1,0)+IF(AA573="SIM",1,0)+IF(R573="SIM",1,0)+IF(AL573="SIM",1,0)+IF(AJ573="NÃO",1,0))&gt;=3),"DPIA indicado ou em avaliação em razão de: " &amp; TRIM(IF(I573="SIM","tratamento de dados sensíveis; ","") &amp; IF(K573="SIM","utilização de dados de menores; ","") &amp; IF(AF573="SIM","transferência internacional de dados; ","") &amp; IF(AL573="SIM","utilização de inteligência artificial; ","") &amp; IF(OR(AN573="Dados pessoais",AN573="Dados sensíveis",AN573="Dados pessoais e sensíveis"),"dados inseridos em IA; ","") &amp; IF(O573="Acima de 10.000 titulares por mês","volume crítico de titulares; ","") &amp; IF(O573="De 1.001 a 10.000 titulares por mês","volume moderado de titulares; ","") &amp; IF(AA573="SIM","compartilhamento com terceiros; ","") &amp; IF(R573="SIM","compartilhamento com órgãos governamentais; ","") &amp; IF(AJ573="NÃO","ausência de controle de acesso por perfil; ","")),"DPIA não indicado: Processo de baixa criticidade."))</f>
      </c>
    </row>
    <row x14ac:dyDescent="0.25" r="574" customHeight="1" ht="15.75">
      <c r="A574" s="46"/>
      <c r="B574" s="6"/>
      <c r="C574" s="11"/>
      <c r="D574" s="11"/>
      <c r="E574" s="11"/>
      <c r="F574" s="29"/>
      <c r="G574" s="11"/>
      <c r="H574" s="11"/>
      <c r="I574" s="29"/>
      <c r="J574" s="11"/>
      <c r="K574" s="29"/>
      <c r="L574" s="11"/>
      <c r="M574" s="11"/>
      <c r="N574" s="11"/>
      <c r="O574" s="29"/>
      <c r="P574" s="29"/>
      <c r="Q574" s="11"/>
      <c r="R574" s="29"/>
      <c r="S574" s="11"/>
      <c r="T574" s="6"/>
      <c r="U574" s="29"/>
      <c r="V574" s="11"/>
      <c r="W574" s="11"/>
      <c r="X574" s="29"/>
      <c r="Y574" s="11"/>
      <c r="Z574" s="29"/>
      <c r="AA574" s="29"/>
      <c r="AB574" s="11"/>
      <c r="AC574" s="11"/>
      <c r="AD574" s="29"/>
      <c r="AE574" s="11"/>
      <c r="AF574" s="29"/>
      <c r="AG574" s="11"/>
      <c r="AH574" s="29"/>
      <c r="AI574" s="11"/>
      <c r="AJ574" s="29"/>
      <c r="AK574" s="29"/>
      <c r="AL574" s="29"/>
      <c r="AM574" s="11"/>
      <c r="AN574" s="29"/>
      <c r="AO574" s="29"/>
      <c r="AP574" s="6"/>
      <c r="AQ574" s="113">
        <f>IF(AND(I574="",K574="",AF574="",AL574="",AN574="",O574=""),"",IF(OR(I574="SIM",K574="SIM",AF574="SIM",AL574="SIM",AN574="Dados pessoais",AN574="Dados sensíveis",AN574="Dados pessoais e sensíveis",O574="Acima de 10.000 titulares por mês"),"SIM - Alta criticidade",IF((IF(I574="SIM",2,0)+IF(K574="SIM",2,0)+IF(AF574="SIM",2,0)+IF(OR(AN574="Dados pessoais",AN574="Dados sensíveis",AN574="Dados pessoais e sensíveis"),2,0)+IF(O574="De 1.001 a 10.000 titulares por mês",1,0)+IF(AA574="SIM",1,0)+IF(R574="SIM",1,0)+IF(AL574="SIM",1,0)+IF(AJ574="NÃO",1,0))&gt;=5,"SIM - Alta criticidade",IF((IF(I574="SIM",2,0)+IF(K574="SIM",2,0)+IF(AF574="SIM",2,0)+IF(OR(AN574="Dados pessoais",AN574="Dados sensíveis",AN574="Dados pessoais e sensíveis"),2,0)+IF(O574="De 1.001 a 10.000 titulares por mês",1,0)+IF(AA574="SIM",1,0)+IF(R574="SIM",1,0)+IF(AL574="SIM",1,0)+IF(AJ574="NÃO",1,0))&gt;=3,"Avaliação necessária","NÃO"))))</f>
      </c>
      <c r="AR574" s="11"/>
      <c r="AS574" s="113">
        <f>IF(AND(I574="",K574="",AF574="",AL574="",AN574="",O574=""),"",IF(OR(I574="SIM",K574="SIM",AF574="SIM",AL574="SIM",OR(AN574="Dados pessoais",AN574="Dados sensíveis",AN574="Dados pessoais e sensíveis"),O574="Acima de 10.000 titulares por mês",(IF(I574="SIM",2,0)+IF(K574="SIM",2,0)+IF(AF574="SIM",2,0)+IF(OR(AN574="Dados pessoais",AN574="Dados sensíveis",AN574="Dados pessoais e sensíveis"),2,0)+IF(O574="De 1.001 a 10.000 titulares por mês",1,0)+IF(AA574="SIM",1,0)+IF(R574="SIM",1,0)+IF(AL574="SIM",1,0)+IF(AJ574="NÃO",1,0))&gt;=3),"DPIA indicado ou em avaliação em razão de: " &amp; TRIM(IF(I574="SIM","tratamento de dados sensíveis; ","") &amp; IF(K574="SIM","utilização de dados de menores; ","") &amp; IF(AF574="SIM","transferência internacional de dados; ","") &amp; IF(AL574="SIM","utilização de inteligência artificial; ","") &amp; IF(OR(AN574="Dados pessoais",AN574="Dados sensíveis",AN574="Dados pessoais e sensíveis"),"dados inseridos em IA; ","") &amp; IF(O574="Acima de 10.000 titulares por mês","volume crítico de titulares; ","") &amp; IF(O574="De 1.001 a 10.000 titulares por mês","volume moderado de titulares; ","") &amp; IF(AA574="SIM","compartilhamento com terceiros; ","") &amp; IF(R574="SIM","compartilhamento com órgãos governamentais; ","") &amp; IF(AJ574="NÃO","ausência de controle de acesso por perfil; ","")),"DPIA não indicado: Processo de baixa criticidade."))</f>
      </c>
    </row>
    <row x14ac:dyDescent="0.25" r="575" customHeight="1" ht="15.75">
      <c r="A575" s="46"/>
      <c r="B575" s="6"/>
      <c r="C575" s="11"/>
      <c r="D575" s="11"/>
      <c r="E575" s="11"/>
      <c r="F575" s="29"/>
      <c r="G575" s="11"/>
      <c r="H575" s="11"/>
      <c r="I575" s="29"/>
      <c r="J575" s="11"/>
      <c r="K575" s="29"/>
      <c r="L575" s="11"/>
      <c r="M575" s="11"/>
      <c r="N575" s="11"/>
      <c r="O575" s="29"/>
      <c r="P575" s="29"/>
      <c r="Q575" s="11"/>
      <c r="R575" s="29"/>
      <c r="S575" s="11"/>
      <c r="T575" s="6"/>
      <c r="U575" s="29"/>
      <c r="V575" s="11"/>
      <c r="W575" s="11"/>
      <c r="X575" s="29"/>
      <c r="Y575" s="11"/>
      <c r="Z575" s="29"/>
      <c r="AA575" s="29"/>
      <c r="AB575" s="11"/>
      <c r="AC575" s="11"/>
      <c r="AD575" s="29"/>
      <c r="AE575" s="11"/>
      <c r="AF575" s="29"/>
      <c r="AG575" s="11"/>
      <c r="AH575" s="29"/>
      <c r="AI575" s="11"/>
      <c r="AJ575" s="29"/>
      <c r="AK575" s="29"/>
      <c r="AL575" s="29"/>
      <c r="AM575" s="11"/>
      <c r="AN575" s="29"/>
      <c r="AO575" s="29"/>
      <c r="AP575" s="6"/>
      <c r="AQ575" s="113">
        <f>IF(AND(I575="",K575="",AF575="",AL575="",AN575="",O575=""),"",IF(OR(I575="SIM",K575="SIM",AF575="SIM",AL575="SIM",AN575="Dados pessoais",AN575="Dados sensíveis",AN575="Dados pessoais e sensíveis",O575="Acima de 10.000 titulares por mês"),"SIM - Alta criticidade",IF((IF(I575="SIM",2,0)+IF(K575="SIM",2,0)+IF(AF575="SIM",2,0)+IF(OR(AN575="Dados pessoais",AN575="Dados sensíveis",AN575="Dados pessoais e sensíveis"),2,0)+IF(O575="De 1.001 a 10.000 titulares por mês",1,0)+IF(AA575="SIM",1,0)+IF(R575="SIM",1,0)+IF(AL575="SIM",1,0)+IF(AJ575="NÃO",1,0))&gt;=5,"SIM - Alta criticidade",IF((IF(I575="SIM",2,0)+IF(K575="SIM",2,0)+IF(AF575="SIM",2,0)+IF(OR(AN575="Dados pessoais",AN575="Dados sensíveis",AN575="Dados pessoais e sensíveis"),2,0)+IF(O575="De 1.001 a 10.000 titulares por mês",1,0)+IF(AA575="SIM",1,0)+IF(R575="SIM",1,0)+IF(AL575="SIM",1,0)+IF(AJ575="NÃO",1,0))&gt;=3,"Avaliação necessária","NÃO"))))</f>
      </c>
      <c r="AR575" s="11"/>
      <c r="AS575" s="113">
        <f>IF(AND(I575="",K575="",AF575="",AL575="",AN575="",O575=""),"",IF(OR(I575="SIM",K575="SIM",AF575="SIM",AL575="SIM",OR(AN575="Dados pessoais",AN575="Dados sensíveis",AN575="Dados pessoais e sensíveis"),O575="Acima de 10.000 titulares por mês",(IF(I575="SIM",2,0)+IF(K575="SIM",2,0)+IF(AF575="SIM",2,0)+IF(OR(AN575="Dados pessoais",AN575="Dados sensíveis",AN575="Dados pessoais e sensíveis"),2,0)+IF(O575="De 1.001 a 10.000 titulares por mês",1,0)+IF(AA575="SIM",1,0)+IF(R575="SIM",1,0)+IF(AL575="SIM",1,0)+IF(AJ575="NÃO",1,0))&gt;=3),"DPIA indicado ou em avaliação em razão de: " &amp; TRIM(IF(I575="SIM","tratamento de dados sensíveis; ","") &amp; IF(K575="SIM","utilização de dados de menores; ","") &amp; IF(AF575="SIM","transferência internacional de dados; ","") &amp; IF(AL575="SIM","utilização de inteligência artificial; ","") &amp; IF(OR(AN575="Dados pessoais",AN575="Dados sensíveis",AN575="Dados pessoais e sensíveis"),"dados inseridos em IA; ","") &amp; IF(O575="Acima de 10.000 titulares por mês","volume crítico de titulares; ","") &amp; IF(O575="De 1.001 a 10.000 titulares por mês","volume moderado de titulares; ","") &amp; IF(AA575="SIM","compartilhamento com terceiros; ","") &amp; IF(R575="SIM","compartilhamento com órgãos governamentais; ","") &amp; IF(AJ575="NÃO","ausência de controle de acesso por perfil; ","")),"DPIA não indicado: Processo de baixa criticidade."))</f>
      </c>
    </row>
    <row x14ac:dyDescent="0.25" r="576" customHeight="1" ht="15.75">
      <c r="A576" s="46"/>
      <c r="B576" s="6"/>
      <c r="C576" s="11"/>
      <c r="D576" s="11"/>
      <c r="E576" s="11"/>
      <c r="F576" s="29"/>
      <c r="G576" s="11"/>
      <c r="H576" s="11"/>
      <c r="I576" s="29"/>
      <c r="J576" s="11"/>
      <c r="K576" s="29"/>
      <c r="L576" s="11"/>
      <c r="M576" s="11"/>
      <c r="N576" s="11"/>
      <c r="O576" s="29"/>
      <c r="P576" s="29"/>
      <c r="Q576" s="11"/>
      <c r="R576" s="29"/>
      <c r="S576" s="11"/>
      <c r="T576" s="6"/>
      <c r="U576" s="29"/>
      <c r="V576" s="11"/>
      <c r="W576" s="11"/>
      <c r="X576" s="29"/>
      <c r="Y576" s="11"/>
      <c r="Z576" s="29"/>
      <c r="AA576" s="29"/>
      <c r="AB576" s="11"/>
      <c r="AC576" s="11"/>
      <c r="AD576" s="29"/>
      <c r="AE576" s="11"/>
      <c r="AF576" s="29"/>
      <c r="AG576" s="11"/>
      <c r="AH576" s="29"/>
      <c r="AI576" s="11"/>
      <c r="AJ576" s="29"/>
      <c r="AK576" s="29"/>
      <c r="AL576" s="29"/>
      <c r="AM576" s="11"/>
      <c r="AN576" s="29"/>
      <c r="AO576" s="29"/>
      <c r="AP576" s="6"/>
      <c r="AQ576" s="113">
        <f>IF(AND(I576="",K576="",AF576="",AL576="",AN576="",O576=""),"",IF(OR(I576="SIM",K576="SIM",AF576="SIM",AL576="SIM",AN576="Dados pessoais",AN576="Dados sensíveis",AN576="Dados pessoais e sensíveis",O576="Acima de 10.000 titulares por mês"),"SIM - Alta criticidade",IF((IF(I576="SIM",2,0)+IF(K576="SIM",2,0)+IF(AF576="SIM",2,0)+IF(OR(AN576="Dados pessoais",AN576="Dados sensíveis",AN576="Dados pessoais e sensíveis"),2,0)+IF(O576="De 1.001 a 10.000 titulares por mês",1,0)+IF(AA576="SIM",1,0)+IF(R576="SIM",1,0)+IF(AL576="SIM",1,0)+IF(AJ576="NÃO",1,0))&gt;=5,"SIM - Alta criticidade",IF((IF(I576="SIM",2,0)+IF(K576="SIM",2,0)+IF(AF576="SIM",2,0)+IF(OR(AN576="Dados pessoais",AN576="Dados sensíveis",AN576="Dados pessoais e sensíveis"),2,0)+IF(O576="De 1.001 a 10.000 titulares por mês",1,0)+IF(AA576="SIM",1,0)+IF(R576="SIM",1,0)+IF(AL576="SIM",1,0)+IF(AJ576="NÃO",1,0))&gt;=3,"Avaliação necessária","NÃO"))))</f>
      </c>
      <c r="AR576" s="11"/>
      <c r="AS576" s="113">
        <f>IF(AND(I576="",K576="",AF576="",AL576="",AN576="",O576=""),"",IF(OR(I576="SIM",K576="SIM",AF576="SIM",AL576="SIM",OR(AN576="Dados pessoais",AN576="Dados sensíveis",AN576="Dados pessoais e sensíveis"),O576="Acima de 10.000 titulares por mês",(IF(I576="SIM",2,0)+IF(K576="SIM",2,0)+IF(AF576="SIM",2,0)+IF(OR(AN576="Dados pessoais",AN576="Dados sensíveis",AN576="Dados pessoais e sensíveis"),2,0)+IF(O576="De 1.001 a 10.000 titulares por mês",1,0)+IF(AA576="SIM",1,0)+IF(R576="SIM",1,0)+IF(AL576="SIM",1,0)+IF(AJ576="NÃO",1,0))&gt;=3),"DPIA indicado ou em avaliação em razão de: " &amp; TRIM(IF(I576="SIM","tratamento de dados sensíveis; ","") &amp; IF(K576="SIM","utilização de dados de menores; ","") &amp; IF(AF576="SIM","transferência internacional de dados; ","") &amp; IF(AL576="SIM","utilização de inteligência artificial; ","") &amp; IF(OR(AN576="Dados pessoais",AN576="Dados sensíveis",AN576="Dados pessoais e sensíveis"),"dados inseridos em IA; ","") &amp; IF(O576="Acima de 10.000 titulares por mês","volume crítico de titulares; ","") &amp; IF(O576="De 1.001 a 10.000 titulares por mês","volume moderado de titulares; ","") &amp; IF(AA576="SIM","compartilhamento com terceiros; ","") &amp; IF(R576="SIM","compartilhamento com órgãos governamentais; ","") &amp; IF(AJ576="NÃO","ausência de controle de acesso por perfil; ","")),"DPIA não indicado: Processo de baixa criticidade."))</f>
      </c>
    </row>
    <row x14ac:dyDescent="0.25" r="577" customHeight="1" ht="15.75">
      <c r="A577" s="46"/>
      <c r="B577" s="6"/>
      <c r="C577" s="11"/>
      <c r="D577" s="11"/>
      <c r="E577" s="11"/>
      <c r="F577" s="29"/>
      <c r="G577" s="11"/>
      <c r="H577" s="11"/>
      <c r="I577" s="29"/>
      <c r="J577" s="11"/>
      <c r="K577" s="29"/>
      <c r="L577" s="11"/>
      <c r="M577" s="11"/>
      <c r="N577" s="11"/>
      <c r="O577" s="29"/>
      <c r="P577" s="29"/>
      <c r="Q577" s="11"/>
      <c r="R577" s="29"/>
      <c r="S577" s="11"/>
      <c r="T577" s="6"/>
      <c r="U577" s="29"/>
      <c r="V577" s="11"/>
      <c r="W577" s="11"/>
      <c r="X577" s="29"/>
      <c r="Y577" s="11"/>
      <c r="Z577" s="29"/>
      <c r="AA577" s="29"/>
      <c r="AB577" s="11"/>
      <c r="AC577" s="11"/>
      <c r="AD577" s="29"/>
      <c r="AE577" s="11"/>
      <c r="AF577" s="29"/>
      <c r="AG577" s="11"/>
      <c r="AH577" s="29"/>
      <c r="AI577" s="11"/>
      <c r="AJ577" s="29"/>
      <c r="AK577" s="29"/>
      <c r="AL577" s="29"/>
      <c r="AM577" s="11"/>
      <c r="AN577" s="29"/>
      <c r="AO577" s="29"/>
      <c r="AP577" s="6"/>
      <c r="AQ577" s="113">
        <f>IF(AND(I577="",K577="",AF577="",AL577="",AN577="",O577=""),"",IF(OR(I577="SIM",K577="SIM",AF577="SIM",AL577="SIM",AN577="Dados pessoais",AN577="Dados sensíveis",AN577="Dados pessoais e sensíveis",O577="Acima de 10.000 titulares por mês"),"SIM - Alta criticidade",IF((IF(I577="SIM",2,0)+IF(K577="SIM",2,0)+IF(AF577="SIM",2,0)+IF(OR(AN577="Dados pessoais",AN577="Dados sensíveis",AN577="Dados pessoais e sensíveis"),2,0)+IF(O577="De 1.001 a 10.000 titulares por mês",1,0)+IF(AA577="SIM",1,0)+IF(R577="SIM",1,0)+IF(AL577="SIM",1,0)+IF(AJ577="NÃO",1,0))&gt;=5,"SIM - Alta criticidade",IF((IF(I577="SIM",2,0)+IF(K577="SIM",2,0)+IF(AF577="SIM",2,0)+IF(OR(AN577="Dados pessoais",AN577="Dados sensíveis",AN577="Dados pessoais e sensíveis"),2,0)+IF(O577="De 1.001 a 10.000 titulares por mês",1,0)+IF(AA577="SIM",1,0)+IF(R577="SIM",1,0)+IF(AL577="SIM",1,0)+IF(AJ577="NÃO",1,0))&gt;=3,"Avaliação necessária","NÃO"))))</f>
      </c>
      <c r="AR577" s="11"/>
      <c r="AS577" s="113">
        <f>IF(AND(I577="",K577="",AF577="",AL577="",AN577="",O577=""),"",IF(OR(I577="SIM",K577="SIM",AF577="SIM",AL577="SIM",OR(AN577="Dados pessoais",AN577="Dados sensíveis",AN577="Dados pessoais e sensíveis"),O577="Acima de 10.000 titulares por mês",(IF(I577="SIM",2,0)+IF(K577="SIM",2,0)+IF(AF577="SIM",2,0)+IF(OR(AN577="Dados pessoais",AN577="Dados sensíveis",AN577="Dados pessoais e sensíveis"),2,0)+IF(O577="De 1.001 a 10.000 titulares por mês",1,0)+IF(AA577="SIM",1,0)+IF(R577="SIM",1,0)+IF(AL577="SIM",1,0)+IF(AJ577="NÃO",1,0))&gt;=3),"DPIA indicado ou em avaliação em razão de: " &amp; TRIM(IF(I577="SIM","tratamento de dados sensíveis; ","") &amp; IF(K577="SIM","utilização de dados de menores; ","") &amp; IF(AF577="SIM","transferência internacional de dados; ","") &amp; IF(AL577="SIM","utilização de inteligência artificial; ","") &amp; IF(OR(AN577="Dados pessoais",AN577="Dados sensíveis",AN577="Dados pessoais e sensíveis"),"dados inseridos em IA; ","") &amp; IF(O577="Acima de 10.000 titulares por mês","volume crítico de titulares; ","") &amp; IF(O577="De 1.001 a 10.000 titulares por mês","volume moderado de titulares; ","") &amp; IF(AA577="SIM","compartilhamento com terceiros; ","") &amp; IF(R577="SIM","compartilhamento com órgãos governamentais; ","") &amp; IF(AJ577="NÃO","ausência de controle de acesso por perfil; ","")),"DPIA não indicado: Processo de baixa criticidade."))</f>
      </c>
    </row>
    <row x14ac:dyDescent="0.25" r="578" customHeight="1" ht="15.75">
      <c r="A578" s="46"/>
      <c r="B578" s="6"/>
      <c r="C578" s="11"/>
      <c r="D578" s="11"/>
      <c r="E578" s="11"/>
      <c r="F578" s="29"/>
      <c r="G578" s="11"/>
      <c r="H578" s="11"/>
      <c r="I578" s="29"/>
      <c r="J578" s="11"/>
      <c r="K578" s="29"/>
      <c r="L578" s="11"/>
      <c r="M578" s="11"/>
      <c r="N578" s="11"/>
      <c r="O578" s="29"/>
      <c r="P578" s="29"/>
      <c r="Q578" s="11"/>
      <c r="R578" s="29"/>
      <c r="S578" s="11"/>
      <c r="T578" s="6"/>
      <c r="U578" s="29"/>
      <c r="V578" s="11"/>
      <c r="W578" s="11"/>
      <c r="X578" s="29"/>
      <c r="Y578" s="11"/>
      <c r="Z578" s="29"/>
      <c r="AA578" s="29"/>
      <c r="AB578" s="11"/>
      <c r="AC578" s="11"/>
      <c r="AD578" s="29"/>
      <c r="AE578" s="11"/>
      <c r="AF578" s="29"/>
      <c r="AG578" s="11"/>
      <c r="AH578" s="29"/>
      <c r="AI578" s="11"/>
      <c r="AJ578" s="29"/>
      <c r="AK578" s="29"/>
      <c r="AL578" s="29"/>
      <c r="AM578" s="11"/>
      <c r="AN578" s="29"/>
      <c r="AO578" s="29"/>
      <c r="AP578" s="6"/>
      <c r="AQ578" s="113">
        <f>IF(AND(I578="",K578="",AF578="",AL578="",AN578="",O578=""),"",IF(OR(I578="SIM",K578="SIM",AF578="SIM",AL578="SIM",AN578="Dados pessoais",AN578="Dados sensíveis",AN578="Dados pessoais e sensíveis",O578="Acima de 10.000 titulares por mês"),"SIM - Alta criticidade",IF((IF(I578="SIM",2,0)+IF(K578="SIM",2,0)+IF(AF578="SIM",2,0)+IF(OR(AN578="Dados pessoais",AN578="Dados sensíveis",AN578="Dados pessoais e sensíveis"),2,0)+IF(O578="De 1.001 a 10.000 titulares por mês",1,0)+IF(AA578="SIM",1,0)+IF(R578="SIM",1,0)+IF(AL578="SIM",1,0)+IF(AJ578="NÃO",1,0))&gt;=5,"SIM - Alta criticidade",IF((IF(I578="SIM",2,0)+IF(K578="SIM",2,0)+IF(AF578="SIM",2,0)+IF(OR(AN578="Dados pessoais",AN578="Dados sensíveis",AN578="Dados pessoais e sensíveis"),2,0)+IF(O578="De 1.001 a 10.000 titulares por mês",1,0)+IF(AA578="SIM",1,0)+IF(R578="SIM",1,0)+IF(AL578="SIM",1,0)+IF(AJ578="NÃO",1,0))&gt;=3,"Avaliação necessária","NÃO"))))</f>
      </c>
      <c r="AR578" s="11"/>
      <c r="AS578" s="113">
        <f>IF(AND(I578="",K578="",AF578="",AL578="",AN578="",O578=""),"",IF(OR(I578="SIM",K578="SIM",AF578="SIM",AL578="SIM",OR(AN578="Dados pessoais",AN578="Dados sensíveis",AN578="Dados pessoais e sensíveis"),O578="Acima de 10.000 titulares por mês",(IF(I578="SIM",2,0)+IF(K578="SIM",2,0)+IF(AF578="SIM",2,0)+IF(OR(AN578="Dados pessoais",AN578="Dados sensíveis",AN578="Dados pessoais e sensíveis"),2,0)+IF(O578="De 1.001 a 10.000 titulares por mês",1,0)+IF(AA578="SIM",1,0)+IF(R578="SIM",1,0)+IF(AL578="SIM",1,0)+IF(AJ578="NÃO",1,0))&gt;=3),"DPIA indicado ou em avaliação em razão de: " &amp; TRIM(IF(I578="SIM","tratamento de dados sensíveis; ","") &amp; IF(K578="SIM","utilização de dados de menores; ","") &amp; IF(AF578="SIM","transferência internacional de dados; ","") &amp; IF(AL578="SIM","utilização de inteligência artificial; ","") &amp; IF(OR(AN578="Dados pessoais",AN578="Dados sensíveis",AN578="Dados pessoais e sensíveis"),"dados inseridos em IA; ","") &amp; IF(O578="Acima de 10.000 titulares por mês","volume crítico de titulares; ","") &amp; IF(O578="De 1.001 a 10.000 titulares por mês","volume moderado de titulares; ","") &amp; IF(AA578="SIM","compartilhamento com terceiros; ","") &amp; IF(R578="SIM","compartilhamento com órgãos governamentais; ","") &amp; IF(AJ578="NÃO","ausência de controle de acesso por perfil; ","")),"DPIA não indicado: Processo de baixa criticidade."))</f>
      </c>
    </row>
    <row x14ac:dyDescent="0.25" r="579" customHeight="1" ht="15.75">
      <c r="A579" s="46"/>
      <c r="B579" s="6"/>
      <c r="C579" s="11"/>
      <c r="D579" s="11"/>
      <c r="E579" s="11"/>
      <c r="F579" s="29"/>
      <c r="G579" s="11"/>
      <c r="H579" s="11"/>
      <c r="I579" s="29"/>
      <c r="J579" s="11"/>
      <c r="K579" s="29"/>
      <c r="L579" s="11"/>
      <c r="M579" s="11"/>
      <c r="N579" s="11"/>
      <c r="O579" s="29"/>
      <c r="P579" s="29"/>
      <c r="Q579" s="11"/>
      <c r="R579" s="29"/>
      <c r="S579" s="11"/>
      <c r="T579" s="6"/>
      <c r="U579" s="29"/>
      <c r="V579" s="11"/>
      <c r="W579" s="11"/>
      <c r="X579" s="29"/>
      <c r="Y579" s="11"/>
      <c r="Z579" s="29"/>
      <c r="AA579" s="29"/>
      <c r="AB579" s="11"/>
      <c r="AC579" s="11"/>
      <c r="AD579" s="29"/>
      <c r="AE579" s="11"/>
      <c r="AF579" s="29"/>
      <c r="AG579" s="11"/>
      <c r="AH579" s="29"/>
      <c r="AI579" s="11"/>
      <c r="AJ579" s="29"/>
      <c r="AK579" s="29"/>
      <c r="AL579" s="29"/>
      <c r="AM579" s="11"/>
      <c r="AN579" s="29"/>
      <c r="AO579" s="29"/>
      <c r="AP579" s="6"/>
      <c r="AQ579" s="113">
        <f>IF(AND(I579="",K579="",AF579="",AL579="",AN579="",O579=""),"",IF(OR(I579="SIM",K579="SIM",AF579="SIM",AL579="SIM",AN579="Dados pessoais",AN579="Dados sensíveis",AN579="Dados pessoais e sensíveis",O579="Acima de 10.000 titulares por mês"),"SIM - Alta criticidade",IF((IF(I579="SIM",2,0)+IF(K579="SIM",2,0)+IF(AF579="SIM",2,0)+IF(OR(AN579="Dados pessoais",AN579="Dados sensíveis",AN579="Dados pessoais e sensíveis"),2,0)+IF(O579="De 1.001 a 10.000 titulares por mês",1,0)+IF(AA579="SIM",1,0)+IF(R579="SIM",1,0)+IF(AL579="SIM",1,0)+IF(AJ579="NÃO",1,0))&gt;=5,"SIM - Alta criticidade",IF((IF(I579="SIM",2,0)+IF(K579="SIM",2,0)+IF(AF579="SIM",2,0)+IF(OR(AN579="Dados pessoais",AN579="Dados sensíveis",AN579="Dados pessoais e sensíveis"),2,0)+IF(O579="De 1.001 a 10.000 titulares por mês",1,0)+IF(AA579="SIM",1,0)+IF(R579="SIM",1,0)+IF(AL579="SIM",1,0)+IF(AJ579="NÃO",1,0))&gt;=3,"Avaliação necessária","NÃO"))))</f>
      </c>
      <c r="AR579" s="11"/>
      <c r="AS579" s="113">
        <f>IF(AND(I579="",K579="",AF579="",AL579="",AN579="",O579=""),"",IF(OR(I579="SIM",K579="SIM",AF579="SIM",AL579="SIM",OR(AN579="Dados pessoais",AN579="Dados sensíveis",AN579="Dados pessoais e sensíveis"),O579="Acima de 10.000 titulares por mês",(IF(I579="SIM",2,0)+IF(K579="SIM",2,0)+IF(AF579="SIM",2,0)+IF(OR(AN579="Dados pessoais",AN579="Dados sensíveis",AN579="Dados pessoais e sensíveis"),2,0)+IF(O579="De 1.001 a 10.000 titulares por mês",1,0)+IF(AA579="SIM",1,0)+IF(R579="SIM",1,0)+IF(AL579="SIM",1,0)+IF(AJ579="NÃO",1,0))&gt;=3),"DPIA indicado ou em avaliação em razão de: " &amp; TRIM(IF(I579="SIM","tratamento de dados sensíveis; ","") &amp; IF(K579="SIM","utilização de dados de menores; ","") &amp; IF(AF579="SIM","transferência internacional de dados; ","") &amp; IF(AL579="SIM","utilização de inteligência artificial; ","") &amp; IF(OR(AN579="Dados pessoais",AN579="Dados sensíveis",AN579="Dados pessoais e sensíveis"),"dados inseridos em IA; ","") &amp; IF(O579="Acima de 10.000 titulares por mês","volume crítico de titulares; ","") &amp; IF(O579="De 1.001 a 10.000 titulares por mês","volume moderado de titulares; ","") &amp; IF(AA579="SIM","compartilhamento com terceiros; ","") &amp; IF(R579="SIM","compartilhamento com órgãos governamentais; ","") &amp; IF(AJ579="NÃO","ausência de controle de acesso por perfil; ","")),"DPIA não indicado: Processo de baixa criticidade."))</f>
      </c>
    </row>
    <row x14ac:dyDescent="0.25" r="580" customHeight="1" ht="15.75">
      <c r="A580" s="46"/>
      <c r="B580" s="6"/>
      <c r="C580" s="11"/>
      <c r="D580" s="11"/>
      <c r="E580" s="11"/>
      <c r="F580" s="29"/>
      <c r="G580" s="11"/>
      <c r="H580" s="11"/>
      <c r="I580" s="29"/>
      <c r="J580" s="11"/>
      <c r="K580" s="29"/>
      <c r="L580" s="11"/>
      <c r="M580" s="11"/>
      <c r="N580" s="11"/>
      <c r="O580" s="29"/>
      <c r="P580" s="29"/>
      <c r="Q580" s="11"/>
      <c r="R580" s="29"/>
      <c r="S580" s="11"/>
      <c r="T580" s="6"/>
      <c r="U580" s="29"/>
      <c r="V580" s="11"/>
      <c r="W580" s="11"/>
      <c r="X580" s="29"/>
      <c r="Y580" s="11"/>
      <c r="Z580" s="29"/>
      <c r="AA580" s="29"/>
      <c r="AB580" s="11"/>
      <c r="AC580" s="11"/>
      <c r="AD580" s="29"/>
      <c r="AE580" s="11"/>
      <c r="AF580" s="29"/>
      <c r="AG580" s="11"/>
      <c r="AH580" s="29"/>
      <c r="AI580" s="11"/>
      <c r="AJ580" s="29"/>
      <c r="AK580" s="29"/>
      <c r="AL580" s="29"/>
      <c r="AM580" s="11"/>
      <c r="AN580" s="29"/>
      <c r="AO580" s="29"/>
      <c r="AP580" s="6"/>
      <c r="AQ580" s="113">
        <f>IF(AND(I580="",K580="",AF580="",AL580="",AN580="",O580=""),"",IF(OR(I580="SIM",K580="SIM",AF580="SIM",AL580="SIM",AN580="Dados pessoais",AN580="Dados sensíveis",AN580="Dados pessoais e sensíveis",O580="Acima de 10.000 titulares por mês"),"SIM - Alta criticidade",IF((IF(I580="SIM",2,0)+IF(K580="SIM",2,0)+IF(AF580="SIM",2,0)+IF(OR(AN580="Dados pessoais",AN580="Dados sensíveis",AN580="Dados pessoais e sensíveis"),2,0)+IF(O580="De 1.001 a 10.000 titulares por mês",1,0)+IF(AA580="SIM",1,0)+IF(R580="SIM",1,0)+IF(AL580="SIM",1,0)+IF(AJ580="NÃO",1,0))&gt;=5,"SIM - Alta criticidade",IF((IF(I580="SIM",2,0)+IF(K580="SIM",2,0)+IF(AF580="SIM",2,0)+IF(OR(AN580="Dados pessoais",AN580="Dados sensíveis",AN580="Dados pessoais e sensíveis"),2,0)+IF(O580="De 1.001 a 10.000 titulares por mês",1,0)+IF(AA580="SIM",1,0)+IF(R580="SIM",1,0)+IF(AL580="SIM",1,0)+IF(AJ580="NÃO",1,0))&gt;=3,"Avaliação necessária","NÃO"))))</f>
      </c>
      <c r="AR580" s="11"/>
      <c r="AS580" s="113">
        <f>IF(AND(I580="",K580="",AF580="",AL580="",AN580="",O580=""),"",IF(OR(I580="SIM",K580="SIM",AF580="SIM",AL580="SIM",OR(AN580="Dados pessoais",AN580="Dados sensíveis",AN580="Dados pessoais e sensíveis"),O580="Acima de 10.000 titulares por mês",(IF(I580="SIM",2,0)+IF(K580="SIM",2,0)+IF(AF580="SIM",2,0)+IF(OR(AN580="Dados pessoais",AN580="Dados sensíveis",AN580="Dados pessoais e sensíveis"),2,0)+IF(O580="De 1.001 a 10.000 titulares por mês",1,0)+IF(AA580="SIM",1,0)+IF(R580="SIM",1,0)+IF(AL580="SIM",1,0)+IF(AJ580="NÃO",1,0))&gt;=3),"DPIA indicado ou em avaliação em razão de: " &amp; TRIM(IF(I580="SIM","tratamento de dados sensíveis; ","") &amp; IF(K580="SIM","utilização de dados de menores; ","") &amp; IF(AF580="SIM","transferência internacional de dados; ","") &amp; IF(AL580="SIM","utilização de inteligência artificial; ","") &amp; IF(OR(AN580="Dados pessoais",AN580="Dados sensíveis",AN580="Dados pessoais e sensíveis"),"dados inseridos em IA; ","") &amp; IF(O580="Acima de 10.000 titulares por mês","volume crítico de titulares; ","") &amp; IF(O580="De 1.001 a 10.000 titulares por mês","volume moderado de titulares; ","") &amp; IF(AA580="SIM","compartilhamento com terceiros; ","") &amp; IF(R580="SIM","compartilhamento com órgãos governamentais; ","") &amp; IF(AJ580="NÃO","ausência de controle de acesso por perfil; ","")),"DPIA não indicado: Processo de baixa criticidade."))</f>
      </c>
    </row>
    <row x14ac:dyDescent="0.25" r="581" customHeight="1" ht="15.75">
      <c r="A581" s="46"/>
      <c r="B581" s="6"/>
      <c r="C581" s="11"/>
      <c r="D581" s="11"/>
      <c r="E581" s="11"/>
      <c r="F581" s="29"/>
      <c r="G581" s="11"/>
      <c r="H581" s="11"/>
      <c r="I581" s="29"/>
      <c r="J581" s="11"/>
      <c r="K581" s="29"/>
      <c r="L581" s="11"/>
      <c r="M581" s="11"/>
      <c r="N581" s="11"/>
      <c r="O581" s="29"/>
      <c r="P581" s="29"/>
      <c r="Q581" s="11"/>
      <c r="R581" s="29"/>
      <c r="S581" s="11"/>
      <c r="T581" s="6"/>
      <c r="U581" s="29"/>
      <c r="V581" s="11"/>
      <c r="W581" s="11"/>
      <c r="X581" s="29"/>
      <c r="Y581" s="11"/>
      <c r="Z581" s="29"/>
      <c r="AA581" s="29"/>
      <c r="AB581" s="11"/>
      <c r="AC581" s="11"/>
      <c r="AD581" s="29"/>
      <c r="AE581" s="11"/>
      <c r="AF581" s="29"/>
      <c r="AG581" s="11"/>
      <c r="AH581" s="29"/>
      <c r="AI581" s="11"/>
      <c r="AJ581" s="29"/>
      <c r="AK581" s="29"/>
      <c r="AL581" s="29"/>
      <c r="AM581" s="11"/>
      <c r="AN581" s="29"/>
      <c r="AO581" s="29"/>
      <c r="AP581" s="6"/>
      <c r="AQ581" s="113">
        <f>IF(AND(I581="",K581="",AF581="",AL581="",AN581="",O581=""),"",IF(OR(I581="SIM",K581="SIM",AF581="SIM",AL581="SIM",AN581="Dados pessoais",AN581="Dados sensíveis",AN581="Dados pessoais e sensíveis",O581="Acima de 10.000 titulares por mês"),"SIM - Alta criticidade",IF((IF(I581="SIM",2,0)+IF(K581="SIM",2,0)+IF(AF581="SIM",2,0)+IF(OR(AN581="Dados pessoais",AN581="Dados sensíveis",AN581="Dados pessoais e sensíveis"),2,0)+IF(O581="De 1.001 a 10.000 titulares por mês",1,0)+IF(AA581="SIM",1,0)+IF(R581="SIM",1,0)+IF(AL581="SIM",1,0)+IF(AJ581="NÃO",1,0))&gt;=5,"SIM - Alta criticidade",IF((IF(I581="SIM",2,0)+IF(K581="SIM",2,0)+IF(AF581="SIM",2,0)+IF(OR(AN581="Dados pessoais",AN581="Dados sensíveis",AN581="Dados pessoais e sensíveis"),2,0)+IF(O581="De 1.001 a 10.000 titulares por mês",1,0)+IF(AA581="SIM",1,0)+IF(R581="SIM",1,0)+IF(AL581="SIM",1,0)+IF(AJ581="NÃO",1,0))&gt;=3,"Avaliação necessária","NÃO"))))</f>
      </c>
      <c r="AR581" s="11"/>
      <c r="AS581" s="113">
        <f>IF(AND(I581="",K581="",AF581="",AL581="",AN581="",O581=""),"",IF(OR(I581="SIM",K581="SIM",AF581="SIM",AL581="SIM",OR(AN581="Dados pessoais",AN581="Dados sensíveis",AN581="Dados pessoais e sensíveis"),O581="Acima de 10.000 titulares por mês",(IF(I581="SIM",2,0)+IF(K581="SIM",2,0)+IF(AF581="SIM",2,0)+IF(OR(AN581="Dados pessoais",AN581="Dados sensíveis",AN581="Dados pessoais e sensíveis"),2,0)+IF(O581="De 1.001 a 10.000 titulares por mês",1,0)+IF(AA581="SIM",1,0)+IF(R581="SIM",1,0)+IF(AL581="SIM",1,0)+IF(AJ581="NÃO",1,0))&gt;=3),"DPIA indicado ou em avaliação em razão de: " &amp; TRIM(IF(I581="SIM","tratamento de dados sensíveis; ","") &amp; IF(K581="SIM","utilização de dados de menores; ","") &amp; IF(AF581="SIM","transferência internacional de dados; ","") &amp; IF(AL581="SIM","utilização de inteligência artificial; ","") &amp; IF(OR(AN581="Dados pessoais",AN581="Dados sensíveis",AN581="Dados pessoais e sensíveis"),"dados inseridos em IA; ","") &amp; IF(O581="Acima de 10.000 titulares por mês","volume crítico de titulares; ","") &amp; IF(O581="De 1.001 a 10.000 titulares por mês","volume moderado de titulares; ","") &amp; IF(AA581="SIM","compartilhamento com terceiros; ","") &amp; IF(R581="SIM","compartilhamento com órgãos governamentais; ","") &amp; IF(AJ581="NÃO","ausência de controle de acesso por perfil; ","")),"DPIA não indicado: Processo de baixa criticidade."))</f>
      </c>
    </row>
    <row x14ac:dyDescent="0.25" r="582" customHeight="1" ht="15.75">
      <c r="A582" s="46"/>
      <c r="B582" s="6"/>
      <c r="C582" s="11"/>
      <c r="D582" s="11"/>
      <c r="E582" s="11"/>
      <c r="F582" s="29"/>
      <c r="G582" s="11"/>
      <c r="H582" s="11"/>
      <c r="I582" s="29"/>
      <c r="J582" s="11"/>
      <c r="K582" s="29"/>
      <c r="L582" s="11"/>
      <c r="M582" s="11"/>
      <c r="N582" s="11"/>
      <c r="O582" s="29"/>
      <c r="P582" s="29"/>
      <c r="Q582" s="11"/>
      <c r="R582" s="29"/>
      <c r="S582" s="11"/>
      <c r="T582" s="6"/>
      <c r="U582" s="29"/>
      <c r="V582" s="11"/>
      <c r="W582" s="11"/>
      <c r="X582" s="29"/>
      <c r="Y582" s="11"/>
      <c r="Z582" s="29"/>
      <c r="AA582" s="29"/>
      <c r="AB582" s="11"/>
      <c r="AC582" s="11"/>
      <c r="AD582" s="29"/>
      <c r="AE582" s="11"/>
      <c r="AF582" s="29"/>
      <c r="AG582" s="11"/>
      <c r="AH582" s="29"/>
      <c r="AI582" s="11"/>
      <c r="AJ582" s="29"/>
      <c r="AK582" s="29"/>
      <c r="AL582" s="29"/>
      <c r="AM582" s="11"/>
      <c r="AN582" s="29"/>
      <c r="AO582" s="29"/>
      <c r="AP582" s="6"/>
      <c r="AQ582" s="113">
        <f>IF(AND(I582="",K582="",AF582="",AL582="",AN582="",O582=""),"",IF(OR(I582="SIM",K582="SIM",AF582="SIM",AL582="SIM",AN582="Dados pessoais",AN582="Dados sensíveis",AN582="Dados pessoais e sensíveis",O582="Acima de 10.000 titulares por mês"),"SIM - Alta criticidade",IF((IF(I582="SIM",2,0)+IF(K582="SIM",2,0)+IF(AF582="SIM",2,0)+IF(OR(AN582="Dados pessoais",AN582="Dados sensíveis",AN582="Dados pessoais e sensíveis"),2,0)+IF(O582="De 1.001 a 10.000 titulares por mês",1,0)+IF(AA582="SIM",1,0)+IF(R582="SIM",1,0)+IF(AL582="SIM",1,0)+IF(AJ582="NÃO",1,0))&gt;=5,"SIM - Alta criticidade",IF((IF(I582="SIM",2,0)+IF(K582="SIM",2,0)+IF(AF582="SIM",2,0)+IF(OR(AN582="Dados pessoais",AN582="Dados sensíveis",AN582="Dados pessoais e sensíveis"),2,0)+IF(O582="De 1.001 a 10.000 titulares por mês",1,0)+IF(AA582="SIM",1,0)+IF(R582="SIM",1,0)+IF(AL582="SIM",1,0)+IF(AJ582="NÃO",1,0))&gt;=3,"Avaliação necessária","NÃO"))))</f>
      </c>
      <c r="AR582" s="11"/>
      <c r="AS582" s="113">
        <f>IF(AND(I582="",K582="",AF582="",AL582="",AN582="",O582=""),"",IF(OR(I582="SIM",K582="SIM",AF582="SIM",AL582="SIM",OR(AN582="Dados pessoais",AN582="Dados sensíveis",AN582="Dados pessoais e sensíveis"),O582="Acima de 10.000 titulares por mês",(IF(I582="SIM",2,0)+IF(K582="SIM",2,0)+IF(AF582="SIM",2,0)+IF(OR(AN582="Dados pessoais",AN582="Dados sensíveis",AN582="Dados pessoais e sensíveis"),2,0)+IF(O582="De 1.001 a 10.000 titulares por mês",1,0)+IF(AA582="SIM",1,0)+IF(R582="SIM",1,0)+IF(AL582="SIM",1,0)+IF(AJ582="NÃO",1,0))&gt;=3),"DPIA indicado ou em avaliação em razão de: " &amp; TRIM(IF(I582="SIM","tratamento de dados sensíveis; ","") &amp; IF(K582="SIM","utilização de dados de menores; ","") &amp; IF(AF582="SIM","transferência internacional de dados; ","") &amp; IF(AL582="SIM","utilização de inteligência artificial; ","") &amp; IF(OR(AN582="Dados pessoais",AN582="Dados sensíveis",AN582="Dados pessoais e sensíveis"),"dados inseridos em IA; ","") &amp; IF(O582="Acima de 10.000 titulares por mês","volume crítico de titulares; ","") &amp; IF(O582="De 1.001 a 10.000 titulares por mês","volume moderado de titulares; ","") &amp; IF(AA582="SIM","compartilhamento com terceiros; ","") &amp; IF(R582="SIM","compartilhamento com órgãos governamentais; ","") &amp; IF(AJ582="NÃO","ausência de controle de acesso por perfil; ","")),"DPIA não indicado: Processo de baixa criticidade."))</f>
      </c>
    </row>
    <row x14ac:dyDescent="0.25" r="583" customHeight="1" ht="15.75">
      <c r="A583" s="46"/>
      <c r="B583" s="6"/>
      <c r="C583" s="11"/>
      <c r="D583" s="11"/>
      <c r="E583" s="11"/>
      <c r="F583" s="29"/>
      <c r="G583" s="11"/>
      <c r="H583" s="11"/>
      <c r="I583" s="29"/>
      <c r="J583" s="11"/>
      <c r="K583" s="29"/>
      <c r="L583" s="11"/>
      <c r="M583" s="11"/>
      <c r="N583" s="11"/>
      <c r="O583" s="29"/>
      <c r="P583" s="29"/>
      <c r="Q583" s="11"/>
      <c r="R583" s="29"/>
      <c r="S583" s="11"/>
      <c r="T583" s="6"/>
      <c r="U583" s="29"/>
      <c r="V583" s="11"/>
      <c r="W583" s="11"/>
      <c r="X583" s="29"/>
      <c r="Y583" s="11"/>
      <c r="Z583" s="29"/>
      <c r="AA583" s="29"/>
      <c r="AB583" s="11"/>
      <c r="AC583" s="11"/>
      <c r="AD583" s="29"/>
      <c r="AE583" s="11"/>
      <c r="AF583" s="29"/>
      <c r="AG583" s="11"/>
      <c r="AH583" s="29"/>
      <c r="AI583" s="11"/>
      <c r="AJ583" s="29"/>
      <c r="AK583" s="29"/>
      <c r="AL583" s="29"/>
      <c r="AM583" s="11"/>
      <c r="AN583" s="29"/>
      <c r="AO583" s="29"/>
      <c r="AP583" s="6"/>
      <c r="AQ583" s="113">
        <f>IF(AND(I583="",K583="",AF583="",AL583="",AN583="",O583=""),"",IF(OR(I583="SIM",K583="SIM",AF583="SIM",AL583="SIM",AN583="Dados pessoais",AN583="Dados sensíveis",AN583="Dados pessoais e sensíveis",O583="Acima de 10.000 titulares por mês"),"SIM - Alta criticidade",IF((IF(I583="SIM",2,0)+IF(K583="SIM",2,0)+IF(AF583="SIM",2,0)+IF(OR(AN583="Dados pessoais",AN583="Dados sensíveis",AN583="Dados pessoais e sensíveis"),2,0)+IF(O583="De 1.001 a 10.000 titulares por mês",1,0)+IF(AA583="SIM",1,0)+IF(R583="SIM",1,0)+IF(AL583="SIM",1,0)+IF(AJ583="NÃO",1,0))&gt;=5,"SIM - Alta criticidade",IF((IF(I583="SIM",2,0)+IF(K583="SIM",2,0)+IF(AF583="SIM",2,0)+IF(OR(AN583="Dados pessoais",AN583="Dados sensíveis",AN583="Dados pessoais e sensíveis"),2,0)+IF(O583="De 1.001 a 10.000 titulares por mês",1,0)+IF(AA583="SIM",1,0)+IF(R583="SIM",1,0)+IF(AL583="SIM",1,0)+IF(AJ583="NÃO",1,0))&gt;=3,"Avaliação necessária","NÃO"))))</f>
      </c>
      <c r="AR583" s="11"/>
      <c r="AS583" s="113">
        <f>IF(AND(I583="",K583="",AF583="",AL583="",AN583="",O583=""),"",IF(OR(I583="SIM",K583="SIM",AF583="SIM",AL583="SIM",OR(AN583="Dados pessoais",AN583="Dados sensíveis",AN583="Dados pessoais e sensíveis"),O583="Acima de 10.000 titulares por mês",(IF(I583="SIM",2,0)+IF(K583="SIM",2,0)+IF(AF583="SIM",2,0)+IF(OR(AN583="Dados pessoais",AN583="Dados sensíveis",AN583="Dados pessoais e sensíveis"),2,0)+IF(O583="De 1.001 a 10.000 titulares por mês",1,0)+IF(AA583="SIM",1,0)+IF(R583="SIM",1,0)+IF(AL583="SIM",1,0)+IF(AJ583="NÃO",1,0))&gt;=3),"DPIA indicado ou em avaliação em razão de: " &amp; TRIM(IF(I583="SIM","tratamento de dados sensíveis; ","") &amp; IF(K583="SIM","utilização de dados de menores; ","") &amp; IF(AF583="SIM","transferência internacional de dados; ","") &amp; IF(AL583="SIM","utilização de inteligência artificial; ","") &amp; IF(OR(AN583="Dados pessoais",AN583="Dados sensíveis",AN583="Dados pessoais e sensíveis"),"dados inseridos em IA; ","") &amp; IF(O583="Acima de 10.000 titulares por mês","volume crítico de titulares; ","") &amp; IF(O583="De 1.001 a 10.000 titulares por mês","volume moderado de titulares; ","") &amp; IF(AA583="SIM","compartilhamento com terceiros; ","") &amp; IF(R583="SIM","compartilhamento com órgãos governamentais; ","") &amp; IF(AJ583="NÃO","ausência de controle de acesso por perfil; ","")),"DPIA não indicado: Processo de baixa criticidade."))</f>
      </c>
    </row>
    <row x14ac:dyDescent="0.25" r="584" customHeight="1" ht="15.75">
      <c r="A584" s="46"/>
      <c r="B584" s="6"/>
      <c r="C584" s="11"/>
      <c r="D584" s="11"/>
      <c r="E584" s="11"/>
      <c r="F584" s="29"/>
      <c r="G584" s="11"/>
      <c r="H584" s="11"/>
      <c r="I584" s="29"/>
      <c r="J584" s="11"/>
      <c r="K584" s="29"/>
      <c r="L584" s="11"/>
      <c r="M584" s="11"/>
      <c r="N584" s="11"/>
      <c r="O584" s="29"/>
      <c r="P584" s="29"/>
      <c r="Q584" s="11"/>
      <c r="R584" s="29"/>
      <c r="S584" s="11"/>
      <c r="T584" s="6"/>
      <c r="U584" s="29"/>
      <c r="V584" s="11"/>
      <c r="W584" s="11"/>
      <c r="X584" s="29"/>
      <c r="Y584" s="11"/>
      <c r="Z584" s="29"/>
      <c r="AA584" s="29"/>
      <c r="AB584" s="11"/>
      <c r="AC584" s="11"/>
      <c r="AD584" s="29"/>
      <c r="AE584" s="11"/>
      <c r="AF584" s="29"/>
      <c r="AG584" s="11"/>
      <c r="AH584" s="29"/>
      <c r="AI584" s="11"/>
      <c r="AJ584" s="29"/>
      <c r="AK584" s="29"/>
      <c r="AL584" s="29"/>
      <c r="AM584" s="11"/>
      <c r="AN584" s="29"/>
      <c r="AO584" s="29"/>
      <c r="AP584" s="6"/>
      <c r="AQ584" s="113">
        <f>IF(AND(I584="",K584="",AF584="",AL584="",AN584="",O584=""),"",IF(OR(I584="SIM",K584="SIM",AF584="SIM",AL584="SIM",AN584="Dados pessoais",AN584="Dados sensíveis",AN584="Dados pessoais e sensíveis",O584="Acima de 10.000 titulares por mês"),"SIM - Alta criticidade",IF((IF(I584="SIM",2,0)+IF(K584="SIM",2,0)+IF(AF584="SIM",2,0)+IF(OR(AN584="Dados pessoais",AN584="Dados sensíveis",AN584="Dados pessoais e sensíveis"),2,0)+IF(O584="De 1.001 a 10.000 titulares por mês",1,0)+IF(AA584="SIM",1,0)+IF(R584="SIM",1,0)+IF(AL584="SIM",1,0)+IF(AJ584="NÃO",1,0))&gt;=5,"SIM - Alta criticidade",IF((IF(I584="SIM",2,0)+IF(K584="SIM",2,0)+IF(AF584="SIM",2,0)+IF(OR(AN584="Dados pessoais",AN584="Dados sensíveis",AN584="Dados pessoais e sensíveis"),2,0)+IF(O584="De 1.001 a 10.000 titulares por mês",1,0)+IF(AA584="SIM",1,0)+IF(R584="SIM",1,0)+IF(AL584="SIM",1,0)+IF(AJ584="NÃO",1,0))&gt;=3,"Avaliação necessária","NÃO"))))</f>
      </c>
      <c r="AR584" s="11"/>
      <c r="AS584" s="113">
        <f>IF(AND(I584="",K584="",AF584="",AL584="",AN584="",O584=""),"",IF(OR(I584="SIM",K584="SIM",AF584="SIM",AL584="SIM",OR(AN584="Dados pessoais",AN584="Dados sensíveis",AN584="Dados pessoais e sensíveis"),O584="Acima de 10.000 titulares por mês",(IF(I584="SIM",2,0)+IF(K584="SIM",2,0)+IF(AF584="SIM",2,0)+IF(OR(AN584="Dados pessoais",AN584="Dados sensíveis",AN584="Dados pessoais e sensíveis"),2,0)+IF(O584="De 1.001 a 10.000 titulares por mês",1,0)+IF(AA584="SIM",1,0)+IF(R584="SIM",1,0)+IF(AL584="SIM",1,0)+IF(AJ584="NÃO",1,0))&gt;=3),"DPIA indicado ou em avaliação em razão de: " &amp; TRIM(IF(I584="SIM","tratamento de dados sensíveis; ","") &amp; IF(K584="SIM","utilização de dados de menores; ","") &amp; IF(AF584="SIM","transferência internacional de dados; ","") &amp; IF(AL584="SIM","utilização de inteligência artificial; ","") &amp; IF(OR(AN584="Dados pessoais",AN584="Dados sensíveis",AN584="Dados pessoais e sensíveis"),"dados inseridos em IA; ","") &amp; IF(O584="Acima de 10.000 titulares por mês","volume crítico de titulares; ","") &amp; IF(O584="De 1.001 a 10.000 titulares por mês","volume moderado de titulares; ","") &amp; IF(AA584="SIM","compartilhamento com terceiros; ","") &amp; IF(R584="SIM","compartilhamento com órgãos governamentais; ","") &amp; IF(AJ584="NÃO","ausência de controle de acesso por perfil; ","")),"DPIA não indicado: Processo de baixa criticidade."))</f>
      </c>
    </row>
    <row x14ac:dyDescent="0.25" r="585" customHeight="1" ht="15.75">
      <c r="A585" s="46"/>
      <c r="B585" s="6"/>
      <c r="C585" s="11"/>
      <c r="D585" s="11"/>
      <c r="E585" s="11"/>
      <c r="F585" s="29"/>
      <c r="G585" s="11"/>
      <c r="H585" s="11"/>
      <c r="I585" s="29"/>
      <c r="J585" s="11"/>
      <c r="K585" s="29"/>
      <c r="L585" s="11"/>
      <c r="M585" s="11"/>
      <c r="N585" s="11"/>
      <c r="O585" s="29"/>
      <c r="P585" s="29"/>
      <c r="Q585" s="11"/>
      <c r="R585" s="29"/>
      <c r="S585" s="11"/>
      <c r="T585" s="6"/>
      <c r="U585" s="29"/>
      <c r="V585" s="11"/>
      <c r="W585" s="11"/>
      <c r="X585" s="29"/>
      <c r="Y585" s="11"/>
      <c r="Z585" s="29"/>
      <c r="AA585" s="29"/>
      <c r="AB585" s="11"/>
      <c r="AC585" s="11"/>
      <c r="AD585" s="29"/>
      <c r="AE585" s="11"/>
      <c r="AF585" s="29"/>
      <c r="AG585" s="11"/>
      <c r="AH585" s="29"/>
      <c r="AI585" s="11"/>
      <c r="AJ585" s="29"/>
      <c r="AK585" s="29"/>
      <c r="AL585" s="29"/>
      <c r="AM585" s="11"/>
      <c r="AN585" s="29"/>
      <c r="AO585" s="29"/>
      <c r="AP585" s="6"/>
      <c r="AQ585" s="113">
        <f>IF(AND(I585="",K585="",AF585="",AL585="",AN585="",O585=""),"",IF(OR(I585="SIM",K585="SIM",AF585="SIM",AL585="SIM",AN585="Dados pessoais",AN585="Dados sensíveis",AN585="Dados pessoais e sensíveis",O585="Acima de 10.000 titulares por mês"),"SIM - Alta criticidade",IF((IF(I585="SIM",2,0)+IF(K585="SIM",2,0)+IF(AF585="SIM",2,0)+IF(OR(AN585="Dados pessoais",AN585="Dados sensíveis",AN585="Dados pessoais e sensíveis"),2,0)+IF(O585="De 1.001 a 10.000 titulares por mês",1,0)+IF(AA585="SIM",1,0)+IF(R585="SIM",1,0)+IF(AL585="SIM",1,0)+IF(AJ585="NÃO",1,0))&gt;=5,"SIM - Alta criticidade",IF((IF(I585="SIM",2,0)+IF(K585="SIM",2,0)+IF(AF585="SIM",2,0)+IF(OR(AN585="Dados pessoais",AN585="Dados sensíveis",AN585="Dados pessoais e sensíveis"),2,0)+IF(O585="De 1.001 a 10.000 titulares por mês",1,0)+IF(AA585="SIM",1,0)+IF(R585="SIM",1,0)+IF(AL585="SIM",1,0)+IF(AJ585="NÃO",1,0))&gt;=3,"Avaliação necessária","NÃO"))))</f>
      </c>
      <c r="AR585" s="11"/>
      <c r="AS585" s="113">
        <f>IF(AND(I585="",K585="",AF585="",AL585="",AN585="",O585=""),"",IF(OR(I585="SIM",K585="SIM",AF585="SIM",AL585="SIM",OR(AN585="Dados pessoais",AN585="Dados sensíveis",AN585="Dados pessoais e sensíveis"),O585="Acima de 10.000 titulares por mês",(IF(I585="SIM",2,0)+IF(K585="SIM",2,0)+IF(AF585="SIM",2,0)+IF(OR(AN585="Dados pessoais",AN585="Dados sensíveis",AN585="Dados pessoais e sensíveis"),2,0)+IF(O585="De 1.001 a 10.000 titulares por mês",1,0)+IF(AA585="SIM",1,0)+IF(R585="SIM",1,0)+IF(AL585="SIM",1,0)+IF(AJ585="NÃO",1,0))&gt;=3),"DPIA indicado ou em avaliação em razão de: " &amp; TRIM(IF(I585="SIM","tratamento de dados sensíveis; ","") &amp; IF(K585="SIM","utilização de dados de menores; ","") &amp; IF(AF585="SIM","transferência internacional de dados; ","") &amp; IF(AL585="SIM","utilização de inteligência artificial; ","") &amp; IF(OR(AN585="Dados pessoais",AN585="Dados sensíveis",AN585="Dados pessoais e sensíveis"),"dados inseridos em IA; ","") &amp; IF(O585="Acima de 10.000 titulares por mês","volume crítico de titulares; ","") &amp; IF(O585="De 1.001 a 10.000 titulares por mês","volume moderado de titulares; ","") &amp; IF(AA585="SIM","compartilhamento com terceiros; ","") &amp; IF(R585="SIM","compartilhamento com órgãos governamentais; ","") &amp; IF(AJ585="NÃO","ausência de controle de acesso por perfil; ","")),"DPIA não indicado: Processo de baixa criticidade."))</f>
      </c>
    </row>
    <row x14ac:dyDescent="0.25" r="586" customHeight="1" ht="15.75">
      <c r="A586" s="46"/>
      <c r="B586" s="6"/>
      <c r="C586" s="11"/>
      <c r="D586" s="11"/>
      <c r="E586" s="11"/>
      <c r="F586" s="29"/>
      <c r="G586" s="11"/>
      <c r="H586" s="11"/>
      <c r="I586" s="29"/>
      <c r="J586" s="11"/>
      <c r="K586" s="29"/>
      <c r="L586" s="11"/>
      <c r="M586" s="11"/>
      <c r="N586" s="11"/>
      <c r="O586" s="29"/>
      <c r="P586" s="29"/>
      <c r="Q586" s="11"/>
      <c r="R586" s="29"/>
      <c r="S586" s="11"/>
      <c r="T586" s="6"/>
      <c r="U586" s="29"/>
      <c r="V586" s="11"/>
      <c r="W586" s="11"/>
      <c r="X586" s="29"/>
      <c r="Y586" s="11"/>
      <c r="Z586" s="29"/>
      <c r="AA586" s="29"/>
      <c r="AB586" s="11"/>
      <c r="AC586" s="11"/>
      <c r="AD586" s="29"/>
      <c r="AE586" s="11"/>
      <c r="AF586" s="29"/>
      <c r="AG586" s="11"/>
      <c r="AH586" s="29"/>
      <c r="AI586" s="11"/>
      <c r="AJ586" s="29"/>
      <c r="AK586" s="29"/>
      <c r="AL586" s="29"/>
      <c r="AM586" s="11"/>
      <c r="AN586" s="29"/>
      <c r="AO586" s="29"/>
      <c r="AP586" s="6"/>
      <c r="AQ586" s="113">
        <f>IF(AND(I586="",K586="",AF586="",AL586="",AN586="",O586=""),"",IF(OR(I586="SIM",K586="SIM",AF586="SIM",AL586="SIM",AN586="Dados pessoais",AN586="Dados sensíveis",AN586="Dados pessoais e sensíveis",O586="Acima de 10.000 titulares por mês"),"SIM - Alta criticidade",IF((IF(I586="SIM",2,0)+IF(K586="SIM",2,0)+IF(AF586="SIM",2,0)+IF(OR(AN586="Dados pessoais",AN586="Dados sensíveis",AN586="Dados pessoais e sensíveis"),2,0)+IF(O586="De 1.001 a 10.000 titulares por mês",1,0)+IF(AA586="SIM",1,0)+IF(R586="SIM",1,0)+IF(AL586="SIM",1,0)+IF(AJ586="NÃO",1,0))&gt;=5,"SIM - Alta criticidade",IF((IF(I586="SIM",2,0)+IF(K586="SIM",2,0)+IF(AF586="SIM",2,0)+IF(OR(AN586="Dados pessoais",AN586="Dados sensíveis",AN586="Dados pessoais e sensíveis"),2,0)+IF(O586="De 1.001 a 10.000 titulares por mês",1,0)+IF(AA586="SIM",1,0)+IF(R586="SIM",1,0)+IF(AL586="SIM",1,0)+IF(AJ586="NÃO",1,0))&gt;=3,"Avaliação necessária","NÃO"))))</f>
      </c>
      <c r="AR586" s="11"/>
      <c r="AS586" s="113">
        <f>IF(AND(I586="",K586="",AF586="",AL586="",AN586="",O586=""),"",IF(OR(I586="SIM",K586="SIM",AF586="SIM",AL586="SIM",OR(AN586="Dados pessoais",AN586="Dados sensíveis",AN586="Dados pessoais e sensíveis"),O586="Acima de 10.000 titulares por mês",(IF(I586="SIM",2,0)+IF(K586="SIM",2,0)+IF(AF586="SIM",2,0)+IF(OR(AN586="Dados pessoais",AN586="Dados sensíveis",AN586="Dados pessoais e sensíveis"),2,0)+IF(O586="De 1.001 a 10.000 titulares por mês",1,0)+IF(AA586="SIM",1,0)+IF(R586="SIM",1,0)+IF(AL586="SIM",1,0)+IF(AJ586="NÃO",1,0))&gt;=3),"DPIA indicado ou em avaliação em razão de: " &amp; TRIM(IF(I586="SIM","tratamento de dados sensíveis; ","") &amp; IF(K586="SIM","utilização de dados de menores; ","") &amp; IF(AF586="SIM","transferência internacional de dados; ","") &amp; IF(AL586="SIM","utilização de inteligência artificial; ","") &amp; IF(OR(AN586="Dados pessoais",AN586="Dados sensíveis",AN586="Dados pessoais e sensíveis"),"dados inseridos em IA; ","") &amp; IF(O586="Acima de 10.000 titulares por mês","volume crítico de titulares; ","") &amp; IF(O586="De 1.001 a 10.000 titulares por mês","volume moderado de titulares; ","") &amp; IF(AA586="SIM","compartilhamento com terceiros; ","") &amp; IF(R586="SIM","compartilhamento com órgãos governamentais; ","") &amp; IF(AJ586="NÃO","ausência de controle de acesso por perfil; ","")),"DPIA não indicado: Processo de baixa criticidade."))</f>
      </c>
    </row>
    <row x14ac:dyDescent="0.25" r="587" customHeight="1" ht="15.75">
      <c r="A587" s="46"/>
      <c r="B587" s="6"/>
      <c r="C587" s="11"/>
      <c r="D587" s="11"/>
      <c r="E587" s="11"/>
      <c r="F587" s="29"/>
      <c r="G587" s="11"/>
      <c r="H587" s="11"/>
      <c r="I587" s="29"/>
      <c r="J587" s="11"/>
      <c r="K587" s="29"/>
      <c r="L587" s="11"/>
      <c r="M587" s="11"/>
      <c r="N587" s="11"/>
      <c r="O587" s="29"/>
      <c r="P587" s="29"/>
      <c r="Q587" s="11"/>
      <c r="R587" s="29"/>
      <c r="S587" s="11"/>
      <c r="T587" s="6"/>
      <c r="U587" s="29"/>
      <c r="V587" s="11"/>
      <c r="W587" s="11"/>
      <c r="X587" s="29"/>
      <c r="Y587" s="11"/>
      <c r="Z587" s="29"/>
      <c r="AA587" s="29"/>
      <c r="AB587" s="11"/>
      <c r="AC587" s="11"/>
      <c r="AD587" s="29"/>
      <c r="AE587" s="11"/>
      <c r="AF587" s="29"/>
      <c r="AG587" s="11"/>
      <c r="AH587" s="29"/>
      <c r="AI587" s="11"/>
      <c r="AJ587" s="29"/>
      <c r="AK587" s="29"/>
      <c r="AL587" s="29"/>
      <c r="AM587" s="11"/>
      <c r="AN587" s="29"/>
      <c r="AO587" s="29"/>
      <c r="AP587" s="6"/>
      <c r="AQ587" s="113">
        <f>IF(AND(I587="",K587="",AF587="",AL587="",AN587="",O587=""),"",IF(OR(I587="SIM",K587="SIM",AF587="SIM",AL587="SIM",AN587="Dados pessoais",AN587="Dados sensíveis",AN587="Dados pessoais e sensíveis",O587="Acima de 10.000 titulares por mês"),"SIM - Alta criticidade",IF((IF(I587="SIM",2,0)+IF(K587="SIM",2,0)+IF(AF587="SIM",2,0)+IF(OR(AN587="Dados pessoais",AN587="Dados sensíveis",AN587="Dados pessoais e sensíveis"),2,0)+IF(O587="De 1.001 a 10.000 titulares por mês",1,0)+IF(AA587="SIM",1,0)+IF(R587="SIM",1,0)+IF(AL587="SIM",1,0)+IF(AJ587="NÃO",1,0))&gt;=5,"SIM - Alta criticidade",IF((IF(I587="SIM",2,0)+IF(K587="SIM",2,0)+IF(AF587="SIM",2,0)+IF(OR(AN587="Dados pessoais",AN587="Dados sensíveis",AN587="Dados pessoais e sensíveis"),2,0)+IF(O587="De 1.001 a 10.000 titulares por mês",1,0)+IF(AA587="SIM",1,0)+IF(R587="SIM",1,0)+IF(AL587="SIM",1,0)+IF(AJ587="NÃO",1,0))&gt;=3,"Avaliação necessária","NÃO"))))</f>
      </c>
      <c r="AR587" s="11"/>
      <c r="AS587" s="113">
        <f>IF(AND(I587="",K587="",AF587="",AL587="",AN587="",O587=""),"",IF(OR(I587="SIM",K587="SIM",AF587="SIM",AL587="SIM",OR(AN587="Dados pessoais",AN587="Dados sensíveis",AN587="Dados pessoais e sensíveis"),O587="Acima de 10.000 titulares por mês",(IF(I587="SIM",2,0)+IF(K587="SIM",2,0)+IF(AF587="SIM",2,0)+IF(OR(AN587="Dados pessoais",AN587="Dados sensíveis",AN587="Dados pessoais e sensíveis"),2,0)+IF(O587="De 1.001 a 10.000 titulares por mês",1,0)+IF(AA587="SIM",1,0)+IF(R587="SIM",1,0)+IF(AL587="SIM",1,0)+IF(AJ587="NÃO",1,0))&gt;=3),"DPIA indicado ou em avaliação em razão de: " &amp; TRIM(IF(I587="SIM","tratamento de dados sensíveis; ","") &amp; IF(K587="SIM","utilização de dados de menores; ","") &amp; IF(AF587="SIM","transferência internacional de dados; ","") &amp; IF(AL587="SIM","utilização de inteligência artificial; ","") &amp; IF(OR(AN587="Dados pessoais",AN587="Dados sensíveis",AN587="Dados pessoais e sensíveis"),"dados inseridos em IA; ","") &amp; IF(O587="Acima de 10.000 titulares por mês","volume crítico de titulares; ","") &amp; IF(O587="De 1.001 a 10.000 titulares por mês","volume moderado de titulares; ","") &amp; IF(AA587="SIM","compartilhamento com terceiros; ","") &amp; IF(R587="SIM","compartilhamento com órgãos governamentais; ","") &amp; IF(AJ587="NÃO","ausência de controle de acesso por perfil; ","")),"DPIA não indicado: Processo de baixa criticidade."))</f>
      </c>
    </row>
    <row x14ac:dyDescent="0.25" r="588" customHeight="1" ht="15.75">
      <c r="A588" s="46"/>
      <c r="B588" s="6"/>
      <c r="C588" s="11"/>
      <c r="D588" s="11"/>
      <c r="E588" s="11"/>
      <c r="F588" s="29"/>
      <c r="G588" s="11"/>
      <c r="H588" s="11"/>
      <c r="I588" s="29"/>
      <c r="J588" s="11"/>
      <c r="K588" s="29"/>
      <c r="L588" s="11"/>
      <c r="M588" s="11"/>
      <c r="N588" s="11"/>
      <c r="O588" s="29"/>
      <c r="P588" s="29"/>
      <c r="Q588" s="11"/>
      <c r="R588" s="29"/>
      <c r="S588" s="11"/>
      <c r="T588" s="6"/>
      <c r="U588" s="29"/>
      <c r="V588" s="11"/>
      <c r="W588" s="11"/>
      <c r="X588" s="29"/>
      <c r="Y588" s="11"/>
      <c r="Z588" s="29"/>
      <c r="AA588" s="29"/>
      <c r="AB588" s="11"/>
      <c r="AC588" s="11"/>
      <c r="AD588" s="29"/>
      <c r="AE588" s="11"/>
      <c r="AF588" s="29"/>
      <c r="AG588" s="11"/>
      <c r="AH588" s="29"/>
      <c r="AI588" s="11"/>
      <c r="AJ588" s="29"/>
      <c r="AK588" s="29"/>
      <c r="AL588" s="29"/>
      <c r="AM588" s="11"/>
      <c r="AN588" s="29"/>
      <c r="AO588" s="29"/>
      <c r="AP588" s="6"/>
      <c r="AQ588" s="113">
        <f>IF(AND(I588="",K588="",AF588="",AL588="",AN588="",O588=""),"",IF(OR(I588="SIM",K588="SIM",AF588="SIM",AL588="SIM",AN588="Dados pessoais",AN588="Dados sensíveis",AN588="Dados pessoais e sensíveis",O588="Acima de 10.000 titulares por mês"),"SIM - Alta criticidade",IF((IF(I588="SIM",2,0)+IF(K588="SIM",2,0)+IF(AF588="SIM",2,0)+IF(OR(AN588="Dados pessoais",AN588="Dados sensíveis",AN588="Dados pessoais e sensíveis"),2,0)+IF(O588="De 1.001 a 10.000 titulares por mês",1,0)+IF(AA588="SIM",1,0)+IF(R588="SIM",1,0)+IF(AL588="SIM",1,0)+IF(AJ588="NÃO",1,0))&gt;=5,"SIM - Alta criticidade",IF((IF(I588="SIM",2,0)+IF(K588="SIM",2,0)+IF(AF588="SIM",2,0)+IF(OR(AN588="Dados pessoais",AN588="Dados sensíveis",AN588="Dados pessoais e sensíveis"),2,0)+IF(O588="De 1.001 a 10.000 titulares por mês",1,0)+IF(AA588="SIM",1,0)+IF(R588="SIM",1,0)+IF(AL588="SIM",1,0)+IF(AJ588="NÃO",1,0))&gt;=3,"Avaliação necessária","NÃO"))))</f>
      </c>
      <c r="AR588" s="11"/>
      <c r="AS588" s="113">
        <f>IF(AND(I588="",K588="",AF588="",AL588="",AN588="",O588=""),"",IF(OR(I588="SIM",K588="SIM",AF588="SIM",AL588="SIM",OR(AN588="Dados pessoais",AN588="Dados sensíveis",AN588="Dados pessoais e sensíveis"),O588="Acima de 10.000 titulares por mês",(IF(I588="SIM",2,0)+IF(K588="SIM",2,0)+IF(AF588="SIM",2,0)+IF(OR(AN588="Dados pessoais",AN588="Dados sensíveis",AN588="Dados pessoais e sensíveis"),2,0)+IF(O588="De 1.001 a 10.000 titulares por mês",1,0)+IF(AA588="SIM",1,0)+IF(R588="SIM",1,0)+IF(AL588="SIM",1,0)+IF(AJ588="NÃO",1,0))&gt;=3),"DPIA indicado ou em avaliação em razão de: " &amp; TRIM(IF(I588="SIM","tratamento de dados sensíveis; ","") &amp; IF(K588="SIM","utilização de dados de menores; ","") &amp; IF(AF588="SIM","transferência internacional de dados; ","") &amp; IF(AL588="SIM","utilização de inteligência artificial; ","") &amp; IF(OR(AN588="Dados pessoais",AN588="Dados sensíveis",AN588="Dados pessoais e sensíveis"),"dados inseridos em IA; ","") &amp; IF(O588="Acima de 10.000 titulares por mês","volume crítico de titulares; ","") &amp; IF(O588="De 1.001 a 10.000 titulares por mês","volume moderado de titulares; ","") &amp; IF(AA588="SIM","compartilhamento com terceiros; ","") &amp; IF(R588="SIM","compartilhamento com órgãos governamentais; ","") &amp; IF(AJ588="NÃO","ausência de controle de acesso por perfil; ","")),"DPIA não indicado: Processo de baixa criticidade."))</f>
      </c>
    </row>
    <row x14ac:dyDescent="0.25" r="589" customHeight="1" ht="15.75">
      <c r="A589" s="46"/>
      <c r="B589" s="6"/>
      <c r="C589" s="11"/>
      <c r="D589" s="11"/>
      <c r="E589" s="11"/>
      <c r="F589" s="29"/>
      <c r="G589" s="11"/>
      <c r="H589" s="11"/>
      <c r="I589" s="29"/>
      <c r="J589" s="11"/>
      <c r="K589" s="29"/>
      <c r="L589" s="11"/>
      <c r="M589" s="11"/>
      <c r="N589" s="11"/>
      <c r="O589" s="29"/>
      <c r="P589" s="29"/>
      <c r="Q589" s="11"/>
      <c r="R589" s="29"/>
      <c r="S589" s="11"/>
      <c r="T589" s="6"/>
      <c r="U589" s="29"/>
      <c r="V589" s="11"/>
      <c r="W589" s="11"/>
      <c r="X589" s="29"/>
      <c r="Y589" s="11"/>
      <c r="Z589" s="29"/>
      <c r="AA589" s="29"/>
      <c r="AB589" s="11"/>
      <c r="AC589" s="11"/>
      <c r="AD589" s="29"/>
      <c r="AE589" s="11"/>
      <c r="AF589" s="29"/>
      <c r="AG589" s="11"/>
      <c r="AH589" s="29"/>
      <c r="AI589" s="11"/>
      <c r="AJ589" s="29"/>
      <c r="AK589" s="29"/>
      <c r="AL589" s="29"/>
      <c r="AM589" s="11"/>
      <c r="AN589" s="29"/>
      <c r="AO589" s="29"/>
      <c r="AP589" s="6"/>
      <c r="AQ589" s="113">
        <f>IF(AND(I589="",K589="",AF589="",AL589="",AN589="",O589=""),"",IF(OR(I589="SIM",K589="SIM",AF589="SIM",AL589="SIM",AN589="Dados pessoais",AN589="Dados sensíveis",AN589="Dados pessoais e sensíveis",O589="Acima de 10.000 titulares por mês"),"SIM - Alta criticidade",IF((IF(I589="SIM",2,0)+IF(K589="SIM",2,0)+IF(AF589="SIM",2,0)+IF(OR(AN589="Dados pessoais",AN589="Dados sensíveis",AN589="Dados pessoais e sensíveis"),2,0)+IF(O589="De 1.001 a 10.000 titulares por mês",1,0)+IF(AA589="SIM",1,0)+IF(R589="SIM",1,0)+IF(AL589="SIM",1,0)+IF(AJ589="NÃO",1,0))&gt;=5,"SIM - Alta criticidade",IF((IF(I589="SIM",2,0)+IF(K589="SIM",2,0)+IF(AF589="SIM",2,0)+IF(OR(AN589="Dados pessoais",AN589="Dados sensíveis",AN589="Dados pessoais e sensíveis"),2,0)+IF(O589="De 1.001 a 10.000 titulares por mês",1,0)+IF(AA589="SIM",1,0)+IF(R589="SIM",1,0)+IF(AL589="SIM",1,0)+IF(AJ589="NÃO",1,0))&gt;=3,"Avaliação necessária","NÃO"))))</f>
      </c>
      <c r="AR589" s="11"/>
      <c r="AS589" s="113">
        <f>IF(AND(I589="",K589="",AF589="",AL589="",AN589="",O589=""),"",IF(OR(I589="SIM",K589="SIM",AF589="SIM",AL589="SIM",OR(AN589="Dados pessoais",AN589="Dados sensíveis",AN589="Dados pessoais e sensíveis"),O589="Acima de 10.000 titulares por mês",(IF(I589="SIM",2,0)+IF(K589="SIM",2,0)+IF(AF589="SIM",2,0)+IF(OR(AN589="Dados pessoais",AN589="Dados sensíveis",AN589="Dados pessoais e sensíveis"),2,0)+IF(O589="De 1.001 a 10.000 titulares por mês",1,0)+IF(AA589="SIM",1,0)+IF(R589="SIM",1,0)+IF(AL589="SIM",1,0)+IF(AJ589="NÃO",1,0))&gt;=3),"DPIA indicado ou em avaliação em razão de: " &amp; TRIM(IF(I589="SIM","tratamento de dados sensíveis; ","") &amp; IF(K589="SIM","utilização de dados de menores; ","") &amp; IF(AF589="SIM","transferência internacional de dados; ","") &amp; IF(AL589="SIM","utilização de inteligência artificial; ","") &amp; IF(OR(AN589="Dados pessoais",AN589="Dados sensíveis",AN589="Dados pessoais e sensíveis"),"dados inseridos em IA; ","") &amp; IF(O589="Acima de 10.000 titulares por mês","volume crítico de titulares; ","") &amp; IF(O589="De 1.001 a 10.000 titulares por mês","volume moderado de titulares; ","") &amp; IF(AA589="SIM","compartilhamento com terceiros; ","") &amp; IF(R589="SIM","compartilhamento com órgãos governamentais; ","") &amp; IF(AJ589="NÃO","ausência de controle de acesso por perfil; ","")),"DPIA não indicado: Processo de baixa criticidade."))</f>
      </c>
    </row>
    <row x14ac:dyDescent="0.25" r="590" customHeight="1" ht="15.75">
      <c r="A590" s="46"/>
      <c r="B590" s="6"/>
      <c r="C590" s="11"/>
      <c r="D590" s="11"/>
      <c r="E590" s="11"/>
      <c r="F590" s="29"/>
      <c r="G590" s="11"/>
      <c r="H590" s="11"/>
      <c r="I590" s="29"/>
      <c r="J590" s="11"/>
      <c r="K590" s="29"/>
      <c r="L590" s="11"/>
      <c r="M590" s="11"/>
      <c r="N590" s="11"/>
      <c r="O590" s="29"/>
      <c r="P590" s="29"/>
      <c r="Q590" s="11"/>
      <c r="R590" s="29"/>
      <c r="S590" s="11"/>
      <c r="T590" s="6"/>
      <c r="U590" s="29"/>
      <c r="V590" s="11"/>
      <c r="W590" s="11"/>
      <c r="X590" s="29"/>
      <c r="Y590" s="11"/>
      <c r="Z590" s="29"/>
      <c r="AA590" s="29"/>
      <c r="AB590" s="11"/>
      <c r="AC590" s="11"/>
      <c r="AD590" s="29"/>
      <c r="AE590" s="11"/>
      <c r="AF590" s="29"/>
      <c r="AG590" s="11"/>
      <c r="AH590" s="29"/>
      <c r="AI590" s="11"/>
      <c r="AJ590" s="29"/>
      <c r="AK590" s="29"/>
      <c r="AL590" s="29"/>
      <c r="AM590" s="11"/>
      <c r="AN590" s="29"/>
      <c r="AO590" s="29"/>
      <c r="AP590" s="6"/>
      <c r="AQ590" s="113">
        <f>IF(AND(I590="",K590="",AF590="",AL590="",AN590="",O590=""),"",IF(OR(I590="SIM",K590="SIM",AF590="SIM",AL590="SIM",AN590="Dados pessoais",AN590="Dados sensíveis",AN590="Dados pessoais e sensíveis",O590="Acima de 10.000 titulares por mês"),"SIM - Alta criticidade",IF((IF(I590="SIM",2,0)+IF(K590="SIM",2,0)+IF(AF590="SIM",2,0)+IF(OR(AN590="Dados pessoais",AN590="Dados sensíveis",AN590="Dados pessoais e sensíveis"),2,0)+IF(O590="De 1.001 a 10.000 titulares por mês",1,0)+IF(AA590="SIM",1,0)+IF(R590="SIM",1,0)+IF(AL590="SIM",1,0)+IF(AJ590="NÃO",1,0))&gt;=5,"SIM - Alta criticidade",IF((IF(I590="SIM",2,0)+IF(K590="SIM",2,0)+IF(AF590="SIM",2,0)+IF(OR(AN590="Dados pessoais",AN590="Dados sensíveis",AN590="Dados pessoais e sensíveis"),2,0)+IF(O590="De 1.001 a 10.000 titulares por mês",1,0)+IF(AA590="SIM",1,0)+IF(R590="SIM",1,0)+IF(AL590="SIM",1,0)+IF(AJ590="NÃO",1,0))&gt;=3,"Avaliação necessária","NÃO"))))</f>
      </c>
      <c r="AR590" s="11"/>
      <c r="AS590" s="113">
        <f>IF(AND(I590="",K590="",AF590="",AL590="",AN590="",O590=""),"",IF(OR(I590="SIM",K590="SIM",AF590="SIM",AL590="SIM",OR(AN590="Dados pessoais",AN590="Dados sensíveis",AN590="Dados pessoais e sensíveis"),O590="Acima de 10.000 titulares por mês",(IF(I590="SIM",2,0)+IF(K590="SIM",2,0)+IF(AF590="SIM",2,0)+IF(OR(AN590="Dados pessoais",AN590="Dados sensíveis",AN590="Dados pessoais e sensíveis"),2,0)+IF(O590="De 1.001 a 10.000 titulares por mês",1,0)+IF(AA590="SIM",1,0)+IF(R590="SIM",1,0)+IF(AL590="SIM",1,0)+IF(AJ590="NÃO",1,0))&gt;=3),"DPIA indicado ou em avaliação em razão de: " &amp; TRIM(IF(I590="SIM","tratamento de dados sensíveis; ","") &amp; IF(K590="SIM","utilização de dados de menores; ","") &amp; IF(AF590="SIM","transferência internacional de dados; ","") &amp; IF(AL590="SIM","utilização de inteligência artificial; ","") &amp; IF(OR(AN590="Dados pessoais",AN590="Dados sensíveis",AN590="Dados pessoais e sensíveis"),"dados inseridos em IA; ","") &amp; IF(O590="Acima de 10.000 titulares por mês","volume crítico de titulares; ","") &amp; IF(O590="De 1.001 a 10.000 titulares por mês","volume moderado de titulares; ","") &amp; IF(AA590="SIM","compartilhamento com terceiros; ","") &amp; IF(R590="SIM","compartilhamento com órgãos governamentais; ","") &amp; IF(AJ590="NÃO","ausência de controle de acesso por perfil; ","")),"DPIA não indicado: Processo de baixa criticidade."))</f>
      </c>
    </row>
    <row x14ac:dyDescent="0.25" r="591" customHeight="1" ht="15.75">
      <c r="A591" s="46"/>
      <c r="B591" s="6"/>
      <c r="C591" s="11"/>
      <c r="D591" s="11"/>
      <c r="E591" s="11"/>
      <c r="F591" s="29"/>
      <c r="G591" s="11"/>
      <c r="H591" s="11"/>
      <c r="I591" s="29"/>
      <c r="J591" s="11"/>
      <c r="K591" s="29"/>
      <c r="L591" s="11"/>
      <c r="M591" s="11"/>
      <c r="N591" s="11"/>
      <c r="O591" s="29"/>
      <c r="P591" s="29"/>
      <c r="Q591" s="11"/>
      <c r="R591" s="29"/>
      <c r="S591" s="11"/>
      <c r="T591" s="6"/>
      <c r="U591" s="29"/>
      <c r="V591" s="11"/>
      <c r="W591" s="11"/>
      <c r="X591" s="29"/>
      <c r="Y591" s="11"/>
      <c r="Z591" s="29"/>
      <c r="AA591" s="29"/>
      <c r="AB591" s="11"/>
      <c r="AC591" s="11"/>
      <c r="AD591" s="29"/>
      <c r="AE591" s="11"/>
      <c r="AF591" s="29"/>
      <c r="AG591" s="11"/>
      <c r="AH591" s="29"/>
      <c r="AI591" s="11"/>
      <c r="AJ591" s="29"/>
      <c r="AK591" s="29"/>
      <c r="AL591" s="29"/>
      <c r="AM591" s="11"/>
      <c r="AN591" s="29"/>
      <c r="AO591" s="29"/>
      <c r="AP591" s="6"/>
      <c r="AQ591" s="113">
        <f>IF(AND(I591="",K591="",AF591="",AL591="",AN591="",O591=""),"",IF(OR(I591="SIM",K591="SIM",AF591="SIM",AL591="SIM",AN591="Dados pessoais",AN591="Dados sensíveis",AN591="Dados pessoais e sensíveis",O591="Acima de 10.000 titulares por mês"),"SIM - Alta criticidade",IF((IF(I591="SIM",2,0)+IF(K591="SIM",2,0)+IF(AF591="SIM",2,0)+IF(OR(AN591="Dados pessoais",AN591="Dados sensíveis",AN591="Dados pessoais e sensíveis"),2,0)+IF(O591="De 1.001 a 10.000 titulares por mês",1,0)+IF(AA591="SIM",1,0)+IF(R591="SIM",1,0)+IF(AL591="SIM",1,0)+IF(AJ591="NÃO",1,0))&gt;=5,"SIM - Alta criticidade",IF((IF(I591="SIM",2,0)+IF(K591="SIM",2,0)+IF(AF591="SIM",2,0)+IF(OR(AN591="Dados pessoais",AN591="Dados sensíveis",AN591="Dados pessoais e sensíveis"),2,0)+IF(O591="De 1.001 a 10.000 titulares por mês",1,0)+IF(AA591="SIM",1,0)+IF(R591="SIM",1,0)+IF(AL591="SIM",1,0)+IF(AJ591="NÃO",1,0))&gt;=3,"Avaliação necessária","NÃO"))))</f>
      </c>
      <c r="AR591" s="11"/>
      <c r="AS591" s="113">
        <f>IF(AND(I591="",K591="",AF591="",AL591="",AN591="",O591=""),"",IF(OR(I591="SIM",K591="SIM",AF591="SIM",AL591="SIM",OR(AN591="Dados pessoais",AN591="Dados sensíveis",AN591="Dados pessoais e sensíveis"),O591="Acima de 10.000 titulares por mês",(IF(I591="SIM",2,0)+IF(K591="SIM",2,0)+IF(AF591="SIM",2,0)+IF(OR(AN591="Dados pessoais",AN591="Dados sensíveis",AN591="Dados pessoais e sensíveis"),2,0)+IF(O591="De 1.001 a 10.000 titulares por mês",1,0)+IF(AA591="SIM",1,0)+IF(R591="SIM",1,0)+IF(AL591="SIM",1,0)+IF(AJ591="NÃO",1,0))&gt;=3),"DPIA indicado ou em avaliação em razão de: " &amp; TRIM(IF(I591="SIM","tratamento de dados sensíveis; ","") &amp; IF(K591="SIM","utilização de dados de menores; ","") &amp; IF(AF591="SIM","transferência internacional de dados; ","") &amp; IF(AL591="SIM","utilização de inteligência artificial; ","") &amp; IF(OR(AN591="Dados pessoais",AN591="Dados sensíveis",AN591="Dados pessoais e sensíveis"),"dados inseridos em IA; ","") &amp; IF(O591="Acima de 10.000 titulares por mês","volume crítico de titulares; ","") &amp; IF(O591="De 1.001 a 10.000 titulares por mês","volume moderado de titulares; ","") &amp; IF(AA591="SIM","compartilhamento com terceiros; ","") &amp; IF(R591="SIM","compartilhamento com órgãos governamentais; ","") &amp; IF(AJ591="NÃO","ausência de controle de acesso por perfil; ","")),"DPIA não indicado: Processo de baixa criticidade."))</f>
      </c>
    </row>
    <row x14ac:dyDescent="0.25" r="592" customHeight="1" ht="15.75">
      <c r="A592" s="46"/>
      <c r="B592" s="6"/>
      <c r="C592" s="11"/>
      <c r="D592" s="11"/>
      <c r="E592" s="11"/>
      <c r="F592" s="29"/>
      <c r="G592" s="11"/>
      <c r="H592" s="11"/>
      <c r="I592" s="29"/>
      <c r="J592" s="11"/>
      <c r="K592" s="29"/>
      <c r="L592" s="11"/>
      <c r="M592" s="11"/>
      <c r="N592" s="11"/>
      <c r="O592" s="29"/>
      <c r="P592" s="29"/>
      <c r="Q592" s="11"/>
      <c r="R592" s="29"/>
      <c r="S592" s="11"/>
      <c r="T592" s="6"/>
      <c r="U592" s="29"/>
      <c r="V592" s="11"/>
      <c r="W592" s="11"/>
      <c r="X592" s="29"/>
      <c r="Y592" s="11"/>
      <c r="Z592" s="29"/>
      <c r="AA592" s="29"/>
      <c r="AB592" s="11"/>
      <c r="AC592" s="11"/>
      <c r="AD592" s="29"/>
      <c r="AE592" s="11"/>
      <c r="AF592" s="29"/>
      <c r="AG592" s="11"/>
      <c r="AH592" s="29"/>
      <c r="AI592" s="11"/>
      <c r="AJ592" s="29"/>
      <c r="AK592" s="29"/>
      <c r="AL592" s="29"/>
      <c r="AM592" s="11"/>
      <c r="AN592" s="29"/>
      <c r="AO592" s="29"/>
      <c r="AP592" s="6"/>
      <c r="AQ592" s="113">
        <f>IF(AND(I592="",K592="",AF592="",AL592="",AN592="",O592=""),"",IF(OR(I592="SIM",K592="SIM",AF592="SIM",AL592="SIM",AN592="Dados pessoais",AN592="Dados sensíveis",AN592="Dados pessoais e sensíveis",O592="Acima de 10.000 titulares por mês"),"SIM - Alta criticidade",IF((IF(I592="SIM",2,0)+IF(K592="SIM",2,0)+IF(AF592="SIM",2,0)+IF(OR(AN592="Dados pessoais",AN592="Dados sensíveis",AN592="Dados pessoais e sensíveis"),2,0)+IF(O592="De 1.001 a 10.000 titulares por mês",1,0)+IF(AA592="SIM",1,0)+IF(R592="SIM",1,0)+IF(AL592="SIM",1,0)+IF(AJ592="NÃO",1,0))&gt;=5,"SIM - Alta criticidade",IF((IF(I592="SIM",2,0)+IF(K592="SIM",2,0)+IF(AF592="SIM",2,0)+IF(OR(AN592="Dados pessoais",AN592="Dados sensíveis",AN592="Dados pessoais e sensíveis"),2,0)+IF(O592="De 1.001 a 10.000 titulares por mês",1,0)+IF(AA592="SIM",1,0)+IF(R592="SIM",1,0)+IF(AL592="SIM",1,0)+IF(AJ592="NÃO",1,0))&gt;=3,"Avaliação necessária","NÃO"))))</f>
      </c>
      <c r="AR592" s="11"/>
      <c r="AS592" s="113">
        <f>IF(AND(I592="",K592="",AF592="",AL592="",AN592="",O592=""),"",IF(OR(I592="SIM",K592="SIM",AF592="SIM",AL592="SIM",OR(AN592="Dados pessoais",AN592="Dados sensíveis",AN592="Dados pessoais e sensíveis"),O592="Acima de 10.000 titulares por mês",(IF(I592="SIM",2,0)+IF(K592="SIM",2,0)+IF(AF592="SIM",2,0)+IF(OR(AN592="Dados pessoais",AN592="Dados sensíveis",AN592="Dados pessoais e sensíveis"),2,0)+IF(O592="De 1.001 a 10.000 titulares por mês",1,0)+IF(AA592="SIM",1,0)+IF(R592="SIM",1,0)+IF(AL592="SIM",1,0)+IF(AJ592="NÃO",1,0))&gt;=3),"DPIA indicado ou em avaliação em razão de: " &amp; TRIM(IF(I592="SIM","tratamento de dados sensíveis; ","") &amp; IF(K592="SIM","utilização de dados de menores; ","") &amp; IF(AF592="SIM","transferência internacional de dados; ","") &amp; IF(AL592="SIM","utilização de inteligência artificial; ","") &amp; IF(OR(AN592="Dados pessoais",AN592="Dados sensíveis",AN592="Dados pessoais e sensíveis"),"dados inseridos em IA; ","") &amp; IF(O592="Acima de 10.000 titulares por mês","volume crítico de titulares; ","") &amp; IF(O592="De 1.001 a 10.000 titulares por mês","volume moderado de titulares; ","") &amp; IF(AA592="SIM","compartilhamento com terceiros; ","") &amp; IF(R592="SIM","compartilhamento com órgãos governamentais; ","") &amp; IF(AJ592="NÃO","ausência de controle de acesso por perfil; ","")),"DPIA não indicado: Processo de baixa criticidade."))</f>
      </c>
    </row>
    <row x14ac:dyDescent="0.25" r="593" customHeight="1" ht="15.75">
      <c r="A593" s="46"/>
      <c r="B593" s="6"/>
      <c r="C593" s="11"/>
      <c r="D593" s="11"/>
      <c r="E593" s="11"/>
      <c r="F593" s="29"/>
      <c r="G593" s="11"/>
      <c r="H593" s="11"/>
      <c r="I593" s="29"/>
      <c r="J593" s="11"/>
      <c r="K593" s="29"/>
      <c r="L593" s="11"/>
      <c r="M593" s="11"/>
      <c r="N593" s="11"/>
      <c r="O593" s="29"/>
      <c r="P593" s="29"/>
      <c r="Q593" s="11"/>
      <c r="R593" s="29"/>
      <c r="S593" s="11"/>
      <c r="T593" s="6"/>
      <c r="U593" s="29"/>
      <c r="V593" s="11"/>
      <c r="W593" s="11"/>
      <c r="X593" s="29"/>
      <c r="Y593" s="11"/>
      <c r="Z593" s="29"/>
      <c r="AA593" s="29"/>
      <c r="AB593" s="11"/>
      <c r="AC593" s="11"/>
      <c r="AD593" s="29"/>
      <c r="AE593" s="11"/>
      <c r="AF593" s="29"/>
      <c r="AG593" s="11"/>
      <c r="AH593" s="29"/>
      <c r="AI593" s="11"/>
      <c r="AJ593" s="29"/>
      <c r="AK593" s="29"/>
      <c r="AL593" s="29"/>
      <c r="AM593" s="11"/>
      <c r="AN593" s="29"/>
      <c r="AO593" s="29"/>
      <c r="AP593" s="6"/>
      <c r="AQ593" s="113">
        <f>IF(AND(I593="",K593="",AF593="",AL593="",AN593="",O593=""),"",IF(OR(I593="SIM",K593="SIM",AF593="SIM",AL593="SIM",AN593="Dados pessoais",AN593="Dados sensíveis",AN593="Dados pessoais e sensíveis",O593="Acima de 10.000 titulares por mês"),"SIM - Alta criticidade",IF((IF(I593="SIM",2,0)+IF(K593="SIM",2,0)+IF(AF593="SIM",2,0)+IF(OR(AN593="Dados pessoais",AN593="Dados sensíveis",AN593="Dados pessoais e sensíveis"),2,0)+IF(O593="De 1.001 a 10.000 titulares por mês",1,0)+IF(AA593="SIM",1,0)+IF(R593="SIM",1,0)+IF(AL593="SIM",1,0)+IF(AJ593="NÃO",1,0))&gt;=5,"SIM - Alta criticidade",IF((IF(I593="SIM",2,0)+IF(K593="SIM",2,0)+IF(AF593="SIM",2,0)+IF(OR(AN593="Dados pessoais",AN593="Dados sensíveis",AN593="Dados pessoais e sensíveis"),2,0)+IF(O593="De 1.001 a 10.000 titulares por mês",1,0)+IF(AA593="SIM",1,0)+IF(R593="SIM",1,0)+IF(AL593="SIM",1,0)+IF(AJ593="NÃO",1,0))&gt;=3,"Avaliação necessária","NÃO"))))</f>
      </c>
      <c r="AR593" s="11"/>
      <c r="AS593" s="113">
        <f>IF(AND(I593="",K593="",AF593="",AL593="",AN593="",O593=""),"",IF(OR(I593="SIM",K593="SIM",AF593="SIM",AL593="SIM",OR(AN593="Dados pessoais",AN593="Dados sensíveis",AN593="Dados pessoais e sensíveis"),O593="Acima de 10.000 titulares por mês",(IF(I593="SIM",2,0)+IF(K593="SIM",2,0)+IF(AF593="SIM",2,0)+IF(OR(AN593="Dados pessoais",AN593="Dados sensíveis",AN593="Dados pessoais e sensíveis"),2,0)+IF(O593="De 1.001 a 10.000 titulares por mês",1,0)+IF(AA593="SIM",1,0)+IF(R593="SIM",1,0)+IF(AL593="SIM",1,0)+IF(AJ593="NÃO",1,0))&gt;=3),"DPIA indicado ou em avaliação em razão de: " &amp; TRIM(IF(I593="SIM","tratamento de dados sensíveis; ","") &amp; IF(K593="SIM","utilização de dados de menores; ","") &amp; IF(AF593="SIM","transferência internacional de dados; ","") &amp; IF(AL593="SIM","utilização de inteligência artificial; ","") &amp; IF(OR(AN593="Dados pessoais",AN593="Dados sensíveis",AN593="Dados pessoais e sensíveis"),"dados inseridos em IA; ","") &amp; IF(O593="Acima de 10.000 titulares por mês","volume crítico de titulares; ","") &amp; IF(O593="De 1.001 a 10.000 titulares por mês","volume moderado de titulares; ","") &amp; IF(AA593="SIM","compartilhamento com terceiros; ","") &amp; IF(R593="SIM","compartilhamento com órgãos governamentais; ","") &amp; IF(AJ593="NÃO","ausência de controle de acesso por perfil; ","")),"DPIA não indicado: Processo de baixa criticidade."))</f>
      </c>
    </row>
    <row x14ac:dyDescent="0.25" r="594" customHeight="1" ht="15.75">
      <c r="A594" s="46"/>
      <c r="B594" s="6"/>
      <c r="C594" s="11"/>
      <c r="D594" s="11"/>
      <c r="E594" s="11"/>
      <c r="F594" s="29"/>
      <c r="G594" s="11"/>
      <c r="H594" s="11"/>
      <c r="I594" s="29"/>
      <c r="J594" s="11"/>
      <c r="K594" s="29"/>
      <c r="L594" s="11"/>
      <c r="M594" s="11"/>
      <c r="N594" s="11"/>
      <c r="O594" s="29"/>
      <c r="P594" s="29"/>
      <c r="Q594" s="11"/>
      <c r="R594" s="29"/>
      <c r="S594" s="11"/>
      <c r="T594" s="6"/>
      <c r="U594" s="29"/>
      <c r="V594" s="11"/>
      <c r="W594" s="11"/>
      <c r="X594" s="29"/>
      <c r="Y594" s="11"/>
      <c r="Z594" s="29"/>
      <c r="AA594" s="29"/>
      <c r="AB594" s="11"/>
      <c r="AC594" s="11"/>
      <c r="AD594" s="29"/>
      <c r="AE594" s="11"/>
      <c r="AF594" s="29"/>
      <c r="AG594" s="11"/>
      <c r="AH594" s="29"/>
      <c r="AI594" s="11"/>
      <c r="AJ594" s="29"/>
      <c r="AK594" s="29"/>
      <c r="AL594" s="29"/>
      <c r="AM594" s="11"/>
      <c r="AN594" s="29"/>
      <c r="AO594" s="29"/>
      <c r="AP594" s="6"/>
      <c r="AQ594" s="113">
        <f>IF(AND(I594="",K594="",AF594="",AL594="",AN594="",O594=""),"",IF(OR(I594="SIM",K594="SIM",AF594="SIM",AL594="SIM",AN594="Dados pessoais",AN594="Dados sensíveis",AN594="Dados pessoais e sensíveis",O594="Acima de 10.000 titulares por mês"),"SIM - Alta criticidade",IF((IF(I594="SIM",2,0)+IF(K594="SIM",2,0)+IF(AF594="SIM",2,0)+IF(OR(AN594="Dados pessoais",AN594="Dados sensíveis",AN594="Dados pessoais e sensíveis"),2,0)+IF(O594="De 1.001 a 10.000 titulares por mês",1,0)+IF(AA594="SIM",1,0)+IF(R594="SIM",1,0)+IF(AL594="SIM",1,0)+IF(AJ594="NÃO",1,0))&gt;=5,"SIM - Alta criticidade",IF((IF(I594="SIM",2,0)+IF(K594="SIM",2,0)+IF(AF594="SIM",2,0)+IF(OR(AN594="Dados pessoais",AN594="Dados sensíveis",AN594="Dados pessoais e sensíveis"),2,0)+IF(O594="De 1.001 a 10.000 titulares por mês",1,0)+IF(AA594="SIM",1,0)+IF(R594="SIM",1,0)+IF(AL594="SIM",1,0)+IF(AJ594="NÃO",1,0))&gt;=3,"Avaliação necessária","NÃO"))))</f>
      </c>
      <c r="AR594" s="11"/>
      <c r="AS594" s="113">
        <f>IF(AND(I594="",K594="",AF594="",AL594="",AN594="",O594=""),"",IF(OR(I594="SIM",K594="SIM",AF594="SIM",AL594="SIM",OR(AN594="Dados pessoais",AN594="Dados sensíveis",AN594="Dados pessoais e sensíveis"),O594="Acima de 10.000 titulares por mês",(IF(I594="SIM",2,0)+IF(K594="SIM",2,0)+IF(AF594="SIM",2,0)+IF(OR(AN594="Dados pessoais",AN594="Dados sensíveis",AN594="Dados pessoais e sensíveis"),2,0)+IF(O594="De 1.001 a 10.000 titulares por mês",1,0)+IF(AA594="SIM",1,0)+IF(R594="SIM",1,0)+IF(AL594="SIM",1,0)+IF(AJ594="NÃO",1,0))&gt;=3),"DPIA indicado ou em avaliação em razão de: " &amp; TRIM(IF(I594="SIM","tratamento de dados sensíveis; ","") &amp; IF(K594="SIM","utilização de dados de menores; ","") &amp; IF(AF594="SIM","transferência internacional de dados; ","") &amp; IF(AL594="SIM","utilização de inteligência artificial; ","") &amp; IF(OR(AN594="Dados pessoais",AN594="Dados sensíveis",AN594="Dados pessoais e sensíveis"),"dados inseridos em IA; ","") &amp; IF(O594="Acima de 10.000 titulares por mês","volume crítico de titulares; ","") &amp; IF(O594="De 1.001 a 10.000 titulares por mês","volume moderado de titulares; ","") &amp; IF(AA594="SIM","compartilhamento com terceiros; ","") &amp; IF(R594="SIM","compartilhamento com órgãos governamentais; ","") &amp; IF(AJ594="NÃO","ausência de controle de acesso por perfil; ","")),"DPIA não indicado: Processo de baixa criticidade."))</f>
      </c>
    </row>
    <row x14ac:dyDescent="0.25" r="595" customHeight="1" ht="15.75">
      <c r="A595" s="46"/>
      <c r="B595" s="6"/>
      <c r="C595" s="11"/>
      <c r="D595" s="11"/>
      <c r="E595" s="11"/>
      <c r="F595" s="29"/>
      <c r="G595" s="11"/>
      <c r="H595" s="11"/>
      <c r="I595" s="29"/>
      <c r="J595" s="11"/>
      <c r="K595" s="29"/>
      <c r="L595" s="11"/>
      <c r="M595" s="11"/>
      <c r="N595" s="11"/>
      <c r="O595" s="29"/>
      <c r="P595" s="29"/>
      <c r="Q595" s="11"/>
      <c r="R595" s="29"/>
      <c r="S595" s="11"/>
      <c r="T595" s="6"/>
      <c r="U595" s="29"/>
      <c r="V595" s="11"/>
      <c r="W595" s="11"/>
      <c r="X595" s="29"/>
      <c r="Y595" s="11"/>
      <c r="Z595" s="29"/>
      <c r="AA595" s="29"/>
      <c r="AB595" s="11"/>
      <c r="AC595" s="11"/>
      <c r="AD595" s="29"/>
      <c r="AE595" s="11"/>
      <c r="AF595" s="29"/>
      <c r="AG595" s="11"/>
      <c r="AH595" s="29"/>
      <c r="AI595" s="11"/>
      <c r="AJ595" s="29"/>
      <c r="AK595" s="29"/>
      <c r="AL595" s="29"/>
      <c r="AM595" s="11"/>
      <c r="AN595" s="29"/>
      <c r="AO595" s="29"/>
      <c r="AP595" s="6"/>
      <c r="AQ595" s="113">
        <f>IF(AND(I595="",K595="",AF595="",AL595="",AN595="",O595=""),"",IF(OR(I595="SIM",K595="SIM",AF595="SIM",AL595="SIM",AN595="Dados pessoais",AN595="Dados sensíveis",AN595="Dados pessoais e sensíveis",O595="Acima de 10.000 titulares por mês"),"SIM - Alta criticidade",IF((IF(I595="SIM",2,0)+IF(K595="SIM",2,0)+IF(AF595="SIM",2,0)+IF(OR(AN595="Dados pessoais",AN595="Dados sensíveis",AN595="Dados pessoais e sensíveis"),2,0)+IF(O595="De 1.001 a 10.000 titulares por mês",1,0)+IF(AA595="SIM",1,0)+IF(R595="SIM",1,0)+IF(AL595="SIM",1,0)+IF(AJ595="NÃO",1,0))&gt;=5,"SIM - Alta criticidade",IF((IF(I595="SIM",2,0)+IF(K595="SIM",2,0)+IF(AF595="SIM",2,0)+IF(OR(AN595="Dados pessoais",AN595="Dados sensíveis",AN595="Dados pessoais e sensíveis"),2,0)+IF(O595="De 1.001 a 10.000 titulares por mês",1,0)+IF(AA595="SIM",1,0)+IF(R595="SIM",1,0)+IF(AL595="SIM",1,0)+IF(AJ595="NÃO",1,0))&gt;=3,"Avaliação necessária","NÃO"))))</f>
      </c>
      <c r="AR595" s="11"/>
      <c r="AS595" s="113">
        <f>IF(AND(I595="",K595="",AF595="",AL595="",AN595="",O595=""),"",IF(OR(I595="SIM",K595="SIM",AF595="SIM",AL595="SIM",OR(AN595="Dados pessoais",AN595="Dados sensíveis",AN595="Dados pessoais e sensíveis"),O595="Acima de 10.000 titulares por mês",(IF(I595="SIM",2,0)+IF(K595="SIM",2,0)+IF(AF595="SIM",2,0)+IF(OR(AN595="Dados pessoais",AN595="Dados sensíveis",AN595="Dados pessoais e sensíveis"),2,0)+IF(O595="De 1.001 a 10.000 titulares por mês",1,0)+IF(AA595="SIM",1,0)+IF(R595="SIM",1,0)+IF(AL595="SIM",1,0)+IF(AJ595="NÃO",1,0))&gt;=3),"DPIA indicado ou em avaliação em razão de: " &amp; TRIM(IF(I595="SIM","tratamento de dados sensíveis; ","") &amp; IF(K595="SIM","utilização de dados de menores; ","") &amp; IF(AF595="SIM","transferência internacional de dados; ","") &amp; IF(AL595="SIM","utilização de inteligência artificial; ","") &amp; IF(OR(AN595="Dados pessoais",AN595="Dados sensíveis",AN595="Dados pessoais e sensíveis"),"dados inseridos em IA; ","") &amp; IF(O595="Acima de 10.000 titulares por mês","volume crítico de titulares; ","") &amp; IF(O595="De 1.001 a 10.000 titulares por mês","volume moderado de titulares; ","") &amp; IF(AA595="SIM","compartilhamento com terceiros; ","") &amp; IF(R595="SIM","compartilhamento com órgãos governamentais; ","") &amp; IF(AJ595="NÃO","ausência de controle de acesso por perfil; ","")),"DPIA não indicado: Processo de baixa criticidade."))</f>
      </c>
    </row>
    <row x14ac:dyDescent="0.25" r="596" customHeight="1" ht="15.75">
      <c r="A596" s="46"/>
      <c r="B596" s="6"/>
      <c r="C596" s="11"/>
      <c r="D596" s="11"/>
      <c r="E596" s="11"/>
      <c r="F596" s="29"/>
      <c r="G596" s="11"/>
      <c r="H596" s="11"/>
      <c r="I596" s="29"/>
      <c r="J596" s="11"/>
      <c r="K596" s="29"/>
      <c r="L596" s="11"/>
      <c r="M596" s="11"/>
      <c r="N596" s="11"/>
      <c r="O596" s="29"/>
      <c r="P596" s="29"/>
      <c r="Q596" s="11"/>
      <c r="R596" s="29"/>
      <c r="S596" s="11"/>
      <c r="T596" s="6"/>
      <c r="U596" s="29"/>
      <c r="V596" s="11"/>
      <c r="W596" s="11"/>
      <c r="X596" s="29"/>
      <c r="Y596" s="11"/>
      <c r="Z596" s="29"/>
      <c r="AA596" s="29"/>
      <c r="AB596" s="11"/>
      <c r="AC596" s="11"/>
      <c r="AD596" s="29"/>
      <c r="AE596" s="11"/>
      <c r="AF596" s="29"/>
      <c r="AG596" s="11"/>
      <c r="AH596" s="29"/>
      <c r="AI596" s="11"/>
      <c r="AJ596" s="29"/>
      <c r="AK596" s="29"/>
      <c r="AL596" s="29"/>
      <c r="AM596" s="11"/>
      <c r="AN596" s="29"/>
      <c r="AO596" s="29"/>
      <c r="AP596" s="6"/>
      <c r="AQ596" s="113">
        <f>IF(AND(I596="",K596="",AF596="",AL596="",AN596="",O596=""),"",IF(OR(I596="SIM",K596="SIM",AF596="SIM",AL596="SIM",AN596="Dados pessoais",AN596="Dados sensíveis",AN596="Dados pessoais e sensíveis",O596="Acima de 10.000 titulares por mês"),"SIM - Alta criticidade",IF((IF(I596="SIM",2,0)+IF(K596="SIM",2,0)+IF(AF596="SIM",2,0)+IF(OR(AN596="Dados pessoais",AN596="Dados sensíveis",AN596="Dados pessoais e sensíveis"),2,0)+IF(O596="De 1.001 a 10.000 titulares por mês",1,0)+IF(AA596="SIM",1,0)+IF(R596="SIM",1,0)+IF(AL596="SIM",1,0)+IF(AJ596="NÃO",1,0))&gt;=5,"SIM - Alta criticidade",IF((IF(I596="SIM",2,0)+IF(K596="SIM",2,0)+IF(AF596="SIM",2,0)+IF(OR(AN596="Dados pessoais",AN596="Dados sensíveis",AN596="Dados pessoais e sensíveis"),2,0)+IF(O596="De 1.001 a 10.000 titulares por mês",1,0)+IF(AA596="SIM",1,0)+IF(R596="SIM",1,0)+IF(AL596="SIM",1,0)+IF(AJ596="NÃO",1,0))&gt;=3,"Avaliação necessária","NÃO"))))</f>
      </c>
      <c r="AR596" s="11"/>
      <c r="AS596" s="113">
        <f>IF(AND(I596="",K596="",AF596="",AL596="",AN596="",O596=""),"",IF(OR(I596="SIM",K596="SIM",AF596="SIM",AL596="SIM",OR(AN596="Dados pessoais",AN596="Dados sensíveis",AN596="Dados pessoais e sensíveis"),O596="Acima de 10.000 titulares por mês",(IF(I596="SIM",2,0)+IF(K596="SIM",2,0)+IF(AF596="SIM",2,0)+IF(OR(AN596="Dados pessoais",AN596="Dados sensíveis",AN596="Dados pessoais e sensíveis"),2,0)+IF(O596="De 1.001 a 10.000 titulares por mês",1,0)+IF(AA596="SIM",1,0)+IF(R596="SIM",1,0)+IF(AL596="SIM",1,0)+IF(AJ596="NÃO",1,0))&gt;=3),"DPIA indicado ou em avaliação em razão de: " &amp; TRIM(IF(I596="SIM","tratamento de dados sensíveis; ","") &amp; IF(K596="SIM","utilização de dados de menores; ","") &amp; IF(AF596="SIM","transferência internacional de dados; ","") &amp; IF(AL596="SIM","utilização de inteligência artificial; ","") &amp; IF(OR(AN596="Dados pessoais",AN596="Dados sensíveis",AN596="Dados pessoais e sensíveis"),"dados inseridos em IA; ","") &amp; IF(O596="Acima de 10.000 titulares por mês","volume crítico de titulares; ","") &amp; IF(O596="De 1.001 a 10.000 titulares por mês","volume moderado de titulares; ","") &amp; IF(AA596="SIM","compartilhamento com terceiros; ","") &amp; IF(R596="SIM","compartilhamento com órgãos governamentais; ","") &amp; IF(AJ596="NÃO","ausência de controle de acesso por perfil; ","")),"DPIA não indicado: Processo de baixa criticidade."))</f>
      </c>
    </row>
    <row x14ac:dyDescent="0.25" r="597" customHeight="1" ht="15.75">
      <c r="A597" s="46"/>
      <c r="B597" s="6"/>
      <c r="C597" s="11"/>
      <c r="D597" s="11"/>
      <c r="E597" s="11"/>
      <c r="F597" s="29"/>
      <c r="G597" s="11"/>
      <c r="H597" s="11"/>
      <c r="I597" s="29"/>
      <c r="J597" s="11"/>
      <c r="K597" s="29"/>
      <c r="L597" s="11"/>
      <c r="M597" s="11"/>
      <c r="N597" s="11"/>
      <c r="O597" s="29"/>
      <c r="P597" s="29"/>
      <c r="Q597" s="11"/>
      <c r="R597" s="29"/>
      <c r="S597" s="11"/>
      <c r="T597" s="6"/>
      <c r="U597" s="29"/>
      <c r="V597" s="11"/>
      <c r="W597" s="11"/>
      <c r="X597" s="29"/>
      <c r="Y597" s="11"/>
      <c r="Z597" s="29"/>
      <c r="AA597" s="29"/>
      <c r="AB597" s="11"/>
      <c r="AC597" s="11"/>
      <c r="AD597" s="29"/>
      <c r="AE597" s="11"/>
      <c r="AF597" s="29"/>
      <c r="AG597" s="11"/>
      <c r="AH597" s="29"/>
      <c r="AI597" s="11"/>
      <c r="AJ597" s="29"/>
      <c r="AK597" s="29"/>
      <c r="AL597" s="29"/>
      <c r="AM597" s="11"/>
      <c r="AN597" s="29"/>
      <c r="AO597" s="29"/>
      <c r="AP597" s="6"/>
      <c r="AQ597" s="113">
        <f>IF(AND(I597="",K597="",AF597="",AL597="",AN597="",O597=""),"",IF(OR(I597="SIM",K597="SIM",AF597="SIM",AL597="SIM",AN597="Dados pessoais",AN597="Dados sensíveis",AN597="Dados pessoais e sensíveis",O597="Acima de 10.000 titulares por mês"),"SIM - Alta criticidade",IF((IF(I597="SIM",2,0)+IF(K597="SIM",2,0)+IF(AF597="SIM",2,0)+IF(OR(AN597="Dados pessoais",AN597="Dados sensíveis",AN597="Dados pessoais e sensíveis"),2,0)+IF(O597="De 1.001 a 10.000 titulares por mês",1,0)+IF(AA597="SIM",1,0)+IF(R597="SIM",1,0)+IF(AL597="SIM",1,0)+IF(AJ597="NÃO",1,0))&gt;=5,"SIM - Alta criticidade",IF((IF(I597="SIM",2,0)+IF(K597="SIM",2,0)+IF(AF597="SIM",2,0)+IF(OR(AN597="Dados pessoais",AN597="Dados sensíveis",AN597="Dados pessoais e sensíveis"),2,0)+IF(O597="De 1.001 a 10.000 titulares por mês",1,0)+IF(AA597="SIM",1,0)+IF(R597="SIM",1,0)+IF(AL597="SIM",1,0)+IF(AJ597="NÃO",1,0))&gt;=3,"Avaliação necessária","NÃO"))))</f>
      </c>
      <c r="AR597" s="11"/>
      <c r="AS597" s="113">
        <f>IF(AND(I597="",K597="",AF597="",AL597="",AN597="",O597=""),"",IF(OR(I597="SIM",K597="SIM",AF597="SIM",AL597="SIM",OR(AN597="Dados pessoais",AN597="Dados sensíveis",AN597="Dados pessoais e sensíveis"),O597="Acima de 10.000 titulares por mês",(IF(I597="SIM",2,0)+IF(K597="SIM",2,0)+IF(AF597="SIM",2,0)+IF(OR(AN597="Dados pessoais",AN597="Dados sensíveis",AN597="Dados pessoais e sensíveis"),2,0)+IF(O597="De 1.001 a 10.000 titulares por mês",1,0)+IF(AA597="SIM",1,0)+IF(R597="SIM",1,0)+IF(AL597="SIM",1,0)+IF(AJ597="NÃO",1,0))&gt;=3),"DPIA indicado ou em avaliação em razão de: " &amp; TRIM(IF(I597="SIM","tratamento de dados sensíveis; ","") &amp; IF(K597="SIM","utilização de dados de menores; ","") &amp; IF(AF597="SIM","transferência internacional de dados; ","") &amp; IF(AL597="SIM","utilização de inteligência artificial; ","") &amp; IF(OR(AN597="Dados pessoais",AN597="Dados sensíveis",AN597="Dados pessoais e sensíveis"),"dados inseridos em IA; ","") &amp; IF(O597="Acima de 10.000 titulares por mês","volume crítico de titulares; ","") &amp; IF(O597="De 1.001 a 10.000 titulares por mês","volume moderado de titulares; ","") &amp; IF(AA597="SIM","compartilhamento com terceiros; ","") &amp; IF(R597="SIM","compartilhamento com órgãos governamentais; ","") &amp; IF(AJ597="NÃO","ausência de controle de acesso por perfil; ","")),"DPIA não indicado: Processo de baixa criticidade."))</f>
      </c>
    </row>
    <row x14ac:dyDescent="0.25" r="598" customHeight="1" ht="15.75">
      <c r="A598" s="46"/>
      <c r="B598" s="6"/>
      <c r="C598" s="11"/>
      <c r="D598" s="11"/>
      <c r="E598" s="11"/>
      <c r="F598" s="29"/>
      <c r="G598" s="11"/>
      <c r="H598" s="11"/>
      <c r="I598" s="29"/>
      <c r="J598" s="11"/>
      <c r="K598" s="29"/>
      <c r="L598" s="11"/>
      <c r="M598" s="11"/>
      <c r="N598" s="11"/>
      <c r="O598" s="29"/>
      <c r="P598" s="29"/>
      <c r="Q598" s="11"/>
      <c r="R598" s="29"/>
      <c r="S598" s="11"/>
      <c r="T598" s="6"/>
      <c r="U598" s="29"/>
      <c r="V598" s="11"/>
      <c r="W598" s="11"/>
      <c r="X598" s="29"/>
      <c r="Y598" s="11"/>
      <c r="Z598" s="29"/>
      <c r="AA598" s="29"/>
      <c r="AB598" s="11"/>
      <c r="AC598" s="11"/>
      <c r="AD598" s="29"/>
      <c r="AE598" s="11"/>
      <c r="AF598" s="29"/>
      <c r="AG598" s="11"/>
      <c r="AH598" s="29"/>
      <c r="AI598" s="11"/>
      <c r="AJ598" s="29"/>
      <c r="AK598" s="29"/>
      <c r="AL598" s="29"/>
      <c r="AM598" s="11"/>
      <c r="AN598" s="29"/>
      <c r="AO598" s="29"/>
      <c r="AP598" s="6"/>
      <c r="AQ598" s="113">
        <f>IF(AND(I598="",K598="",AF598="",AL598="",AN598="",O598=""),"",IF(OR(I598="SIM",K598="SIM",AF598="SIM",AL598="SIM",AN598="Dados pessoais",AN598="Dados sensíveis",AN598="Dados pessoais e sensíveis",O598="Acima de 10.000 titulares por mês"),"SIM - Alta criticidade",IF((IF(I598="SIM",2,0)+IF(K598="SIM",2,0)+IF(AF598="SIM",2,0)+IF(OR(AN598="Dados pessoais",AN598="Dados sensíveis",AN598="Dados pessoais e sensíveis"),2,0)+IF(O598="De 1.001 a 10.000 titulares por mês",1,0)+IF(AA598="SIM",1,0)+IF(R598="SIM",1,0)+IF(AL598="SIM",1,0)+IF(AJ598="NÃO",1,0))&gt;=5,"SIM - Alta criticidade",IF((IF(I598="SIM",2,0)+IF(K598="SIM",2,0)+IF(AF598="SIM",2,0)+IF(OR(AN598="Dados pessoais",AN598="Dados sensíveis",AN598="Dados pessoais e sensíveis"),2,0)+IF(O598="De 1.001 a 10.000 titulares por mês",1,0)+IF(AA598="SIM",1,0)+IF(R598="SIM",1,0)+IF(AL598="SIM",1,0)+IF(AJ598="NÃO",1,0))&gt;=3,"Avaliação necessária","NÃO"))))</f>
      </c>
      <c r="AR598" s="11"/>
      <c r="AS598" s="113">
        <f>IF(AND(I598="",K598="",AF598="",AL598="",AN598="",O598=""),"",IF(OR(I598="SIM",K598="SIM",AF598="SIM",AL598="SIM",OR(AN598="Dados pessoais",AN598="Dados sensíveis",AN598="Dados pessoais e sensíveis"),O598="Acima de 10.000 titulares por mês",(IF(I598="SIM",2,0)+IF(K598="SIM",2,0)+IF(AF598="SIM",2,0)+IF(OR(AN598="Dados pessoais",AN598="Dados sensíveis",AN598="Dados pessoais e sensíveis"),2,0)+IF(O598="De 1.001 a 10.000 titulares por mês",1,0)+IF(AA598="SIM",1,0)+IF(R598="SIM",1,0)+IF(AL598="SIM",1,0)+IF(AJ598="NÃO",1,0))&gt;=3),"DPIA indicado ou em avaliação em razão de: " &amp; TRIM(IF(I598="SIM","tratamento de dados sensíveis; ","") &amp; IF(K598="SIM","utilização de dados de menores; ","") &amp; IF(AF598="SIM","transferência internacional de dados; ","") &amp; IF(AL598="SIM","utilização de inteligência artificial; ","") &amp; IF(OR(AN598="Dados pessoais",AN598="Dados sensíveis",AN598="Dados pessoais e sensíveis"),"dados inseridos em IA; ","") &amp; IF(O598="Acima de 10.000 titulares por mês","volume crítico de titulares; ","") &amp; IF(O598="De 1.001 a 10.000 titulares por mês","volume moderado de titulares; ","") &amp; IF(AA598="SIM","compartilhamento com terceiros; ","") &amp; IF(R598="SIM","compartilhamento com órgãos governamentais; ","") &amp; IF(AJ598="NÃO","ausência de controle de acesso por perfil; ","")),"DPIA não indicado: Processo de baixa criticidade."))</f>
      </c>
    </row>
    <row x14ac:dyDescent="0.25" r="599" customHeight="1" ht="15.75">
      <c r="A599" s="46"/>
      <c r="B599" s="6"/>
      <c r="C599" s="11"/>
      <c r="D599" s="11"/>
      <c r="E599" s="11"/>
      <c r="F599" s="29"/>
      <c r="G599" s="11"/>
      <c r="H599" s="11"/>
      <c r="I599" s="29"/>
      <c r="J599" s="11"/>
      <c r="K599" s="29"/>
      <c r="L599" s="11"/>
      <c r="M599" s="11"/>
      <c r="N599" s="11"/>
      <c r="O599" s="29"/>
      <c r="P599" s="29"/>
      <c r="Q599" s="11"/>
      <c r="R599" s="29"/>
      <c r="S599" s="11"/>
      <c r="T599" s="6"/>
      <c r="U599" s="29"/>
      <c r="V599" s="11"/>
      <c r="W599" s="11"/>
      <c r="X599" s="29"/>
      <c r="Y599" s="11"/>
      <c r="Z599" s="29"/>
      <c r="AA599" s="29"/>
      <c r="AB599" s="11"/>
      <c r="AC599" s="11"/>
      <c r="AD599" s="29"/>
      <c r="AE599" s="11"/>
      <c r="AF599" s="29"/>
      <c r="AG599" s="11"/>
      <c r="AH599" s="29"/>
      <c r="AI599" s="11"/>
      <c r="AJ599" s="29"/>
      <c r="AK599" s="29"/>
      <c r="AL599" s="29"/>
      <c r="AM599" s="11"/>
      <c r="AN599" s="29"/>
      <c r="AO599" s="29"/>
      <c r="AP599" s="6"/>
      <c r="AQ599" s="113">
        <f>IF(AND(I599="",K599="",AF599="",AL599="",AN599="",O599=""),"",IF(OR(I599="SIM",K599="SIM",AF599="SIM",AL599="SIM",AN599="Dados pessoais",AN599="Dados sensíveis",AN599="Dados pessoais e sensíveis",O599="Acima de 10.000 titulares por mês"),"SIM - Alta criticidade",IF((IF(I599="SIM",2,0)+IF(K599="SIM",2,0)+IF(AF599="SIM",2,0)+IF(OR(AN599="Dados pessoais",AN599="Dados sensíveis",AN599="Dados pessoais e sensíveis"),2,0)+IF(O599="De 1.001 a 10.000 titulares por mês",1,0)+IF(AA599="SIM",1,0)+IF(R599="SIM",1,0)+IF(AL599="SIM",1,0)+IF(AJ599="NÃO",1,0))&gt;=5,"SIM - Alta criticidade",IF((IF(I599="SIM",2,0)+IF(K599="SIM",2,0)+IF(AF599="SIM",2,0)+IF(OR(AN599="Dados pessoais",AN599="Dados sensíveis",AN599="Dados pessoais e sensíveis"),2,0)+IF(O599="De 1.001 a 10.000 titulares por mês",1,0)+IF(AA599="SIM",1,0)+IF(R599="SIM",1,0)+IF(AL599="SIM",1,0)+IF(AJ599="NÃO",1,0))&gt;=3,"Avaliação necessária","NÃO"))))</f>
      </c>
      <c r="AR599" s="11"/>
      <c r="AS599" s="113">
        <f>IF(AND(I599="",K599="",AF599="",AL599="",AN599="",O599=""),"",IF(OR(I599="SIM",K599="SIM",AF599="SIM",AL599="SIM",OR(AN599="Dados pessoais",AN599="Dados sensíveis",AN599="Dados pessoais e sensíveis"),O599="Acima de 10.000 titulares por mês",(IF(I599="SIM",2,0)+IF(K599="SIM",2,0)+IF(AF599="SIM",2,0)+IF(OR(AN599="Dados pessoais",AN599="Dados sensíveis",AN599="Dados pessoais e sensíveis"),2,0)+IF(O599="De 1.001 a 10.000 titulares por mês",1,0)+IF(AA599="SIM",1,0)+IF(R599="SIM",1,0)+IF(AL599="SIM",1,0)+IF(AJ599="NÃO",1,0))&gt;=3),"DPIA indicado ou em avaliação em razão de: " &amp; TRIM(IF(I599="SIM","tratamento de dados sensíveis; ","") &amp; IF(K599="SIM","utilização de dados de menores; ","") &amp; IF(AF599="SIM","transferência internacional de dados; ","") &amp; IF(AL599="SIM","utilização de inteligência artificial; ","") &amp; IF(OR(AN599="Dados pessoais",AN599="Dados sensíveis",AN599="Dados pessoais e sensíveis"),"dados inseridos em IA; ","") &amp; IF(O599="Acima de 10.000 titulares por mês","volume crítico de titulares; ","") &amp; IF(O599="De 1.001 a 10.000 titulares por mês","volume moderado de titulares; ","") &amp; IF(AA599="SIM","compartilhamento com terceiros; ","") &amp; IF(R599="SIM","compartilhamento com órgãos governamentais; ","") &amp; IF(AJ599="NÃO","ausência de controle de acesso por perfil; ","")),"DPIA não indicado: Processo de baixa criticidade."))</f>
      </c>
    </row>
    <row x14ac:dyDescent="0.25" r="600" customHeight="1" ht="15.75">
      <c r="A600" s="46"/>
      <c r="B600" s="6"/>
      <c r="C600" s="11"/>
      <c r="D600" s="11"/>
      <c r="E600" s="11"/>
      <c r="F600" s="29"/>
      <c r="G600" s="11"/>
      <c r="H600" s="11"/>
      <c r="I600" s="29"/>
      <c r="J600" s="11"/>
      <c r="K600" s="29"/>
      <c r="L600" s="11"/>
      <c r="M600" s="11"/>
      <c r="N600" s="11"/>
      <c r="O600" s="29"/>
      <c r="P600" s="29"/>
      <c r="Q600" s="11"/>
      <c r="R600" s="29"/>
      <c r="S600" s="11"/>
      <c r="T600" s="6"/>
      <c r="U600" s="29"/>
      <c r="V600" s="11"/>
      <c r="W600" s="11"/>
      <c r="X600" s="29"/>
      <c r="Y600" s="11"/>
      <c r="Z600" s="29"/>
      <c r="AA600" s="29"/>
      <c r="AB600" s="11"/>
      <c r="AC600" s="11"/>
      <c r="AD600" s="29"/>
      <c r="AE600" s="11"/>
      <c r="AF600" s="29"/>
      <c r="AG600" s="11"/>
      <c r="AH600" s="29"/>
      <c r="AI600" s="11"/>
      <c r="AJ600" s="29"/>
      <c r="AK600" s="29"/>
      <c r="AL600" s="29"/>
      <c r="AM600" s="11"/>
      <c r="AN600" s="29"/>
      <c r="AO600" s="29"/>
      <c r="AP600" s="6"/>
      <c r="AQ600" s="113">
        <f>IF(AND(I600="",K600="",AF600="",AL600="",AN600="",O600=""),"",IF(OR(I600="SIM",K600="SIM",AF600="SIM",AL600="SIM",AN600="Dados pessoais",AN600="Dados sensíveis",AN600="Dados pessoais e sensíveis",O600="Acima de 10.000 titulares por mês"),"SIM - Alta criticidade",IF((IF(I600="SIM",2,0)+IF(K600="SIM",2,0)+IF(AF600="SIM",2,0)+IF(OR(AN600="Dados pessoais",AN600="Dados sensíveis",AN600="Dados pessoais e sensíveis"),2,0)+IF(O600="De 1.001 a 10.000 titulares por mês",1,0)+IF(AA600="SIM",1,0)+IF(R600="SIM",1,0)+IF(AL600="SIM",1,0)+IF(AJ600="NÃO",1,0))&gt;=5,"SIM - Alta criticidade",IF((IF(I600="SIM",2,0)+IF(K600="SIM",2,0)+IF(AF600="SIM",2,0)+IF(OR(AN600="Dados pessoais",AN600="Dados sensíveis",AN600="Dados pessoais e sensíveis"),2,0)+IF(O600="De 1.001 a 10.000 titulares por mês",1,0)+IF(AA600="SIM",1,0)+IF(R600="SIM",1,0)+IF(AL600="SIM",1,0)+IF(AJ600="NÃO",1,0))&gt;=3,"Avaliação necessária","NÃO"))))</f>
      </c>
      <c r="AR600" s="11"/>
      <c r="AS600" s="113">
        <f>IF(AND(I600="",K600="",AF600="",AL600="",AN600="",O600=""),"",IF(OR(I600="SIM",K600="SIM",AF600="SIM",AL600="SIM",OR(AN600="Dados pessoais",AN600="Dados sensíveis",AN600="Dados pessoais e sensíveis"),O600="Acima de 10.000 titulares por mês",(IF(I600="SIM",2,0)+IF(K600="SIM",2,0)+IF(AF600="SIM",2,0)+IF(OR(AN600="Dados pessoais",AN600="Dados sensíveis",AN600="Dados pessoais e sensíveis"),2,0)+IF(O600="De 1.001 a 10.000 titulares por mês",1,0)+IF(AA600="SIM",1,0)+IF(R600="SIM",1,0)+IF(AL600="SIM",1,0)+IF(AJ600="NÃO",1,0))&gt;=3),"DPIA indicado ou em avaliação em razão de: " &amp; TRIM(IF(I600="SIM","tratamento de dados sensíveis; ","") &amp; IF(K600="SIM","utilização de dados de menores; ","") &amp; IF(AF600="SIM","transferência internacional de dados; ","") &amp; IF(AL600="SIM","utilização de inteligência artificial; ","") &amp; IF(OR(AN600="Dados pessoais",AN600="Dados sensíveis",AN600="Dados pessoais e sensíveis"),"dados inseridos em IA; ","") &amp; IF(O600="Acima de 10.000 titulares por mês","volume crítico de titulares; ","") &amp; IF(O600="De 1.001 a 10.000 titulares por mês","volume moderado de titulares; ","") &amp; IF(AA600="SIM","compartilhamento com terceiros; ","") &amp; IF(R600="SIM","compartilhamento com órgãos governamentais; ","") &amp; IF(AJ600="NÃO","ausência de controle de acesso por perfil; ","")),"DPIA não indicado: Processo de baixa criticidade."))</f>
      </c>
    </row>
    <row x14ac:dyDescent="0.25" r="601" customHeight="1" ht="15.75">
      <c r="A601" s="46"/>
      <c r="B601" s="6"/>
      <c r="C601" s="11"/>
      <c r="D601" s="11"/>
      <c r="E601" s="11"/>
      <c r="F601" s="29"/>
      <c r="G601" s="11"/>
      <c r="H601" s="11"/>
      <c r="I601" s="29"/>
      <c r="J601" s="11"/>
      <c r="K601" s="29"/>
      <c r="L601" s="11"/>
      <c r="M601" s="11"/>
      <c r="N601" s="11"/>
      <c r="O601" s="29"/>
      <c r="P601" s="29"/>
      <c r="Q601" s="11"/>
      <c r="R601" s="29"/>
      <c r="S601" s="11"/>
      <c r="T601" s="6"/>
      <c r="U601" s="29"/>
      <c r="V601" s="11"/>
      <c r="W601" s="11"/>
      <c r="X601" s="29"/>
      <c r="Y601" s="11"/>
      <c r="Z601" s="29"/>
      <c r="AA601" s="29"/>
      <c r="AB601" s="11"/>
      <c r="AC601" s="11"/>
      <c r="AD601" s="29"/>
      <c r="AE601" s="11"/>
      <c r="AF601" s="29"/>
      <c r="AG601" s="11"/>
      <c r="AH601" s="29"/>
      <c r="AI601" s="11"/>
      <c r="AJ601" s="29"/>
      <c r="AK601" s="29"/>
      <c r="AL601" s="29"/>
      <c r="AM601" s="11"/>
      <c r="AN601" s="29"/>
      <c r="AO601" s="29"/>
      <c r="AP601" s="6"/>
      <c r="AQ601" s="113">
        <f>IF(AND(I601="",K601="",AF601="",AL601="",AN601="",O601=""),"",IF(OR(I601="SIM",K601="SIM",AF601="SIM",AL601="SIM",AN601="Dados pessoais",AN601="Dados sensíveis",AN601="Dados pessoais e sensíveis",O601="Acima de 10.000 titulares por mês"),"SIM - Alta criticidade",IF((IF(I601="SIM",2,0)+IF(K601="SIM",2,0)+IF(AF601="SIM",2,0)+IF(OR(AN601="Dados pessoais",AN601="Dados sensíveis",AN601="Dados pessoais e sensíveis"),2,0)+IF(O601="De 1.001 a 10.000 titulares por mês",1,0)+IF(AA601="SIM",1,0)+IF(R601="SIM",1,0)+IF(AL601="SIM",1,0)+IF(AJ601="NÃO",1,0))&gt;=5,"SIM - Alta criticidade",IF((IF(I601="SIM",2,0)+IF(K601="SIM",2,0)+IF(AF601="SIM",2,0)+IF(OR(AN601="Dados pessoais",AN601="Dados sensíveis",AN601="Dados pessoais e sensíveis"),2,0)+IF(O601="De 1.001 a 10.000 titulares por mês",1,0)+IF(AA601="SIM",1,0)+IF(R601="SIM",1,0)+IF(AL601="SIM",1,0)+IF(AJ601="NÃO",1,0))&gt;=3,"Avaliação necessária","NÃO"))))</f>
      </c>
      <c r="AR601" s="11"/>
      <c r="AS601" s="113">
        <f>IF(AND(I601="",K601="",AF601="",AL601="",AN601="",O601=""),"",IF(OR(I601="SIM",K601="SIM",AF601="SIM",AL601="SIM",OR(AN601="Dados pessoais",AN601="Dados sensíveis",AN601="Dados pessoais e sensíveis"),O601="Acima de 10.000 titulares por mês",(IF(I601="SIM",2,0)+IF(K601="SIM",2,0)+IF(AF601="SIM",2,0)+IF(OR(AN601="Dados pessoais",AN601="Dados sensíveis",AN601="Dados pessoais e sensíveis"),2,0)+IF(O601="De 1.001 a 10.000 titulares por mês",1,0)+IF(AA601="SIM",1,0)+IF(R601="SIM",1,0)+IF(AL601="SIM",1,0)+IF(AJ601="NÃO",1,0))&gt;=3),"DPIA indicado ou em avaliação em razão de: " &amp; TRIM(IF(I601="SIM","tratamento de dados sensíveis; ","") &amp; IF(K601="SIM","utilização de dados de menores; ","") &amp; IF(AF601="SIM","transferência internacional de dados; ","") &amp; IF(AL601="SIM","utilização de inteligência artificial; ","") &amp; IF(OR(AN601="Dados pessoais",AN601="Dados sensíveis",AN601="Dados pessoais e sensíveis"),"dados inseridos em IA; ","") &amp; IF(O601="Acima de 10.000 titulares por mês","volume crítico de titulares; ","") &amp; IF(O601="De 1.001 a 10.000 titulares por mês","volume moderado de titulares; ","") &amp; IF(AA601="SIM","compartilhamento com terceiros; ","") &amp; IF(R601="SIM","compartilhamento com órgãos governamentais; ","") &amp; IF(AJ601="NÃO","ausência de controle de acesso por perfil; ","")),"DPIA não indicado: Processo de baixa criticidade."))</f>
      </c>
    </row>
    <row x14ac:dyDescent="0.25" r="602" customHeight="1" ht="15.75">
      <c r="A602" s="46"/>
      <c r="B602" s="6"/>
      <c r="C602" s="11"/>
      <c r="D602" s="11"/>
      <c r="E602" s="11"/>
      <c r="F602" s="29"/>
      <c r="G602" s="11"/>
      <c r="H602" s="11"/>
      <c r="I602" s="29"/>
      <c r="J602" s="11"/>
      <c r="K602" s="29"/>
      <c r="L602" s="11"/>
      <c r="M602" s="11"/>
      <c r="N602" s="11"/>
      <c r="O602" s="29"/>
      <c r="P602" s="29"/>
      <c r="Q602" s="11"/>
      <c r="R602" s="29"/>
      <c r="S602" s="11"/>
      <c r="T602" s="6"/>
      <c r="U602" s="29"/>
      <c r="V602" s="11"/>
      <c r="W602" s="11"/>
      <c r="X602" s="29"/>
      <c r="Y602" s="11"/>
      <c r="Z602" s="29"/>
      <c r="AA602" s="29"/>
      <c r="AB602" s="11"/>
      <c r="AC602" s="11"/>
      <c r="AD602" s="29"/>
      <c r="AE602" s="11"/>
      <c r="AF602" s="29"/>
      <c r="AG602" s="11"/>
      <c r="AH602" s="29"/>
      <c r="AI602" s="11"/>
      <c r="AJ602" s="29"/>
      <c r="AK602" s="29"/>
      <c r="AL602" s="29"/>
      <c r="AM602" s="11"/>
      <c r="AN602" s="29"/>
      <c r="AO602" s="29"/>
      <c r="AP602" s="6"/>
      <c r="AQ602" s="113">
        <f>IF(AND(I602="",K602="",AF602="",AL602="",AN602="",O602=""),"",IF(OR(I602="SIM",K602="SIM",AF602="SIM",AL602="SIM",AN602="Dados pessoais",AN602="Dados sensíveis",AN602="Dados pessoais e sensíveis",O602="Acima de 10.000 titulares por mês"),"SIM - Alta criticidade",IF((IF(I602="SIM",2,0)+IF(K602="SIM",2,0)+IF(AF602="SIM",2,0)+IF(OR(AN602="Dados pessoais",AN602="Dados sensíveis",AN602="Dados pessoais e sensíveis"),2,0)+IF(O602="De 1.001 a 10.000 titulares por mês",1,0)+IF(AA602="SIM",1,0)+IF(R602="SIM",1,0)+IF(AL602="SIM",1,0)+IF(AJ602="NÃO",1,0))&gt;=5,"SIM - Alta criticidade",IF((IF(I602="SIM",2,0)+IF(K602="SIM",2,0)+IF(AF602="SIM",2,0)+IF(OR(AN602="Dados pessoais",AN602="Dados sensíveis",AN602="Dados pessoais e sensíveis"),2,0)+IF(O602="De 1.001 a 10.000 titulares por mês",1,0)+IF(AA602="SIM",1,0)+IF(R602="SIM",1,0)+IF(AL602="SIM",1,0)+IF(AJ602="NÃO",1,0))&gt;=3,"Avaliação necessária","NÃO"))))</f>
      </c>
      <c r="AR602" s="11"/>
      <c r="AS602" s="113">
        <f>IF(AND(I602="",K602="",AF602="",AL602="",AN602="",O602=""),"",IF(OR(I602="SIM",K602="SIM",AF602="SIM",AL602="SIM",OR(AN602="Dados pessoais",AN602="Dados sensíveis",AN602="Dados pessoais e sensíveis"),O602="Acima de 10.000 titulares por mês",(IF(I602="SIM",2,0)+IF(K602="SIM",2,0)+IF(AF602="SIM",2,0)+IF(OR(AN602="Dados pessoais",AN602="Dados sensíveis",AN602="Dados pessoais e sensíveis"),2,0)+IF(O602="De 1.001 a 10.000 titulares por mês",1,0)+IF(AA602="SIM",1,0)+IF(R602="SIM",1,0)+IF(AL602="SIM",1,0)+IF(AJ602="NÃO",1,0))&gt;=3),"DPIA indicado ou em avaliação em razão de: " &amp; TRIM(IF(I602="SIM","tratamento de dados sensíveis; ","") &amp; IF(K602="SIM","utilização de dados de menores; ","") &amp; IF(AF602="SIM","transferência internacional de dados; ","") &amp; IF(AL602="SIM","utilização de inteligência artificial; ","") &amp; IF(OR(AN602="Dados pessoais",AN602="Dados sensíveis",AN602="Dados pessoais e sensíveis"),"dados inseridos em IA; ","") &amp; IF(O602="Acima de 10.000 titulares por mês","volume crítico de titulares; ","") &amp; IF(O602="De 1.001 a 10.000 titulares por mês","volume moderado de titulares; ","") &amp; IF(AA602="SIM","compartilhamento com terceiros; ","") &amp; IF(R602="SIM","compartilhamento com órgãos governamentais; ","") &amp; IF(AJ602="NÃO","ausência de controle de acesso por perfil; ","")),"DPIA não indicado: Processo de baixa criticidade."))</f>
      </c>
    </row>
    <row x14ac:dyDescent="0.25" r="603" customHeight="1" ht="15.75">
      <c r="A603" s="46"/>
      <c r="B603" s="6"/>
      <c r="C603" s="11"/>
      <c r="D603" s="11"/>
      <c r="E603" s="11"/>
      <c r="F603" s="29"/>
      <c r="G603" s="11"/>
      <c r="H603" s="11"/>
      <c r="I603" s="29"/>
      <c r="J603" s="11"/>
      <c r="K603" s="29"/>
      <c r="L603" s="11"/>
      <c r="M603" s="11"/>
      <c r="N603" s="11"/>
      <c r="O603" s="29"/>
      <c r="P603" s="29"/>
      <c r="Q603" s="11"/>
      <c r="R603" s="29"/>
      <c r="S603" s="11"/>
      <c r="T603" s="6"/>
      <c r="U603" s="29"/>
      <c r="V603" s="11"/>
      <c r="W603" s="11"/>
      <c r="X603" s="29"/>
      <c r="Y603" s="11"/>
      <c r="Z603" s="29"/>
      <c r="AA603" s="29"/>
      <c r="AB603" s="11"/>
      <c r="AC603" s="11"/>
      <c r="AD603" s="29"/>
      <c r="AE603" s="11"/>
      <c r="AF603" s="29"/>
      <c r="AG603" s="11"/>
      <c r="AH603" s="29"/>
      <c r="AI603" s="11"/>
      <c r="AJ603" s="29"/>
      <c r="AK603" s="29"/>
      <c r="AL603" s="29"/>
      <c r="AM603" s="11"/>
      <c r="AN603" s="29"/>
      <c r="AO603" s="29"/>
      <c r="AP603" s="6"/>
      <c r="AQ603" s="113">
        <f>IF(AND(I603="",K603="",AF603="",AL603="",AN603="",O603=""),"",IF(OR(I603="SIM",K603="SIM",AF603="SIM",AL603="SIM",AN603="Dados pessoais",AN603="Dados sensíveis",AN603="Dados pessoais e sensíveis",O603="Acima de 10.000 titulares por mês"),"SIM - Alta criticidade",IF((IF(I603="SIM",2,0)+IF(K603="SIM",2,0)+IF(AF603="SIM",2,0)+IF(OR(AN603="Dados pessoais",AN603="Dados sensíveis",AN603="Dados pessoais e sensíveis"),2,0)+IF(O603="De 1.001 a 10.000 titulares por mês",1,0)+IF(AA603="SIM",1,0)+IF(R603="SIM",1,0)+IF(AL603="SIM",1,0)+IF(AJ603="NÃO",1,0))&gt;=5,"SIM - Alta criticidade",IF((IF(I603="SIM",2,0)+IF(K603="SIM",2,0)+IF(AF603="SIM",2,0)+IF(OR(AN603="Dados pessoais",AN603="Dados sensíveis",AN603="Dados pessoais e sensíveis"),2,0)+IF(O603="De 1.001 a 10.000 titulares por mês",1,0)+IF(AA603="SIM",1,0)+IF(R603="SIM",1,0)+IF(AL603="SIM",1,0)+IF(AJ603="NÃO",1,0))&gt;=3,"Avaliação necessária","NÃO"))))</f>
      </c>
      <c r="AR603" s="11"/>
      <c r="AS603" s="113">
        <f>IF(AND(I603="",K603="",AF603="",AL603="",AN603="",O603=""),"",IF(OR(I603="SIM",K603="SIM",AF603="SIM",AL603="SIM",OR(AN603="Dados pessoais",AN603="Dados sensíveis",AN603="Dados pessoais e sensíveis"),O603="Acima de 10.000 titulares por mês",(IF(I603="SIM",2,0)+IF(K603="SIM",2,0)+IF(AF603="SIM",2,0)+IF(OR(AN603="Dados pessoais",AN603="Dados sensíveis",AN603="Dados pessoais e sensíveis"),2,0)+IF(O603="De 1.001 a 10.000 titulares por mês",1,0)+IF(AA603="SIM",1,0)+IF(R603="SIM",1,0)+IF(AL603="SIM",1,0)+IF(AJ603="NÃO",1,0))&gt;=3),"DPIA indicado ou em avaliação em razão de: " &amp; TRIM(IF(I603="SIM","tratamento de dados sensíveis; ","") &amp; IF(K603="SIM","utilização de dados de menores; ","") &amp; IF(AF603="SIM","transferência internacional de dados; ","") &amp; IF(AL603="SIM","utilização de inteligência artificial; ","") &amp; IF(OR(AN603="Dados pessoais",AN603="Dados sensíveis",AN603="Dados pessoais e sensíveis"),"dados inseridos em IA; ","") &amp; IF(O603="Acima de 10.000 titulares por mês","volume crítico de titulares; ","") &amp; IF(O603="De 1.001 a 10.000 titulares por mês","volume moderado de titulares; ","") &amp; IF(AA603="SIM","compartilhamento com terceiros; ","") &amp; IF(R603="SIM","compartilhamento com órgãos governamentais; ","") &amp; IF(AJ603="NÃO","ausência de controle de acesso por perfil; ","")),"DPIA não indicado: Processo de baixa criticidade."))</f>
      </c>
    </row>
    <row x14ac:dyDescent="0.25" r="604" customHeight="1" ht="15.75">
      <c r="A604" s="46"/>
      <c r="B604" s="6"/>
      <c r="C604" s="11"/>
      <c r="D604" s="11"/>
      <c r="E604" s="11"/>
      <c r="F604" s="29"/>
      <c r="G604" s="11"/>
      <c r="H604" s="11"/>
      <c r="I604" s="29"/>
      <c r="J604" s="11"/>
      <c r="K604" s="29"/>
      <c r="L604" s="11"/>
      <c r="M604" s="11"/>
      <c r="N604" s="11"/>
      <c r="O604" s="29"/>
      <c r="P604" s="29"/>
      <c r="Q604" s="11"/>
      <c r="R604" s="29"/>
      <c r="S604" s="11"/>
      <c r="T604" s="6"/>
      <c r="U604" s="29"/>
      <c r="V604" s="11"/>
      <c r="W604" s="11"/>
      <c r="X604" s="29"/>
      <c r="Y604" s="11"/>
      <c r="Z604" s="29"/>
      <c r="AA604" s="29"/>
      <c r="AB604" s="11"/>
      <c r="AC604" s="11"/>
      <c r="AD604" s="29"/>
      <c r="AE604" s="11"/>
      <c r="AF604" s="29"/>
      <c r="AG604" s="11"/>
      <c r="AH604" s="29"/>
      <c r="AI604" s="11"/>
      <c r="AJ604" s="29"/>
      <c r="AK604" s="29"/>
      <c r="AL604" s="29"/>
      <c r="AM604" s="11"/>
      <c r="AN604" s="29"/>
      <c r="AO604" s="29"/>
      <c r="AP604" s="6"/>
      <c r="AQ604" s="113">
        <f>IF(AND(I604="",K604="",AF604="",AL604="",AN604="",O604=""),"",IF(OR(I604="SIM",K604="SIM",AF604="SIM",AL604="SIM",AN604="Dados pessoais",AN604="Dados sensíveis",AN604="Dados pessoais e sensíveis",O604="Acima de 10.000 titulares por mês"),"SIM - Alta criticidade",IF((IF(I604="SIM",2,0)+IF(K604="SIM",2,0)+IF(AF604="SIM",2,0)+IF(OR(AN604="Dados pessoais",AN604="Dados sensíveis",AN604="Dados pessoais e sensíveis"),2,0)+IF(O604="De 1.001 a 10.000 titulares por mês",1,0)+IF(AA604="SIM",1,0)+IF(R604="SIM",1,0)+IF(AL604="SIM",1,0)+IF(AJ604="NÃO",1,0))&gt;=5,"SIM - Alta criticidade",IF((IF(I604="SIM",2,0)+IF(K604="SIM",2,0)+IF(AF604="SIM",2,0)+IF(OR(AN604="Dados pessoais",AN604="Dados sensíveis",AN604="Dados pessoais e sensíveis"),2,0)+IF(O604="De 1.001 a 10.000 titulares por mês",1,0)+IF(AA604="SIM",1,0)+IF(R604="SIM",1,0)+IF(AL604="SIM",1,0)+IF(AJ604="NÃO",1,0))&gt;=3,"Avaliação necessária","NÃO"))))</f>
      </c>
      <c r="AR604" s="11"/>
      <c r="AS604" s="113">
        <f>IF(AND(I604="",K604="",AF604="",AL604="",AN604="",O604=""),"",IF(OR(I604="SIM",K604="SIM",AF604="SIM",AL604="SIM",OR(AN604="Dados pessoais",AN604="Dados sensíveis",AN604="Dados pessoais e sensíveis"),O604="Acima de 10.000 titulares por mês",(IF(I604="SIM",2,0)+IF(K604="SIM",2,0)+IF(AF604="SIM",2,0)+IF(OR(AN604="Dados pessoais",AN604="Dados sensíveis",AN604="Dados pessoais e sensíveis"),2,0)+IF(O604="De 1.001 a 10.000 titulares por mês",1,0)+IF(AA604="SIM",1,0)+IF(R604="SIM",1,0)+IF(AL604="SIM",1,0)+IF(AJ604="NÃO",1,0))&gt;=3),"DPIA indicado ou em avaliação em razão de: " &amp; TRIM(IF(I604="SIM","tratamento de dados sensíveis; ","") &amp; IF(K604="SIM","utilização de dados de menores; ","") &amp; IF(AF604="SIM","transferência internacional de dados; ","") &amp; IF(AL604="SIM","utilização de inteligência artificial; ","") &amp; IF(OR(AN604="Dados pessoais",AN604="Dados sensíveis",AN604="Dados pessoais e sensíveis"),"dados inseridos em IA; ","") &amp; IF(O604="Acima de 10.000 titulares por mês","volume crítico de titulares; ","") &amp; IF(O604="De 1.001 a 10.000 titulares por mês","volume moderado de titulares; ","") &amp; IF(AA604="SIM","compartilhamento com terceiros; ","") &amp; IF(R604="SIM","compartilhamento com órgãos governamentais; ","") &amp; IF(AJ604="NÃO","ausência de controle de acesso por perfil; ","")),"DPIA não indicado: Processo de baixa criticidade."))</f>
      </c>
    </row>
    <row x14ac:dyDescent="0.25" r="605" customHeight="1" ht="15.75">
      <c r="A605" s="46"/>
      <c r="B605" s="6"/>
      <c r="C605" s="11"/>
      <c r="D605" s="11"/>
      <c r="E605" s="11"/>
      <c r="F605" s="29"/>
      <c r="G605" s="11"/>
      <c r="H605" s="11"/>
      <c r="I605" s="29"/>
      <c r="J605" s="11"/>
      <c r="K605" s="29"/>
      <c r="L605" s="11"/>
      <c r="M605" s="11"/>
      <c r="N605" s="11"/>
      <c r="O605" s="29"/>
      <c r="P605" s="29"/>
      <c r="Q605" s="11"/>
      <c r="R605" s="29"/>
      <c r="S605" s="11"/>
      <c r="T605" s="6"/>
      <c r="U605" s="29"/>
      <c r="V605" s="11"/>
      <c r="W605" s="11"/>
      <c r="X605" s="29"/>
      <c r="Y605" s="11"/>
      <c r="Z605" s="29"/>
      <c r="AA605" s="29"/>
      <c r="AB605" s="11"/>
      <c r="AC605" s="11"/>
      <c r="AD605" s="29"/>
      <c r="AE605" s="11"/>
      <c r="AF605" s="29"/>
      <c r="AG605" s="11"/>
      <c r="AH605" s="29"/>
      <c r="AI605" s="11"/>
      <c r="AJ605" s="29"/>
      <c r="AK605" s="29"/>
      <c r="AL605" s="29"/>
      <c r="AM605" s="11"/>
      <c r="AN605" s="29"/>
      <c r="AO605" s="29"/>
      <c r="AP605" s="6"/>
      <c r="AQ605" s="113">
        <f>IF(AND(I605="",K605="",AF605="",AL605="",AN605="",O605=""),"",IF(OR(I605="SIM",K605="SIM",AF605="SIM",AL605="SIM",AN605="Dados pessoais",AN605="Dados sensíveis",AN605="Dados pessoais e sensíveis",O605="Acima de 10.000 titulares por mês"),"SIM - Alta criticidade",IF((IF(I605="SIM",2,0)+IF(K605="SIM",2,0)+IF(AF605="SIM",2,0)+IF(OR(AN605="Dados pessoais",AN605="Dados sensíveis",AN605="Dados pessoais e sensíveis"),2,0)+IF(O605="De 1.001 a 10.000 titulares por mês",1,0)+IF(AA605="SIM",1,0)+IF(R605="SIM",1,0)+IF(AL605="SIM",1,0)+IF(AJ605="NÃO",1,0))&gt;=5,"SIM - Alta criticidade",IF((IF(I605="SIM",2,0)+IF(K605="SIM",2,0)+IF(AF605="SIM",2,0)+IF(OR(AN605="Dados pessoais",AN605="Dados sensíveis",AN605="Dados pessoais e sensíveis"),2,0)+IF(O605="De 1.001 a 10.000 titulares por mês",1,0)+IF(AA605="SIM",1,0)+IF(R605="SIM",1,0)+IF(AL605="SIM",1,0)+IF(AJ605="NÃO",1,0))&gt;=3,"Avaliação necessária","NÃO"))))</f>
      </c>
      <c r="AR605" s="11"/>
      <c r="AS605" s="113">
        <f>IF(AND(I605="",K605="",AF605="",AL605="",AN605="",O605=""),"",IF(OR(I605="SIM",K605="SIM",AF605="SIM",AL605="SIM",OR(AN605="Dados pessoais",AN605="Dados sensíveis",AN605="Dados pessoais e sensíveis"),O605="Acima de 10.000 titulares por mês",(IF(I605="SIM",2,0)+IF(K605="SIM",2,0)+IF(AF605="SIM",2,0)+IF(OR(AN605="Dados pessoais",AN605="Dados sensíveis",AN605="Dados pessoais e sensíveis"),2,0)+IF(O605="De 1.001 a 10.000 titulares por mês",1,0)+IF(AA605="SIM",1,0)+IF(R605="SIM",1,0)+IF(AL605="SIM",1,0)+IF(AJ605="NÃO",1,0))&gt;=3),"DPIA indicado ou em avaliação em razão de: " &amp; TRIM(IF(I605="SIM","tratamento de dados sensíveis; ","") &amp; IF(K605="SIM","utilização de dados de menores; ","") &amp; IF(AF605="SIM","transferência internacional de dados; ","") &amp; IF(AL605="SIM","utilização de inteligência artificial; ","") &amp; IF(OR(AN605="Dados pessoais",AN605="Dados sensíveis",AN605="Dados pessoais e sensíveis"),"dados inseridos em IA; ","") &amp; IF(O605="Acima de 10.000 titulares por mês","volume crítico de titulares; ","") &amp; IF(O605="De 1.001 a 10.000 titulares por mês","volume moderado de titulares; ","") &amp; IF(AA605="SIM","compartilhamento com terceiros; ","") &amp; IF(R605="SIM","compartilhamento com órgãos governamentais; ","") &amp; IF(AJ605="NÃO","ausência de controle de acesso por perfil; ","")),"DPIA não indicado: Processo de baixa criticidade."))</f>
      </c>
    </row>
    <row x14ac:dyDescent="0.25" r="606" customHeight="1" ht="15.75">
      <c r="A606" s="46"/>
      <c r="B606" s="6"/>
      <c r="C606" s="11"/>
      <c r="D606" s="11"/>
      <c r="E606" s="11"/>
      <c r="F606" s="29"/>
      <c r="G606" s="11"/>
      <c r="H606" s="11"/>
      <c r="I606" s="29"/>
      <c r="J606" s="11"/>
      <c r="K606" s="29"/>
      <c r="L606" s="11"/>
      <c r="M606" s="11"/>
      <c r="N606" s="11"/>
      <c r="O606" s="29"/>
      <c r="P606" s="29"/>
      <c r="Q606" s="11"/>
      <c r="R606" s="29"/>
      <c r="S606" s="11"/>
      <c r="T606" s="6"/>
      <c r="U606" s="29"/>
      <c r="V606" s="11"/>
      <c r="W606" s="11"/>
      <c r="X606" s="29"/>
      <c r="Y606" s="11"/>
      <c r="Z606" s="29"/>
      <c r="AA606" s="29"/>
      <c r="AB606" s="11"/>
      <c r="AC606" s="11"/>
      <c r="AD606" s="29"/>
      <c r="AE606" s="11"/>
      <c r="AF606" s="29"/>
      <c r="AG606" s="11"/>
      <c r="AH606" s="29"/>
      <c r="AI606" s="11"/>
      <c r="AJ606" s="29"/>
      <c r="AK606" s="29"/>
      <c r="AL606" s="29"/>
      <c r="AM606" s="11"/>
      <c r="AN606" s="29"/>
      <c r="AO606" s="29"/>
      <c r="AP606" s="6"/>
      <c r="AQ606" s="113">
        <f>IF(AND(I606="",K606="",AF606="",AL606="",AN606="",O606=""),"",IF(OR(I606="SIM",K606="SIM",AF606="SIM",AL606="SIM",AN606="Dados pessoais",AN606="Dados sensíveis",AN606="Dados pessoais e sensíveis",O606="Acima de 10.000 titulares por mês"),"SIM - Alta criticidade",IF((IF(I606="SIM",2,0)+IF(K606="SIM",2,0)+IF(AF606="SIM",2,0)+IF(OR(AN606="Dados pessoais",AN606="Dados sensíveis",AN606="Dados pessoais e sensíveis"),2,0)+IF(O606="De 1.001 a 10.000 titulares por mês",1,0)+IF(AA606="SIM",1,0)+IF(R606="SIM",1,0)+IF(AL606="SIM",1,0)+IF(AJ606="NÃO",1,0))&gt;=5,"SIM - Alta criticidade",IF((IF(I606="SIM",2,0)+IF(K606="SIM",2,0)+IF(AF606="SIM",2,0)+IF(OR(AN606="Dados pessoais",AN606="Dados sensíveis",AN606="Dados pessoais e sensíveis"),2,0)+IF(O606="De 1.001 a 10.000 titulares por mês",1,0)+IF(AA606="SIM",1,0)+IF(R606="SIM",1,0)+IF(AL606="SIM",1,0)+IF(AJ606="NÃO",1,0))&gt;=3,"Avaliação necessária","NÃO"))))</f>
      </c>
      <c r="AR606" s="11"/>
      <c r="AS606" s="113">
        <f>IF(AND(I606="",K606="",AF606="",AL606="",AN606="",O606=""),"",IF(OR(I606="SIM",K606="SIM",AF606="SIM",AL606="SIM",OR(AN606="Dados pessoais",AN606="Dados sensíveis",AN606="Dados pessoais e sensíveis"),O606="Acima de 10.000 titulares por mês",(IF(I606="SIM",2,0)+IF(K606="SIM",2,0)+IF(AF606="SIM",2,0)+IF(OR(AN606="Dados pessoais",AN606="Dados sensíveis",AN606="Dados pessoais e sensíveis"),2,0)+IF(O606="De 1.001 a 10.000 titulares por mês",1,0)+IF(AA606="SIM",1,0)+IF(R606="SIM",1,0)+IF(AL606="SIM",1,0)+IF(AJ606="NÃO",1,0))&gt;=3),"DPIA indicado ou em avaliação em razão de: " &amp; TRIM(IF(I606="SIM","tratamento de dados sensíveis; ","") &amp; IF(K606="SIM","utilização de dados de menores; ","") &amp; IF(AF606="SIM","transferência internacional de dados; ","") &amp; IF(AL606="SIM","utilização de inteligência artificial; ","") &amp; IF(OR(AN606="Dados pessoais",AN606="Dados sensíveis",AN606="Dados pessoais e sensíveis"),"dados inseridos em IA; ","") &amp; IF(O606="Acima de 10.000 titulares por mês","volume crítico de titulares; ","") &amp; IF(O606="De 1.001 a 10.000 titulares por mês","volume moderado de titulares; ","") &amp; IF(AA606="SIM","compartilhamento com terceiros; ","") &amp; IF(R606="SIM","compartilhamento com órgãos governamentais; ","") &amp; IF(AJ606="NÃO","ausência de controle de acesso por perfil; ","")),"DPIA não indicado: Processo de baixa criticidade."))</f>
      </c>
    </row>
    <row x14ac:dyDescent="0.25" r="607" customHeight="1" ht="15.75">
      <c r="A607" s="46"/>
      <c r="B607" s="6"/>
      <c r="C607" s="11"/>
      <c r="D607" s="11"/>
      <c r="E607" s="11"/>
      <c r="F607" s="29"/>
      <c r="G607" s="11"/>
      <c r="H607" s="11"/>
      <c r="I607" s="29"/>
      <c r="J607" s="11"/>
      <c r="K607" s="29"/>
      <c r="L607" s="11"/>
      <c r="M607" s="11"/>
      <c r="N607" s="11"/>
      <c r="O607" s="29"/>
      <c r="P607" s="29"/>
      <c r="Q607" s="11"/>
      <c r="R607" s="29"/>
      <c r="S607" s="11"/>
      <c r="T607" s="6"/>
      <c r="U607" s="29"/>
      <c r="V607" s="11"/>
      <c r="W607" s="11"/>
      <c r="X607" s="29"/>
      <c r="Y607" s="11"/>
      <c r="Z607" s="29"/>
      <c r="AA607" s="29"/>
      <c r="AB607" s="11"/>
      <c r="AC607" s="11"/>
      <c r="AD607" s="29"/>
      <c r="AE607" s="11"/>
      <c r="AF607" s="29"/>
      <c r="AG607" s="11"/>
      <c r="AH607" s="29"/>
      <c r="AI607" s="11"/>
      <c r="AJ607" s="29"/>
      <c r="AK607" s="29"/>
      <c r="AL607" s="29"/>
      <c r="AM607" s="11"/>
      <c r="AN607" s="29"/>
      <c r="AO607" s="29"/>
      <c r="AP607" s="6"/>
      <c r="AQ607" s="113">
        <f>IF(AND(I607="",K607="",AF607="",AL607="",AN607="",O607=""),"",IF(OR(I607="SIM",K607="SIM",AF607="SIM",AL607="SIM",AN607="Dados pessoais",AN607="Dados sensíveis",AN607="Dados pessoais e sensíveis",O607="Acima de 10.000 titulares por mês"),"SIM - Alta criticidade",IF((IF(I607="SIM",2,0)+IF(K607="SIM",2,0)+IF(AF607="SIM",2,0)+IF(OR(AN607="Dados pessoais",AN607="Dados sensíveis",AN607="Dados pessoais e sensíveis"),2,0)+IF(O607="De 1.001 a 10.000 titulares por mês",1,0)+IF(AA607="SIM",1,0)+IF(R607="SIM",1,0)+IF(AL607="SIM",1,0)+IF(AJ607="NÃO",1,0))&gt;=5,"SIM - Alta criticidade",IF((IF(I607="SIM",2,0)+IF(K607="SIM",2,0)+IF(AF607="SIM",2,0)+IF(OR(AN607="Dados pessoais",AN607="Dados sensíveis",AN607="Dados pessoais e sensíveis"),2,0)+IF(O607="De 1.001 a 10.000 titulares por mês",1,0)+IF(AA607="SIM",1,0)+IF(R607="SIM",1,0)+IF(AL607="SIM",1,0)+IF(AJ607="NÃO",1,0))&gt;=3,"Avaliação necessária","NÃO"))))</f>
      </c>
      <c r="AR607" s="11"/>
      <c r="AS607" s="113">
        <f>IF(AND(I607="",K607="",AF607="",AL607="",AN607="",O607=""),"",IF(OR(I607="SIM",K607="SIM",AF607="SIM",AL607="SIM",OR(AN607="Dados pessoais",AN607="Dados sensíveis",AN607="Dados pessoais e sensíveis"),O607="Acima de 10.000 titulares por mês",(IF(I607="SIM",2,0)+IF(K607="SIM",2,0)+IF(AF607="SIM",2,0)+IF(OR(AN607="Dados pessoais",AN607="Dados sensíveis",AN607="Dados pessoais e sensíveis"),2,0)+IF(O607="De 1.001 a 10.000 titulares por mês",1,0)+IF(AA607="SIM",1,0)+IF(R607="SIM",1,0)+IF(AL607="SIM",1,0)+IF(AJ607="NÃO",1,0))&gt;=3),"DPIA indicado ou em avaliação em razão de: " &amp; TRIM(IF(I607="SIM","tratamento de dados sensíveis; ","") &amp; IF(K607="SIM","utilização de dados de menores; ","") &amp; IF(AF607="SIM","transferência internacional de dados; ","") &amp; IF(AL607="SIM","utilização de inteligência artificial; ","") &amp; IF(OR(AN607="Dados pessoais",AN607="Dados sensíveis",AN607="Dados pessoais e sensíveis"),"dados inseridos em IA; ","") &amp; IF(O607="Acima de 10.000 titulares por mês","volume crítico de titulares; ","") &amp; IF(O607="De 1.001 a 10.000 titulares por mês","volume moderado de titulares; ","") &amp; IF(AA607="SIM","compartilhamento com terceiros; ","") &amp; IF(R607="SIM","compartilhamento com órgãos governamentais; ","") &amp; IF(AJ607="NÃO","ausência de controle de acesso por perfil; ","")),"DPIA não indicado: Processo de baixa criticidade."))</f>
      </c>
    </row>
    <row x14ac:dyDescent="0.25" r="608" customHeight="1" ht="15.75">
      <c r="A608" s="46"/>
      <c r="B608" s="6"/>
      <c r="C608" s="11"/>
      <c r="D608" s="11"/>
      <c r="E608" s="11"/>
      <c r="F608" s="29"/>
      <c r="G608" s="11"/>
      <c r="H608" s="11"/>
      <c r="I608" s="29"/>
      <c r="J608" s="11"/>
      <c r="K608" s="29"/>
      <c r="L608" s="11"/>
      <c r="M608" s="11"/>
      <c r="N608" s="11"/>
      <c r="O608" s="29"/>
      <c r="P608" s="29"/>
      <c r="Q608" s="11"/>
      <c r="R608" s="29"/>
      <c r="S608" s="11"/>
      <c r="T608" s="6"/>
      <c r="U608" s="29"/>
      <c r="V608" s="11"/>
      <c r="W608" s="11"/>
      <c r="X608" s="29"/>
      <c r="Y608" s="11"/>
      <c r="Z608" s="29"/>
      <c r="AA608" s="29"/>
      <c r="AB608" s="11"/>
      <c r="AC608" s="11"/>
      <c r="AD608" s="29"/>
      <c r="AE608" s="11"/>
      <c r="AF608" s="29"/>
      <c r="AG608" s="11"/>
      <c r="AH608" s="29"/>
      <c r="AI608" s="11"/>
      <c r="AJ608" s="29"/>
      <c r="AK608" s="29"/>
      <c r="AL608" s="29"/>
      <c r="AM608" s="11"/>
      <c r="AN608" s="29"/>
      <c r="AO608" s="29"/>
      <c r="AP608" s="6"/>
      <c r="AQ608" s="113">
        <f>IF(AND(I608="",K608="",AF608="",AL608="",AN608="",O608=""),"",IF(OR(I608="SIM",K608="SIM",AF608="SIM",AL608="SIM",AN608="Dados pessoais",AN608="Dados sensíveis",AN608="Dados pessoais e sensíveis",O608="Acima de 10.000 titulares por mês"),"SIM - Alta criticidade",IF((IF(I608="SIM",2,0)+IF(K608="SIM",2,0)+IF(AF608="SIM",2,0)+IF(OR(AN608="Dados pessoais",AN608="Dados sensíveis",AN608="Dados pessoais e sensíveis"),2,0)+IF(O608="De 1.001 a 10.000 titulares por mês",1,0)+IF(AA608="SIM",1,0)+IF(R608="SIM",1,0)+IF(AL608="SIM",1,0)+IF(AJ608="NÃO",1,0))&gt;=5,"SIM - Alta criticidade",IF((IF(I608="SIM",2,0)+IF(K608="SIM",2,0)+IF(AF608="SIM",2,0)+IF(OR(AN608="Dados pessoais",AN608="Dados sensíveis",AN608="Dados pessoais e sensíveis"),2,0)+IF(O608="De 1.001 a 10.000 titulares por mês",1,0)+IF(AA608="SIM",1,0)+IF(R608="SIM",1,0)+IF(AL608="SIM",1,0)+IF(AJ608="NÃO",1,0))&gt;=3,"Avaliação necessária","NÃO"))))</f>
      </c>
      <c r="AR608" s="11"/>
      <c r="AS608" s="113">
        <f>IF(AND(I608="",K608="",AF608="",AL608="",AN608="",O608=""),"",IF(OR(I608="SIM",K608="SIM",AF608="SIM",AL608="SIM",OR(AN608="Dados pessoais",AN608="Dados sensíveis",AN608="Dados pessoais e sensíveis"),O608="Acima de 10.000 titulares por mês",(IF(I608="SIM",2,0)+IF(K608="SIM",2,0)+IF(AF608="SIM",2,0)+IF(OR(AN608="Dados pessoais",AN608="Dados sensíveis",AN608="Dados pessoais e sensíveis"),2,0)+IF(O608="De 1.001 a 10.000 titulares por mês",1,0)+IF(AA608="SIM",1,0)+IF(R608="SIM",1,0)+IF(AL608="SIM",1,0)+IF(AJ608="NÃO",1,0))&gt;=3),"DPIA indicado ou em avaliação em razão de: " &amp; TRIM(IF(I608="SIM","tratamento de dados sensíveis; ","") &amp; IF(K608="SIM","utilização de dados de menores; ","") &amp; IF(AF608="SIM","transferência internacional de dados; ","") &amp; IF(AL608="SIM","utilização de inteligência artificial; ","") &amp; IF(OR(AN608="Dados pessoais",AN608="Dados sensíveis",AN608="Dados pessoais e sensíveis"),"dados inseridos em IA; ","") &amp; IF(O608="Acima de 10.000 titulares por mês","volume crítico de titulares; ","") &amp; IF(O608="De 1.001 a 10.000 titulares por mês","volume moderado de titulares; ","") &amp; IF(AA608="SIM","compartilhamento com terceiros; ","") &amp; IF(R608="SIM","compartilhamento com órgãos governamentais; ","") &amp; IF(AJ608="NÃO","ausência de controle de acesso por perfil; ","")),"DPIA não indicado: Processo de baixa criticidade."))</f>
      </c>
    </row>
    <row x14ac:dyDescent="0.25" r="609" customHeight="1" ht="15.75">
      <c r="A609" s="46"/>
      <c r="B609" s="6"/>
      <c r="C609" s="11"/>
      <c r="D609" s="11"/>
      <c r="E609" s="11"/>
      <c r="F609" s="29"/>
      <c r="G609" s="11"/>
      <c r="H609" s="11"/>
      <c r="I609" s="29"/>
      <c r="J609" s="11"/>
      <c r="K609" s="29"/>
      <c r="L609" s="11"/>
      <c r="M609" s="11"/>
      <c r="N609" s="11"/>
      <c r="O609" s="29"/>
      <c r="P609" s="29"/>
      <c r="Q609" s="11"/>
      <c r="R609" s="29"/>
      <c r="S609" s="11"/>
      <c r="T609" s="6"/>
      <c r="U609" s="29"/>
      <c r="V609" s="11"/>
      <c r="W609" s="11"/>
      <c r="X609" s="29"/>
      <c r="Y609" s="11"/>
      <c r="Z609" s="29"/>
      <c r="AA609" s="29"/>
      <c r="AB609" s="11"/>
      <c r="AC609" s="11"/>
      <c r="AD609" s="29"/>
      <c r="AE609" s="11"/>
      <c r="AF609" s="29"/>
      <c r="AG609" s="11"/>
      <c r="AH609" s="29"/>
      <c r="AI609" s="11"/>
      <c r="AJ609" s="29"/>
      <c r="AK609" s="29"/>
      <c r="AL609" s="29"/>
      <c r="AM609" s="11"/>
      <c r="AN609" s="29"/>
      <c r="AO609" s="29"/>
      <c r="AP609" s="6"/>
      <c r="AQ609" s="113">
        <f>IF(AND(I609="",K609="",AF609="",AL609="",AN609="",O609=""),"",IF(OR(I609="SIM",K609="SIM",AF609="SIM",AL609="SIM",AN609="Dados pessoais",AN609="Dados sensíveis",AN609="Dados pessoais e sensíveis",O609="Acima de 10.000 titulares por mês"),"SIM - Alta criticidade",IF((IF(I609="SIM",2,0)+IF(K609="SIM",2,0)+IF(AF609="SIM",2,0)+IF(OR(AN609="Dados pessoais",AN609="Dados sensíveis",AN609="Dados pessoais e sensíveis"),2,0)+IF(O609="De 1.001 a 10.000 titulares por mês",1,0)+IF(AA609="SIM",1,0)+IF(R609="SIM",1,0)+IF(AL609="SIM",1,0)+IF(AJ609="NÃO",1,0))&gt;=5,"SIM - Alta criticidade",IF((IF(I609="SIM",2,0)+IF(K609="SIM",2,0)+IF(AF609="SIM",2,0)+IF(OR(AN609="Dados pessoais",AN609="Dados sensíveis",AN609="Dados pessoais e sensíveis"),2,0)+IF(O609="De 1.001 a 10.000 titulares por mês",1,0)+IF(AA609="SIM",1,0)+IF(R609="SIM",1,0)+IF(AL609="SIM",1,0)+IF(AJ609="NÃO",1,0))&gt;=3,"Avaliação necessária","NÃO"))))</f>
      </c>
      <c r="AR609" s="11"/>
      <c r="AS609" s="113">
        <f>IF(AND(I609="",K609="",AF609="",AL609="",AN609="",O609=""),"",IF(OR(I609="SIM",K609="SIM",AF609="SIM",AL609="SIM",OR(AN609="Dados pessoais",AN609="Dados sensíveis",AN609="Dados pessoais e sensíveis"),O609="Acima de 10.000 titulares por mês",(IF(I609="SIM",2,0)+IF(K609="SIM",2,0)+IF(AF609="SIM",2,0)+IF(OR(AN609="Dados pessoais",AN609="Dados sensíveis",AN609="Dados pessoais e sensíveis"),2,0)+IF(O609="De 1.001 a 10.000 titulares por mês",1,0)+IF(AA609="SIM",1,0)+IF(R609="SIM",1,0)+IF(AL609="SIM",1,0)+IF(AJ609="NÃO",1,0))&gt;=3),"DPIA indicado ou em avaliação em razão de: " &amp; TRIM(IF(I609="SIM","tratamento de dados sensíveis; ","") &amp; IF(K609="SIM","utilização de dados de menores; ","") &amp; IF(AF609="SIM","transferência internacional de dados; ","") &amp; IF(AL609="SIM","utilização de inteligência artificial; ","") &amp; IF(OR(AN609="Dados pessoais",AN609="Dados sensíveis",AN609="Dados pessoais e sensíveis"),"dados inseridos em IA; ","") &amp; IF(O609="Acima de 10.000 titulares por mês","volume crítico de titulares; ","") &amp; IF(O609="De 1.001 a 10.000 titulares por mês","volume moderado de titulares; ","") &amp; IF(AA609="SIM","compartilhamento com terceiros; ","") &amp; IF(R609="SIM","compartilhamento com órgãos governamentais; ","") &amp; IF(AJ609="NÃO","ausência de controle de acesso por perfil; ","")),"DPIA não indicado: Processo de baixa criticidade."))</f>
      </c>
    </row>
    <row x14ac:dyDescent="0.25" r="610" customHeight="1" ht="15.75">
      <c r="A610" s="46"/>
      <c r="B610" s="6"/>
      <c r="C610" s="11"/>
      <c r="D610" s="11"/>
      <c r="E610" s="11"/>
      <c r="F610" s="29"/>
      <c r="G610" s="11"/>
      <c r="H610" s="11"/>
      <c r="I610" s="29"/>
      <c r="J610" s="11"/>
      <c r="K610" s="29"/>
      <c r="L610" s="11"/>
      <c r="M610" s="11"/>
      <c r="N610" s="11"/>
      <c r="O610" s="29"/>
      <c r="P610" s="29"/>
      <c r="Q610" s="11"/>
      <c r="R610" s="29"/>
      <c r="S610" s="11"/>
      <c r="T610" s="6"/>
      <c r="U610" s="29"/>
      <c r="V610" s="11"/>
      <c r="W610" s="11"/>
      <c r="X610" s="29"/>
      <c r="Y610" s="11"/>
      <c r="Z610" s="29"/>
      <c r="AA610" s="29"/>
      <c r="AB610" s="11"/>
      <c r="AC610" s="11"/>
      <c r="AD610" s="29"/>
      <c r="AE610" s="11"/>
      <c r="AF610" s="29"/>
      <c r="AG610" s="11"/>
      <c r="AH610" s="29"/>
      <c r="AI610" s="11"/>
      <c r="AJ610" s="29"/>
      <c r="AK610" s="29"/>
      <c r="AL610" s="29"/>
      <c r="AM610" s="11"/>
      <c r="AN610" s="29"/>
      <c r="AO610" s="29"/>
      <c r="AP610" s="6"/>
      <c r="AQ610" s="113">
        <f>IF(AND(I610="",K610="",AF610="",AL610="",AN610="",O610=""),"",IF(OR(I610="SIM",K610="SIM",AF610="SIM",AL610="SIM",AN610="Dados pessoais",AN610="Dados sensíveis",AN610="Dados pessoais e sensíveis",O610="Acima de 10.000 titulares por mês"),"SIM - Alta criticidade",IF((IF(I610="SIM",2,0)+IF(K610="SIM",2,0)+IF(AF610="SIM",2,0)+IF(OR(AN610="Dados pessoais",AN610="Dados sensíveis",AN610="Dados pessoais e sensíveis"),2,0)+IF(O610="De 1.001 a 10.000 titulares por mês",1,0)+IF(AA610="SIM",1,0)+IF(R610="SIM",1,0)+IF(AL610="SIM",1,0)+IF(AJ610="NÃO",1,0))&gt;=5,"SIM - Alta criticidade",IF((IF(I610="SIM",2,0)+IF(K610="SIM",2,0)+IF(AF610="SIM",2,0)+IF(OR(AN610="Dados pessoais",AN610="Dados sensíveis",AN610="Dados pessoais e sensíveis"),2,0)+IF(O610="De 1.001 a 10.000 titulares por mês",1,0)+IF(AA610="SIM",1,0)+IF(R610="SIM",1,0)+IF(AL610="SIM",1,0)+IF(AJ610="NÃO",1,0))&gt;=3,"Avaliação necessária","NÃO"))))</f>
      </c>
      <c r="AR610" s="11"/>
      <c r="AS610" s="113">
        <f>IF(AND(I610="",K610="",AF610="",AL610="",AN610="",O610=""),"",IF(OR(I610="SIM",K610="SIM",AF610="SIM",AL610="SIM",OR(AN610="Dados pessoais",AN610="Dados sensíveis",AN610="Dados pessoais e sensíveis"),O610="Acima de 10.000 titulares por mês",(IF(I610="SIM",2,0)+IF(K610="SIM",2,0)+IF(AF610="SIM",2,0)+IF(OR(AN610="Dados pessoais",AN610="Dados sensíveis",AN610="Dados pessoais e sensíveis"),2,0)+IF(O610="De 1.001 a 10.000 titulares por mês",1,0)+IF(AA610="SIM",1,0)+IF(R610="SIM",1,0)+IF(AL610="SIM",1,0)+IF(AJ610="NÃO",1,0))&gt;=3),"DPIA indicado ou em avaliação em razão de: " &amp; TRIM(IF(I610="SIM","tratamento de dados sensíveis; ","") &amp; IF(K610="SIM","utilização de dados de menores; ","") &amp; IF(AF610="SIM","transferência internacional de dados; ","") &amp; IF(AL610="SIM","utilização de inteligência artificial; ","") &amp; IF(OR(AN610="Dados pessoais",AN610="Dados sensíveis",AN610="Dados pessoais e sensíveis"),"dados inseridos em IA; ","") &amp; IF(O610="Acima de 10.000 titulares por mês","volume crítico de titulares; ","") &amp; IF(O610="De 1.001 a 10.000 titulares por mês","volume moderado de titulares; ","") &amp; IF(AA610="SIM","compartilhamento com terceiros; ","") &amp; IF(R610="SIM","compartilhamento com órgãos governamentais; ","") &amp; IF(AJ610="NÃO","ausência de controle de acesso por perfil; ","")),"DPIA não indicado: Processo de baixa criticidade."))</f>
      </c>
    </row>
    <row x14ac:dyDescent="0.25" r="611" customHeight="1" ht="15.75">
      <c r="A611" s="46"/>
      <c r="B611" s="6"/>
      <c r="C611" s="11"/>
      <c r="D611" s="11"/>
      <c r="E611" s="11"/>
      <c r="F611" s="29"/>
      <c r="G611" s="11"/>
      <c r="H611" s="11"/>
      <c r="I611" s="29"/>
      <c r="J611" s="11"/>
      <c r="K611" s="29"/>
      <c r="L611" s="11"/>
      <c r="M611" s="11"/>
      <c r="N611" s="11"/>
      <c r="O611" s="29"/>
      <c r="P611" s="29"/>
      <c r="Q611" s="11"/>
      <c r="R611" s="29"/>
      <c r="S611" s="11"/>
      <c r="T611" s="6"/>
      <c r="U611" s="29"/>
      <c r="V611" s="11"/>
      <c r="W611" s="11"/>
      <c r="X611" s="29"/>
      <c r="Y611" s="11"/>
      <c r="Z611" s="29"/>
      <c r="AA611" s="29"/>
      <c r="AB611" s="11"/>
      <c r="AC611" s="11"/>
      <c r="AD611" s="29"/>
      <c r="AE611" s="11"/>
      <c r="AF611" s="29"/>
      <c r="AG611" s="11"/>
      <c r="AH611" s="29"/>
      <c r="AI611" s="11"/>
      <c r="AJ611" s="29"/>
      <c r="AK611" s="29"/>
      <c r="AL611" s="29"/>
      <c r="AM611" s="11"/>
      <c r="AN611" s="29"/>
      <c r="AO611" s="29"/>
      <c r="AP611" s="6"/>
      <c r="AQ611" s="113">
        <f>IF(AND(I611="",K611="",AF611="",AL611="",AN611="",O611=""),"",IF(OR(I611="SIM",K611="SIM",AF611="SIM",AL611="SIM",AN611="Dados pessoais",AN611="Dados sensíveis",AN611="Dados pessoais e sensíveis",O611="Acima de 10.000 titulares por mês"),"SIM - Alta criticidade",IF((IF(I611="SIM",2,0)+IF(K611="SIM",2,0)+IF(AF611="SIM",2,0)+IF(OR(AN611="Dados pessoais",AN611="Dados sensíveis",AN611="Dados pessoais e sensíveis"),2,0)+IF(O611="De 1.001 a 10.000 titulares por mês",1,0)+IF(AA611="SIM",1,0)+IF(R611="SIM",1,0)+IF(AL611="SIM",1,0)+IF(AJ611="NÃO",1,0))&gt;=5,"SIM - Alta criticidade",IF((IF(I611="SIM",2,0)+IF(K611="SIM",2,0)+IF(AF611="SIM",2,0)+IF(OR(AN611="Dados pessoais",AN611="Dados sensíveis",AN611="Dados pessoais e sensíveis"),2,0)+IF(O611="De 1.001 a 10.000 titulares por mês",1,0)+IF(AA611="SIM",1,0)+IF(R611="SIM",1,0)+IF(AL611="SIM",1,0)+IF(AJ611="NÃO",1,0))&gt;=3,"Avaliação necessária","NÃO"))))</f>
      </c>
      <c r="AR611" s="11"/>
      <c r="AS611" s="113">
        <f>IF(AND(I611="",K611="",AF611="",AL611="",AN611="",O611=""),"",IF(OR(I611="SIM",K611="SIM",AF611="SIM",AL611="SIM",OR(AN611="Dados pessoais",AN611="Dados sensíveis",AN611="Dados pessoais e sensíveis"),O611="Acima de 10.000 titulares por mês",(IF(I611="SIM",2,0)+IF(K611="SIM",2,0)+IF(AF611="SIM",2,0)+IF(OR(AN611="Dados pessoais",AN611="Dados sensíveis",AN611="Dados pessoais e sensíveis"),2,0)+IF(O611="De 1.001 a 10.000 titulares por mês",1,0)+IF(AA611="SIM",1,0)+IF(R611="SIM",1,0)+IF(AL611="SIM",1,0)+IF(AJ611="NÃO",1,0))&gt;=3),"DPIA indicado ou em avaliação em razão de: " &amp; TRIM(IF(I611="SIM","tratamento de dados sensíveis; ","") &amp; IF(K611="SIM","utilização de dados de menores; ","") &amp; IF(AF611="SIM","transferência internacional de dados; ","") &amp; IF(AL611="SIM","utilização de inteligência artificial; ","") &amp; IF(OR(AN611="Dados pessoais",AN611="Dados sensíveis",AN611="Dados pessoais e sensíveis"),"dados inseridos em IA; ","") &amp; IF(O611="Acima de 10.000 titulares por mês","volume crítico de titulares; ","") &amp; IF(O611="De 1.001 a 10.000 titulares por mês","volume moderado de titulares; ","") &amp; IF(AA611="SIM","compartilhamento com terceiros; ","") &amp; IF(R611="SIM","compartilhamento com órgãos governamentais; ","") &amp; IF(AJ611="NÃO","ausência de controle de acesso por perfil; ","")),"DPIA não indicado: Processo de baixa criticidade."))</f>
      </c>
    </row>
    <row x14ac:dyDescent="0.25" r="612" customHeight="1" ht="15.75">
      <c r="A612" s="46"/>
      <c r="B612" s="6"/>
      <c r="C612" s="11"/>
      <c r="D612" s="11"/>
      <c r="E612" s="11"/>
      <c r="F612" s="29"/>
      <c r="G612" s="11"/>
      <c r="H612" s="11"/>
      <c r="I612" s="29"/>
      <c r="J612" s="11"/>
      <c r="K612" s="29"/>
      <c r="L612" s="11"/>
      <c r="M612" s="11"/>
      <c r="N612" s="11"/>
      <c r="O612" s="29"/>
      <c r="P612" s="29"/>
      <c r="Q612" s="11"/>
      <c r="R612" s="29"/>
      <c r="S612" s="11"/>
      <c r="T612" s="6"/>
      <c r="U612" s="29"/>
      <c r="V612" s="11"/>
      <c r="W612" s="11"/>
      <c r="X612" s="29"/>
      <c r="Y612" s="11"/>
      <c r="Z612" s="29"/>
      <c r="AA612" s="29"/>
      <c r="AB612" s="11"/>
      <c r="AC612" s="11"/>
      <c r="AD612" s="29"/>
      <c r="AE612" s="11"/>
      <c r="AF612" s="29"/>
      <c r="AG612" s="11"/>
      <c r="AH612" s="29"/>
      <c r="AI612" s="11"/>
      <c r="AJ612" s="29"/>
      <c r="AK612" s="29"/>
      <c r="AL612" s="29"/>
      <c r="AM612" s="11"/>
      <c r="AN612" s="29"/>
      <c r="AO612" s="29"/>
      <c r="AP612" s="6"/>
      <c r="AQ612" s="113">
        <f>IF(AND(I612="",K612="",AF612="",AL612="",AN612="",O612=""),"",IF(OR(I612="SIM",K612="SIM",AF612="SIM",AL612="SIM",AN612="Dados pessoais",AN612="Dados sensíveis",AN612="Dados pessoais e sensíveis",O612="Acima de 10.000 titulares por mês"),"SIM - Alta criticidade",IF((IF(I612="SIM",2,0)+IF(K612="SIM",2,0)+IF(AF612="SIM",2,0)+IF(OR(AN612="Dados pessoais",AN612="Dados sensíveis",AN612="Dados pessoais e sensíveis"),2,0)+IF(O612="De 1.001 a 10.000 titulares por mês",1,0)+IF(AA612="SIM",1,0)+IF(R612="SIM",1,0)+IF(AL612="SIM",1,0)+IF(AJ612="NÃO",1,0))&gt;=5,"SIM - Alta criticidade",IF((IF(I612="SIM",2,0)+IF(K612="SIM",2,0)+IF(AF612="SIM",2,0)+IF(OR(AN612="Dados pessoais",AN612="Dados sensíveis",AN612="Dados pessoais e sensíveis"),2,0)+IF(O612="De 1.001 a 10.000 titulares por mês",1,0)+IF(AA612="SIM",1,0)+IF(R612="SIM",1,0)+IF(AL612="SIM",1,0)+IF(AJ612="NÃO",1,0))&gt;=3,"Avaliação necessária","NÃO"))))</f>
      </c>
      <c r="AR612" s="11"/>
      <c r="AS612" s="113">
        <f>IF(AND(I612="",K612="",AF612="",AL612="",AN612="",O612=""),"",IF(OR(I612="SIM",K612="SIM",AF612="SIM",AL612="SIM",OR(AN612="Dados pessoais",AN612="Dados sensíveis",AN612="Dados pessoais e sensíveis"),O612="Acima de 10.000 titulares por mês",(IF(I612="SIM",2,0)+IF(K612="SIM",2,0)+IF(AF612="SIM",2,0)+IF(OR(AN612="Dados pessoais",AN612="Dados sensíveis",AN612="Dados pessoais e sensíveis"),2,0)+IF(O612="De 1.001 a 10.000 titulares por mês",1,0)+IF(AA612="SIM",1,0)+IF(R612="SIM",1,0)+IF(AL612="SIM",1,0)+IF(AJ612="NÃO",1,0))&gt;=3),"DPIA indicado ou em avaliação em razão de: " &amp; TRIM(IF(I612="SIM","tratamento de dados sensíveis; ","") &amp; IF(K612="SIM","utilização de dados de menores; ","") &amp; IF(AF612="SIM","transferência internacional de dados; ","") &amp; IF(AL612="SIM","utilização de inteligência artificial; ","") &amp; IF(OR(AN612="Dados pessoais",AN612="Dados sensíveis",AN612="Dados pessoais e sensíveis"),"dados inseridos em IA; ","") &amp; IF(O612="Acima de 10.000 titulares por mês","volume crítico de titulares; ","") &amp; IF(O612="De 1.001 a 10.000 titulares por mês","volume moderado de titulares; ","") &amp; IF(AA612="SIM","compartilhamento com terceiros; ","") &amp; IF(R612="SIM","compartilhamento com órgãos governamentais; ","") &amp; IF(AJ612="NÃO","ausência de controle de acesso por perfil; ","")),"DPIA não indicado: Processo de baixa criticidade."))</f>
      </c>
    </row>
    <row x14ac:dyDescent="0.25" r="613" customHeight="1" ht="15.75">
      <c r="A613" s="46"/>
      <c r="B613" s="6"/>
      <c r="C613" s="11"/>
      <c r="D613" s="11"/>
      <c r="E613" s="11"/>
      <c r="F613" s="29"/>
      <c r="G613" s="11"/>
      <c r="H613" s="11"/>
      <c r="I613" s="29"/>
      <c r="J613" s="11"/>
      <c r="K613" s="29"/>
      <c r="L613" s="11"/>
      <c r="M613" s="11"/>
      <c r="N613" s="11"/>
      <c r="O613" s="29"/>
      <c r="P613" s="29"/>
      <c r="Q613" s="11"/>
      <c r="R613" s="29"/>
      <c r="S613" s="11"/>
      <c r="T613" s="6"/>
      <c r="U613" s="29"/>
      <c r="V613" s="11"/>
      <c r="W613" s="11"/>
      <c r="X613" s="29"/>
      <c r="Y613" s="11"/>
      <c r="Z613" s="29"/>
      <c r="AA613" s="29"/>
      <c r="AB613" s="11"/>
      <c r="AC613" s="11"/>
      <c r="AD613" s="29"/>
      <c r="AE613" s="11"/>
      <c r="AF613" s="29"/>
      <c r="AG613" s="11"/>
      <c r="AH613" s="29"/>
      <c r="AI613" s="11"/>
      <c r="AJ613" s="29"/>
      <c r="AK613" s="29"/>
      <c r="AL613" s="29"/>
      <c r="AM613" s="11"/>
      <c r="AN613" s="29"/>
      <c r="AO613" s="29"/>
      <c r="AP613" s="6"/>
      <c r="AQ613" s="113">
        <f>IF(AND(I613="",K613="",AF613="",AL613="",AN613="",O613=""),"",IF(OR(I613="SIM",K613="SIM",AF613="SIM",AL613="SIM",AN613="Dados pessoais",AN613="Dados sensíveis",AN613="Dados pessoais e sensíveis",O613="Acima de 10.000 titulares por mês"),"SIM - Alta criticidade",IF((IF(I613="SIM",2,0)+IF(K613="SIM",2,0)+IF(AF613="SIM",2,0)+IF(OR(AN613="Dados pessoais",AN613="Dados sensíveis",AN613="Dados pessoais e sensíveis"),2,0)+IF(O613="De 1.001 a 10.000 titulares por mês",1,0)+IF(AA613="SIM",1,0)+IF(R613="SIM",1,0)+IF(AL613="SIM",1,0)+IF(AJ613="NÃO",1,0))&gt;=5,"SIM - Alta criticidade",IF((IF(I613="SIM",2,0)+IF(K613="SIM",2,0)+IF(AF613="SIM",2,0)+IF(OR(AN613="Dados pessoais",AN613="Dados sensíveis",AN613="Dados pessoais e sensíveis"),2,0)+IF(O613="De 1.001 a 10.000 titulares por mês",1,0)+IF(AA613="SIM",1,0)+IF(R613="SIM",1,0)+IF(AL613="SIM",1,0)+IF(AJ613="NÃO",1,0))&gt;=3,"Avaliação necessária","NÃO"))))</f>
      </c>
      <c r="AR613" s="11"/>
      <c r="AS613" s="113">
        <f>IF(AND(I613="",K613="",AF613="",AL613="",AN613="",O613=""),"",IF(OR(I613="SIM",K613="SIM",AF613="SIM",AL613="SIM",OR(AN613="Dados pessoais",AN613="Dados sensíveis",AN613="Dados pessoais e sensíveis"),O613="Acima de 10.000 titulares por mês",(IF(I613="SIM",2,0)+IF(K613="SIM",2,0)+IF(AF613="SIM",2,0)+IF(OR(AN613="Dados pessoais",AN613="Dados sensíveis",AN613="Dados pessoais e sensíveis"),2,0)+IF(O613="De 1.001 a 10.000 titulares por mês",1,0)+IF(AA613="SIM",1,0)+IF(R613="SIM",1,0)+IF(AL613="SIM",1,0)+IF(AJ613="NÃO",1,0))&gt;=3),"DPIA indicado ou em avaliação em razão de: " &amp; TRIM(IF(I613="SIM","tratamento de dados sensíveis; ","") &amp; IF(K613="SIM","utilização de dados de menores; ","") &amp; IF(AF613="SIM","transferência internacional de dados; ","") &amp; IF(AL613="SIM","utilização de inteligência artificial; ","") &amp; IF(OR(AN613="Dados pessoais",AN613="Dados sensíveis",AN613="Dados pessoais e sensíveis"),"dados inseridos em IA; ","") &amp; IF(O613="Acima de 10.000 titulares por mês","volume crítico de titulares; ","") &amp; IF(O613="De 1.001 a 10.000 titulares por mês","volume moderado de titulares; ","") &amp; IF(AA613="SIM","compartilhamento com terceiros; ","") &amp; IF(R613="SIM","compartilhamento com órgãos governamentais; ","") &amp; IF(AJ613="NÃO","ausência de controle de acesso por perfil; ","")),"DPIA não indicado: Processo de baixa criticidade."))</f>
      </c>
    </row>
    <row x14ac:dyDescent="0.25" r="614" customHeight="1" ht="15.75">
      <c r="A614" s="46"/>
      <c r="B614" s="6"/>
      <c r="C614" s="11"/>
      <c r="D614" s="11"/>
      <c r="E614" s="11"/>
      <c r="F614" s="29"/>
      <c r="G614" s="11"/>
      <c r="H614" s="11"/>
      <c r="I614" s="29"/>
      <c r="J614" s="11"/>
      <c r="K614" s="29"/>
      <c r="L614" s="11"/>
      <c r="M614" s="11"/>
      <c r="N614" s="11"/>
      <c r="O614" s="29"/>
      <c r="P614" s="29"/>
      <c r="Q614" s="11"/>
      <c r="R614" s="29"/>
      <c r="S614" s="11"/>
      <c r="T614" s="6"/>
      <c r="U614" s="29"/>
      <c r="V614" s="11"/>
      <c r="W614" s="11"/>
      <c r="X614" s="29"/>
      <c r="Y614" s="11"/>
      <c r="Z614" s="29"/>
      <c r="AA614" s="29"/>
      <c r="AB614" s="11"/>
      <c r="AC614" s="11"/>
      <c r="AD614" s="29"/>
      <c r="AE614" s="11"/>
      <c r="AF614" s="29"/>
      <c r="AG614" s="11"/>
      <c r="AH614" s="29"/>
      <c r="AI614" s="11"/>
      <c r="AJ614" s="29"/>
      <c r="AK614" s="29"/>
      <c r="AL614" s="29"/>
      <c r="AM614" s="11"/>
      <c r="AN614" s="29"/>
      <c r="AO614" s="29"/>
      <c r="AP614" s="6"/>
      <c r="AQ614" s="113">
        <f>IF(AND(I614="",K614="",AF614="",AL614="",AN614="",O614=""),"",IF(OR(I614="SIM",K614="SIM",AF614="SIM",AL614="SIM",AN614="Dados pessoais",AN614="Dados sensíveis",AN614="Dados pessoais e sensíveis",O614="Acima de 10.000 titulares por mês"),"SIM - Alta criticidade",IF((IF(I614="SIM",2,0)+IF(K614="SIM",2,0)+IF(AF614="SIM",2,0)+IF(OR(AN614="Dados pessoais",AN614="Dados sensíveis",AN614="Dados pessoais e sensíveis"),2,0)+IF(O614="De 1.001 a 10.000 titulares por mês",1,0)+IF(AA614="SIM",1,0)+IF(R614="SIM",1,0)+IF(AL614="SIM",1,0)+IF(AJ614="NÃO",1,0))&gt;=5,"SIM - Alta criticidade",IF((IF(I614="SIM",2,0)+IF(K614="SIM",2,0)+IF(AF614="SIM",2,0)+IF(OR(AN614="Dados pessoais",AN614="Dados sensíveis",AN614="Dados pessoais e sensíveis"),2,0)+IF(O614="De 1.001 a 10.000 titulares por mês",1,0)+IF(AA614="SIM",1,0)+IF(R614="SIM",1,0)+IF(AL614="SIM",1,0)+IF(AJ614="NÃO",1,0))&gt;=3,"Avaliação necessária","NÃO"))))</f>
      </c>
      <c r="AR614" s="11"/>
      <c r="AS614" s="113">
        <f>IF(AND(I614="",K614="",AF614="",AL614="",AN614="",O614=""),"",IF(OR(I614="SIM",K614="SIM",AF614="SIM",AL614="SIM",OR(AN614="Dados pessoais",AN614="Dados sensíveis",AN614="Dados pessoais e sensíveis"),O614="Acima de 10.000 titulares por mês",(IF(I614="SIM",2,0)+IF(K614="SIM",2,0)+IF(AF614="SIM",2,0)+IF(OR(AN614="Dados pessoais",AN614="Dados sensíveis",AN614="Dados pessoais e sensíveis"),2,0)+IF(O614="De 1.001 a 10.000 titulares por mês",1,0)+IF(AA614="SIM",1,0)+IF(R614="SIM",1,0)+IF(AL614="SIM",1,0)+IF(AJ614="NÃO",1,0))&gt;=3),"DPIA indicado ou em avaliação em razão de: " &amp; TRIM(IF(I614="SIM","tratamento de dados sensíveis; ","") &amp; IF(K614="SIM","utilização de dados de menores; ","") &amp; IF(AF614="SIM","transferência internacional de dados; ","") &amp; IF(AL614="SIM","utilização de inteligência artificial; ","") &amp; IF(OR(AN614="Dados pessoais",AN614="Dados sensíveis",AN614="Dados pessoais e sensíveis"),"dados inseridos em IA; ","") &amp; IF(O614="Acima de 10.000 titulares por mês","volume crítico de titulares; ","") &amp; IF(O614="De 1.001 a 10.000 titulares por mês","volume moderado de titulares; ","") &amp; IF(AA614="SIM","compartilhamento com terceiros; ","") &amp; IF(R614="SIM","compartilhamento com órgãos governamentais; ","") &amp; IF(AJ614="NÃO","ausência de controle de acesso por perfil; ","")),"DPIA não indicado: Processo de baixa criticidade."))</f>
      </c>
    </row>
    <row x14ac:dyDescent="0.25" r="615" customHeight="1" ht="15.75">
      <c r="A615" s="46"/>
      <c r="B615" s="6"/>
      <c r="C615" s="11"/>
      <c r="D615" s="11"/>
      <c r="E615" s="11"/>
      <c r="F615" s="29"/>
      <c r="G615" s="11"/>
      <c r="H615" s="11"/>
      <c r="I615" s="29"/>
      <c r="J615" s="11"/>
      <c r="K615" s="29"/>
      <c r="L615" s="11"/>
      <c r="M615" s="11"/>
      <c r="N615" s="11"/>
      <c r="O615" s="29"/>
      <c r="P615" s="29"/>
      <c r="Q615" s="11"/>
      <c r="R615" s="29"/>
      <c r="S615" s="11"/>
      <c r="T615" s="6"/>
      <c r="U615" s="29"/>
      <c r="V615" s="11"/>
      <c r="W615" s="11"/>
      <c r="X615" s="29"/>
      <c r="Y615" s="11"/>
      <c r="Z615" s="29"/>
      <c r="AA615" s="29"/>
      <c r="AB615" s="11"/>
      <c r="AC615" s="11"/>
      <c r="AD615" s="29"/>
      <c r="AE615" s="11"/>
      <c r="AF615" s="29"/>
      <c r="AG615" s="11"/>
      <c r="AH615" s="29"/>
      <c r="AI615" s="11"/>
      <c r="AJ615" s="29"/>
      <c r="AK615" s="29"/>
      <c r="AL615" s="29"/>
      <c r="AM615" s="11"/>
      <c r="AN615" s="29"/>
      <c r="AO615" s="29"/>
      <c r="AP615" s="6"/>
      <c r="AQ615" s="113">
        <f>IF(AND(I615="",K615="",AF615="",AL615="",AN615="",O615=""),"",IF(OR(I615="SIM",K615="SIM",AF615="SIM",AL615="SIM",AN615="Dados pessoais",AN615="Dados sensíveis",AN615="Dados pessoais e sensíveis",O615="Acima de 10.000 titulares por mês"),"SIM - Alta criticidade",IF((IF(I615="SIM",2,0)+IF(K615="SIM",2,0)+IF(AF615="SIM",2,0)+IF(OR(AN615="Dados pessoais",AN615="Dados sensíveis",AN615="Dados pessoais e sensíveis"),2,0)+IF(O615="De 1.001 a 10.000 titulares por mês",1,0)+IF(AA615="SIM",1,0)+IF(R615="SIM",1,0)+IF(AL615="SIM",1,0)+IF(AJ615="NÃO",1,0))&gt;=5,"SIM - Alta criticidade",IF((IF(I615="SIM",2,0)+IF(K615="SIM",2,0)+IF(AF615="SIM",2,0)+IF(OR(AN615="Dados pessoais",AN615="Dados sensíveis",AN615="Dados pessoais e sensíveis"),2,0)+IF(O615="De 1.001 a 10.000 titulares por mês",1,0)+IF(AA615="SIM",1,0)+IF(R615="SIM",1,0)+IF(AL615="SIM",1,0)+IF(AJ615="NÃO",1,0))&gt;=3,"Avaliação necessária","NÃO"))))</f>
      </c>
      <c r="AR615" s="11"/>
      <c r="AS615" s="113">
        <f>IF(AND(I615="",K615="",AF615="",AL615="",AN615="",O615=""),"",IF(OR(I615="SIM",K615="SIM",AF615="SIM",AL615="SIM",OR(AN615="Dados pessoais",AN615="Dados sensíveis",AN615="Dados pessoais e sensíveis"),O615="Acima de 10.000 titulares por mês",(IF(I615="SIM",2,0)+IF(K615="SIM",2,0)+IF(AF615="SIM",2,0)+IF(OR(AN615="Dados pessoais",AN615="Dados sensíveis",AN615="Dados pessoais e sensíveis"),2,0)+IF(O615="De 1.001 a 10.000 titulares por mês",1,0)+IF(AA615="SIM",1,0)+IF(R615="SIM",1,0)+IF(AL615="SIM",1,0)+IF(AJ615="NÃO",1,0))&gt;=3),"DPIA indicado ou em avaliação em razão de: " &amp; TRIM(IF(I615="SIM","tratamento de dados sensíveis; ","") &amp; IF(K615="SIM","utilização de dados de menores; ","") &amp; IF(AF615="SIM","transferência internacional de dados; ","") &amp; IF(AL615="SIM","utilização de inteligência artificial; ","") &amp; IF(OR(AN615="Dados pessoais",AN615="Dados sensíveis",AN615="Dados pessoais e sensíveis"),"dados inseridos em IA; ","") &amp; IF(O615="Acima de 10.000 titulares por mês","volume crítico de titulares; ","") &amp; IF(O615="De 1.001 a 10.000 titulares por mês","volume moderado de titulares; ","") &amp; IF(AA615="SIM","compartilhamento com terceiros; ","") &amp; IF(R615="SIM","compartilhamento com órgãos governamentais; ","") &amp; IF(AJ615="NÃO","ausência de controle de acesso por perfil; ","")),"DPIA não indicado: Processo de baixa criticidade."))</f>
      </c>
    </row>
    <row x14ac:dyDescent="0.25" r="616" customHeight="1" ht="15.75">
      <c r="A616" s="46"/>
      <c r="B616" s="6"/>
      <c r="C616" s="11"/>
      <c r="D616" s="11"/>
      <c r="E616" s="11"/>
      <c r="F616" s="29"/>
      <c r="G616" s="11"/>
      <c r="H616" s="11"/>
      <c r="I616" s="29"/>
      <c r="J616" s="11"/>
      <c r="K616" s="29"/>
      <c r="L616" s="11"/>
      <c r="M616" s="11"/>
      <c r="N616" s="11"/>
      <c r="O616" s="29"/>
      <c r="P616" s="29"/>
      <c r="Q616" s="11"/>
      <c r="R616" s="29"/>
      <c r="S616" s="11"/>
      <c r="T616" s="6"/>
      <c r="U616" s="29"/>
      <c r="V616" s="11"/>
      <c r="W616" s="11"/>
      <c r="X616" s="29"/>
      <c r="Y616" s="11"/>
      <c r="Z616" s="29"/>
      <c r="AA616" s="29"/>
      <c r="AB616" s="11"/>
      <c r="AC616" s="11"/>
      <c r="AD616" s="29"/>
      <c r="AE616" s="11"/>
      <c r="AF616" s="29"/>
      <c r="AG616" s="11"/>
      <c r="AH616" s="29"/>
      <c r="AI616" s="11"/>
      <c r="AJ616" s="29"/>
      <c r="AK616" s="29"/>
      <c r="AL616" s="29"/>
      <c r="AM616" s="11"/>
      <c r="AN616" s="29"/>
      <c r="AO616" s="29"/>
      <c r="AP616" s="6"/>
      <c r="AQ616" s="113">
        <f>IF(AND(I616="",K616="",AF616="",AL616="",AN616="",O616=""),"",IF(OR(I616="SIM",K616="SIM",AF616="SIM",AL616="SIM",AN616="Dados pessoais",AN616="Dados sensíveis",AN616="Dados pessoais e sensíveis",O616="Acima de 10.000 titulares por mês"),"SIM - Alta criticidade",IF((IF(I616="SIM",2,0)+IF(K616="SIM",2,0)+IF(AF616="SIM",2,0)+IF(OR(AN616="Dados pessoais",AN616="Dados sensíveis",AN616="Dados pessoais e sensíveis"),2,0)+IF(O616="De 1.001 a 10.000 titulares por mês",1,0)+IF(AA616="SIM",1,0)+IF(R616="SIM",1,0)+IF(AL616="SIM",1,0)+IF(AJ616="NÃO",1,0))&gt;=5,"SIM - Alta criticidade",IF((IF(I616="SIM",2,0)+IF(K616="SIM",2,0)+IF(AF616="SIM",2,0)+IF(OR(AN616="Dados pessoais",AN616="Dados sensíveis",AN616="Dados pessoais e sensíveis"),2,0)+IF(O616="De 1.001 a 10.000 titulares por mês",1,0)+IF(AA616="SIM",1,0)+IF(R616="SIM",1,0)+IF(AL616="SIM",1,0)+IF(AJ616="NÃO",1,0))&gt;=3,"Avaliação necessária","NÃO"))))</f>
      </c>
      <c r="AR616" s="11"/>
      <c r="AS616" s="113">
        <f>IF(AND(I616="",K616="",AF616="",AL616="",AN616="",O616=""),"",IF(OR(I616="SIM",K616="SIM",AF616="SIM",AL616="SIM",OR(AN616="Dados pessoais",AN616="Dados sensíveis",AN616="Dados pessoais e sensíveis"),O616="Acima de 10.000 titulares por mês",(IF(I616="SIM",2,0)+IF(K616="SIM",2,0)+IF(AF616="SIM",2,0)+IF(OR(AN616="Dados pessoais",AN616="Dados sensíveis",AN616="Dados pessoais e sensíveis"),2,0)+IF(O616="De 1.001 a 10.000 titulares por mês",1,0)+IF(AA616="SIM",1,0)+IF(R616="SIM",1,0)+IF(AL616="SIM",1,0)+IF(AJ616="NÃO",1,0))&gt;=3),"DPIA indicado ou em avaliação em razão de: " &amp; TRIM(IF(I616="SIM","tratamento de dados sensíveis; ","") &amp; IF(K616="SIM","utilização de dados de menores; ","") &amp; IF(AF616="SIM","transferência internacional de dados; ","") &amp; IF(AL616="SIM","utilização de inteligência artificial; ","") &amp; IF(OR(AN616="Dados pessoais",AN616="Dados sensíveis",AN616="Dados pessoais e sensíveis"),"dados inseridos em IA; ","") &amp; IF(O616="Acima de 10.000 titulares por mês","volume crítico de titulares; ","") &amp; IF(O616="De 1.001 a 10.000 titulares por mês","volume moderado de titulares; ","") &amp; IF(AA616="SIM","compartilhamento com terceiros; ","") &amp; IF(R616="SIM","compartilhamento com órgãos governamentais; ","") &amp; IF(AJ616="NÃO","ausência de controle de acesso por perfil; ","")),"DPIA não indicado: Processo de baixa criticidade."))</f>
      </c>
    </row>
    <row x14ac:dyDescent="0.25" r="617" customHeight="1" ht="15.75">
      <c r="A617" s="46"/>
      <c r="B617" s="6"/>
      <c r="C617" s="11"/>
      <c r="D617" s="11"/>
      <c r="E617" s="11"/>
      <c r="F617" s="29"/>
      <c r="G617" s="11"/>
      <c r="H617" s="11"/>
      <c r="I617" s="29"/>
      <c r="J617" s="11"/>
      <c r="K617" s="29"/>
      <c r="L617" s="11"/>
      <c r="M617" s="11"/>
      <c r="N617" s="11"/>
      <c r="O617" s="29"/>
      <c r="P617" s="29"/>
      <c r="Q617" s="11"/>
      <c r="R617" s="29"/>
      <c r="S617" s="11"/>
      <c r="T617" s="6"/>
      <c r="U617" s="29"/>
      <c r="V617" s="11"/>
      <c r="W617" s="11"/>
      <c r="X617" s="29"/>
      <c r="Y617" s="11"/>
      <c r="Z617" s="29"/>
      <c r="AA617" s="29"/>
      <c r="AB617" s="11"/>
      <c r="AC617" s="11"/>
      <c r="AD617" s="29"/>
      <c r="AE617" s="11"/>
      <c r="AF617" s="29"/>
      <c r="AG617" s="11"/>
      <c r="AH617" s="29"/>
      <c r="AI617" s="11"/>
      <c r="AJ617" s="29"/>
      <c r="AK617" s="29"/>
      <c r="AL617" s="29"/>
      <c r="AM617" s="11"/>
      <c r="AN617" s="29"/>
      <c r="AO617" s="29"/>
      <c r="AP617" s="6"/>
      <c r="AQ617" s="113">
        <f>IF(AND(I617="",K617="",AF617="",AL617="",AN617="",O617=""),"",IF(OR(I617="SIM",K617="SIM",AF617="SIM",AL617="SIM",AN617="Dados pessoais",AN617="Dados sensíveis",AN617="Dados pessoais e sensíveis",O617="Acima de 10.000 titulares por mês"),"SIM - Alta criticidade",IF((IF(I617="SIM",2,0)+IF(K617="SIM",2,0)+IF(AF617="SIM",2,0)+IF(OR(AN617="Dados pessoais",AN617="Dados sensíveis",AN617="Dados pessoais e sensíveis"),2,0)+IF(O617="De 1.001 a 10.000 titulares por mês",1,0)+IF(AA617="SIM",1,0)+IF(R617="SIM",1,0)+IF(AL617="SIM",1,0)+IF(AJ617="NÃO",1,0))&gt;=5,"SIM - Alta criticidade",IF((IF(I617="SIM",2,0)+IF(K617="SIM",2,0)+IF(AF617="SIM",2,0)+IF(OR(AN617="Dados pessoais",AN617="Dados sensíveis",AN617="Dados pessoais e sensíveis"),2,0)+IF(O617="De 1.001 a 10.000 titulares por mês",1,0)+IF(AA617="SIM",1,0)+IF(R617="SIM",1,0)+IF(AL617="SIM",1,0)+IF(AJ617="NÃO",1,0))&gt;=3,"Avaliação necessária","NÃO"))))</f>
      </c>
      <c r="AR617" s="11"/>
      <c r="AS617" s="113">
        <f>IF(AND(I617="",K617="",AF617="",AL617="",AN617="",O617=""),"",IF(OR(I617="SIM",K617="SIM",AF617="SIM",AL617="SIM",OR(AN617="Dados pessoais",AN617="Dados sensíveis",AN617="Dados pessoais e sensíveis"),O617="Acima de 10.000 titulares por mês",(IF(I617="SIM",2,0)+IF(K617="SIM",2,0)+IF(AF617="SIM",2,0)+IF(OR(AN617="Dados pessoais",AN617="Dados sensíveis",AN617="Dados pessoais e sensíveis"),2,0)+IF(O617="De 1.001 a 10.000 titulares por mês",1,0)+IF(AA617="SIM",1,0)+IF(R617="SIM",1,0)+IF(AL617="SIM",1,0)+IF(AJ617="NÃO",1,0))&gt;=3),"DPIA indicado ou em avaliação em razão de: " &amp; TRIM(IF(I617="SIM","tratamento de dados sensíveis; ","") &amp; IF(K617="SIM","utilização de dados de menores; ","") &amp; IF(AF617="SIM","transferência internacional de dados; ","") &amp; IF(AL617="SIM","utilização de inteligência artificial; ","") &amp; IF(OR(AN617="Dados pessoais",AN617="Dados sensíveis",AN617="Dados pessoais e sensíveis"),"dados inseridos em IA; ","") &amp; IF(O617="Acima de 10.000 titulares por mês","volume crítico de titulares; ","") &amp; IF(O617="De 1.001 a 10.000 titulares por mês","volume moderado de titulares; ","") &amp; IF(AA617="SIM","compartilhamento com terceiros; ","") &amp; IF(R617="SIM","compartilhamento com órgãos governamentais; ","") &amp; IF(AJ617="NÃO","ausência de controle de acesso por perfil; ","")),"DPIA não indicado: Processo de baixa criticidade."))</f>
      </c>
    </row>
    <row x14ac:dyDescent="0.25" r="618" customHeight="1" ht="15.75">
      <c r="A618" s="46"/>
      <c r="B618" s="6"/>
      <c r="C618" s="11"/>
      <c r="D618" s="11"/>
      <c r="E618" s="11"/>
      <c r="F618" s="29"/>
      <c r="G618" s="11"/>
      <c r="H618" s="11"/>
      <c r="I618" s="29"/>
      <c r="J618" s="11"/>
      <c r="K618" s="29"/>
      <c r="L618" s="11"/>
      <c r="M618" s="11"/>
      <c r="N618" s="11"/>
      <c r="O618" s="29"/>
      <c r="P618" s="29"/>
      <c r="Q618" s="11"/>
      <c r="R618" s="29"/>
      <c r="S618" s="11"/>
      <c r="T618" s="6"/>
      <c r="U618" s="29"/>
      <c r="V618" s="11"/>
      <c r="W618" s="11"/>
      <c r="X618" s="29"/>
      <c r="Y618" s="11"/>
      <c r="Z618" s="29"/>
      <c r="AA618" s="29"/>
      <c r="AB618" s="11"/>
      <c r="AC618" s="11"/>
      <c r="AD618" s="29"/>
      <c r="AE618" s="11"/>
      <c r="AF618" s="29"/>
      <c r="AG618" s="11"/>
      <c r="AH618" s="29"/>
      <c r="AI618" s="11"/>
      <c r="AJ618" s="29"/>
      <c r="AK618" s="29"/>
      <c r="AL618" s="29"/>
      <c r="AM618" s="11"/>
      <c r="AN618" s="29"/>
      <c r="AO618" s="29"/>
      <c r="AP618" s="6"/>
      <c r="AQ618" s="113">
        <f>IF(AND(I618="",K618="",AF618="",AL618="",AN618="",O618=""),"",IF(OR(I618="SIM",K618="SIM",AF618="SIM",AL618="SIM",AN618="Dados pessoais",AN618="Dados sensíveis",AN618="Dados pessoais e sensíveis",O618="Acima de 10.000 titulares por mês"),"SIM - Alta criticidade",IF((IF(I618="SIM",2,0)+IF(K618="SIM",2,0)+IF(AF618="SIM",2,0)+IF(OR(AN618="Dados pessoais",AN618="Dados sensíveis",AN618="Dados pessoais e sensíveis"),2,0)+IF(O618="De 1.001 a 10.000 titulares por mês",1,0)+IF(AA618="SIM",1,0)+IF(R618="SIM",1,0)+IF(AL618="SIM",1,0)+IF(AJ618="NÃO",1,0))&gt;=5,"SIM - Alta criticidade",IF((IF(I618="SIM",2,0)+IF(K618="SIM",2,0)+IF(AF618="SIM",2,0)+IF(OR(AN618="Dados pessoais",AN618="Dados sensíveis",AN618="Dados pessoais e sensíveis"),2,0)+IF(O618="De 1.001 a 10.000 titulares por mês",1,0)+IF(AA618="SIM",1,0)+IF(R618="SIM",1,0)+IF(AL618="SIM",1,0)+IF(AJ618="NÃO",1,0))&gt;=3,"Avaliação necessária","NÃO"))))</f>
      </c>
      <c r="AR618" s="11"/>
      <c r="AS618" s="113">
        <f>IF(AND(I618="",K618="",AF618="",AL618="",AN618="",O618=""),"",IF(OR(I618="SIM",K618="SIM",AF618="SIM",AL618="SIM",OR(AN618="Dados pessoais",AN618="Dados sensíveis",AN618="Dados pessoais e sensíveis"),O618="Acima de 10.000 titulares por mês",(IF(I618="SIM",2,0)+IF(K618="SIM",2,0)+IF(AF618="SIM",2,0)+IF(OR(AN618="Dados pessoais",AN618="Dados sensíveis",AN618="Dados pessoais e sensíveis"),2,0)+IF(O618="De 1.001 a 10.000 titulares por mês",1,0)+IF(AA618="SIM",1,0)+IF(R618="SIM",1,0)+IF(AL618="SIM",1,0)+IF(AJ618="NÃO",1,0))&gt;=3),"DPIA indicado ou em avaliação em razão de: " &amp; TRIM(IF(I618="SIM","tratamento de dados sensíveis; ","") &amp; IF(K618="SIM","utilização de dados de menores; ","") &amp; IF(AF618="SIM","transferência internacional de dados; ","") &amp; IF(AL618="SIM","utilização de inteligência artificial; ","") &amp; IF(OR(AN618="Dados pessoais",AN618="Dados sensíveis",AN618="Dados pessoais e sensíveis"),"dados inseridos em IA; ","") &amp; IF(O618="Acima de 10.000 titulares por mês","volume crítico de titulares; ","") &amp; IF(O618="De 1.001 a 10.000 titulares por mês","volume moderado de titulares; ","") &amp; IF(AA618="SIM","compartilhamento com terceiros; ","") &amp; IF(R618="SIM","compartilhamento com órgãos governamentais; ","") &amp; IF(AJ618="NÃO","ausência de controle de acesso por perfil; ","")),"DPIA não indicado: Processo de baixa criticidade."))</f>
      </c>
    </row>
    <row x14ac:dyDescent="0.25" r="619" customHeight="1" ht="15.75">
      <c r="A619" s="46"/>
      <c r="B619" s="6"/>
      <c r="C619" s="11"/>
      <c r="D619" s="11"/>
      <c r="E619" s="11"/>
      <c r="F619" s="29"/>
      <c r="G619" s="11"/>
      <c r="H619" s="11"/>
      <c r="I619" s="29"/>
      <c r="J619" s="11"/>
      <c r="K619" s="29"/>
      <c r="L619" s="11"/>
      <c r="M619" s="11"/>
      <c r="N619" s="11"/>
      <c r="O619" s="29"/>
      <c r="P619" s="29"/>
      <c r="Q619" s="11"/>
      <c r="R619" s="29"/>
      <c r="S619" s="11"/>
      <c r="T619" s="6"/>
      <c r="U619" s="29"/>
      <c r="V619" s="11"/>
      <c r="W619" s="11"/>
      <c r="X619" s="29"/>
      <c r="Y619" s="11"/>
      <c r="Z619" s="29"/>
      <c r="AA619" s="29"/>
      <c r="AB619" s="11"/>
      <c r="AC619" s="11"/>
      <c r="AD619" s="29"/>
      <c r="AE619" s="11"/>
      <c r="AF619" s="29"/>
      <c r="AG619" s="11"/>
      <c r="AH619" s="29"/>
      <c r="AI619" s="11"/>
      <c r="AJ619" s="29"/>
      <c r="AK619" s="29"/>
      <c r="AL619" s="29"/>
      <c r="AM619" s="11"/>
      <c r="AN619" s="29"/>
      <c r="AO619" s="29"/>
      <c r="AP619" s="6"/>
      <c r="AQ619" s="113">
        <f>IF(AND(I619="",K619="",AF619="",AL619="",AN619="",O619=""),"",IF(OR(I619="SIM",K619="SIM",AF619="SIM",AL619="SIM",AN619="Dados pessoais",AN619="Dados sensíveis",AN619="Dados pessoais e sensíveis",O619="Acima de 10.000 titulares por mês"),"SIM - Alta criticidade",IF((IF(I619="SIM",2,0)+IF(K619="SIM",2,0)+IF(AF619="SIM",2,0)+IF(OR(AN619="Dados pessoais",AN619="Dados sensíveis",AN619="Dados pessoais e sensíveis"),2,0)+IF(O619="De 1.001 a 10.000 titulares por mês",1,0)+IF(AA619="SIM",1,0)+IF(R619="SIM",1,0)+IF(AL619="SIM",1,0)+IF(AJ619="NÃO",1,0))&gt;=5,"SIM - Alta criticidade",IF((IF(I619="SIM",2,0)+IF(K619="SIM",2,0)+IF(AF619="SIM",2,0)+IF(OR(AN619="Dados pessoais",AN619="Dados sensíveis",AN619="Dados pessoais e sensíveis"),2,0)+IF(O619="De 1.001 a 10.000 titulares por mês",1,0)+IF(AA619="SIM",1,0)+IF(R619="SIM",1,0)+IF(AL619="SIM",1,0)+IF(AJ619="NÃO",1,0))&gt;=3,"Avaliação necessária","NÃO"))))</f>
      </c>
      <c r="AR619" s="11"/>
      <c r="AS619" s="113">
        <f>IF(AND(I619="",K619="",AF619="",AL619="",AN619="",O619=""),"",IF(OR(I619="SIM",K619="SIM",AF619="SIM",AL619="SIM",OR(AN619="Dados pessoais",AN619="Dados sensíveis",AN619="Dados pessoais e sensíveis"),O619="Acima de 10.000 titulares por mês",(IF(I619="SIM",2,0)+IF(K619="SIM",2,0)+IF(AF619="SIM",2,0)+IF(OR(AN619="Dados pessoais",AN619="Dados sensíveis",AN619="Dados pessoais e sensíveis"),2,0)+IF(O619="De 1.001 a 10.000 titulares por mês",1,0)+IF(AA619="SIM",1,0)+IF(R619="SIM",1,0)+IF(AL619="SIM",1,0)+IF(AJ619="NÃO",1,0))&gt;=3),"DPIA indicado ou em avaliação em razão de: " &amp; TRIM(IF(I619="SIM","tratamento de dados sensíveis; ","") &amp; IF(K619="SIM","utilização de dados de menores; ","") &amp; IF(AF619="SIM","transferência internacional de dados; ","") &amp; IF(AL619="SIM","utilização de inteligência artificial; ","") &amp; IF(OR(AN619="Dados pessoais",AN619="Dados sensíveis",AN619="Dados pessoais e sensíveis"),"dados inseridos em IA; ","") &amp; IF(O619="Acima de 10.000 titulares por mês","volume crítico de titulares; ","") &amp; IF(O619="De 1.001 a 10.000 titulares por mês","volume moderado de titulares; ","") &amp; IF(AA619="SIM","compartilhamento com terceiros; ","") &amp; IF(R619="SIM","compartilhamento com órgãos governamentais; ","") &amp; IF(AJ619="NÃO","ausência de controle de acesso por perfil; ","")),"DPIA não indicado: Processo de baixa criticidade."))</f>
      </c>
    </row>
    <row x14ac:dyDescent="0.25" r="620" customHeight="1" ht="15.75">
      <c r="A620" s="46"/>
      <c r="B620" s="6"/>
      <c r="C620" s="11"/>
      <c r="D620" s="11"/>
      <c r="E620" s="11"/>
      <c r="F620" s="29"/>
      <c r="G620" s="11"/>
      <c r="H620" s="11"/>
      <c r="I620" s="29"/>
      <c r="J620" s="11"/>
      <c r="K620" s="29"/>
      <c r="L620" s="11"/>
      <c r="M620" s="11"/>
      <c r="N620" s="11"/>
      <c r="O620" s="29"/>
      <c r="P620" s="29"/>
      <c r="Q620" s="11"/>
      <c r="R620" s="29"/>
      <c r="S620" s="11"/>
      <c r="T620" s="6"/>
      <c r="U620" s="29"/>
      <c r="V620" s="11"/>
      <c r="W620" s="11"/>
      <c r="X620" s="29"/>
      <c r="Y620" s="11"/>
      <c r="Z620" s="29"/>
      <c r="AA620" s="29"/>
      <c r="AB620" s="11"/>
      <c r="AC620" s="11"/>
      <c r="AD620" s="29"/>
      <c r="AE620" s="11"/>
      <c r="AF620" s="29"/>
      <c r="AG620" s="11"/>
      <c r="AH620" s="29"/>
      <c r="AI620" s="11"/>
      <c r="AJ620" s="29"/>
      <c r="AK620" s="29"/>
      <c r="AL620" s="29"/>
      <c r="AM620" s="11"/>
      <c r="AN620" s="29"/>
      <c r="AO620" s="29"/>
      <c r="AP620" s="6"/>
      <c r="AQ620" s="113">
        <f>IF(AND(I620="",K620="",AF620="",AL620="",AN620="",O620=""),"",IF(OR(I620="SIM",K620="SIM",AF620="SIM",AL620="SIM",AN620="Dados pessoais",AN620="Dados sensíveis",AN620="Dados pessoais e sensíveis",O620="Acima de 10.000 titulares por mês"),"SIM - Alta criticidade",IF((IF(I620="SIM",2,0)+IF(K620="SIM",2,0)+IF(AF620="SIM",2,0)+IF(OR(AN620="Dados pessoais",AN620="Dados sensíveis",AN620="Dados pessoais e sensíveis"),2,0)+IF(O620="De 1.001 a 10.000 titulares por mês",1,0)+IF(AA620="SIM",1,0)+IF(R620="SIM",1,0)+IF(AL620="SIM",1,0)+IF(AJ620="NÃO",1,0))&gt;=5,"SIM - Alta criticidade",IF((IF(I620="SIM",2,0)+IF(K620="SIM",2,0)+IF(AF620="SIM",2,0)+IF(OR(AN620="Dados pessoais",AN620="Dados sensíveis",AN620="Dados pessoais e sensíveis"),2,0)+IF(O620="De 1.001 a 10.000 titulares por mês",1,0)+IF(AA620="SIM",1,0)+IF(R620="SIM",1,0)+IF(AL620="SIM",1,0)+IF(AJ620="NÃO",1,0))&gt;=3,"Avaliação necessária","NÃO"))))</f>
      </c>
      <c r="AR620" s="11"/>
      <c r="AS620" s="113">
        <f>IF(AND(I620="",K620="",AF620="",AL620="",AN620="",O620=""),"",IF(OR(I620="SIM",K620="SIM",AF620="SIM",AL620="SIM",OR(AN620="Dados pessoais",AN620="Dados sensíveis",AN620="Dados pessoais e sensíveis"),O620="Acima de 10.000 titulares por mês",(IF(I620="SIM",2,0)+IF(K620="SIM",2,0)+IF(AF620="SIM",2,0)+IF(OR(AN620="Dados pessoais",AN620="Dados sensíveis",AN620="Dados pessoais e sensíveis"),2,0)+IF(O620="De 1.001 a 10.000 titulares por mês",1,0)+IF(AA620="SIM",1,0)+IF(R620="SIM",1,0)+IF(AL620="SIM",1,0)+IF(AJ620="NÃO",1,0))&gt;=3),"DPIA indicado ou em avaliação em razão de: " &amp; TRIM(IF(I620="SIM","tratamento de dados sensíveis; ","") &amp; IF(K620="SIM","utilização de dados de menores; ","") &amp; IF(AF620="SIM","transferência internacional de dados; ","") &amp; IF(AL620="SIM","utilização de inteligência artificial; ","") &amp; IF(OR(AN620="Dados pessoais",AN620="Dados sensíveis",AN620="Dados pessoais e sensíveis"),"dados inseridos em IA; ","") &amp; IF(O620="Acima de 10.000 titulares por mês","volume crítico de titulares; ","") &amp; IF(O620="De 1.001 a 10.000 titulares por mês","volume moderado de titulares; ","") &amp; IF(AA620="SIM","compartilhamento com terceiros; ","") &amp; IF(R620="SIM","compartilhamento com órgãos governamentais; ","") &amp; IF(AJ620="NÃO","ausência de controle de acesso por perfil; ","")),"DPIA não indicado: Processo de baixa criticidade."))</f>
      </c>
    </row>
    <row x14ac:dyDescent="0.25" r="621" customHeight="1" ht="15.75">
      <c r="A621" s="46"/>
      <c r="B621" s="6"/>
      <c r="C621" s="11"/>
      <c r="D621" s="11"/>
      <c r="E621" s="11"/>
      <c r="F621" s="29"/>
      <c r="G621" s="11"/>
      <c r="H621" s="11"/>
      <c r="I621" s="29"/>
      <c r="J621" s="11"/>
      <c r="K621" s="29"/>
      <c r="L621" s="11"/>
      <c r="M621" s="11"/>
      <c r="N621" s="11"/>
      <c r="O621" s="29"/>
      <c r="P621" s="29"/>
      <c r="Q621" s="11"/>
      <c r="R621" s="29"/>
      <c r="S621" s="11"/>
      <c r="T621" s="6"/>
      <c r="U621" s="29"/>
      <c r="V621" s="11"/>
      <c r="W621" s="11"/>
      <c r="X621" s="29"/>
      <c r="Y621" s="11"/>
      <c r="Z621" s="29"/>
      <c r="AA621" s="29"/>
      <c r="AB621" s="11"/>
      <c r="AC621" s="11"/>
      <c r="AD621" s="29"/>
      <c r="AE621" s="11"/>
      <c r="AF621" s="29"/>
      <c r="AG621" s="11"/>
      <c r="AH621" s="29"/>
      <c r="AI621" s="11"/>
      <c r="AJ621" s="29"/>
      <c r="AK621" s="29"/>
      <c r="AL621" s="29"/>
      <c r="AM621" s="11"/>
      <c r="AN621" s="29"/>
      <c r="AO621" s="29"/>
      <c r="AP621" s="6"/>
      <c r="AQ621" s="113">
        <f>IF(AND(I621="",K621="",AF621="",AL621="",AN621="",O621=""),"",IF(OR(I621="SIM",K621="SIM",AF621="SIM",AL621="SIM",AN621="Dados pessoais",AN621="Dados sensíveis",AN621="Dados pessoais e sensíveis",O621="Acima de 10.000 titulares por mês"),"SIM - Alta criticidade",IF((IF(I621="SIM",2,0)+IF(K621="SIM",2,0)+IF(AF621="SIM",2,0)+IF(OR(AN621="Dados pessoais",AN621="Dados sensíveis",AN621="Dados pessoais e sensíveis"),2,0)+IF(O621="De 1.001 a 10.000 titulares por mês",1,0)+IF(AA621="SIM",1,0)+IF(R621="SIM",1,0)+IF(AL621="SIM",1,0)+IF(AJ621="NÃO",1,0))&gt;=5,"SIM - Alta criticidade",IF((IF(I621="SIM",2,0)+IF(K621="SIM",2,0)+IF(AF621="SIM",2,0)+IF(OR(AN621="Dados pessoais",AN621="Dados sensíveis",AN621="Dados pessoais e sensíveis"),2,0)+IF(O621="De 1.001 a 10.000 titulares por mês",1,0)+IF(AA621="SIM",1,0)+IF(R621="SIM",1,0)+IF(AL621="SIM",1,0)+IF(AJ621="NÃO",1,0))&gt;=3,"Avaliação necessária","NÃO"))))</f>
      </c>
      <c r="AR621" s="11"/>
      <c r="AS621" s="113">
        <f>IF(AND(I621="",K621="",AF621="",AL621="",AN621="",O621=""),"",IF(OR(I621="SIM",K621="SIM",AF621="SIM",AL621="SIM",OR(AN621="Dados pessoais",AN621="Dados sensíveis",AN621="Dados pessoais e sensíveis"),O621="Acima de 10.000 titulares por mês",(IF(I621="SIM",2,0)+IF(K621="SIM",2,0)+IF(AF621="SIM",2,0)+IF(OR(AN621="Dados pessoais",AN621="Dados sensíveis",AN621="Dados pessoais e sensíveis"),2,0)+IF(O621="De 1.001 a 10.000 titulares por mês",1,0)+IF(AA621="SIM",1,0)+IF(R621="SIM",1,0)+IF(AL621="SIM",1,0)+IF(AJ621="NÃO",1,0))&gt;=3),"DPIA indicado ou em avaliação em razão de: " &amp; TRIM(IF(I621="SIM","tratamento de dados sensíveis; ","") &amp; IF(K621="SIM","utilização de dados de menores; ","") &amp; IF(AF621="SIM","transferência internacional de dados; ","") &amp; IF(AL621="SIM","utilização de inteligência artificial; ","") &amp; IF(OR(AN621="Dados pessoais",AN621="Dados sensíveis",AN621="Dados pessoais e sensíveis"),"dados inseridos em IA; ","") &amp; IF(O621="Acima de 10.000 titulares por mês","volume crítico de titulares; ","") &amp; IF(O621="De 1.001 a 10.000 titulares por mês","volume moderado de titulares; ","") &amp; IF(AA621="SIM","compartilhamento com terceiros; ","") &amp; IF(R621="SIM","compartilhamento com órgãos governamentais; ","") &amp; IF(AJ621="NÃO","ausência de controle de acesso por perfil; ","")),"DPIA não indicado: Processo de baixa criticidade."))</f>
      </c>
    </row>
    <row x14ac:dyDescent="0.25" r="622" customHeight="1" ht="15.75">
      <c r="A622" s="46"/>
      <c r="B622" s="6"/>
      <c r="C622" s="11"/>
      <c r="D622" s="11"/>
      <c r="E622" s="11"/>
      <c r="F622" s="29"/>
      <c r="G622" s="11"/>
      <c r="H622" s="11"/>
      <c r="I622" s="29"/>
      <c r="J622" s="11"/>
      <c r="K622" s="29"/>
      <c r="L622" s="11"/>
      <c r="M622" s="11"/>
      <c r="N622" s="11"/>
      <c r="O622" s="29"/>
      <c r="P622" s="29"/>
      <c r="Q622" s="11"/>
      <c r="R622" s="29"/>
      <c r="S622" s="11"/>
      <c r="T622" s="6"/>
      <c r="U622" s="29"/>
      <c r="V622" s="11"/>
      <c r="W622" s="11"/>
      <c r="X622" s="29"/>
      <c r="Y622" s="11"/>
      <c r="Z622" s="29"/>
      <c r="AA622" s="29"/>
      <c r="AB622" s="11"/>
      <c r="AC622" s="11"/>
      <c r="AD622" s="29"/>
      <c r="AE622" s="11"/>
      <c r="AF622" s="29"/>
      <c r="AG622" s="11"/>
      <c r="AH622" s="29"/>
      <c r="AI622" s="11"/>
      <c r="AJ622" s="29"/>
      <c r="AK622" s="29"/>
      <c r="AL622" s="29"/>
      <c r="AM622" s="11"/>
      <c r="AN622" s="29"/>
      <c r="AO622" s="29"/>
      <c r="AP622" s="6"/>
      <c r="AQ622" s="113">
        <f>IF(AND(I622="",K622="",AF622="",AL622="",AN622="",O622=""),"",IF(OR(I622="SIM",K622="SIM",AF622="SIM",AL622="SIM",AN622="Dados pessoais",AN622="Dados sensíveis",AN622="Dados pessoais e sensíveis",O622="Acima de 10.000 titulares por mês"),"SIM - Alta criticidade",IF((IF(I622="SIM",2,0)+IF(K622="SIM",2,0)+IF(AF622="SIM",2,0)+IF(OR(AN622="Dados pessoais",AN622="Dados sensíveis",AN622="Dados pessoais e sensíveis"),2,0)+IF(O622="De 1.001 a 10.000 titulares por mês",1,0)+IF(AA622="SIM",1,0)+IF(R622="SIM",1,0)+IF(AL622="SIM",1,0)+IF(AJ622="NÃO",1,0))&gt;=5,"SIM - Alta criticidade",IF((IF(I622="SIM",2,0)+IF(K622="SIM",2,0)+IF(AF622="SIM",2,0)+IF(OR(AN622="Dados pessoais",AN622="Dados sensíveis",AN622="Dados pessoais e sensíveis"),2,0)+IF(O622="De 1.001 a 10.000 titulares por mês",1,0)+IF(AA622="SIM",1,0)+IF(R622="SIM",1,0)+IF(AL622="SIM",1,0)+IF(AJ622="NÃO",1,0))&gt;=3,"Avaliação necessária","NÃO"))))</f>
      </c>
      <c r="AR622" s="11"/>
      <c r="AS622" s="113">
        <f>IF(AND(I622="",K622="",AF622="",AL622="",AN622="",O622=""),"",IF(OR(I622="SIM",K622="SIM",AF622="SIM",AL622="SIM",OR(AN622="Dados pessoais",AN622="Dados sensíveis",AN622="Dados pessoais e sensíveis"),O622="Acima de 10.000 titulares por mês",(IF(I622="SIM",2,0)+IF(K622="SIM",2,0)+IF(AF622="SIM",2,0)+IF(OR(AN622="Dados pessoais",AN622="Dados sensíveis",AN622="Dados pessoais e sensíveis"),2,0)+IF(O622="De 1.001 a 10.000 titulares por mês",1,0)+IF(AA622="SIM",1,0)+IF(R622="SIM",1,0)+IF(AL622="SIM",1,0)+IF(AJ622="NÃO",1,0))&gt;=3),"DPIA indicado ou em avaliação em razão de: " &amp; TRIM(IF(I622="SIM","tratamento de dados sensíveis; ","") &amp; IF(K622="SIM","utilização de dados de menores; ","") &amp; IF(AF622="SIM","transferência internacional de dados; ","") &amp; IF(AL622="SIM","utilização de inteligência artificial; ","") &amp; IF(OR(AN622="Dados pessoais",AN622="Dados sensíveis",AN622="Dados pessoais e sensíveis"),"dados inseridos em IA; ","") &amp; IF(O622="Acima de 10.000 titulares por mês","volume crítico de titulares; ","") &amp; IF(O622="De 1.001 a 10.000 titulares por mês","volume moderado de titulares; ","") &amp; IF(AA622="SIM","compartilhamento com terceiros; ","") &amp; IF(R622="SIM","compartilhamento com órgãos governamentais; ","") &amp; IF(AJ622="NÃO","ausência de controle de acesso por perfil; ","")),"DPIA não indicado: Processo de baixa criticidade."))</f>
      </c>
    </row>
    <row x14ac:dyDescent="0.25" r="623" customHeight="1" ht="15.75">
      <c r="A623" s="46"/>
      <c r="B623" s="6"/>
      <c r="C623" s="11"/>
      <c r="D623" s="11"/>
      <c r="E623" s="11"/>
      <c r="F623" s="29"/>
      <c r="G623" s="11"/>
      <c r="H623" s="11"/>
      <c r="I623" s="29"/>
      <c r="J623" s="11"/>
      <c r="K623" s="29"/>
      <c r="L623" s="11"/>
      <c r="M623" s="11"/>
      <c r="N623" s="11"/>
      <c r="O623" s="29"/>
      <c r="P623" s="29"/>
      <c r="Q623" s="11"/>
      <c r="R623" s="29"/>
      <c r="S623" s="11"/>
      <c r="T623" s="6"/>
      <c r="U623" s="29"/>
      <c r="V623" s="11"/>
      <c r="W623" s="11"/>
      <c r="X623" s="29"/>
      <c r="Y623" s="11"/>
      <c r="Z623" s="29"/>
      <c r="AA623" s="29"/>
      <c r="AB623" s="11"/>
      <c r="AC623" s="11"/>
      <c r="AD623" s="29"/>
      <c r="AE623" s="11"/>
      <c r="AF623" s="29"/>
      <c r="AG623" s="11"/>
      <c r="AH623" s="29"/>
      <c r="AI623" s="11"/>
      <c r="AJ623" s="29"/>
      <c r="AK623" s="29"/>
      <c r="AL623" s="29"/>
      <c r="AM623" s="11"/>
      <c r="AN623" s="29"/>
      <c r="AO623" s="29"/>
      <c r="AP623" s="6"/>
      <c r="AQ623" s="113">
        <f>IF(AND(I623="",K623="",AF623="",AL623="",AN623="",O623=""),"",IF(OR(I623="SIM",K623="SIM",AF623="SIM",AL623="SIM",AN623="Dados pessoais",AN623="Dados sensíveis",AN623="Dados pessoais e sensíveis",O623="Acima de 10.000 titulares por mês"),"SIM - Alta criticidade",IF((IF(I623="SIM",2,0)+IF(K623="SIM",2,0)+IF(AF623="SIM",2,0)+IF(OR(AN623="Dados pessoais",AN623="Dados sensíveis",AN623="Dados pessoais e sensíveis"),2,0)+IF(O623="De 1.001 a 10.000 titulares por mês",1,0)+IF(AA623="SIM",1,0)+IF(R623="SIM",1,0)+IF(AL623="SIM",1,0)+IF(AJ623="NÃO",1,0))&gt;=5,"SIM - Alta criticidade",IF((IF(I623="SIM",2,0)+IF(K623="SIM",2,0)+IF(AF623="SIM",2,0)+IF(OR(AN623="Dados pessoais",AN623="Dados sensíveis",AN623="Dados pessoais e sensíveis"),2,0)+IF(O623="De 1.001 a 10.000 titulares por mês",1,0)+IF(AA623="SIM",1,0)+IF(R623="SIM",1,0)+IF(AL623="SIM",1,0)+IF(AJ623="NÃO",1,0))&gt;=3,"Avaliação necessária","NÃO"))))</f>
      </c>
      <c r="AR623" s="11"/>
      <c r="AS623" s="113">
        <f>IF(AND(I623="",K623="",AF623="",AL623="",AN623="",O623=""),"",IF(OR(I623="SIM",K623="SIM",AF623="SIM",AL623="SIM",OR(AN623="Dados pessoais",AN623="Dados sensíveis",AN623="Dados pessoais e sensíveis"),O623="Acima de 10.000 titulares por mês",(IF(I623="SIM",2,0)+IF(K623="SIM",2,0)+IF(AF623="SIM",2,0)+IF(OR(AN623="Dados pessoais",AN623="Dados sensíveis",AN623="Dados pessoais e sensíveis"),2,0)+IF(O623="De 1.001 a 10.000 titulares por mês",1,0)+IF(AA623="SIM",1,0)+IF(R623="SIM",1,0)+IF(AL623="SIM",1,0)+IF(AJ623="NÃO",1,0))&gt;=3),"DPIA indicado ou em avaliação em razão de: " &amp; TRIM(IF(I623="SIM","tratamento de dados sensíveis; ","") &amp; IF(K623="SIM","utilização de dados de menores; ","") &amp; IF(AF623="SIM","transferência internacional de dados; ","") &amp; IF(AL623="SIM","utilização de inteligência artificial; ","") &amp; IF(OR(AN623="Dados pessoais",AN623="Dados sensíveis",AN623="Dados pessoais e sensíveis"),"dados inseridos em IA; ","") &amp; IF(O623="Acima de 10.000 titulares por mês","volume crítico de titulares; ","") &amp; IF(O623="De 1.001 a 10.000 titulares por mês","volume moderado de titulares; ","") &amp; IF(AA623="SIM","compartilhamento com terceiros; ","") &amp; IF(R623="SIM","compartilhamento com órgãos governamentais; ","") &amp; IF(AJ623="NÃO","ausência de controle de acesso por perfil; ","")),"DPIA não indicado: Processo de baixa criticidade."))</f>
      </c>
    </row>
    <row x14ac:dyDescent="0.25" r="624" customHeight="1" ht="15.75">
      <c r="A624" s="46"/>
      <c r="B624" s="6"/>
      <c r="C624" s="11"/>
      <c r="D624" s="11"/>
      <c r="E624" s="11"/>
      <c r="F624" s="29"/>
      <c r="G624" s="11"/>
      <c r="H624" s="11"/>
      <c r="I624" s="29"/>
      <c r="J624" s="11"/>
      <c r="K624" s="29"/>
      <c r="L624" s="11"/>
      <c r="M624" s="11"/>
      <c r="N624" s="11"/>
      <c r="O624" s="29"/>
      <c r="P624" s="29"/>
      <c r="Q624" s="11"/>
      <c r="R624" s="29"/>
      <c r="S624" s="11"/>
      <c r="T624" s="6"/>
      <c r="U624" s="29"/>
      <c r="V624" s="11"/>
      <c r="W624" s="11"/>
      <c r="X624" s="29"/>
      <c r="Y624" s="11"/>
      <c r="Z624" s="29"/>
      <c r="AA624" s="29"/>
      <c r="AB624" s="11"/>
      <c r="AC624" s="11"/>
      <c r="AD624" s="29"/>
      <c r="AE624" s="11"/>
      <c r="AF624" s="29"/>
      <c r="AG624" s="11"/>
      <c r="AH624" s="29"/>
      <c r="AI624" s="11"/>
      <c r="AJ624" s="29"/>
      <c r="AK624" s="29"/>
      <c r="AL624" s="29"/>
      <c r="AM624" s="11"/>
      <c r="AN624" s="29"/>
      <c r="AO624" s="29"/>
      <c r="AP624" s="6"/>
      <c r="AQ624" s="113">
        <f>IF(AND(I624="",K624="",AF624="",AL624="",AN624="",O624=""),"",IF(OR(I624="SIM",K624="SIM",AF624="SIM",AL624="SIM",AN624="Dados pessoais",AN624="Dados sensíveis",AN624="Dados pessoais e sensíveis",O624="Acima de 10.000 titulares por mês"),"SIM - Alta criticidade",IF((IF(I624="SIM",2,0)+IF(K624="SIM",2,0)+IF(AF624="SIM",2,0)+IF(OR(AN624="Dados pessoais",AN624="Dados sensíveis",AN624="Dados pessoais e sensíveis"),2,0)+IF(O624="De 1.001 a 10.000 titulares por mês",1,0)+IF(AA624="SIM",1,0)+IF(R624="SIM",1,0)+IF(AL624="SIM",1,0)+IF(AJ624="NÃO",1,0))&gt;=5,"SIM - Alta criticidade",IF((IF(I624="SIM",2,0)+IF(K624="SIM",2,0)+IF(AF624="SIM",2,0)+IF(OR(AN624="Dados pessoais",AN624="Dados sensíveis",AN624="Dados pessoais e sensíveis"),2,0)+IF(O624="De 1.001 a 10.000 titulares por mês",1,0)+IF(AA624="SIM",1,0)+IF(R624="SIM",1,0)+IF(AL624="SIM",1,0)+IF(AJ624="NÃO",1,0))&gt;=3,"Avaliação necessária","NÃO"))))</f>
      </c>
      <c r="AR624" s="11"/>
      <c r="AS624" s="113">
        <f>IF(AND(I624="",K624="",AF624="",AL624="",AN624="",O624=""),"",IF(OR(I624="SIM",K624="SIM",AF624="SIM",AL624="SIM",OR(AN624="Dados pessoais",AN624="Dados sensíveis",AN624="Dados pessoais e sensíveis"),O624="Acima de 10.000 titulares por mês",(IF(I624="SIM",2,0)+IF(K624="SIM",2,0)+IF(AF624="SIM",2,0)+IF(OR(AN624="Dados pessoais",AN624="Dados sensíveis",AN624="Dados pessoais e sensíveis"),2,0)+IF(O624="De 1.001 a 10.000 titulares por mês",1,0)+IF(AA624="SIM",1,0)+IF(R624="SIM",1,0)+IF(AL624="SIM",1,0)+IF(AJ624="NÃO",1,0))&gt;=3),"DPIA indicado ou em avaliação em razão de: " &amp; TRIM(IF(I624="SIM","tratamento de dados sensíveis; ","") &amp; IF(K624="SIM","utilização de dados de menores; ","") &amp; IF(AF624="SIM","transferência internacional de dados; ","") &amp; IF(AL624="SIM","utilização de inteligência artificial; ","") &amp; IF(OR(AN624="Dados pessoais",AN624="Dados sensíveis",AN624="Dados pessoais e sensíveis"),"dados inseridos em IA; ","") &amp; IF(O624="Acima de 10.000 titulares por mês","volume crítico de titulares; ","") &amp; IF(O624="De 1.001 a 10.000 titulares por mês","volume moderado de titulares; ","") &amp; IF(AA624="SIM","compartilhamento com terceiros; ","") &amp; IF(R624="SIM","compartilhamento com órgãos governamentais; ","") &amp; IF(AJ624="NÃO","ausência de controle de acesso por perfil; ","")),"DPIA não indicado: Processo de baixa criticidade."))</f>
      </c>
    </row>
    <row x14ac:dyDescent="0.25" r="625" customHeight="1" ht="15.75">
      <c r="A625" s="46"/>
      <c r="B625" s="6"/>
      <c r="C625" s="11"/>
      <c r="D625" s="11"/>
      <c r="E625" s="11"/>
      <c r="F625" s="29"/>
      <c r="G625" s="11"/>
      <c r="H625" s="11"/>
      <c r="I625" s="29"/>
      <c r="J625" s="11"/>
      <c r="K625" s="29"/>
      <c r="L625" s="11"/>
      <c r="M625" s="11"/>
      <c r="N625" s="11"/>
      <c r="O625" s="29"/>
      <c r="P625" s="29"/>
      <c r="Q625" s="11"/>
      <c r="R625" s="29"/>
      <c r="S625" s="11"/>
      <c r="T625" s="6"/>
      <c r="U625" s="29"/>
      <c r="V625" s="11"/>
      <c r="W625" s="11"/>
      <c r="X625" s="29"/>
      <c r="Y625" s="11"/>
      <c r="Z625" s="29"/>
      <c r="AA625" s="29"/>
      <c r="AB625" s="11"/>
      <c r="AC625" s="11"/>
      <c r="AD625" s="29"/>
      <c r="AE625" s="11"/>
      <c r="AF625" s="29"/>
      <c r="AG625" s="11"/>
      <c r="AH625" s="29"/>
      <c r="AI625" s="11"/>
      <c r="AJ625" s="29"/>
      <c r="AK625" s="29"/>
      <c r="AL625" s="29"/>
      <c r="AM625" s="11"/>
      <c r="AN625" s="29"/>
      <c r="AO625" s="29"/>
      <c r="AP625" s="6"/>
      <c r="AQ625" s="113">
        <f>IF(AND(I625="",K625="",AF625="",AL625="",AN625="",O625=""),"",IF(OR(I625="SIM",K625="SIM",AF625="SIM",AL625="SIM",AN625="Dados pessoais",AN625="Dados sensíveis",AN625="Dados pessoais e sensíveis",O625="Acima de 10.000 titulares por mês"),"SIM - Alta criticidade",IF((IF(I625="SIM",2,0)+IF(K625="SIM",2,0)+IF(AF625="SIM",2,0)+IF(OR(AN625="Dados pessoais",AN625="Dados sensíveis",AN625="Dados pessoais e sensíveis"),2,0)+IF(O625="De 1.001 a 10.000 titulares por mês",1,0)+IF(AA625="SIM",1,0)+IF(R625="SIM",1,0)+IF(AL625="SIM",1,0)+IF(AJ625="NÃO",1,0))&gt;=5,"SIM - Alta criticidade",IF((IF(I625="SIM",2,0)+IF(K625="SIM",2,0)+IF(AF625="SIM",2,0)+IF(OR(AN625="Dados pessoais",AN625="Dados sensíveis",AN625="Dados pessoais e sensíveis"),2,0)+IF(O625="De 1.001 a 10.000 titulares por mês",1,0)+IF(AA625="SIM",1,0)+IF(R625="SIM",1,0)+IF(AL625="SIM",1,0)+IF(AJ625="NÃO",1,0))&gt;=3,"Avaliação necessária","NÃO"))))</f>
      </c>
      <c r="AR625" s="11"/>
      <c r="AS625" s="113">
        <f>IF(AND(I625="",K625="",AF625="",AL625="",AN625="",O625=""),"",IF(OR(I625="SIM",K625="SIM",AF625="SIM",AL625="SIM",OR(AN625="Dados pessoais",AN625="Dados sensíveis",AN625="Dados pessoais e sensíveis"),O625="Acima de 10.000 titulares por mês",(IF(I625="SIM",2,0)+IF(K625="SIM",2,0)+IF(AF625="SIM",2,0)+IF(OR(AN625="Dados pessoais",AN625="Dados sensíveis",AN625="Dados pessoais e sensíveis"),2,0)+IF(O625="De 1.001 a 10.000 titulares por mês",1,0)+IF(AA625="SIM",1,0)+IF(R625="SIM",1,0)+IF(AL625="SIM",1,0)+IF(AJ625="NÃO",1,0))&gt;=3),"DPIA indicado ou em avaliação em razão de: " &amp; TRIM(IF(I625="SIM","tratamento de dados sensíveis; ","") &amp; IF(K625="SIM","utilização de dados de menores; ","") &amp; IF(AF625="SIM","transferência internacional de dados; ","") &amp; IF(AL625="SIM","utilização de inteligência artificial; ","") &amp; IF(OR(AN625="Dados pessoais",AN625="Dados sensíveis",AN625="Dados pessoais e sensíveis"),"dados inseridos em IA; ","") &amp; IF(O625="Acima de 10.000 titulares por mês","volume crítico de titulares; ","") &amp; IF(O625="De 1.001 a 10.000 titulares por mês","volume moderado de titulares; ","") &amp; IF(AA625="SIM","compartilhamento com terceiros; ","") &amp; IF(R625="SIM","compartilhamento com órgãos governamentais; ","") &amp; IF(AJ625="NÃO","ausência de controle de acesso por perfil; ","")),"DPIA não indicado: Processo de baixa criticidade."))</f>
      </c>
    </row>
    <row x14ac:dyDescent="0.25" r="626" customHeight="1" ht="15.75">
      <c r="A626" s="46"/>
      <c r="B626" s="6"/>
      <c r="C626" s="11"/>
      <c r="D626" s="11"/>
      <c r="E626" s="11"/>
      <c r="F626" s="29"/>
      <c r="G626" s="11"/>
      <c r="H626" s="11"/>
      <c r="I626" s="29"/>
      <c r="J626" s="11"/>
      <c r="K626" s="29"/>
      <c r="L626" s="11"/>
      <c r="M626" s="11"/>
      <c r="N626" s="11"/>
      <c r="O626" s="29"/>
      <c r="P626" s="29"/>
      <c r="Q626" s="11"/>
      <c r="R626" s="29"/>
      <c r="S626" s="11"/>
      <c r="T626" s="6"/>
      <c r="U626" s="29"/>
      <c r="V626" s="11"/>
      <c r="W626" s="11"/>
      <c r="X626" s="29"/>
      <c r="Y626" s="11"/>
      <c r="Z626" s="29"/>
      <c r="AA626" s="29"/>
      <c r="AB626" s="11"/>
      <c r="AC626" s="11"/>
      <c r="AD626" s="29"/>
      <c r="AE626" s="11"/>
      <c r="AF626" s="29"/>
      <c r="AG626" s="11"/>
      <c r="AH626" s="29"/>
      <c r="AI626" s="11"/>
      <c r="AJ626" s="29"/>
      <c r="AK626" s="29"/>
      <c r="AL626" s="29"/>
      <c r="AM626" s="11"/>
      <c r="AN626" s="29"/>
      <c r="AO626" s="29"/>
      <c r="AP626" s="6"/>
      <c r="AQ626" s="113">
        <f>IF(AND(I626="",K626="",AF626="",AL626="",AN626="",O626=""),"",IF(OR(I626="SIM",K626="SIM",AF626="SIM",AL626="SIM",AN626="Dados pessoais",AN626="Dados sensíveis",AN626="Dados pessoais e sensíveis",O626="Acima de 10.000 titulares por mês"),"SIM - Alta criticidade",IF((IF(I626="SIM",2,0)+IF(K626="SIM",2,0)+IF(AF626="SIM",2,0)+IF(OR(AN626="Dados pessoais",AN626="Dados sensíveis",AN626="Dados pessoais e sensíveis"),2,0)+IF(O626="De 1.001 a 10.000 titulares por mês",1,0)+IF(AA626="SIM",1,0)+IF(R626="SIM",1,0)+IF(AL626="SIM",1,0)+IF(AJ626="NÃO",1,0))&gt;=5,"SIM - Alta criticidade",IF((IF(I626="SIM",2,0)+IF(K626="SIM",2,0)+IF(AF626="SIM",2,0)+IF(OR(AN626="Dados pessoais",AN626="Dados sensíveis",AN626="Dados pessoais e sensíveis"),2,0)+IF(O626="De 1.001 a 10.000 titulares por mês",1,0)+IF(AA626="SIM",1,0)+IF(R626="SIM",1,0)+IF(AL626="SIM",1,0)+IF(AJ626="NÃO",1,0))&gt;=3,"Avaliação necessária","NÃO"))))</f>
      </c>
      <c r="AR626" s="11"/>
      <c r="AS626" s="113">
        <f>IF(AND(I626="",K626="",AF626="",AL626="",AN626="",O626=""),"",IF(OR(I626="SIM",K626="SIM",AF626="SIM",AL626="SIM",OR(AN626="Dados pessoais",AN626="Dados sensíveis",AN626="Dados pessoais e sensíveis"),O626="Acima de 10.000 titulares por mês",(IF(I626="SIM",2,0)+IF(K626="SIM",2,0)+IF(AF626="SIM",2,0)+IF(OR(AN626="Dados pessoais",AN626="Dados sensíveis",AN626="Dados pessoais e sensíveis"),2,0)+IF(O626="De 1.001 a 10.000 titulares por mês",1,0)+IF(AA626="SIM",1,0)+IF(R626="SIM",1,0)+IF(AL626="SIM",1,0)+IF(AJ626="NÃO",1,0))&gt;=3),"DPIA indicado ou em avaliação em razão de: " &amp; TRIM(IF(I626="SIM","tratamento de dados sensíveis; ","") &amp; IF(K626="SIM","utilização de dados de menores; ","") &amp; IF(AF626="SIM","transferência internacional de dados; ","") &amp; IF(AL626="SIM","utilização de inteligência artificial; ","") &amp; IF(OR(AN626="Dados pessoais",AN626="Dados sensíveis",AN626="Dados pessoais e sensíveis"),"dados inseridos em IA; ","") &amp; IF(O626="Acima de 10.000 titulares por mês","volume crítico de titulares; ","") &amp; IF(O626="De 1.001 a 10.000 titulares por mês","volume moderado de titulares; ","") &amp; IF(AA626="SIM","compartilhamento com terceiros; ","") &amp; IF(R626="SIM","compartilhamento com órgãos governamentais; ","") &amp; IF(AJ626="NÃO","ausência de controle de acesso por perfil; ","")),"DPIA não indicado: Processo de baixa criticidade."))</f>
      </c>
    </row>
    <row x14ac:dyDescent="0.25" r="627" customHeight="1" ht="15.75">
      <c r="A627" s="46"/>
      <c r="B627" s="6"/>
      <c r="C627" s="11"/>
      <c r="D627" s="11"/>
      <c r="E627" s="11"/>
      <c r="F627" s="29"/>
      <c r="G627" s="11"/>
      <c r="H627" s="11"/>
      <c r="I627" s="29"/>
      <c r="J627" s="11"/>
      <c r="K627" s="29"/>
      <c r="L627" s="11"/>
      <c r="M627" s="11"/>
      <c r="N627" s="11"/>
      <c r="O627" s="29"/>
      <c r="P627" s="29"/>
      <c r="Q627" s="11"/>
      <c r="R627" s="29"/>
      <c r="S627" s="11"/>
      <c r="T627" s="6"/>
      <c r="U627" s="29"/>
      <c r="V627" s="11"/>
      <c r="W627" s="11"/>
      <c r="X627" s="29"/>
      <c r="Y627" s="11"/>
      <c r="Z627" s="29"/>
      <c r="AA627" s="29"/>
      <c r="AB627" s="11"/>
      <c r="AC627" s="11"/>
      <c r="AD627" s="29"/>
      <c r="AE627" s="11"/>
      <c r="AF627" s="29"/>
      <c r="AG627" s="11"/>
      <c r="AH627" s="29"/>
      <c r="AI627" s="11"/>
      <c r="AJ627" s="29"/>
      <c r="AK627" s="29"/>
      <c r="AL627" s="29"/>
      <c r="AM627" s="11"/>
      <c r="AN627" s="29"/>
      <c r="AO627" s="29"/>
      <c r="AP627" s="6"/>
      <c r="AQ627" s="113">
        <f>IF(AND(I627="",K627="",AF627="",AL627="",AN627="",O627=""),"",IF(OR(I627="SIM",K627="SIM",AF627="SIM",AL627="SIM",AN627="Dados pessoais",AN627="Dados sensíveis",AN627="Dados pessoais e sensíveis",O627="Acima de 10.000 titulares por mês"),"SIM - Alta criticidade",IF((IF(I627="SIM",2,0)+IF(K627="SIM",2,0)+IF(AF627="SIM",2,0)+IF(OR(AN627="Dados pessoais",AN627="Dados sensíveis",AN627="Dados pessoais e sensíveis"),2,0)+IF(O627="De 1.001 a 10.000 titulares por mês",1,0)+IF(AA627="SIM",1,0)+IF(R627="SIM",1,0)+IF(AL627="SIM",1,0)+IF(AJ627="NÃO",1,0))&gt;=5,"SIM - Alta criticidade",IF((IF(I627="SIM",2,0)+IF(K627="SIM",2,0)+IF(AF627="SIM",2,0)+IF(OR(AN627="Dados pessoais",AN627="Dados sensíveis",AN627="Dados pessoais e sensíveis"),2,0)+IF(O627="De 1.001 a 10.000 titulares por mês",1,0)+IF(AA627="SIM",1,0)+IF(R627="SIM",1,0)+IF(AL627="SIM",1,0)+IF(AJ627="NÃO",1,0))&gt;=3,"Avaliação necessária","NÃO"))))</f>
      </c>
      <c r="AR627" s="11"/>
      <c r="AS627" s="113">
        <f>IF(AND(I627="",K627="",AF627="",AL627="",AN627="",O627=""),"",IF(OR(I627="SIM",K627="SIM",AF627="SIM",AL627="SIM",OR(AN627="Dados pessoais",AN627="Dados sensíveis",AN627="Dados pessoais e sensíveis"),O627="Acima de 10.000 titulares por mês",(IF(I627="SIM",2,0)+IF(K627="SIM",2,0)+IF(AF627="SIM",2,0)+IF(OR(AN627="Dados pessoais",AN627="Dados sensíveis",AN627="Dados pessoais e sensíveis"),2,0)+IF(O627="De 1.001 a 10.000 titulares por mês",1,0)+IF(AA627="SIM",1,0)+IF(R627="SIM",1,0)+IF(AL627="SIM",1,0)+IF(AJ627="NÃO",1,0))&gt;=3),"DPIA indicado ou em avaliação em razão de: " &amp; TRIM(IF(I627="SIM","tratamento de dados sensíveis; ","") &amp; IF(K627="SIM","utilização de dados de menores; ","") &amp; IF(AF627="SIM","transferência internacional de dados; ","") &amp; IF(AL627="SIM","utilização de inteligência artificial; ","") &amp; IF(OR(AN627="Dados pessoais",AN627="Dados sensíveis",AN627="Dados pessoais e sensíveis"),"dados inseridos em IA; ","") &amp; IF(O627="Acima de 10.000 titulares por mês","volume crítico de titulares; ","") &amp; IF(O627="De 1.001 a 10.000 titulares por mês","volume moderado de titulares; ","") &amp; IF(AA627="SIM","compartilhamento com terceiros; ","") &amp; IF(R627="SIM","compartilhamento com órgãos governamentais; ","") &amp; IF(AJ627="NÃO","ausência de controle de acesso por perfil; ","")),"DPIA não indicado: Processo de baixa criticidade."))</f>
      </c>
    </row>
    <row x14ac:dyDescent="0.25" r="628" customHeight="1" ht="15.75">
      <c r="A628" s="46"/>
      <c r="B628" s="6"/>
      <c r="C628" s="11"/>
      <c r="D628" s="11"/>
      <c r="E628" s="11"/>
      <c r="F628" s="29"/>
      <c r="G628" s="11"/>
      <c r="H628" s="11"/>
      <c r="I628" s="29"/>
      <c r="J628" s="11"/>
      <c r="K628" s="29"/>
      <c r="L628" s="11"/>
      <c r="M628" s="11"/>
      <c r="N628" s="11"/>
      <c r="O628" s="29"/>
      <c r="P628" s="29"/>
      <c r="Q628" s="11"/>
      <c r="R628" s="29"/>
      <c r="S628" s="11"/>
      <c r="T628" s="6"/>
      <c r="U628" s="29"/>
      <c r="V628" s="11"/>
      <c r="W628" s="11"/>
      <c r="X628" s="29"/>
      <c r="Y628" s="11"/>
      <c r="Z628" s="29"/>
      <c r="AA628" s="29"/>
      <c r="AB628" s="11"/>
      <c r="AC628" s="11"/>
      <c r="AD628" s="29"/>
      <c r="AE628" s="11"/>
      <c r="AF628" s="29"/>
      <c r="AG628" s="11"/>
      <c r="AH628" s="29"/>
      <c r="AI628" s="11"/>
      <c r="AJ628" s="29"/>
      <c r="AK628" s="29"/>
      <c r="AL628" s="29"/>
      <c r="AM628" s="11"/>
      <c r="AN628" s="29"/>
      <c r="AO628" s="29"/>
      <c r="AP628" s="6"/>
      <c r="AQ628" s="113">
        <f>IF(AND(I628="",K628="",AF628="",AL628="",AN628="",O628=""),"",IF(OR(I628="SIM",K628="SIM",AF628="SIM",AL628="SIM",AN628="Dados pessoais",AN628="Dados sensíveis",AN628="Dados pessoais e sensíveis",O628="Acima de 10.000 titulares por mês"),"SIM - Alta criticidade",IF((IF(I628="SIM",2,0)+IF(K628="SIM",2,0)+IF(AF628="SIM",2,0)+IF(OR(AN628="Dados pessoais",AN628="Dados sensíveis",AN628="Dados pessoais e sensíveis"),2,0)+IF(O628="De 1.001 a 10.000 titulares por mês",1,0)+IF(AA628="SIM",1,0)+IF(R628="SIM",1,0)+IF(AL628="SIM",1,0)+IF(AJ628="NÃO",1,0))&gt;=5,"SIM - Alta criticidade",IF((IF(I628="SIM",2,0)+IF(K628="SIM",2,0)+IF(AF628="SIM",2,0)+IF(OR(AN628="Dados pessoais",AN628="Dados sensíveis",AN628="Dados pessoais e sensíveis"),2,0)+IF(O628="De 1.001 a 10.000 titulares por mês",1,0)+IF(AA628="SIM",1,0)+IF(R628="SIM",1,0)+IF(AL628="SIM",1,0)+IF(AJ628="NÃO",1,0))&gt;=3,"Avaliação necessária","NÃO"))))</f>
      </c>
      <c r="AR628" s="11"/>
      <c r="AS628" s="113">
        <f>IF(AND(I628="",K628="",AF628="",AL628="",AN628="",O628=""),"",IF(OR(I628="SIM",K628="SIM",AF628="SIM",AL628="SIM",OR(AN628="Dados pessoais",AN628="Dados sensíveis",AN628="Dados pessoais e sensíveis"),O628="Acima de 10.000 titulares por mês",(IF(I628="SIM",2,0)+IF(K628="SIM",2,0)+IF(AF628="SIM",2,0)+IF(OR(AN628="Dados pessoais",AN628="Dados sensíveis",AN628="Dados pessoais e sensíveis"),2,0)+IF(O628="De 1.001 a 10.000 titulares por mês",1,0)+IF(AA628="SIM",1,0)+IF(R628="SIM",1,0)+IF(AL628="SIM",1,0)+IF(AJ628="NÃO",1,0))&gt;=3),"DPIA indicado ou em avaliação em razão de: " &amp; TRIM(IF(I628="SIM","tratamento de dados sensíveis; ","") &amp; IF(K628="SIM","utilização de dados de menores; ","") &amp; IF(AF628="SIM","transferência internacional de dados; ","") &amp; IF(AL628="SIM","utilização de inteligência artificial; ","") &amp; IF(OR(AN628="Dados pessoais",AN628="Dados sensíveis",AN628="Dados pessoais e sensíveis"),"dados inseridos em IA; ","") &amp; IF(O628="Acima de 10.000 titulares por mês","volume crítico de titulares; ","") &amp; IF(O628="De 1.001 a 10.000 titulares por mês","volume moderado de titulares; ","") &amp; IF(AA628="SIM","compartilhamento com terceiros; ","") &amp; IF(R628="SIM","compartilhamento com órgãos governamentais; ","") &amp; IF(AJ628="NÃO","ausência de controle de acesso por perfil; ","")),"DPIA não indicado: Processo de baixa criticidade."))</f>
      </c>
    </row>
    <row x14ac:dyDescent="0.25" r="629" customHeight="1" ht="15.75">
      <c r="A629" s="46"/>
      <c r="B629" s="6"/>
      <c r="C629" s="11"/>
      <c r="D629" s="11"/>
      <c r="E629" s="11"/>
      <c r="F629" s="29"/>
      <c r="G629" s="11"/>
      <c r="H629" s="11"/>
      <c r="I629" s="29"/>
      <c r="J629" s="11"/>
      <c r="K629" s="29"/>
      <c r="L629" s="11"/>
      <c r="M629" s="11"/>
      <c r="N629" s="11"/>
      <c r="O629" s="29"/>
      <c r="P629" s="29"/>
      <c r="Q629" s="11"/>
      <c r="R629" s="29"/>
      <c r="S629" s="11"/>
      <c r="T629" s="6"/>
      <c r="U629" s="29"/>
      <c r="V629" s="11"/>
      <c r="W629" s="11"/>
      <c r="X629" s="29"/>
      <c r="Y629" s="11"/>
      <c r="Z629" s="29"/>
      <c r="AA629" s="29"/>
      <c r="AB629" s="11"/>
      <c r="AC629" s="11"/>
      <c r="AD629" s="29"/>
      <c r="AE629" s="11"/>
      <c r="AF629" s="29"/>
      <c r="AG629" s="11"/>
      <c r="AH629" s="29"/>
      <c r="AI629" s="11"/>
      <c r="AJ629" s="29"/>
      <c r="AK629" s="29"/>
      <c r="AL629" s="29"/>
      <c r="AM629" s="11"/>
      <c r="AN629" s="29"/>
      <c r="AO629" s="29"/>
      <c r="AP629" s="6"/>
      <c r="AQ629" s="113">
        <f>IF(AND(I629="",K629="",AF629="",AL629="",AN629="",O629=""),"",IF(OR(I629="SIM",K629="SIM",AF629="SIM",AL629="SIM",AN629="Dados pessoais",AN629="Dados sensíveis",AN629="Dados pessoais e sensíveis",O629="Acima de 10.000 titulares por mês"),"SIM - Alta criticidade",IF((IF(I629="SIM",2,0)+IF(K629="SIM",2,0)+IF(AF629="SIM",2,0)+IF(OR(AN629="Dados pessoais",AN629="Dados sensíveis",AN629="Dados pessoais e sensíveis"),2,0)+IF(O629="De 1.001 a 10.000 titulares por mês",1,0)+IF(AA629="SIM",1,0)+IF(R629="SIM",1,0)+IF(AL629="SIM",1,0)+IF(AJ629="NÃO",1,0))&gt;=5,"SIM - Alta criticidade",IF((IF(I629="SIM",2,0)+IF(K629="SIM",2,0)+IF(AF629="SIM",2,0)+IF(OR(AN629="Dados pessoais",AN629="Dados sensíveis",AN629="Dados pessoais e sensíveis"),2,0)+IF(O629="De 1.001 a 10.000 titulares por mês",1,0)+IF(AA629="SIM",1,0)+IF(R629="SIM",1,0)+IF(AL629="SIM",1,0)+IF(AJ629="NÃO",1,0))&gt;=3,"Avaliação necessária","NÃO"))))</f>
      </c>
      <c r="AR629" s="11"/>
      <c r="AS629" s="113">
        <f>IF(AND(I629="",K629="",AF629="",AL629="",AN629="",O629=""),"",IF(OR(I629="SIM",K629="SIM",AF629="SIM",AL629="SIM",OR(AN629="Dados pessoais",AN629="Dados sensíveis",AN629="Dados pessoais e sensíveis"),O629="Acima de 10.000 titulares por mês",(IF(I629="SIM",2,0)+IF(K629="SIM",2,0)+IF(AF629="SIM",2,0)+IF(OR(AN629="Dados pessoais",AN629="Dados sensíveis",AN629="Dados pessoais e sensíveis"),2,0)+IF(O629="De 1.001 a 10.000 titulares por mês",1,0)+IF(AA629="SIM",1,0)+IF(R629="SIM",1,0)+IF(AL629="SIM",1,0)+IF(AJ629="NÃO",1,0))&gt;=3),"DPIA indicado ou em avaliação em razão de: " &amp; TRIM(IF(I629="SIM","tratamento de dados sensíveis; ","") &amp; IF(K629="SIM","utilização de dados de menores; ","") &amp; IF(AF629="SIM","transferência internacional de dados; ","") &amp; IF(AL629="SIM","utilização de inteligência artificial; ","") &amp; IF(OR(AN629="Dados pessoais",AN629="Dados sensíveis",AN629="Dados pessoais e sensíveis"),"dados inseridos em IA; ","") &amp; IF(O629="Acima de 10.000 titulares por mês","volume crítico de titulares; ","") &amp; IF(O629="De 1.001 a 10.000 titulares por mês","volume moderado de titulares; ","") &amp; IF(AA629="SIM","compartilhamento com terceiros; ","") &amp; IF(R629="SIM","compartilhamento com órgãos governamentais; ","") &amp; IF(AJ629="NÃO","ausência de controle de acesso por perfil; ","")),"DPIA não indicado: Processo de baixa criticidade."))</f>
      </c>
    </row>
    <row x14ac:dyDescent="0.25" r="630" customHeight="1" ht="15.75">
      <c r="A630" s="46"/>
      <c r="B630" s="6"/>
      <c r="C630" s="11"/>
      <c r="D630" s="11"/>
      <c r="E630" s="11"/>
      <c r="F630" s="29"/>
      <c r="G630" s="11"/>
      <c r="H630" s="11"/>
      <c r="I630" s="29"/>
      <c r="J630" s="11"/>
      <c r="K630" s="29"/>
      <c r="L630" s="11"/>
      <c r="M630" s="11"/>
      <c r="N630" s="11"/>
      <c r="O630" s="29"/>
      <c r="P630" s="29"/>
      <c r="Q630" s="11"/>
      <c r="R630" s="29"/>
      <c r="S630" s="11"/>
      <c r="T630" s="6"/>
      <c r="U630" s="29"/>
      <c r="V630" s="11"/>
      <c r="W630" s="11"/>
      <c r="X630" s="29"/>
      <c r="Y630" s="11"/>
      <c r="Z630" s="29"/>
      <c r="AA630" s="29"/>
      <c r="AB630" s="11"/>
      <c r="AC630" s="11"/>
      <c r="AD630" s="29"/>
      <c r="AE630" s="11"/>
      <c r="AF630" s="29"/>
      <c r="AG630" s="11"/>
      <c r="AH630" s="29"/>
      <c r="AI630" s="11"/>
      <c r="AJ630" s="29"/>
      <c r="AK630" s="29"/>
      <c r="AL630" s="29"/>
      <c r="AM630" s="11"/>
      <c r="AN630" s="29"/>
      <c r="AO630" s="29"/>
      <c r="AP630" s="6"/>
      <c r="AQ630" s="113">
        <f>IF(AND(I630="",K630="",AF630="",AL630="",AN630="",O630=""),"",IF(OR(I630="SIM",K630="SIM",AF630="SIM",AL630="SIM",AN630="Dados pessoais",AN630="Dados sensíveis",AN630="Dados pessoais e sensíveis",O630="Acima de 10.000 titulares por mês"),"SIM - Alta criticidade",IF((IF(I630="SIM",2,0)+IF(K630="SIM",2,0)+IF(AF630="SIM",2,0)+IF(OR(AN630="Dados pessoais",AN630="Dados sensíveis",AN630="Dados pessoais e sensíveis"),2,0)+IF(O630="De 1.001 a 10.000 titulares por mês",1,0)+IF(AA630="SIM",1,0)+IF(R630="SIM",1,0)+IF(AL630="SIM",1,0)+IF(AJ630="NÃO",1,0))&gt;=5,"SIM - Alta criticidade",IF((IF(I630="SIM",2,0)+IF(K630="SIM",2,0)+IF(AF630="SIM",2,0)+IF(OR(AN630="Dados pessoais",AN630="Dados sensíveis",AN630="Dados pessoais e sensíveis"),2,0)+IF(O630="De 1.001 a 10.000 titulares por mês",1,0)+IF(AA630="SIM",1,0)+IF(R630="SIM",1,0)+IF(AL630="SIM",1,0)+IF(AJ630="NÃO",1,0))&gt;=3,"Avaliação necessária","NÃO"))))</f>
      </c>
      <c r="AR630" s="11"/>
      <c r="AS630" s="113">
        <f>IF(AND(I630="",K630="",AF630="",AL630="",AN630="",O630=""),"",IF(OR(I630="SIM",K630="SIM",AF630="SIM",AL630="SIM",OR(AN630="Dados pessoais",AN630="Dados sensíveis",AN630="Dados pessoais e sensíveis"),O630="Acima de 10.000 titulares por mês",(IF(I630="SIM",2,0)+IF(K630="SIM",2,0)+IF(AF630="SIM",2,0)+IF(OR(AN630="Dados pessoais",AN630="Dados sensíveis",AN630="Dados pessoais e sensíveis"),2,0)+IF(O630="De 1.001 a 10.000 titulares por mês",1,0)+IF(AA630="SIM",1,0)+IF(R630="SIM",1,0)+IF(AL630="SIM",1,0)+IF(AJ630="NÃO",1,0))&gt;=3),"DPIA indicado ou em avaliação em razão de: " &amp; TRIM(IF(I630="SIM","tratamento de dados sensíveis; ","") &amp; IF(K630="SIM","utilização de dados de menores; ","") &amp; IF(AF630="SIM","transferência internacional de dados; ","") &amp; IF(AL630="SIM","utilização de inteligência artificial; ","") &amp; IF(OR(AN630="Dados pessoais",AN630="Dados sensíveis",AN630="Dados pessoais e sensíveis"),"dados inseridos em IA; ","") &amp; IF(O630="Acima de 10.000 titulares por mês","volume crítico de titulares; ","") &amp; IF(O630="De 1.001 a 10.000 titulares por mês","volume moderado de titulares; ","") &amp; IF(AA630="SIM","compartilhamento com terceiros; ","") &amp; IF(R630="SIM","compartilhamento com órgãos governamentais; ","") &amp; IF(AJ630="NÃO","ausência de controle de acesso por perfil; ","")),"DPIA não indicado: Processo de baixa criticidade."))</f>
      </c>
    </row>
    <row x14ac:dyDescent="0.25" r="631" customHeight="1" ht="15.75">
      <c r="A631" s="46"/>
      <c r="B631" s="6"/>
      <c r="C631" s="11"/>
      <c r="D631" s="11"/>
      <c r="E631" s="11"/>
      <c r="F631" s="29"/>
      <c r="G631" s="11"/>
      <c r="H631" s="11"/>
      <c r="I631" s="29"/>
      <c r="J631" s="11"/>
      <c r="K631" s="29"/>
      <c r="L631" s="11"/>
      <c r="M631" s="11"/>
      <c r="N631" s="11"/>
      <c r="O631" s="29"/>
      <c r="P631" s="29"/>
      <c r="Q631" s="11"/>
      <c r="R631" s="29"/>
      <c r="S631" s="11"/>
      <c r="T631" s="6"/>
      <c r="U631" s="29"/>
      <c r="V631" s="11"/>
      <c r="W631" s="11"/>
      <c r="X631" s="29"/>
      <c r="Y631" s="11"/>
      <c r="Z631" s="29"/>
      <c r="AA631" s="29"/>
      <c r="AB631" s="11"/>
      <c r="AC631" s="11"/>
      <c r="AD631" s="29"/>
      <c r="AE631" s="11"/>
      <c r="AF631" s="29"/>
      <c r="AG631" s="11"/>
      <c r="AH631" s="29"/>
      <c r="AI631" s="11"/>
      <c r="AJ631" s="29"/>
      <c r="AK631" s="29"/>
      <c r="AL631" s="29"/>
      <c r="AM631" s="11"/>
      <c r="AN631" s="29"/>
      <c r="AO631" s="29"/>
      <c r="AP631" s="6"/>
      <c r="AQ631" s="113">
        <f>IF(AND(I631="",K631="",AF631="",AL631="",AN631="",O631=""),"",IF(OR(I631="SIM",K631="SIM",AF631="SIM",AL631="SIM",AN631="Dados pessoais",AN631="Dados sensíveis",AN631="Dados pessoais e sensíveis",O631="Acima de 10.000 titulares por mês"),"SIM - Alta criticidade",IF((IF(I631="SIM",2,0)+IF(K631="SIM",2,0)+IF(AF631="SIM",2,0)+IF(OR(AN631="Dados pessoais",AN631="Dados sensíveis",AN631="Dados pessoais e sensíveis"),2,0)+IF(O631="De 1.001 a 10.000 titulares por mês",1,0)+IF(AA631="SIM",1,0)+IF(R631="SIM",1,0)+IF(AL631="SIM",1,0)+IF(AJ631="NÃO",1,0))&gt;=5,"SIM - Alta criticidade",IF((IF(I631="SIM",2,0)+IF(K631="SIM",2,0)+IF(AF631="SIM",2,0)+IF(OR(AN631="Dados pessoais",AN631="Dados sensíveis",AN631="Dados pessoais e sensíveis"),2,0)+IF(O631="De 1.001 a 10.000 titulares por mês",1,0)+IF(AA631="SIM",1,0)+IF(R631="SIM",1,0)+IF(AL631="SIM",1,0)+IF(AJ631="NÃO",1,0))&gt;=3,"Avaliação necessária","NÃO"))))</f>
      </c>
      <c r="AR631" s="11"/>
      <c r="AS631" s="113">
        <f>IF(AND(I631="",K631="",AF631="",AL631="",AN631="",O631=""),"",IF(OR(I631="SIM",K631="SIM",AF631="SIM",AL631="SIM",OR(AN631="Dados pessoais",AN631="Dados sensíveis",AN631="Dados pessoais e sensíveis"),O631="Acima de 10.000 titulares por mês",(IF(I631="SIM",2,0)+IF(K631="SIM",2,0)+IF(AF631="SIM",2,0)+IF(OR(AN631="Dados pessoais",AN631="Dados sensíveis",AN631="Dados pessoais e sensíveis"),2,0)+IF(O631="De 1.001 a 10.000 titulares por mês",1,0)+IF(AA631="SIM",1,0)+IF(R631="SIM",1,0)+IF(AL631="SIM",1,0)+IF(AJ631="NÃO",1,0))&gt;=3),"DPIA indicado ou em avaliação em razão de: " &amp; TRIM(IF(I631="SIM","tratamento de dados sensíveis; ","") &amp; IF(K631="SIM","utilização de dados de menores; ","") &amp; IF(AF631="SIM","transferência internacional de dados; ","") &amp; IF(AL631="SIM","utilização de inteligência artificial; ","") &amp; IF(OR(AN631="Dados pessoais",AN631="Dados sensíveis",AN631="Dados pessoais e sensíveis"),"dados inseridos em IA; ","") &amp; IF(O631="Acima de 10.000 titulares por mês","volume crítico de titulares; ","") &amp; IF(O631="De 1.001 a 10.000 titulares por mês","volume moderado de titulares; ","") &amp; IF(AA631="SIM","compartilhamento com terceiros; ","") &amp; IF(R631="SIM","compartilhamento com órgãos governamentais; ","") &amp; IF(AJ631="NÃO","ausência de controle de acesso por perfil; ","")),"DPIA não indicado: Processo de baixa criticidade."))</f>
      </c>
    </row>
    <row x14ac:dyDescent="0.25" r="632" customHeight="1" ht="15.75">
      <c r="A632" s="46"/>
      <c r="B632" s="6"/>
      <c r="C632" s="11"/>
      <c r="D632" s="11"/>
      <c r="E632" s="11"/>
      <c r="F632" s="29"/>
      <c r="G632" s="11"/>
      <c r="H632" s="11"/>
      <c r="I632" s="29"/>
      <c r="J632" s="11"/>
      <c r="K632" s="29"/>
      <c r="L632" s="11"/>
      <c r="M632" s="11"/>
      <c r="N632" s="11"/>
      <c r="O632" s="29"/>
      <c r="P632" s="29"/>
      <c r="Q632" s="11"/>
      <c r="R632" s="29"/>
      <c r="S632" s="11"/>
      <c r="T632" s="6"/>
      <c r="U632" s="29"/>
      <c r="V632" s="11"/>
      <c r="W632" s="11"/>
      <c r="X632" s="29"/>
      <c r="Y632" s="11"/>
      <c r="Z632" s="29"/>
      <c r="AA632" s="29"/>
      <c r="AB632" s="11"/>
      <c r="AC632" s="11"/>
      <c r="AD632" s="29"/>
      <c r="AE632" s="11"/>
      <c r="AF632" s="29"/>
      <c r="AG632" s="11"/>
      <c r="AH632" s="29"/>
      <c r="AI632" s="11"/>
      <c r="AJ632" s="29"/>
      <c r="AK632" s="29"/>
      <c r="AL632" s="29"/>
      <c r="AM632" s="11"/>
      <c r="AN632" s="29"/>
      <c r="AO632" s="29"/>
      <c r="AP632" s="6"/>
      <c r="AQ632" s="113">
        <f>IF(AND(I632="",K632="",AF632="",AL632="",AN632="",O632=""),"",IF(OR(I632="SIM",K632="SIM",AF632="SIM",AL632="SIM",AN632="Dados pessoais",AN632="Dados sensíveis",AN632="Dados pessoais e sensíveis",O632="Acima de 10.000 titulares por mês"),"SIM - Alta criticidade",IF((IF(I632="SIM",2,0)+IF(K632="SIM",2,0)+IF(AF632="SIM",2,0)+IF(OR(AN632="Dados pessoais",AN632="Dados sensíveis",AN632="Dados pessoais e sensíveis"),2,0)+IF(O632="De 1.001 a 10.000 titulares por mês",1,0)+IF(AA632="SIM",1,0)+IF(R632="SIM",1,0)+IF(AL632="SIM",1,0)+IF(AJ632="NÃO",1,0))&gt;=5,"SIM - Alta criticidade",IF((IF(I632="SIM",2,0)+IF(K632="SIM",2,0)+IF(AF632="SIM",2,0)+IF(OR(AN632="Dados pessoais",AN632="Dados sensíveis",AN632="Dados pessoais e sensíveis"),2,0)+IF(O632="De 1.001 a 10.000 titulares por mês",1,0)+IF(AA632="SIM",1,0)+IF(R632="SIM",1,0)+IF(AL632="SIM",1,0)+IF(AJ632="NÃO",1,0))&gt;=3,"Avaliação necessária","NÃO"))))</f>
      </c>
      <c r="AR632" s="11"/>
      <c r="AS632" s="113">
        <f>IF(AND(I632="",K632="",AF632="",AL632="",AN632="",O632=""),"",IF(OR(I632="SIM",K632="SIM",AF632="SIM",AL632="SIM",OR(AN632="Dados pessoais",AN632="Dados sensíveis",AN632="Dados pessoais e sensíveis"),O632="Acima de 10.000 titulares por mês",(IF(I632="SIM",2,0)+IF(K632="SIM",2,0)+IF(AF632="SIM",2,0)+IF(OR(AN632="Dados pessoais",AN632="Dados sensíveis",AN632="Dados pessoais e sensíveis"),2,0)+IF(O632="De 1.001 a 10.000 titulares por mês",1,0)+IF(AA632="SIM",1,0)+IF(R632="SIM",1,0)+IF(AL632="SIM",1,0)+IF(AJ632="NÃO",1,0))&gt;=3),"DPIA indicado ou em avaliação em razão de: " &amp; TRIM(IF(I632="SIM","tratamento de dados sensíveis; ","") &amp; IF(K632="SIM","utilização de dados de menores; ","") &amp; IF(AF632="SIM","transferência internacional de dados; ","") &amp; IF(AL632="SIM","utilização de inteligência artificial; ","") &amp; IF(OR(AN632="Dados pessoais",AN632="Dados sensíveis",AN632="Dados pessoais e sensíveis"),"dados inseridos em IA; ","") &amp; IF(O632="Acima de 10.000 titulares por mês","volume crítico de titulares; ","") &amp; IF(O632="De 1.001 a 10.000 titulares por mês","volume moderado de titulares; ","") &amp; IF(AA632="SIM","compartilhamento com terceiros; ","") &amp; IF(R632="SIM","compartilhamento com órgãos governamentais; ","") &amp; IF(AJ632="NÃO","ausência de controle de acesso por perfil; ","")),"DPIA não indicado: Processo de baixa criticidade."))</f>
      </c>
    </row>
    <row x14ac:dyDescent="0.25" r="633" customHeight="1" ht="15.75">
      <c r="A633" s="46"/>
      <c r="B633" s="6"/>
      <c r="C633" s="11"/>
      <c r="D633" s="11"/>
      <c r="E633" s="11"/>
      <c r="F633" s="29"/>
      <c r="G633" s="11"/>
      <c r="H633" s="11"/>
      <c r="I633" s="29"/>
      <c r="J633" s="11"/>
      <c r="K633" s="29"/>
      <c r="L633" s="11"/>
      <c r="M633" s="11"/>
      <c r="N633" s="11"/>
      <c r="O633" s="29"/>
      <c r="P633" s="29"/>
      <c r="Q633" s="11"/>
      <c r="R633" s="29"/>
      <c r="S633" s="11"/>
      <c r="T633" s="6"/>
      <c r="U633" s="29"/>
      <c r="V633" s="11"/>
      <c r="W633" s="11"/>
      <c r="X633" s="29"/>
      <c r="Y633" s="11"/>
      <c r="Z633" s="29"/>
      <c r="AA633" s="29"/>
      <c r="AB633" s="11"/>
      <c r="AC633" s="11"/>
      <c r="AD633" s="29"/>
      <c r="AE633" s="11"/>
      <c r="AF633" s="29"/>
      <c r="AG633" s="11"/>
      <c r="AH633" s="29"/>
      <c r="AI633" s="11"/>
      <c r="AJ633" s="29"/>
      <c r="AK633" s="29"/>
      <c r="AL633" s="29"/>
      <c r="AM633" s="11"/>
      <c r="AN633" s="29"/>
      <c r="AO633" s="29"/>
      <c r="AP633" s="6"/>
      <c r="AQ633" s="113">
        <f>IF(AND(I633="",K633="",AF633="",AL633="",AN633="",O633=""),"",IF(OR(I633="SIM",K633="SIM",AF633="SIM",AL633="SIM",AN633="Dados pessoais",AN633="Dados sensíveis",AN633="Dados pessoais e sensíveis",O633="Acima de 10.000 titulares por mês"),"SIM - Alta criticidade",IF((IF(I633="SIM",2,0)+IF(K633="SIM",2,0)+IF(AF633="SIM",2,0)+IF(OR(AN633="Dados pessoais",AN633="Dados sensíveis",AN633="Dados pessoais e sensíveis"),2,0)+IF(O633="De 1.001 a 10.000 titulares por mês",1,0)+IF(AA633="SIM",1,0)+IF(R633="SIM",1,0)+IF(AL633="SIM",1,0)+IF(AJ633="NÃO",1,0))&gt;=5,"SIM - Alta criticidade",IF((IF(I633="SIM",2,0)+IF(K633="SIM",2,0)+IF(AF633="SIM",2,0)+IF(OR(AN633="Dados pessoais",AN633="Dados sensíveis",AN633="Dados pessoais e sensíveis"),2,0)+IF(O633="De 1.001 a 10.000 titulares por mês",1,0)+IF(AA633="SIM",1,0)+IF(R633="SIM",1,0)+IF(AL633="SIM",1,0)+IF(AJ633="NÃO",1,0))&gt;=3,"Avaliação necessária","NÃO"))))</f>
      </c>
      <c r="AR633" s="11"/>
      <c r="AS633" s="113">
        <f>IF(AND(I633="",K633="",AF633="",AL633="",AN633="",O633=""),"",IF(OR(I633="SIM",K633="SIM",AF633="SIM",AL633="SIM",OR(AN633="Dados pessoais",AN633="Dados sensíveis",AN633="Dados pessoais e sensíveis"),O633="Acima de 10.000 titulares por mês",(IF(I633="SIM",2,0)+IF(K633="SIM",2,0)+IF(AF633="SIM",2,0)+IF(OR(AN633="Dados pessoais",AN633="Dados sensíveis",AN633="Dados pessoais e sensíveis"),2,0)+IF(O633="De 1.001 a 10.000 titulares por mês",1,0)+IF(AA633="SIM",1,0)+IF(R633="SIM",1,0)+IF(AL633="SIM",1,0)+IF(AJ633="NÃO",1,0))&gt;=3),"DPIA indicado ou em avaliação em razão de: " &amp; TRIM(IF(I633="SIM","tratamento de dados sensíveis; ","") &amp; IF(K633="SIM","utilização de dados de menores; ","") &amp; IF(AF633="SIM","transferência internacional de dados; ","") &amp; IF(AL633="SIM","utilização de inteligência artificial; ","") &amp; IF(OR(AN633="Dados pessoais",AN633="Dados sensíveis",AN633="Dados pessoais e sensíveis"),"dados inseridos em IA; ","") &amp; IF(O633="Acima de 10.000 titulares por mês","volume crítico de titulares; ","") &amp; IF(O633="De 1.001 a 10.000 titulares por mês","volume moderado de titulares; ","") &amp; IF(AA633="SIM","compartilhamento com terceiros; ","") &amp; IF(R633="SIM","compartilhamento com órgãos governamentais; ","") &amp; IF(AJ633="NÃO","ausência de controle de acesso por perfil; ","")),"DPIA não indicado: Processo de baixa criticidade."))</f>
      </c>
    </row>
    <row x14ac:dyDescent="0.25" r="634" customHeight="1" ht="15.75">
      <c r="A634" s="46"/>
      <c r="B634" s="6"/>
      <c r="C634" s="11"/>
      <c r="D634" s="11"/>
      <c r="E634" s="11"/>
      <c r="F634" s="29"/>
      <c r="G634" s="11"/>
      <c r="H634" s="11"/>
      <c r="I634" s="29"/>
      <c r="J634" s="11"/>
      <c r="K634" s="29"/>
      <c r="L634" s="11"/>
      <c r="M634" s="11"/>
      <c r="N634" s="11"/>
      <c r="O634" s="29"/>
      <c r="P634" s="29"/>
      <c r="Q634" s="11"/>
      <c r="R634" s="29"/>
      <c r="S634" s="11"/>
      <c r="T634" s="6"/>
      <c r="U634" s="29"/>
      <c r="V634" s="11"/>
      <c r="W634" s="11"/>
      <c r="X634" s="29"/>
      <c r="Y634" s="11"/>
      <c r="Z634" s="29"/>
      <c r="AA634" s="29"/>
      <c r="AB634" s="11"/>
      <c r="AC634" s="11"/>
      <c r="AD634" s="29"/>
      <c r="AE634" s="11"/>
      <c r="AF634" s="29"/>
      <c r="AG634" s="11"/>
      <c r="AH634" s="29"/>
      <c r="AI634" s="11"/>
      <c r="AJ634" s="29"/>
      <c r="AK634" s="29"/>
      <c r="AL634" s="29"/>
      <c r="AM634" s="11"/>
      <c r="AN634" s="29"/>
      <c r="AO634" s="29"/>
      <c r="AP634" s="6"/>
      <c r="AQ634" s="113">
        <f>IF(AND(I634="",K634="",AF634="",AL634="",AN634="",O634=""),"",IF(OR(I634="SIM",K634="SIM",AF634="SIM",AL634="SIM",AN634="Dados pessoais",AN634="Dados sensíveis",AN634="Dados pessoais e sensíveis",O634="Acima de 10.000 titulares por mês"),"SIM - Alta criticidade",IF((IF(I634="SIM",2,0)+IF(K634="SIM",2,0)+IF(AF634="SIM",2,0)+IF(OR(AN634="Dados pessoais",AN634="Dados sensíveis",AN634="Dados pessoais e sensíveis"),2,0)+IF(O634="De 1.001 a 10.000 titulares por mês",1,0)+IF(AA634="SIM",1,0)+IF(R634="SIM",1,0)+IF(AL634="SIM",1,0)+IF(AJ634="NÃO",1,0))&gt;=5,"SIM - Alta criticidade",IF((IF(I634="SIM",2,0)+IF(K634="SIM",2,0)+IF(AF634="SIM",2,0)+IF(OR(AN634="Dados pessoais",AN634="Dados sensíveis",AN634="Dados pessoais e sensíveis"),2,0)+IF(O634="De 1.001 a 10.000 titulares por mês",1,0)+IF(AA634="SIM",1,0)+IF(R634="SIM",1,0)+IF(AL634="SIM",1,0)+IF(AJ634="NÃO",1,0))&gt;=3,"Avaliação necessária","NÃO"))))</f>
      </c>
      <c r="AR634" s="11"/>
      <c r="AS634" s="113">
        <f>IF(AND(I634="",K634="",AF634="",AL634="",AN634="",O634=""),"",IF(OR(I634="SIM",K634="SIM",AF634="SIM",AL634="SIM",OR(AN634="Dados pessoais",AN634="Dados sensíveis",AN634="Dados pessoais e sensíveis"),O634="Acima de 10.000 titulares por mês",(IF(I634="SIM",2,0)+IF(K634="SIM",2,0)+IF(AF634="SIM",2,0)+IF(OR(AN634="Dados pessoais",AN634="Dados sensíveis",AN634="Dados pessoais e sensíveis"),2,0)+IF(O634="De 1.001 a 10.000 titulares por mês",1,0)+IF(AA634="SIM",1,0)+IF(R634="SIM",1,0)+IF(AL634="SIM",1,0)+IF(AJ634="NÃO",1,0))&gt;=3),"DPIA indicado ou em avaliação em razão de: " &amp; TRIM(IF(I634="SIM","tratamento de dados sensíveis; ","") &amp; IF(K634="SIM","utilização de dados de menores; ","") &amp; IF(AF634="SIM","transferência internacional de dados; ","") &amp; IF(AL634="SIM","utilização de inteligência artificial; ","") &amp; IF(OR(AN634="Dados pessoais",AN634="Dados sensíveis",AN634="Dados pessoais e sensíveis"),"dados inseridos em IA; ","") &amp; IF(O634="Acima de 10.000 titulares por mês","volume crítico de titulares; ","") &amp; IF(O634="De 1.001 a 10.000 titulares por mês","volume moderado de titulares; ","") &amp; IF(AA634="SIM","compartilhamento com terceiros; ","") &amp; IF(R634="SIM","compartilhamento com órgãos governamentais; ","") &amp; IF(AJ634="NÃO","ausência de controle de acesso por perfil; ","")),"DPIA não indicado: Processo de baixa criticidade."))</f>
      </c>
    </row>
    <row x14ac:dyDescent="0.25" r="635" customHeight="1" ht="15.75">
      <c r="A635" s="46"/>
      <c r="B635" s="6"/>
      <c r="C635" s="11"/>
      <c r="D635" s="11"/>
      <c r="E635" s="11"/>
      <c r="F635" s="29"/>
      <c r="G635" s="11"/>
      <c r="H635" s="11"/>
      <c r="I635" s="29"/>
      <c r="J635" s="11"/>
      <c r="K635" s="29"/>
      <c r="L635" s="11"/>
      <c r="M635" s="11"/>
      <c r="N635" s="11"/>
      <c r="O635" s="29"/>
      <c r="P635" s="29"/>
      <c r="Q635" s="11"/>
      <c r="R635" s="29"/>
      <c r="S635" s="11"/>
      <c r="T635" s="6"/>
      <c r="U635" s="29"/>
      <c r="V635" s="11"/>
      <c r="W635" s="11"/>
      <c r="X635" s="29"/>
      <c r="Y635" s="11"/>
      <c r="Z635" s="29"/>
      <c r="AA635" s="29"/>
      <c r="AB635" s="11"/>
      <c r="AC635" s="11"/>
      <c r="AD635" s="29"/>
      <c r="AE635" s="11"/>
      <c r="AF635" s="29"/>
      <c r="AG635" s="11"/>
      <c r="AH635" s="29"/>
      <c r="AI635" s="11"/>
      <c r="AJ635" s="29"/>
      <c r="AK635" s="29"/>
      <c r="AL635" s="29"/>
      <c r="AM635" s="11"/>
      <c r="AN635" s="29"/>
      <c r="AO635" s="29"/>
      <c r="AP635" s="6"/>
      <c r="AQ635" s="113">
        <f>IF(AND(I635="",K635="",AF635="",AL635="",AN635="",O635=""),"",IF(OR(I635="SIM",K635="SIM",AF635="SIM",AL635="SIM",AN635="Dados pessoais",AN635="Dados sensíveis",AN635="Dados pessoais e sensíveis",O635="Acima de 10.000 titulares por mês"),"SIM - Alta criticidade",IF((IF(I635="SIM",2,0)+IF(K635="SIM",2,0)+IF(AF635="SIM",2,0)+IF(OR(AN635="Dados pessoais",AN635="Dados sensíveis",AN635="Dados pessoais e sensíveis"),2,0)+IF(O635="De 1.001 a 10.000 titulares por mês",1,0)+IF(AA635="SIM",1,0)+IF(R635="SIM",1,0)+IF(AL635="SIM",1,0)+IF(AJ635="NÃO",1,0))&gt;=5,"SIM - Alta criticidade",IF((IF(I635="SIM",2,0)+IF(K635="SIM",2,0)+IF(AF635="SIM",2,0)+IF(OR(AN635="Dados pessoais",AN635="Dados sensíveis",AN635="Dados pessoais e sensíveis"),2,0)+IF(O635="De 1.001 a 10.000 titulares por mês",1,0)+IF(AA635="SIM",1,0)+IF(R635="SIM",1,0)+IF(AL635="SIM",1,0)+IF(AJ635="NÃO",1,0))&gt;=3,"Avaliação necessária","NÃO"))))</f>
      </c>
      <c r="AR635" s="11"/>
      <c r="AS635" s="113">
        <f>IF(AND(I635="",K635="",AF635="",AL635="",AN635="",O635=""),"",IF(OR(I635="SIM",K635="SIM",AF635="SIM",AL635="SIM",OR(AN635="Dados pessoais",AN635="Dados sensíveis",AN635="Dados pessoais e sensíveis"),O635="Acima de 10.000 titulares por mês",(IF(I635="SIM",2,0)+IF(K635="SIM",2,0)+IF(AF635="SIM",2,0)+IF(OR(AN635="Dados pessoais",AN635="Dados sensíveis",AN635="Dados pessoais e sensíveis"),2,0)+IF(O635="De 1.001 a 10.000 titulares por mês",1,0)+IF(AA635="SIM",1,0)+IF(R635="SIM",1,0)+IF(AL635="SIM",1,0)+IF(AJ635="NÃO",1,0))&gt;=3),"DPIA indicado ou em avaliação em razão de: " &amp; TRIM(IF(I635="SIM","tratamento de dados sensíveis; ","") &amp; IF(K635="SIM","utilização de dados de menores; ","") &amp; IF(AF635="SIM","transferência internacional de dados; ","") &amp; IF(AL635="SIM","utilização de inteligência artificial; ","") &amp; IF(OR(AN635="Dados pessoais",AN635="Dados sensíveis",AN635="Dados pessoais e sensíveis"),"dados inseridos em IA; ","") &amp; IF(O635="Acima de 10.000 titulares por mês","volume crítico de titulares; ","") &amp; IF(O635="De 1.001 a 10.000 titulares por mês","volume moderado de titulares; ","") &amp; IF(AA635="SIM","compartilhamento com terceiros; ","") &amp; IF(R635="SIM","compartilhamento com órgãos governamentais; ","") &amp; IF(AJ635="NÃO","ausência de controle de acesso por perfil; ","")),"DPIA não indicado: Processo de baixa criticidade."))</f>
      </c>
    </row>
    <row x14ac:dyDescent="0.25" r="636" customHeight="1" ht="15.75">
      <c r="A636" s="46"/>
      <c r="B636" s="6"/>
      <c r="C636" s="11"/>
      <c r="D636" s="11"/>
      <c r="E636" s="11"/>
      <c r="F636" s="29"/>
      <c r="G636" s="11"/>
      <c r="H636" s="11"/>
      <c r="I636" s="29"/>
      <c r="J636" s="11"/>
      <c r="K636" s="29"/>
      <c r="L636" s="11"/>
      <c r="M636" s="11"/>
      <c r="N636" s="11"/>
      <c r="O636" s="29"/>
      <c r="P636" s="29"/>
      <c r="Q636" s="11"/>
      <c r="R636" s="29"/>
      <c r="S636" s="11"/>
      <c r="T636" s="6"/>
      <c r="U636" s="29"/>
      <c r="V636" s="11"/>
      <c r="W636" s="11"/>
      <c r="X636" s="29"/>
      <c r="Y636" s="11"/>
      <c r="Z636" s="29"/>
      <c r="AA636" s="29"/>
      <c r="AB636" s="11"/>
      <c r="AC636" s="11"/>
      <c r="AD636" s="29"/>
      <c r="AE636" s="11"/>
      <c r="AF636" s="29"/>
      <c r="AG636" s="11"/>
      <c r="AH636" s="29"/>
      <c r="AI636" s="11"/>
      <c r="AJ636" s="29"/>
      <c r="AK636" s="29"/>
      <c r="AL636" s="29"/>
      <c r="AM636" s="11"/>
      <c r="AN636" s="29"/>
      <c r="AO636" s="29"/>
      <c r="AP636" s="6"/>
      <c r="AQ636" s="113">
        <f>IF(AND(I636="",K636="",AF636="",AL636="",AN636="",O636=""),"",IF(OR(I636="SIM",K636="SIM",AF636="SIM",AL636="SIM",AN636="Dados pessoais",AN636="Dados sensíveis",AN636="Dados pessoais e sensíveis",O636="Acima de 10.000 titulares por mês"),"SIM - Alta criticidade",IF((IF(I636="SIM",2,0)+IF(K636="SIM",2,0)+IF(AF636="SIM",2,0)+IF(OR(AN636="Dados pessoais",AN636="Dados sensíveis",AN636="Dados pessoais e sensíveis"),2,0)+IF(O636="De 1.001 a 10.000 titulares por mês",1,0)+IF(AA636="SIM",1,0)+IF(R636="SIM",1,0)+IF(AL636="SIM",1,0)+IF(AJ636="NÃO",1,0))&gt;=5,"SIM - Alta criticidade",IF((IF(I636="SIM",2,0)+IF(K636="SIM",2,0)+IF(AF636="SIM",2,0)+IF(OR(AN636="Dados pessoais",AN636="Dados sensíveis",AN636="Dados pessoais e sensíveis"),2,0)+IF(O636="De 1.001 a 10.000 titulares por mês",1,0)+IF(AA636="SIM",1,0)+IF(R636="SIM",1,0)+IF(AL636="SIM",1,0)+IF(AJ636="NÃO",1,0))&gt;=3,"Avaliação necessária","NÃO"))))</f>
      </c>
      <c r="AR636" s="11"/>
      <c r="AS636" s="113">
        <f>IF(AND(I636="",K636="",AF636="",AL636="",AN636="",O636=""),"",IF(OR(I636="SIM",K636="SIM",AF636="SIM",AL636="SIM",OR(AN636="Dados pessoais",AN636="Dados sensíveis",AN636="Dados pessoais e sensíveis"),O636="Acima de 10.000 titulares por mês",(IF(I636="SIM",2,0)+IF(K636="SIM",2,0)+IF(AF636="SIM",2,0)+IF(OR(AN636="Dados pessoais",AN636="Dados sensíveis",AN636="Dados pessoais e sensíveis"),2,0)+IF(O636="De 1.001 a 10.000 titulares por mês",1,0)+IF(AA636="SIM",1,0)+IF(R636="SIM",1,0)+IF(AL636="SIM",1,0)+IF(AJ636="NÃO",1,0))&gt;=3),"DPIA indicado ou em avaliação em razão de: " &amp; TRIM(IF(I636="SIM","tratamento de dados sensíveis; ","") &amp; IF(K636="SIM","utilização de dados de menores; ","") &amp; IF(AF636="SIM","transferência internacional de dados; ","") &amp; IF(AL636="SIM","utilização de inteligência artificial; ","") &amp; IF(OR(AN636="Dados pessoais",AN636="Dados sensíveis",AN636="Dados pessoais e sensíveis"),"dados inseridos em IA; ","") &amp; IF(O636="Acima de 10.000 titulares por mês","volume crítico de titulares; ","") &amp; IF(O636="De 1.001 a 10.000 titulares por mês","volume moderado de titulares; ","") &amp; IF(AA636="SIM","compartilhamento com terceiros; ","") &amp; IF(R636="SIM","compartilhamento com órgãos governamentais; ","") &amp; IF(AJ636="NÃO","ausência de controle de acesso por perfil; ","")),"DPIA não indicado: Processo de baixa criticidade."))</f>
      </c>
    </row>
    <row x14ac:dyDescent="0.25" r="637" customHeight="1" ht="15.75">
      <c r="A637" s="46"/>
      <c r="B637" s="6"/>
      <c r="C637" s="11"/>
      <c r="D637" s="11"/>
      <c r="E637" s="11"/>
      <c r="F637" s="29"/>
      <c r="G637" s="11"/>
      <c r="H637" s="11"/>
      <c r="I637" s="29"/>
      <c r="J637" s="11"/>
      <c r="K637" s="29"/>
      <c r="L637" s="11"/>
      <c r="M637" s="11"/>
      <c r="N637" s="11"/>
      <c r="O637" s="29"/>
      <c r="P637" s="29"/>
      <c r="Q637" s="11"/>
      <c r="R637" s="29"/>
      <c r="S637" s="11"/>
      <c r="T637" s="6"/>
      <c r="U637" s="29"/>
      <c r="V637" s="11"/>
      <c r="W637" s="11"/>
      <c r="X637" s="29"/>
      <c r="Y637" s="11"/>
      <c r="Z637" s="29"/>
      <c r="AA637" s="29"/>
      <c r="AB637" s="11"/>
      <c r="AC637" s="11"/>
      <c r="AD637" s="29"/>
      <c r="AE637" s="11"/>
      <c r="AF637" s="29"/>
      <c r="AG637" s="11"/>
      <c r="AH637" s="29"/>
      <c r="AI637" s="11"/>
      <c r="AJ637" s="29"/>
      <c r="AK637" s="29"/>
      <c r="AL637" s="29"/>
      <c r="AM637" s="11"/>
      <c r="AN637" s="29"/>
      <c r="AO637" s="29"/>
      <c r="AP637" s="6"/>
      <c r="AQ637" s="113">
        <f>IF(AND(I637="",K637="",AF637="",AL637="",AN637="",O637=""),"",IF(OR(I637="SIM",K637="SIM",AF637="SIM",AL637="SIM",AN637="Dados pessoais",AN637="Dados sensíveis",AN637="Dados pessoais e sensíveis",O637="Acima de 10.000 titulares por mês"),"SIM - Alta criticidade",IF((IF(I637="SIM",2,0)+IF(K637="SIM",2,0)+IF(AF637="SIM",2,0)+IF(OR(AN637="Dados pessoais",AN637="Dados sensíveis",AN637="Dados pessoais e sensíveis"),2,0)+IF(O637="De 1.001 a 10.000 titulares por mês",1,0)+IF(AA637="SIM",1,0)+IF(R637="SIM",1,0)+IF(AL637="SIM",1,0)+IF(AJ637="NÃO",1,0))&gt;=5,"SIM - Alta criticidade",IF((IF(I637="SIM",2,0)+IF(K637="SIM",2,0)+IF(AF637="SIM",2,0)+IF(OR(AN637="Dados pessoais",AN637="Dados sensíveis",AN637="Dados pessoais e sensíveis"),2,0)+IF(O637="De 1.001 a 10.000 titulares por mês",1,0)+IF(AA637="SIM",1,0)+IF(R637="SIM",1,0)+IF(AL637="SIM",1,0)+IF(AJ637="NÃO",1,0))&gt;=3,"Avaliação necessária","NÃO"))))</f>
      </c>
      <c r="AR637" s="11"/>
      <c r="AS637" s="113">
        <f>IF(AND(I637="",K637="",AF637="",AL637="",AN637="",O637=""),"",IF(OR(I637="SIM",K637="SIM",AF637="SIM",AL637="SIM",OR(AN637="Dados pessoais",AN637="Dados sensíveis",AN637="Dados pessoais e sensíveis"),O637="Acima de 10.000 titulares por mês",(IF(I637="SIM",2,0)+IF(K637="SIM",2,0)+IF(AF637="SIM",2,0)+IF(OR(AN637="Dados pessoais",AN637="Dados sensíveis",AN637="Dados pessoais e sensíveis"),2,0)+IF(O637="De 1.001 a 10.000 titulares por mês",1,0)+IF(AA637="SIM",1,0)+IF(R637="SIM",1,0)+IF(AL637="SIM",1,0)+IF(AJ637="NÃO",1,0))&gt;=3),"DPIA indicado ou em avaliação em razão de: " &amp; TRIM(IF(I637="SIM","tratamento de dados sensíveis; ","") &amp; IF(K637="SIM","utilização de dados de menores; ","") &amp; IF(AF637="SIM","transferência internacional de dados; ","") &amp; IF(AL637="SIM","utilização de inteligência artificial; ","") &amp; IF(OR(AN637="Dados pessoais",AN637="Dados sensíveis",AN637="Dados pessoais e sensíveis"),"dados inseridos em IA; ","") &amp; IF(O637="Acima de 10.000 titulares por mês","volume crítico de titulares; ","") &amp; IF(O637="De 1.001 a 10.000 titulares por mês","volume moderado de titulares; ","") &amp; IF(AA637="SIM","compartilhamento com terceiros; ","") &amp; IF(R637="SIM","compartilhamento com órgãos governamentais; ","") &amp; IF(AJ637="NÃO","ausência de controle de acesso por perfil; ","")),"DPIA não indicado: Processo de baixa criticidade."))</f>
      </c>
    </row>
    <row x14ac:dyDescent="0.25" r="638" customHeight="1" ht="15.75">
      <c r="A638" s="46"/>
      <c r="B638" s="6"/>
      <c r="C638" s="11"/>
      <c r="D638" s="11"/>
      <c r="E638" s="11"/>
      <c r="F638" s="29"/>
      <c r="G638" s="11"/>
      <c r="H638" s="11"/>
      <c r="I638" s="29"/>
      <c r="J638" s="11"/>
      <c r="K638" s="29"/>
      <c r="L638" s="11"/>
      <c r="M638" s="11"/>
      <c r="N638" s="11"/>
      <c r="O638" s="29"/>
      <c r="P638" s="29"/>
      <c r="Q638" s="11"/>
      <c r="R638" s="29"/>
      <c r="S638" s="11"/>
      <c r="T638" s="6"/>
      <c r="U638" s="29"/>
      <c r="V638" s="11"/>
      <c r="W638" s="11"/>
      <c r="X638" s="29"/>
      <c r="Y638" s="11"/>
      <c r="Z638" s="29"/>
      <c r="AA638" s="29"/>
      <c r="AB638" s="11"/>
      <c r="AC638" s="11"/>
      <c r="AD638" s="29"/>
      <c r="AE638" s="11"/>
      <c r="AF638" s="29"/>
      <c r="AG638" s="11"/>
      <c r="AH638" s="29"/>
      <c r="AI638" s="11"/>
      <c r="AJ638" s="29"/>
      <c r="AK638" s="29"/>
      <c r="AL638" s="29"/>
      <c r="AM638" s="11"/>
      <c r="AN638" s="29"/>
      <c r="AO638" s="29"/>
      <c r="AP638" s="6"/>
      <c r="AQ638" s="113">
        <f>IF(AND(I638="",K638="",AF638="",AL638="",AN638="",O638=""),"",IF(OR(I638="SIM",K638="SIM",AF638="SIM",AL638="SIM",AN638="Dados pessoais",AN638="Dados sensíveis",AN638="Dados pessoais e sensíveis",O638="Acima de 10.000 titulares por mês"),"SIM - Alta criticidade",IF((IF(I638="SIM",2,0)+IF(K638="SIM",2,0)+IF(AF638="SIM",2,0)+IF(OR(AN638="Dados pessoais",AN638="Dados sensíveis",AN638="Dados pessoais e sensíveis"),2,0)+IF(O638="De 1.001 a 10.000 titulares por mês",1,0)+IF(AA638="SIM",1,0)+IF(R638="SIM",1,0)+IF(AL638="SIM",1,0)+IF(AJ638="NÃO",1,0))&gt;=5,"SIM - Alta criticidade",IF((IF(I638="SIM",2,0)+IF(K638="SIM",2,0)+IF(AF638="SIM",2,0)+IF(OR(AN638="Dados pessoais",AN638="Dados sensíveis",AN638="Dados pessoais e sensíveis"),2,0)+IF(O638="De 1.001 a 10.000 titulares por mês",1,0)+IF(AA638="SIM",1,0)+IF(R638="SIM",1,0)+IF(AL638="SIM",1,0)+IF(AJ638="NÃO",1,0))&gt;=3,"Avaliação necessária","NÃO"))))</f>
      </c>
      <c r="AR638" s="11"/>
      <c r="AS638" s="113">
        <f>IF(AND(I638="",K638="",AF638="",AL638="",AN638="",O638=""),"",IF(OR(I638="SIM",K638="SIM",AF638="SIM",AL638="SIM",OR(AN638="Dados pessoais",AN638="Dados sensíveis",AN638="Dados pessoais e sensíveis"),O638="Acima de 10.000 titulares por mês",(IF(I638="SIM",2,0)+IF(K638="SIM",2,0)+IF(AF638="SIM",2,0)+IF(OR(AN638="Dados pessoais",AN638="Dados sensíveis",AN638="Dados pessoais e sensíveis"),2,0)+IF(O638="De 1.001 a 10.000 titulares por mês",1,0)+IF(AA638="SIM",1,0)+IF(R638="SIM",1,0)+IF(AL638="SIM",1,0)+IF(AJ638="NÃO",1,0))&gt;=3),"DPIA indicado ou em avaliação em razão de: " &amp; TRIM(IF(I638="SIM","tratamento de dados sensíveis; ","") &amp; IF(K638="SIM","utilização de dados de menores; ","") &amp; IF(AF638="SIM","transferência internacional de dados; ","") &amp; IF(AL638="SIM","utilização de inteligência artificial; ","") &amp; IF(OR(AN638="Dados pessoais",AN638="Dados sensíveis",AN638="Dados pessoais e sensíveis"),"dados inseridos em IA; ","") &amp; IF(O638="Acima de 10.000 titulares por mês","volume crítico de titulares; ","") &amp; IF(O638="De 1.001 a 10.000 titulares por mês","volume moderado de titulares; ","") &amp; IF(AA638="SIM","compartilhamento com terceiros; ","") &amp; IF(R638="SIM","compartilhamento com órgãos governamentais; ","") &amp; IF(AJ638="NÃO","ausência de controle de acesso por perfil; ","")),"DPIA não indicado: Processo de baixa criticidade."))</f>
      </c>
    </row>
    <row x14ac:dyDescent="0.25" r="639" customHeight="1" ht="15.75">
      <c r="A639" s="46"/>
      <c r="B639" s="6"/>
      <c r="C639" s="11"/>
      <c r="D639" s="11"/>
      <c r="E639" s="11"/>
      <c r="F639" s="29"/>
      <c r="G639" s="11"/>
      <c r="H639" s="11"/>
      <c r="I639" s="29"/>
      <c r="J639" s="11"/>
      <c r="K639" s="29"/>
      <c r="L639" s="11"/>
      <c r="M639" s="11"/>
      <c r="N639" s="11"/>
      <c r="O639" s="29"/>
      <c r="P639" s="29"/>
      <c r="Q639" s="11"/>
      <c r="R639" s="29"/>
      <c r="S639" s="11"/>
      <c r="T639" s="6"/>
      <c r="U639" s="29"/>
      <c r="V639" s="11"/>
      <c r="W639" s="11"/>
      <c r="X639" s="29"/>
      <c r="Y639" s="11"/>
      <c r="Z639" s="29"/>
      <c r="AA639" s="29"/>
      <c r="AB639" s="11"/>
      <c r="AC639" s="11"/>
      <c r="AD639" s="29"/>
      <c r="AE639" s="11"/>
      <c r="AF639" s="29"/>
      <c r="AG639" s="11"/>
      <c r="AH639" s="29"/>
      <c r="AI639" s="11"/>
      <c r="AJ639" s="29"/>
      <c r="AK639" s="29"/>
      <c r="AL639" s="29"/>
      <c r="AM639" s="11"/>
      <c r="AN639" s="29"/>
      <c r="AO639" s="29"/>
      <c r="AP639" s="6"/>
      <c r="AQ639" s="113">
        <f>IF(AND(I639="",K639="",AF639="",AL639="",AN639="",O639=""),"",IF(OR(I639="SIM",K639="SIM",AF639="SIM",AL639="SIM",AN639="Dados pessoais",AN639="Dados sensíveis",AN639="Dados pessoais e sensíveis",O639="Acima de 10.000 titulares por mês"),"SIM - Alta criticidade",IF((IF(I639="SIM",2,0)+IF(K639="SIM",2,0)+IF(AF639="SIM",2,0)+IF(OR(AN639="Dados pessoais",AN639="Dados sensíveis",AN639="Dados pessoais e sensíveis"),2,0)+IF(O639="De 1.001 a 10.000 titulares por mês",1,0)+IF(AA639="SIM",1,0)+IF(R639="SIM",1,0)+IF(AL639="SIM",1,0)+IF(AJ639="NÃO",1,0))&gt;=5,"SIM - Alta criticidade",IF((IF(I639="SIM",2,0)+IF(K639="SIM",2,0)+IF(AF639="SIM",2,0)+IF(OR(AN639="Dados pessoais",AN639="Dados sensíveis",AN639="Dados pessoais e sensíveis"),2,0)+IF(O639="De 1.001 a 10.000 titulares por mês",1,0)+IF(AA639="SIM",1,0)+IF(R639="SIM",1,0)+IF(AL639="SIM",1,0)+IF(AJ639="NÃO",1,0))&gt;=3,"Avaliação necessária","NÃO"))))</f>
      </c>
      <c r="AR639" s="11"/>
      <c r="AS639" s="113">
        <f>IF(AND(I639="",K639="",AF639="",AL639="",AN639="",O639=""),"",IF(OR(I639="SIM",K639="SIM",AF639="SIM",AL639="SIM",OR(AN639="Dados pessoais",AN639="Dados sensíveis",AN639="Dados pessoais e sensíveis"),O639="Acima de 10.000 titulares por mês",(IF(I639="SIM",2,0)+IF(K639="SIM",2,0)+IF(AF639="SIM",2,0)+IF(OR(AN639="Dados pessoais",AN639="Dados sensíveis",AN639="Dados pessoais e sensíveis"),2,0)+IF(O639="De 1.001 a 10.000 titulares por mês",1,0)+IF(AA639="SIM",1,0)+IF(R639="SIM",1,0)+IF(AL639="SIM",1,0)+IF(AJ639="NÃO",1,0))&gt;=3),"DPIA indicado ou em avaliação em razão de: " &amp; TRIM(IF(I639="SIM","tratamento de dados sensíveis; ","") &amp; IF(K639="SIM","utilização de dados de menores; ","") &amp; IF(AF639="SIM","transferência internacional de dados; ","") &amp; IF(AL639="SIM","utilização de inteligência artificial; ","") &amp; IF(OR(AN639="Dados pessoais",AN639="Dados sensíveis",AN639="Dados pessoais e sensíveis"),"dados inseridos em IA; ","") &amp; IF(O639="Acima de 10.000 titulares por mês","volume crítico de titulares; ","") &amp; IF(O639="De 1.001 a 10.000 titulares por mês","volume moderado de titulares; ","") &amp; IF(AA639="SIM","compartilhamento com terceiros; ","") &amp; IF(R639="SIM","compartilhamento com órgãos governamentais; ","") &amp; IF(AJ639="NÃO","ausência de controle de acesso por perfil; ","")),"DPIA não indicado: Processo de baixa criticidade."))</f>
      </c>
    </row>
    <row x14ac:dyDescent="0.25" r="640" customHeight="1" ht="15.75">
      <c r="A640" s="46"/>
      <c r="B640" s="6"/>
      <c r="C640" s="11"/>
      <c r="D640" s="11"/>
      <c r="E640" s="11"/>
      <c r="F640" s="29"/>
      <c r="G640" s="11"/>
      <c r="H640" s="11"/>
      <c r="I640" s="29"/>
      <c r="J640" s="11"/>
      <c r="K640" s="29"/>
      <c r="L640" s="11"/>
      <c r="M640" s="11"/>
      <c r="N640" s="11"/>
      <c r="O640" s="29"/>
      <c r="P640" s="29"/>
      <c r="Q640" s="11"/>
      <c r="R640" s="29"/>
      <c r="S640" s="11"/>
      <c r="T640" s="6"/>
      <c r="U640" s="29"/>
      <c r="V640" s="11"/>
      <c r="W640" s="11"/>
      <c r="X640" s="29"/>
      <c r="Y640" s="11"/>
      <c r="Z640" s="29"/>
      <c r="AA640" s="29"/>
      <c r="AB640" s="11"/>
      <c r="AC640" s="11"/>
      <c r="AD640" s="29"/>
      <c r="AE640" s="11"/>
      <c r="AF640" s="29"/>
      <c r="AG640" s="11"/>
      <c r="AH640" s="29"/>
      <c r="AI640" s="11"/>
      <c r="AJ640" s="29"/>
      <c r="AK640" s="29"/>
      <c r="AL640" s="29"/>
      <c r="AM640" s="11"/>
      <c r="AN640" s="29"/>
      <c r="AO640" s="29"/>
      <c r="AP640" s="6"/>
      <c r="AQ640" s="113">
        <f>IF(AND(I640="",K640="",AF640="",AL640="",AN640="",O640=""),"",IF(OR(I640="SIM",K640="SIM",AF640="SIM",AL640="SIM",AN640="Dados pessoais",AN640="Dados sensíveis",AN640="Dados pessoais e sensíveis",O640="Acima de 10.000 titulares por mês"),"SIM - Alta criticidade",IF((IF(I640="SIM",2,0)+IF(K640="SIM",2,0)+IF(AF640="SIM",2,0)+IF(OR(AN640="Dados pessoais",AN640="Dados sensíveis",AN640="Dados pessoais e sensíveis"),2,0)+IF(O640="De 1.001 a 10.000 titulares por mês",1,0)+IF(AA640="SIM",1,0)+IF(R640="SIM",1,0)+IF(AL640="SIM",1,0)+IF(AJ640="NÃO",1,0))&gt;=5,"SIM - Alta criticidade",IF((IF(I640="SIM",2,0)+IF(K640="SIM",2,0)+IF(AF640="SIM",2,0)+IF(OR(AN640="Dados pessoais",AN640="Dados sensíveis",AN640="Dados pessoais e sensíveis"),2,0)+IF(O640="De 1.001 a 10.000 titulares por mês",1,0)+IF(AA640="SIM",1,0)+IF(R640="SIM",1,0)+IF(AL640="SIM",1,0)+IF(AJ640="NÃO",1,0))&gt;=3,"Avaliação necessária","NÃO"))))</f>
      </c>
      <c r="AR640" s="11"/>
      <c r="AS640" s="113">
        <f>IF(AND(I640="",K640="",AF640="",AL640="",AN640="",O640=""),"",IF(OR(I640="SIM",K640="SIM",AF640="SIM",AL640="SIM",OR(AN640="Dados pessoais",AN640="Dados sensíveis",AN640="Dados pessoais e sensíveis"),O640="Acima de 10.000 titulares por mês",(IF(I640="SIM",2,0)+IF(K640="SIM",2,0)+IF(AF640="SIM",2,0)+IF(OR(AN640="Dados pessoais",AN640="Dados sensíveis",AN640="Dados pessoais e sensíveis"),2,0)+IF(O640="De 1.001 a 10.000 titulares por mês",1,0)+IF(AA640="SIM",1,0)+IF(R640="SIM",1,0)+IF(AL640="SIM",1,0)+IF(AJ640="NÃO",1,0))&gt;=3),"DPIA indicado ou em avaliação em razão de: " &amp; TRIM(IF(I640="SIM","tratamento de dados sensíveis; ","") &amp; IF(K640="SIM","utilização de dados de menores; ","") &amp; IF(AF640="SIM","transferência internacional de dados; ","") &amp; IF(AL640="SIM","utilização de inteligência artificial; ","") &amp; IF(OR(AN640="Dados pessoais",AN640="Dados sensíveis",AN640="Dados pessoais e sensíveis"),"dados inseridos em IA; ","") &amp; IF(O640="Acima de 10.000 titulares por mês","volume crítico de titulares; ","") &amp; IF(O640="De 1.001 a 10.000 titulares por mês","volume moderado de titulares; ","") &amp; IF(AA640="SIM","compartilhamento com terceiros; ","") &amp; IF(R640="SIM","compartilhamento com órgãos governamentais; ","") &amp; IF(AJ640="NÃO","ausência de controle de acesso por perfil; ","")),"DPIA não indicado: Processo de baixa criticidade."))</f>
      </c>
    </row>
    <row x14ac:dyDescent="0.25" r="641" customHeight="1" ht="15.75">
      <c r="A641" s="46"/>
      <c r="B641" s="6"/>
      <c r="C641" s="11"/>
      <c r="D641" s="11"/>
      <c r="E641" s="11"/>
      <c r="F641" s="29"/>
      <c r="G641" s="11"/>
      <c r="H641" s="11"/>
      <c r="I641" s="29"/>
      <c r="J641" s="11"/>
      <c r="K641" s="29"/>
      <c r="L641" s="11"/>
      <c r="M641" s="11"/>
      <c r="N641" s="11"/>
      <c r="O641" s="29"/>
      <c r="P641" s="29"/>
      <c r="Q641" s="11"/>
      <c r="R641" s="29"/>
      <c r="S641" s="11"/>
      <c r="T641" s="6"/>
      <c r="U641" s="29"/>
      <c r="V641" s="11"/>
      <c r="W641" s="11"/>
      <c r="X641" s="29"/>
      <c r="Y641" s="11"/>
      <c r="Z641" s="29"/>
      <c r="AA641" s="29"/>
      <c r="AB641" s="11"/>
      <c r="AC641" s="11"/>
      <c r="AD641" s="29"/>
      <c r="AE641" s="11"/>
      <c r="AF641" s="29"/>
      <c r="AG641" s="11"/>
      <c r="AH641" s="29"/>
      <c r="AI641" s="11"/>
      <c r="AJ641" s="29"/>
      <c r="AK641" s="29"/>
      <c r="AL641" s="29"/>
      <c r="AM641" s="11"/>
      <c r="AN641" s="29"/>
      <c r="AO641" s="29"/>
      <c r="AP641" s="6"/>
      <c r="AQ641" s="113">
        <f>IF(AND(I641="",K641="",AF641="",AL641="",AN641="",O641=""),"",IF(OR(I641="SIM",K641="SIM",AF641="SIM",AL641="SIM",AN641="Dados pessoais",AN641="Dados sensíveis",AN641="Dados pessoais e sensíveis",O641="Acima de 10.000 titulares por mês"),"SIM - Alta criticidade",IF((IF(I641="SIM",2,0)+IF(K641="SIM",2,0)+IF(AF641="SIM",2,0)+IF(OR(AN641="Dados pessoais",AN641="Dados sensíveis",AN641="Dados pessoais e sensíveis"),2,0)+IF(O641="De 1.001 a 10.000 titulares por mês",1,0)+IF(AA641="SIM",1,0)+IF(R641="SIM",1,0)+IF(AL641="SIM",1,0)+IF(AJ641="NÃO",1,0))&gt;=5,"SIM - Alta criticidade",IF((IF(I641="SIM",2,0)+IF(K641="SIM",2,0)+IF(AF641="SIM",2,0)+IF(OR(AN641="Dados pessoais",AN641="Dados sensíveis",AN641="Dados pessoais e sensíveis"),2,0)+IF(O641="De 1.001 a 10.000 titulares por mês",1,0)+IF(AA641="SIM",1,0)+IF(R641="SIM",1,0)+IF(AL641="SIM",1,0)+IF(AJ641="NÃO",1,0))&gt;=3,"Avaliação necessária","NÃO"))))</f>
      </c>
      <c r="AR641" s="11"/>
      <c r="AS641" s="113">
        <f>IF(AND(I641="",K641="",AF641="",AL641="",AN641="",O641=""),"",IF(OR(I641="SIM",K641="SIM",AF641="SIM",AL641="SIM",OR(AN641="Dados pessoais",AN641="Dados sensíveis",AN641="Dados pessoais e sensíveis"),O641="Acima de 10.000 titulares por mês",(IF(I641="SIM",2,0)+IF(K641="SIM",2,0)+IF(AF641="SIM",2,0)+IF(OR(AN641="Dados pessoais",AN641="Dados sensíveis",AN641="Dados pessoais e sensíveis"),2,0)+IF(O641="De 1.001 a 10.000 titulares por mês",1,0)+IF(AA641="SIM",1,0)+IF(R641="SIM",1,0)+IF(AL641="SIM",1,0)+IF(AJ641="NÃO",1,0))&gt;=3),"DPIA indicado ou em avaliação em razão de: " &amp; TRIM(IF(I641="SIM","tratamento de dados sensíveis; ","") &amp; IF(K641="SIM","utilização de dados de menores; ","") &amp; IF(AF641="SIM","transferência internacional de dados; ","") &amp; IF(AL641="SIM","utilização de inteligência artificial; ","") &amp; IF(OR(AN641="Dados pessoais",AN641="Dados sensíveis",AN641="Dados pessoais e sensíveis"),"dados inseridos em IA; ","") &amp; IF(O641="Acima de 10.000 titulares por mês","volume crítico de titulares; ","") &amp; IF(O641="De 1.001 a 10.000 titulares por mês","volume moderado de titulares; ","") &amp; IF(AA641="SIM","compartilhamento com terceiros; ","") &amp; IF(R641="SIM","compartilhamento com órgãos governamentais; ","") &amp; IF(AJ641="NÃO","ausência de controle de acesso por perfil; ","")),"DPIA não indicado: Processo de baixa criticidade."))</f>
      </c>
    </row>
    <row x14ac:dyDescent="0.25" r="642" customHeight="1" ht="15.75">
      <c r="A642" s="46"/>
      <c r="B642" s="6"/>
      <c r="C642" s="11"/>
      <c r="D642" s="11"/>
      <c r="E642" s="11"/>
      <c r="F642" s="29"/>
      <c r="G642" s="11"/>
      <c r="H642" s="11"/>
      <c r="I642" s="29"/>
      <c r="J642" s="11"/>
      <c r="K642" s="29"/>
      <c r="L642" s="11"/>
      <c r="M642" s="11"/>
      <c r="N642" s="11"/>
      <c r="O642" s="29"/>
      <c r="P642" s="29"/>
      <c r="Q642" s="11"/>
      <c r="R642" s="29"/>
      <c r="S642" s="11"/>
      <c r="T642" s="6"/>
      <c r="U642" s="29"/>
      <c r="V642" s="11"/>
      <c r="W642" s="11"/>
      <c r="X642" s="29"/>
      <c r="Y642" s="11"/>
      <c r="Z642" s="29"/>
      <c r="AA642" s="29"/>
      <c r="AB642" s="11"/>
      <c r="AC642" s="11"/>
      <c r="AD642" s="29"/>
      <c r="AE642" s="11"/>
      <c r="AF642" s="29"/>
      <c r="AG642" s="11"/>
      <c r="AH642" s="29"/>
      <c r="AI642" s="11"/>
      <c r="AJ642" s="29"/>
      <c r="AK642" s="29"/>
      <c r="AL642" s="29"/>
      <c r="AM642" s="11"/>
      <c r="AN642" s="29"/>
      <c r="AO642" s="29"/>
      <c r="AP642" s="6"/>
      <c r="AQ642" s="113">
        <f>IF(AND(I642="",K642="",AF642="",AL642="",AN642="",O642=""),"",IF(OR(I642="SIM",K642="SIM",AF642="SIM",AL642="SIM",AN642="Dados pessoais",AN642="Dados sensíveis",AN642="Dados pessoais e sensíveis",O642="Acima de 10.000 titulares por mês"),"SIM - Alta criticidade",IF((IF(I642="SIM",2,0)+IF(K642="SIM",2,0)+IF(AF642="SIM",2,0)+IF(OR(AN642="Dados pessoais",AN642="Dados sensíveis",AN642="Dados pessoais e sensíveis"),2,0)+IF(O642="De 1.001 a 10.000 titulares por mês",1,0)+IF(AA642="SIM",1,0)+IF(R642="SIM",1,0)+IF(AL642="SIM",1,0)+IF(AJ642="NÃO",1,0))&gt;=5,"SIM - Alta criticidade",IF((IF(I642="SIM",2,0)+IF(K642="SIM",2,0)+IF(AF642="SIM",2,0)+IF(OR(AN642="Dados pessoais",AN642="Dados sensíveis",AN642="Dados pessoais e sensíveis"),2,0)+IF(O642="De 1.001 a 10.000 titulares por mês",1,0)+IF(AA642="SIM",1,0)+IF(R642="SIM",1,0)+IF(AL642="SIM",1,0)+IF(AJ642="NÃO",1,0))&gt;=3,"Avaliação necessária","NÃO"))))</f>
      </c>
      <c r="AR642" s="11"/>
      <c r="AS642" s="113">
        <f>IF(AND(I642="",K642="",AF642="",AL642="",AN642="",O642=""),"",IF(OR(I642="SIM",K642="SIM",AF642="SIM",AL642="SIM",OR(AN642="Dados pessoais",AN642="Dados sensíveis",AN642="Dados pessoais e sensíveis"),O642="Acima de 10.000 titulares por mês",(IF(I642="SIM",2,0)+IF(K642="SIM",2,0)+IF(AF642="SIM",2,0)+IF(OR(AN642="Dados pessoais",AN642="Dados sensíveis",AN642="Dados pessoais e sensíveis"),2,0)+IF(O642="De 1.001 a 10.000 titulares por mês",1,0)+IF(AA642="SIM",1,0)+IF(R642="SIM",1,0)+IF(AL642="SIM",1,0)+IF(AJ642="NÃO",1,0))&gt;=3),"DPIA indicado ou em avaliação em razão de: " &amp; TRIM(IF(I642="SIM","tratamento de dados sensíveis; ","") &amp; IF(K642="SIM","utilização de dados de menores; ","") &amp; IF(AF642="SIM","transferência internacional de dados; ","") &amp; IF(AL642="SIM","utilização de inteligência artificial; ","") &amp; IF(OR(AN642="Dados pessoais",AN642="Dados sensíveis",AN642="Dados pessoais e sensíveis"),"dados inseridos em IA; ","") &amp; IF(O642="Acima de 10.000 titulares por mês","volume crítico de titulares; ","") &amp; IF(O642="De 1.001 a 10.000 titulares por mês","volume moderado de titulares; ","") &amp; IF(AA642="SIM","compartilhamento com terceiros; ","") &amp; IF(R642="SIM","compartilhamento com órgãos governamentais; ","") &amp; IF(AJ642="NÃO","ausência de controle de acesso por perfil; ","")),"DPIA não indicado: Processo de baixa criticidade."))</f>
      </c>
    </row>
    <row x14ac:dyDescent="0.25" r="643" customHeight="1" ht="15.75">
      <c r="A643" s="46"/>
      <c r="B643" s="6"/>
      <c r="C643" s="11"/>
      <c r="D643" s="11"/>
      <c r="E643" s="11"/>
      <c r="F643" s="29"/>
      <c r="G643" s="11"/>
      <c r="H643" s="11"/>
      <c r="I643" s="29"/>
      <c r="J643" s="11"/>
      <c r="K643" s="29"/>
      <c r="L643" s="11"/>
      <c r="M643" s="11"/>
      <c r="N643" s="11"/>
      <c r="O643" s="29"/>
      <c r="P643" s="29"/>
      <c r="Q643" s="11"/>
      <c r="R643" s="29"/>
      <c r="S643" s="11"/>
      <c r="T643" s="6"/>
      <c r="U643" s="29"/>
      <c r="V643" s="11"/>
      <c r="W643" s="11"/>
      <c r="X643" s="29"/>
      <c r="Y643" s="11"/>
      <c r="Z643" s="29"/>
      <c r="AA643" s="29"/>
      <c r="AB643" s="11"/>
      <c r="AC643" s="11"/>
      <c r="AD643" s="29"/>
      <c r="AE643" s="11"/>
      <c r="AF643" s="29"/>
      <c r="AG643" s="11"/>
      <c r="AH643" s="29"/>
      <c r="AI643" s="11"/>
      <c r="AJ643" s="29"/>
      <c r="AK643" s="29"/>
      <c r="AL643" s="29"/>
      <c r="AM643" s="11"/>
      <c r="AN643" s="29"/>
      <c r="AO643" s="29"/>
      <c r="AP643" s="6"/>
      <c r="AQ643" s="113">
        <f>IF(AND(I643="",K643="",AF643="",AL643="",AN643="",O643=""),"",IF(OR(I643="SIM",K643="SIM",AF643="SIM",AL643="SIM",AN643="Dados pessoais",AN643="Dados sensíveis",AN643="Dados pessoais e sensíveis",O643="Acima de 10.000 titulares por mês"),"SIM - Alta criticidade",IF((IF(I643="SIM",2,0)+IF(K643="SIM",2,0)+IF(AF643="SIM",2,0)+IF(OR(AN643="Dados pessoais",AN643="Dados sensíveis",AN643="Dados pessoais e sensíveis"),2,0)+IF(O643="De 1.001 a 10.000 titulares por mês",1,0)+IF(AA643="SIM",1,0)+IF(R643="SIM",1,0)+IF(AL643="SIM",1,0)+IF(AJ643="NÃO",1,0))&gt;=5,"SIM - Alta criticidade",IF((IF(I643="SIM",2,0)+IF(K643="SIM",2,0)+IF(AF643="SIM",2,0)+IF(OR(AN643="Dados pessoais",AN643="Dados sensíveis",AN643="Dados pessoais e sensíveis"),2,0)+IF(O643="De 1.001 a 10.000 titulares por mês",1,0)+IF(AA643="SIM",1,0)+IF(R643="SIM",1,0)+IF(AL643="SIM",1,0)+IF(AJ643="NÃO",1,0))&gt;=3,"Avaliação necessária","NÃO"))))</f>
      </c>
      <c r="AR643" s="11"/>
      <c r="AS643" s="113">
        <f>IF(AND(I643="",K643="",AF643="",AL643="",AN643="",O643=""),"",IF(OR(I643="SIM",K643="SIM",AF643="SIM",AL643="SIM",OR(AN643="Dados pessoais",AN643="Dados sensíveis",AN643="Dados pessoais e sensíveis"),O643="Acima de 10.000 titulares por mês",(IF(I643="SIM",2,0)+IF(K643="SIM",2,0)+IF(AF643="SIM",2,0)+IF(OR(AN643="Dados pessoais",AN643="Dados sensíveis",AN643="Dados pessoais e sensíveis"),2,0)+IF(O643="De 1.001 a 10.000 titulares por mês",1,0)+IF(AA643="SIM",1,0)+IF(R643="SIM",1,0)+IF(AL643="SIM",1,0)+IF(AJ643="NÃO",1,0))&gt;=3),"DPIA indicado ou em avaliação em razão de: " &amp; TRIM(IF(I643="SIM","tratamento de dados sensíveis; ","") &amp; IF(K643="SIM","utilização de dados de menores; ","") &amp; IF(AF643="SIM","transferência internacional de dados; ","") &amp; IF(AL643="SIM","utilização de inteligência artificial; ","") &amp; IF(OR(AN643="Dados pessoais",AN643="Dados sensíveis",AN643="Dados pessoais e sensíveis"),"dados inseridos em IA; ","") &amp; IF(O643="Acima de 10.000 titulares por mês","volume crítico de titulares; ","") &amp; IF(O643="De 1.001 a 10.000 titulares por mês","volume moderado de titulares; ","") &amp; IF(AA643="SIM","compartilhamento com terceiros; ","") &amp; IF(R643="SIM","compartilhamento com órgãos governamentais; ","") &amp; IF(AJ643="NÃO","ausência de controle de acesso por perfil; ","")),"DPIA não indicado: Processo de baixa criticidade."))</f>
      </c>
    </row>
    <row x14ac:dyDescent="0.25" r="644" customHeight="1" ht="15.75">
      <c r="A644" s="46"/>
      <c r="B644" s="6"/>
      <c r="C644" s="11"/>
      <c r="D644" s="11"/>
      <c r="E644" s="11"/>
      <c r="F644" s="29"/>
      <c r="G644" s="11"/>
      <c r="H644" s="11"/>
      <c r="I644" s="29"/>
      <c r="J644" s="11"/>
      <c r="K644" s="29"/>
      <c r="L644" s="11"/>
      <c r="M644" s="11"/>
      <c r="N644" s="11"/>
      <c r="O644" s="29"/>
      <c r="P644" s="29"/>
      <c r="Q644" s="11"/>
      <c r="R644" s="29"/>
      <c r="S644" s="11"/>
      <c r="T644" s="6"/>
      <c r="U644" s="29"/>
      <c r="V644" s="11"/>
      <c r="W644" s="11"/>
      <c r="X644" s="29"/>
      <c r="Y644" s="11"/>
      <c r="Z644" s="29"/>
      <c r="AA644" s="29"/>
      <c r="AB644" s="11"/>
      <c r="AC644" s="11"/>
      <c r="AD644" s="29"/>
      <c r="AE644" s="11"/>
      <c r="AF644" s="29"/>
      <c r="AG644" s="11"/>
      <c r="AH644" s="29"/>
      <c r="AI644" s="11"/>
      <c r="AJ644" s="29"/>
      <c r="AK644" s="29"/>
      <c r="AL644" s="29"/>
      <c r="AM644" s="11"/>
      <c r="AN644" s="29"/>
      <c r="AO644" s="29"/>
      <c r="AP644" s="6"/>
      <c r="AQ644" s="113">
        <f>IF(AND(I644="",K644="",AF644="",AL644="",AN644="",O644=""),"",IF(OR(I644="SIM",K644="SIM",AF644="SIM",AL644="SIM",AN644="Dados pessoais",AN644="Dados sensíveis",AN644="Dados pessoais e sensíveis",O644="Acima de 10.000 titulares por mês"),"SIM - Alta criticidade",IF((IF(I644="SIM",2,0)+IF(K644="SIM",2,0)+IF(AF644="SIM",2,0)+IF(OR(AN644="Dados pessoais",AN644="Dados sensíveis",AN644="Dados pessoais e sensíveis"),2,0)+IF(O644="De 1.001 a 10.000 titulares por mês",1,0)+IF(AA644="SIM",1,0)+IF(R644="SIM",1,0)+IF(AL644="SIM",1,0)+IF(AJ644="NÃO",1,0))&gt;=5,"SIM - Alta criticidade",IF((IF(I644="SIM",2,0)+IF(K644="SIM",2,0)+IF(AF644="SIM",2,0)+IF(OR(AN644="Dados pessoais",AN644="Dados sensíveis",AN644="Dados pessoais e sensíveis"),2,0)+IF(O644="De 1.001 a 10.000 titulares por mês",1,0)+IF(AA644="SIM",1,0)+IF(R644="SIM",1,0)+IF(AL644="SIM",1,0)+IF(AJ644="NÃO",1,0))&gt;=3,"Avaliação necessária","NÃO"))))</f>
      </c>
      <c r="AR644" s="11"/>
      <c r="AS644" s="113">
        <f>IF(AND(I644="",K644="",AF644="",AL644="",AN644="",O644=""),"",IF(OR(I644="SIM",K644="SIM",AF644="SIM",AL644="SIM",OR(AN644="Dados pessoais",AN644="Dados sensíveis",AN644="Dados pessoais e sensíveis"),O644="Acima de 10.000 titulares por mês",(IF(I644="SIM",2,0)+IF(K644="SIM",2,0)+IF(AF644="SIM",2,0)+IF(OR(AN644="Dados pessoais",AN644="Dados sensíveis",AN644="Dados pessoais e sensíveis"),2,0)+IF(O644="De 1.001 a 10.000 titulares por mês",1,0)+IF(AA644="SIM",1,0)+IF(R644="SIM",1,0)+IF(AL644="SIM",1,0)+IF(AJ644="NÃO",1,0))&gt;=3),"DPIA indicado ou em avaliação em razão de: " &amp; TRIM(IF(I644="SIM","tratamento de dados sensíveis; ","") &amp; IF(K644="SIM","utilização de dados de menores; ","") &amp; IF(AF644="SIM","transferência internacional de dados; ","") &amp; IF(AL644="SIM","utilização de inteligência artificial; ","") &amp; IF(OR(AN644="Dados pessoais",AN644="Dados sensíveis",AN644="Dados pessoais e sensíveis"),"dados inseridos em IA; ","") &amp; IF(O644="Acima de 10.000 titulares por mês","volume crítico de titulares; ","") &amp; IF(O644="De 1.001 a 10.000 titulares por mês","volume moderado de titulares; ","") &amp; IF(AA644="SIM","compartilhamento com terceiros; ","") &amp; IF(R644="SIM","compartilhamento com órgãos governamentais; ","") &amp; IF(AJ644="NÃO","ausência de controle de acesso por perfil; ","")),"DPIA não indicado: Processo de baixa criticidade."))</f>
      </c>
    </row>
    <row x14ac:dyDescent="0.25" r="645" customHeight="1" ht="15.75">
      <c r="A645" s="46"/>
      <c r="B645" s="6"/>
      <c r="C645" s="11"/>
      <c r="D645" s="11"/>
      <c r="E645" s="11"/>
      <c r="F645" s="29"/>
      <c r="G645" s="11"/>
      <c r="H645" s="11"/>
      <c r="I645" s="29"/>
      <c r="J645" s="11"/>
      <c r="K645" s="29"/>
      <c r="L645" s="11"/>
      <c r="M645" s="11"/>
      <c r="N645" s="11"/>
      <c r="O645" s="29"/>
      <c r="P645" s="29"/>
      <c r="Q645" s="11"/>
      <c r="R645" s="29"/>
      <c r="S645" s="11"/>
      <c r="T645" s="6"/>
      <c r="U645" s="29"/>
      <c r="V645" s="11"/>
      <c r="W645" s="11"/>
      <c r="X645" s="29"/>
      <c r="Y645" s="11"/>
      <c r="Z645" s="29"/>
      <c r="AA645" s="29"/>
      <c r="AB645" s="11"/>
      <c r="AC645" s="11"/>
      <c r="AD645" s="29"/>
      <c r="AE645" s="11"/>
      <c r="AF645" s="29"/>
      <c r="AG645" s="11"/>
      <c r="AH645" s="29"/>
      <c r="AI645" s="11"/>
      <c r="AJ645" s="29"/>
      <c r="AK645" s="29"/>
      <c r="AL645" s="29"/>
      <c r="AM645" s="11"/>
      <c r="AN645" s="29"/>
      <c r="AO645" s="29"/>
      <c r="AP645" s="6"/>
      <c r="AQ645" s="113">
        <f>IF(AND(I645="",K645="",AF645="",AL645="",AN645="",O645=""),"",IF(OR(I645="SIM",K645="SIM",AF645="SIM",AL645="SIM",AN645="Dados pessoais",AN645="Dados sensíveis",AN645="Dados pessoais e sensíveis",O645="Acima de 10.000 titulares por mês"),"SIM - Alta criticidade",IF((IF(I645="SIM",2,0)+IF(K645="SIM",2,0)+IF(AF645="SIM",2,0)+IF(OR(AN645="Dados pessoais",AN645="Dados sensíveis",AN645="Dados pessoais e sensíveis"),2,0)+IF(O645="De 1.001 a 10.000 titulares por mês",1,0)+IF(AA645="SIM",1,0)+IF(R645="SIM",1,0)+IF(AL645="SIM",1,0)+IF(AJ645="NÃO",1,0))&gt;=5,"SIM - Alta criticidade",IF((IF(I645="SIM",2,0)+IF(K645="SIM",2,0)+IF(AF645="SIM",2,0)+IF(OR(AN645="Dados pessoais",AN645="Dados sensíveis",AN645="Dados pessoais e sensíveis"),2,0)+IF(O645="De 1.001 a 10.000 titulares por mês",1,0)+IF(AA645="SIM",1,0)+IF(R645="SIM",1,0)+IF(AL645="SIM",1,0)+IF(AJ645="NÃO",1,0))&gt;=3,"Avaliação necessária","NÃO"))))</f>
      </c>
      <c r="AR645" s="11"/>
      <c r="AS645" s="113">
        <f>IF(AND(I645="",K645="",AF645="",AL645="",AN645="",O645=""),"",IF(OR(I645="SIM",K645="SIM",AF645="SIM",AL645="SIM",OR(AN645="Dados pessoais",AN645="Dados sensíveis",AN645="Dados pessoais e sensíveis"),O645="Acima de 10.000 titulares por mês",(IF(I645="SIM",2,0)+IF(K645="SIM",2,0)+IF(AF645="SIM",2,0)+IF(OR(AN645="Dados pessoais",AN645="Dados sensíveis",AN645="Dados pessoais e sensíveis"),2,0)+IF(O645="De 1.001 a 10.000 titulares por mês",1,0)+IF(AA645="SIM",1,0)+IF(R645="SIM",1,0)+IF(AL645="SIM",1,0)+IF(AJ645="NÃO",1,0))&gt;=3),"DPIA indicado ou em avaliação em razão de: " &amp; TRIM(IF(I645="SIM","tratamento de dados sensíveis; ","") &amp; IF(K645="SIM","utilização de dados de menores; ","") &amp; IF(AF645="SIM","transferência internacional de dados; ","") &amp; IF(AL645="SIM","utilização de inteligência artificial; ","") &amp; IF(OR(AN645="Dados pessoais",AN645="Dados sensíveis",AN645="Dados pessoais e sensíveis"),"dados inseridos em IA; ","") &amp; IF(O645="Acima de 10.000 titulares por mês","volume crítico de titulares; ","") &amp; IF(O645="De 1.001 a 10.000 titulares por mês","volume moderado de titulares; ","") &amp; IF(AA645="SIM","compartilhamento com terceiros; ","") &amp; IF(R645="SIM","compartilhamento com órgãos governamentais; ","") &amp; IF(AJ645="NÃO","ausência de controle de acesso por perfil; ","")),"DPIA não indicado: Processo de baixa criticidade."))</f>
      </c>
    </row>
    <row x14ac:dyDescent="0.25" r="646" customHeight="1" ht="15.75">
      <c r="A646" s="46"/>
      <c r="B646" s="6"/>
      <c r="C646" s="11"/>
      <c r="D646" s="11"/>
      <c r="E646" s="11"/>
      <c r="F646" s="29"/>
      <c r="G646" s="11"/>
      <c r="H646" s="11"/>
      <c r="I646" s="29"/>
      <c r="J646" s="11"/>
      <c r="K646" s="29"/>
      <c r="L646" s="11"/>
      <c r="M646" s="11"/>
      <c r="N646" s="11"/>
      <c r="O646" s="29"/>
      <c r="P646" s="29"/>
      <c r="Q646" s="11"/>
      <c r="R646" s="29"/>
      <c r="S646" s="11"/>
      <c r="T646" s="6"/>
      <c r="U646" s="29"/>
      <c r="V646" s="11"/>
      <c r="W646" s="11"/>
      <c r="X646" s="29"/>
      <c r="Y646" s="11"/>
      <c r="Z646" s="29"/>
      <c r="AA646" s="29"/>
      <c r="AB646" s="11"/>
      <c r="AC646" s="11"/>
      <c r="AD646" s="29"/>
      <c r="AE646" s="11"/>
      <c r="AF646" s="29"/>
      <c r="AG646" s="11"/>
      <c r="AH646" s="29"/>
      <c r="AI646" s="11"/>
      <c r="AJ646" s="29"/>
      <c r="AK646" s="29"/>
      <c r="AL646" s="29"/>
      <c r="AM646" s="11"/>
      <c r="AN646" s="29"/>
      <c r="AO646" s="29"/>
      <c r="AP646" s="6"/>
      <c r="AQ646" s="113">
        <f>IF(AND(I646="",K646="",AF646="",AL646="",AN646="",O646=""),"",IF(OR(I646="SIM",K646="SIM",AF646="SIM",AL646="SIM",AN646="Dados pessoais",AN646="Dados sensíveis",AN646="Dados pessoais e sensíveis",O646="Acima de 10.000 titulares por mês"),"SIM - Alta criticidade",IF((IF(I646="SIM",2,0)+IF(K646="SIM",2,0)+IF(AF646="SIM",2,0)+IF(OR(AN646="Dados pessoais",AN646="Dados sensíveis",AN646="Dados pessoais e sensíveis"),2,0)+IF(O646="De 1.001 a 10.000 titulares por mês",1,0)+IF(AA646="SIM",1,0)+IF(R646="SIM",1,0)+IF(AL646="SIM",1,0)+IF(AJ646="NÃO",1,0))&gt;=5,"SIM - Alta criticidade",IF((IF(I646="SIM",2,0)+IF(K646="SIM",2,0)+IF(AF646="SIM",2,0)+IF(OR(AN646="Dados pessoais",AN646="Dados sensíveis",AN646="Dados pessoais e sensíveis"),2,0)+IF(O646="De 1.001 a 10.000 titulares por mês",1,0)+IF(AA646="SIM",1,0)+IF(R646="SIM",1,0)+IF(AL646="SIM",1,0)+IF(AJ646="NÃO",1,0))&gt;=3,"Avaliação necessária","NÃO"))))</f>
      </c>
      <c r="AR646" s="11"/>
      <c r="AS646" s="113">
        <f>IF(AND(I646="",K646="",AF646="",AL646="",AN646="",O646=""),"",IF(OR(I646="SIM",K646="SIM",AF646="SIM",AL646="SIM",OR(AN646="Dados pessoais",AN646="Dados sensíveis",AN646="Dados pessoais e sensíveis"),O646="Acima de 10.000 titulares por mês",(IF(I646="SIM",2,0)+IF(K646="SIM",2,0)+IF(AF646="SIM",2,0)+IF(OR(AN646="Dados pessoais",AN646="Dados sensíveis",AN646="Dados pessoais e sensíveis"),2,0)+IF(O646="De 1.001 a 10.000 titulares por mês",1,0)+IF(AA646="SIM",1,0)+IF(R646="SIM",1,0)+IF(AL646="SIM",1,0)+IF(AJ646="NÃO",1,0))&gt;=3),"DPIA indicado ou em avaliação em razão de: " &amp; TRIM(IF(I646="SIM","tratamento de dados sensíveis; ","") &amp; IF(K646="SIM","utilização de dados de menores; ","") &amp; IF(AF646="SIM","transferência internacional de dados; ","") &amp; IF(AL646="SIM","utilização de inteligência artificial; ","") &amp; IF(OR(AN646="Dados pessoais",AN646="Dados sensíveis",AN646="Dados pessoais e sensíveis"),"dados inseridos em IA; ","") &amp; IF(O646="Acima de 10.000 titulares por mês","volume crítico de titulares; ","") &amp; IF(O646="De 1.001 a 10.000 titulares por mês","volume moderado de titulares; ","") &amp; IF(AA646="SIM","compartilhamento com terceiros; ","") &amp; IF(R646="SIM","compartilhamento com órgãos governamentais; ","") &amp; IF(AJ646="NÃO","ausência de controle de acesso por perfil; ","")),"DPIA não indicado: Processo de baixa criticidade."))</f>
      </c>
    </row>
    <row x14ac:dyDescent="0.25" r="647" customHeight="1" ht="15.75">
      <c r="A647" s="46"/>
      <c r="B647" s="6"/>
      <c r="C647" s="11"/>
      <c r="D647" s="11"/>
      <c r="E647" s="11"/>
      <c r="F647" s="29"/>
      <c r="G647" s="11"/>
      <c r="H647" s="11"/>
      <c r="I647" s="29"/>
      <c r="J647" s="11"/>
      <c r="K647" s="29"/>
      <c r="L647" s="11"/>
      <c r="M647" s="11"/>
      <c r="N647" s="11"/>
      <c r="O647" s="29"/>
      <c r="P647" s="29"/>
      <c r="Q647" s="11"/>
      <c r="R647" s="29"/>
      <c r="S647" s="11"/>
      <c r="T647" s="6"/>
      <c r="U647" s="29"/>
      <c r="V647" s="11"/>
      <c r="W647" s="11"/>
      <c r="X647" s="29"/>
      <c r="Y647" s="11"/>
      <c r="Z647" s="29"/>
      <c r="AA647" s="29"/>
      <c r="AB647" s="11"/>
      <c r="AC647" s="11"/>
      <c r="AD647" s="29"/>
      <c r="AE647" s="11"/>
      <c r="AF647" s="29"/>
      <c r="AG647" s="11"/>
      <c r="AH647" s="29"/>
      <c r="AI647" s="11"/>
      <c r="AJ647" s="29"/>
      <c r="AK647" s="29"/>
      <c r="AL647" s="29"/>
      <c r="AM647" s="11"/>
      <c r="AN647" s="29"/>
      <c r="AO647" s="29"/>
      <c r="AP647" s="6"/>
      <c r="AQ647" s="113">
        <f>IF(AND(I647="",K647="",AF647="",AL647="",AN647="",O647=""),"",IF(OR(I647="SIM",K647="SIM",AF647="SIM",AL647="SIM",AN647="Dados pessoais",AN647="Dados sensíveis",AN647="Dados pessoais e sensíveis",O647="Acima de 10.000 titulares por mês"),"SIM - Alta criticidade",IF((IF(I647="SIM",2,0)+IF(K647="SIM",2,0)+IF(AF647="SIM",2,0)+IF(OR(AN647="Dados pessoais",AN647="Dados sensíveis",AN647="Dados pessoais e sensíveis"),2,0)+IF(O647="De 1.001 a 10.000 titulares por mês",1,0)+IF(AA647="SIM",1,0)+IF(R647="SIM",1,0)+IF(AL647="SIM",1,0)+IF(AJ647="NÃO",1,0))&gt;=5,"SIM - Alta criticidade",IF((IF(I647="SIM",2,0)+IF(K647="SIM",2,0)+IF(AF647="SIM",2,0)+IF(OR(AN647="Dados pessoais",AN647="Dados sensíveis",AN647="Dados pessoais e sensíveis"),2,0)+IF(O647="De 1.001 a 10.000 titulares por mês",1,0)+IF(AA647="SIM",1,0)+IF(R647="SIM",1,0)+IF(AL647="SIM",1,0)+IF(AJ647="NÃO",1,0))&gt;=3,"Avaliação necessária","NÃO"))))</f>
      </c>
      <c r="AR647" s="11"/>
      <c r="AS647" s="113">
        <f>IF(AND(I647="",K647="",AF647="",AL647="",AN647="",O647=""),"",IF(OR(I647="SIM",K647="SIM",AF647="SIM",AL647="SIM",OR(AN647="Dados pessoais",AN647="Dados sensíveis",AN647="Dados pessoais e sensíveis"),O647="Acima de 10.000 titulares por mês",(IF(I647="SIM",2,0)+IF(K647="SIM",2,0)+IF(AF647="SIM",2,0)+IF(OR(AN647="Dados pessoais",AN647="Dados sensíveis",AN647="Dados pessoais e sensíveis"),2,0)+IF(O647="De 1.001 a 10.000 titulares por mês",1,0)+IF(AA647="SIM",1,0)+IF(R647="SIM",1,0)+IF(AL647="SIM",1,0)+IF(AJ647="NÃO",1,0))&gt;=3),"DPIA indicado ou em avaliação em razão de: " &amp; TRIM(IF(I647="SIM","tratamento de dados sensíveis; ","") &amp; IF(K647="SIM","utilização de dados de menores; ","") &amp; IF(AF647="SIM","transferência internacional de dados; ","") &amp; IF(AL647="SIM","utilização de inteligência artificial; ","") &amp; IF(OR(AN647="Dados pessoais",AN647="Dados sensíveis",AN647="Dados pessoais e sensíveis"),"dados inseridos em IA; ","") &amp; IF(O647="Acima de 10.000 titulares por mês","volume crítico de titulares; ","") &amp; IF(O647="De 1.001 a 10.000 titulares por mês","volume moderado de titulares; ","") &amp; IF(AA647="SIM","compartilhamento com terceiros; ","") &amp; IF(R647="SIM","compartilhamento com órgãos governamentais; ","") &amp; IF(AJ647="NÃO","ausência de controle de acesso por perfil; ","")),"DPIA não indicado: Processo de baixa criticidade."))</f>
      </c>
    </row>
    <row x14ac:dyDescent="0.25" r="648" customHeight="1" ht="15.75">
      <c r="A648" s="46"/>
      <c r="B648" s="6"/>
      <c r="C648" s="11"/>
      <c r="D648" s="11"/>
      <c r="E648" s="11"/>
      <c r="F648" s="29"/>
      <c r="G648" s="11"/>
      <c r="H648" s="11"/>
      <c r="I648" s="29"/>
      <c r="J648" s="11"/>
      <c r="K648" s="29"/>
      <c r="L648" s="11"/>
      <c r="M648" s="11"/>
      <c r="N648" s="11"/>
      <c r="O648" s="29"/>
      <c r="P648" s="29"/>
      <c r="Q648" s="11"/>
      <c r="R648" s="29"/>
      <c r="S648" s="11"/>
      <c r="T648" s="6"/>
      <c r="U648" s="29"/>
      <c r="V648" s="11"/>
      <c r="W648" s="11"/>
      <c r="X648" s="29"/>
      <c r="Y648" s="11"/>
      <c r="Z648" s="29"/>
      <c r="AA648" s="29"/>
      <c r="AB648" s="11"/>
      <c r="AC648" s="11"/>
      <c r="AD648" s="29"/>
      <c r="AE648" s="11"/>
      <c r="AF648" s="29"/>
      <c r="AG648" s="11"/>
      <c r="AH648" s="29"/>
      <c r="AI648" s="11"/>
      <c r="AJ648" s="29"/>
      <c r="AK648" s="29"/>
      <c r="AL648" s="29"/>
      <c r="AM648" s="11"/>
      <c r="AN648" s="29"/>
      <c r="AO648" s="29"/>
      <c r="AP648" s="6"/>
      <c r="AQ648" s="113">
        <f>IF(AND(I648="",K648="",AF648="",AL648="",AN648="",O648=""),"",IF(OR(I648="SIM",K648="SIM",AF648="SIM",AL648="SIM",AN648="Dados pessoais",AN648="Dados sensíveis",AN648="Dados pessoais e sensíveis",O648="Acima de 10.000 titulares por mês"),"SIM - Alta criticidade",IF((IF(I648="SIM",2,0)+IF(K648="SIM",2,0)+IF(AF648="SIM",2,0)+IF(OR(AN648="Dados pessoais",AN648="Dados sensíveis",AN648="Dados pessoais e sensíveis"),2,0)+IF(O648="De 1.001 a 10.000 titulares por mês",1,0)+IF(AA648="SIM",1,0)+IF(R648="SIM",1,0)+IF(AL648="SIM",1,0)+IF(AJ648="NÃO",1,0))&gt;=5,"SIM - Alta criticidade",IF((IF(I648="SIM",2,0)+IF(K648="SIM",2,0)+IF(AF648="SIM",2,0)+IF(OR(AN648="Dados pessoais",AN648="Dados sensíveis",AN648="Dados pessoais e sensíveis"),2,0)+IF(O648="De 1.001 a 10.000 titulares por mês",1,0)+IF(AA648="SIM",1,0)+IF(R648="SIM",1,0)+IF(AL648="SIM",1,0)+IF(AJ648="NÃO",1,0))&gt;=3,"Avaliação necessária","NÃO"))))</f>
      </c>
      <c r="AR648" s="11"/>
      <c r="AS648" s="113">
        <f>IF(AND(I648="",K648="",AF648="",AL648="",AN648="",O648=""),"",IF(OR(I648="SIM",K648="SIM",AF648="SIM",AL648="SIM",OR(AN648="Dados pessoais",AN648="Dados sensíveis",AN648="Dados pessoais e sensíveis"),O648="Acima de 10.000 titulares por mês",(IF(I648="SIM",2,0)+IF(K648="SIM",2,0)+IF(AF648="SIM",2,0)+IF(OR(AN648="Dados pessoais",AN648="Dados sensíveis",AN648="Dados pessoais e sensíveis"),2,0)+IF(O648="De 1.001 a 10.000 titulares por mês",1,0)+IF(AA648="SIM",1,0)+IF(R648="SIM",1,0)+IF(AL648="SIM",1,0)+IF(AJ648="NÃO",1,0))&gt;=3),"DPIA indicado ou em avaliação em razão de: " &amp; TRIM(IF(I648="SIM","tratamento de dados sensíveis; ","") &amp; IF(K648="SIM","utilização de dados de menores; ","") &amp; IF(AF648="SIM","transferência internacional de dados; ","") &amp; IF(AL648="SIM","utilização de inteligência artificial; ","") &amp; IF(OR(AN648="Dados pessoais",AN648="Dados sensíveis",AN648="Dados pessoais e sensíveis"),"dados inseridos em IA; ","") &amp; IF(O648="Acima de 10.000 titulares por mês","volume crítico de titulares; ","") &amp; IF(O648="De 1.001 a 10.000 titulares por mês","volume moderado de titulares; ","") &amp; IF(AA648="SIM","compartilhamento com terceiros; ","") &amp; IF(R648="SIM","compartilhamento com órgãos governamentais; ","") &amp; IF(AJ648="NÃO","ausência de controle de acesso por perfil; ","")),"DPIA não indicado: Processo de baixa criticidade."))</f>
      </c>
    </row>
    <row x14ac:dyDescent="0.25" r="649" customHeight="1" ht="15.75">
      <c r="A649" s="46"/>
      <c r="B649" s="6"/>
      <c r="C649" s="11"/>
      <c r="D649" s="11"/>
      <c r="E649" s="11"/>
      <c r="F649" s="29"/>
      <c r="G649" s="11"/>
      <c r="H649" s="11"/>
      <c r="I649" s="29"/>
      <c r="J649" s="11"/>
      <c r="K649" s="29"/>
      <c r="L649" s="11"/>
      <c r="M649" s="11"/>
      <c r="N649" s="11"/>
      <c r="O649" s="29"/>
      <c r="P649" s="29"/>
      <c r="Q649" s="11"/>
      <c r="R649" s="29"/>
      <c r="S649" s="11"/>
      <c r="T649" s="6"/>
      <c r="U649" s="29"/>
      <c r="V649" s="11"/>
      <c r="W649" s="11"/>
      <c r="X649" s="29"/>
      <c r="Y649" s="11"/>
      <c r="Z649" s="29"/>
      <c r="AA649" s="29"/>
      <c r="AB649" s="11"/>
      <c r="AC649" s="11"/>
      <c r="AD649" s="29"/>
      <c r="AE649" s="11"/>
      <c r="AF649" s="29"/>
      <c r="AG649" s="11"/>
      <c r="AH649" s="29"/>
      <c r="AI649" s="11"/>
      <c r="AJ649" s="29"/>
      <c r="AK649" s="29"/>
      <c r="AL649" s="29"/>
      <c r="AM649" s="11"/>
      <c r="AN649" s="29"/>
      <c r="AO649" s="29"/>
      <c r="AP649" s="6"/>
      <c r="AQ649" s="113">
        <f>IF(AND(I649="",K649="",AF649="",AL649="",AN649="",O649=""),"",IF(OR(I649="SIM",K649="SIM",AF649="SIM",AL649="SIM",AN649="Dados pessoais",AN649="Dados sensíveis",AN649="Dados pessoais e sensíveis",O649="Acima de 10.000 titulares por mês"),"SIM - Alta criticidade",IF((IF(I649="SIM",2,0)+IF(K649="SIM",2,0)+IF(AF649="SIM",2,0)+IF(OR(AN649="Dados pessoais",AN649="Dados sensíveis",AN649="Dados pessoais e sensíveis"),2,0)+IF(O649="De 1.001 a 10.000 titulares por mês",1,0)+IF(AA649="SIM",1,0)+IF(R649="SIM",1,0)+IF(AL649="SIM",1,0)+IF(AJ649="NÃO",1,0))&gt;=5,"SIM - Alta criticidade",IF((IF(I649="SIM",2,0)+IF(K649="SIM",2,0)+IF(AF649="SIM",2,0)+IF(OR(AN649="Dados pessoais",AN649="Dados sensíveis",AN649="Dados pessoais e sensíveis"),2,0)+IF(O649="De 1.001 a 10.000 titulares por mês",1,0)+IF(AA649="SIM",1,0)+IF(R649="SIM",1,0)+IF(AL649="SIM",1,0)+IF(AJ649="NÃO",1,0))&gt;=3,"Avaliação necessária","NÃO"))))</f>
      </c>
      <c r="AR649" s="11"/>
      <c r="AS649" s="113">
        <f>IF(AND(I649="",K649="",AF649="",AL649="",AN649="",O649=""),"",IF(OR(I649="SIM",K649="SIM",AF649="SIM",AL649="SIM",OR(AN649="Dados pessoais",AN649="Dados sensíveis",AN649="Dados pessoais e sensíveis"),O649="Acima de 10.000 titulares por mês",(IF(I649="SIM",2,0)+IF(K649="SIM",2,0)+IF(AF649="SIM",2,0)+IF(OR(AN649="Dados pessoais",AN649="Dados sensíveis",AN649="Dados pessoais e sensíveis"),2,0)+IF(O649="De 1.001 a 10.000 titulares por mês",1,0)+IF(AA649="SIM",1,0)+IF(R649="SIM",1,0)+IF(AL649="SIM",1,0)+IF(AJ649="NÃO",1,0))&gt;=3),"DPIA indicado ou em avaliação em razão de: " &amp; TRIM(IF(I649="SIM","tratamento de dados sensíveis; ","") &amp; IF(K649="SIM","utilização de dados de menores; ","") &amp; IF(AF649="SIM","transferência internacional de dados; ","") &amp; IF(AL649="SIM","utilização de inteligência artificial; ","") &amp; IF(OR(AN649="Dados pessoais",AN649="Dados sensíveis",AN649="Dados pessoais e sensíveis"),"dados inseridos em IA; ","") &amp; IF(O649="Acima de 10.000 titulares por mês","volume crítico de titulares; ","") &amp; IF(O649="De 1.001 a 10.000 titulares por mês","volume moderado de titulares; ","") &amp; IF(AA649="SIM","compartilhamento com terceiros; ","") &amp; IF(R649="SIM","compartilhamento com órgãos governamentais; ","") &amp; IF(AJ649="NÃO","ausência de controle de acesso por perfil; ","")),"DPIA não indicado: Processo de baixa criticidade."))</f>
      </c>
    </row>
    <row x14ac:dyDescent="0.25" r="650" customHeight="1" ht="15.75">
      <c r="A650" s="46"/>
      <c r="B650" s="6"/>
      <c r="C650" s="11"/>
      <c r="D650" s="11"/>
      <c r="E650" s="11"/>
      <c r="F650" s="29"/>
      <c r="G650" s="11"/>
      <c r="H650" s="11"/>
      <c r="I650" s="29"/>
      <c r="J650" s="11"/>
      <c r="K650" s="29"/>
      <c r="L650" s="11"/>
      <c r="M650" s="11"/>
      <c r="N650" s="11"/>
      <c r="O650" s="29"/>
      <c r="P650" s="29"/>
      <c r="Q650" s="11"/>
      <c r="R650" s="29"/>
      <c r="S650" s="11"/>
      <c r="T650" s="6"/>
      <c r="U650" s="29"/>
      <c r="V650" s="11"/>
      <c r="W650" s="11"/>
      <c r="X650" s="29"/>
      <c r="Y650" s="11"/>
      <c r="Z650" s="29"/>
      <c r="AA650" s="29"/>
      <c r="AB650" s="11"/>
      <c r="AC650" s="11"/>
      <c r="AD650" s="29"/>
      <c r="AE650" s="11"/>
      <c r="AF650" s="29"/>
      <c r="AG650" s="11"/>
      <c r="AH650" s="29"/>
      <c r="AI650" s="11"/>
      <c r="AJ650" s="29"/>
      <c r="AK650" s="29"/>
      <c r="AL650" s="29"/>
      <c r="AM650" s="11"/>
      <c r="AN650" s="29"/>
      <c r="AO650" s="29"/>
      <c r="AP650" s="6"/>
      <c r="AQ650" s="113">
        <f>IF(AND(I650="",K650="",AF650="",AL650="",AN650="",O650=""),"",IF(OR(I650="SIM",K650="SIM",AF650="SIM",AL650="SIM",AN650="Dados pessoais",AN650="Dados sensíveis",AN650="Dados pessoais e sensíveis",O650="Acima de 10.000 titulares por mês"),"SIM - Alta criticidade",IF((IF(I650="SIM",2,0)+IF(K650="SIM",2,0)+IF(AF650="SIM",2,0)+IF(OR(AN650="Dados pessoais",AN650="Dados sensíveis",AN650="Dados pessoais e sensíveis"),2,0)+IF(O650="De 1.001 a 10.000 titulares por mês",1,0)+IF(AA650="SIM",1,0)+IF(R650="SIM",1,0)+IF(AL650="SIM",1,0)+IF(AJ650="NÃO",1,0))&gt;=5,"SIM - Alta criticidade",IF((IF(I650="SIM",2,0)+IF(K650="SIM",2,0)+IF(AF650="SIM",2,0)+IF(OR(AN650="Dados pessoais",AN650="Dados sensíveis",AN650="Dados pessoais e sensíveis"),2,0)+IF(O650="De 1.001 a 10.000 titulares por mês",1,0)+IF(AA650="SIM",1,0)+IF(R650="SIM",1,0)+IF(AL650="SIM",1,0)+IF(AJ650="NÃO",1,0))&gt;=3,"Avaliação necessária","NÃO"))))</f>
      </c>
      <c r="AR650" s="11"/>
      <c r="AS650" s="113">
        <f>IF(AND(I650="",K650="",AF650="",AL650="",AN650="",O650=""),"",IF(OR(I650="SIM",K650="SIM",AF650="SIM",AL650="SIM",OR(AN650="Dados pessoais",AN650="Dados sensíveis",AN650="Dados pessoais e sensíveis"),O650="Acima de 10.000 titulares por mês",(IF(I650="SIM",2,0)+IF(K650="SIM",2,0)+IF(AF650="SIM",2,0)+IF(OR(AN650="Dados pessoais",AN650="Dados sensíveis",AN650="Dados pessoais e sensíveis"),2,0)+IF(O650="De 1.001 a 10.000 titulares por mês",1,0)+IF(AA650="SIM",1,0)+IF(R650="SIM",1,0)+IF(AL650="SIM",1,0)+IF(AJ650="NÃO",1,0))&gt;=3),"DPIA indicado ou em avaliação em razão de: " &amp; TRIM(IF(I650="SIM","tratamento de dados sensíveis; ","") &amp; IF(K650="SIM","utilização de dados de menores; ","") &amp; IF(AF650="SIM","transferência internacional de dados; ","") &amp; IF(AL650="SIM","utilização de inteligência artificial; ","") &amp; IF(OR(AN650="Dados pessoais",AN650="Dados sensíveis",AN650="Dados pessoais e sensíveis"),"dados inseridos em IA; ","") &amp; IF(O650="Acima de 10.000 titulares por mês","volume crítico de titulares; ","") &amp; IF(O650="De 1.001 a 10.000 titulares por mês","volume moderado de titulares; ","") &amp; IF(AA650="SIM","compartilhamento com terceiros; ","") &amp; IF(R650="SIM","compartilhamento com órgãos governamentais; ","") &amp; IF(AJ650="NÃO","ausência de controle de acesso por perfil; ","")),"DPIA não indicado: Processo de baixa criticidade."))</f>
      </c>
    </row>
    <row x14ac:dyDescent="0.25" r="651" customHeight="1" ht="15.75">
      <c r="A651" s="46"/>
      <c r="B651" s="6"/>
      <c r="C651" s="11"/>
      <c r="D651" s="11"/>
      <c r="E651" s="11"/>
      <c r="F651" s="29"/>
      <c r="G651" s="11"/>
      <c r="H651" s="11"/>
      <c r="I651" s="29"/>
      <c r="J651" s="11"/>
      <c r="K651" s="29"/>
      <c r="L651" s="11"/>
      <c r="M651" s="11"/>
      <c r="N651" s="11"/>
      <c r="O651" s="29"/>
      <c r="P651" s="29"/>
      <c r="Q651" s="11"/>
      <c r="R651" s="29"/>
      <c r="S651" s="11"/>
      <c r="T651" s="6"/>
      <c r="U651" s="29"/>
      <c r="V651" s="11"/>
      <c r="W651" s="11"/>
      <c r="X651" s="29"/>
      <c r="Y651" s="11"/>
      <c r="Z651" s="29"/>
      <c r="AA651" s="29"/>
      <c r="AB651" s="11"/>
      <c r="AC651" s="11"/>
      <c r="AD651" s="29"/>
      <c r="AE651" s="11"/>
      <c r="AF651" s="29"/>
      <c r="AG651" s="11"/>
      <c r="AH651" s="29"/>
      <c r="AI651" s="11"/>
      <c r="AJ651" s="29"/>
      <c r="AK651" s="29"/>
      <c r="AL651" s="29"/>
      <c r="AM651" s="11"/>
      <c r="AN651" s="29"/>
      <c r="AO651" s="29"/>
      <c r="AP651" s="6"/>
      <c r="AQ651" s="113">
        <f>IF(AND(I651="",K651="",AF651="",AL651="",AN651="",O651=""),"",IF(OR(I651="SIM",K651="SIM",AF651="SIM",AL651="SIM",AN651="Dados pessoais",AN651="Dados sensíveis",AN651="Dados pessoais e sensíveis",O651="Acima de 10.000 titulares por mês"),"SIM - Alta criticidade",IF((IF(I651="SIM",2,0)+IF(K651="SIM",2,0)+IF(AF651="SIM",2,0)+IF(OR(AN651="Dados pessoais",AN651="Dados sensíveis",AN651="Dados pessoais e sensíveis"),2,0)+IF(O651="De 1.001 a 10.000 titulares por mês",1,0)+IF(AA651="SIM",1,0)+IF(R651="SIM",1,0)+IF(AL651="SIM",1,0)+IF(AJ651="NÃO",1,0))&gt;=5,"SIM - Alta criticidade",IF((IF(I651="SIM",2,0)+IF(K651="SIM",2,0)+IF(AF651="SIM",2,0)+IF(OR(AN651="Dados pessoais",AN651="Dados sensíveis",AN651="Dados pessoais e sensíveis"),2,0)+IF(O651="De 1.001 a 10.000 titulares por mês",1,0)+IF(AA651="SIM",1,0)+IF(R651="SIM",1,0)+IF(AL651="SIM",1,0)+IF(AJ651="NÃO",1,0))&gt;=3,"Avaliação necessária","NÃO"))))</f>
      </c>
      <c r="AR651" s="11"/>
      <c r="AS651" s="113">
        <f>IF(AND(I651="",K651="",AF651="",AL651="",AN651="",O651=""),"",IF(OR(I651="SIM",K651="SIM",AF651="SIM",AL651="SIM",OR(AN651="Dados pessoais",AN651="Dados sensíveis",AN651="Dados pessoais e sensíveis"),O651="Acima de 10.000 titulares por mês",(IF(I651="SIM",2,0)+IF(K651="SIM",2,0)+IF(AF651="SIM",2,0)+IF(OR(AN651="Dados pessoais",AN651="Dados sensíveis",AN651="Dados pessoais e sensíveis"),2,0)+IF(O651="De 1.001 a 10.000 titulares por mês",1,0)+IF(AA651="SIM",1,0)+IF(R651="SIM",1,0)+IF(AL651="SIM",1,0)+IF(AJ651="NÃO",1,0))&gt;=3),"DPIA indicado ou em avaliação em razão de: " &amp; TRIM(IF(I651="SIM","tratamento de dados sensíveis; ","") &amp; IF(K651="SIM","utilização de dados de menores; ","") &amp; IF(AF651="SIM","transferência internacional de dados; ","") &amp; IF(AL651="SIM","utilização de inteligência artificial; ","") &amp; IF(OR(AN651="Dados pessoais",AN651="Dados sensíveis",AN651="Dados pessoais e sensíveis"),"dados inseridos em IA; ","") &amp; IF(O651="Acima de 10.000 titulares por mês","volume crítico de titulares; ","") &amp; IF(O651="De 1.001 a 10.000 titulares por mês","volume moderado de titulares; ","") &amp; IF(AA651="SIM","compartilhamento com terceiros; ","") &amp; IF(R651="SIM","compartilhamento com órgãos governamentais; ","") &amp; IF(AJ651="NÃO","ausência de controle de acesso por perfil; ","")),"DPIA não indicado: Processo de baixa criticidade."))</f>
      </c>
    </row>
    <row x14ac:dyDescent="0.25" r="652" customHeight="1" ht="15.75">
      <c r="A652" s="46"/>
      <c r="B652" s="6"/>
      <c r="C652" s="11"/>
      <c r="D652" s="11"/>
      <c r="E652" s="11"/>
      <c r="F652" s="29"/>
      <c r="G652" s="11"/>
      <c r="H652" s="11"/>
      <c r="I652" s="29"/>
      <c r="J652" s="11"/>
      <c r="K652" s="29"/>
      <c r="L652" s="11"/>
      <c r="M652" s="11"/>
      <c r="N652" s="11"/>
      <c r="O652" s="29"/>
      <c r="P652" s="29"/>
      <c r="Q652" s="11"/>
      <c r="R652" s="29"/>
      <c r="S652" s="11"/>
      <c r="T652" s="6"/>
      <c r="U652" s="29"/>
      <c r="V652" s="11"/>
      <c r="W652" s="11"/>
      <c r="X652" s="29"/>
      <c r="Y652" s="11"/>
      <c r="Z652" s="29"/>
      <c r="AA652" s="29"/>
      <c r="AB652" s="11"/>
      <c r="AC652" s="11"/>
      <c r="AD652" s="29"/>
      <c r="AE652" s="11"/>
      <c r="AF652" s="29"/>
      <c r="AG652" s="11"/>
      <c r="AH652" s="29"/>
      <c r="AI652" s="11"/>
      <c r="AJ652" s="29"/>
      <c r="AK652" s="29"/>
      <c r="AL652" s="29"/>
      <c r="AM652" s="11"/>
      <c r="AN652" s="29"/>
      <c r="AO652" s="29"/>
      <c r="AP652" s="6"/>
      <c r="AQ652" s="113">
        <f>IF(AND(I652="",K652="",AF652="",AL652="",AN652="",O652=""),"",IF(OR(I652="SIM",K652="SIM",AF652="SIM",AL652="SIM",AN652="Dados pessoais",AN652="Dados sensíveis",AN652="Dados pessoais e sensíveis",O652="Acima de 10.000 titulares por mês"),"SIM - Alta criticidade",IF((IF(I652="SIM",2,0)+IF(K652="SIM",2,0)+IF(AF652="SIM",2,0)+IF(OR(AN652="Dados pessoais",AN652="Dados sensíveis",AN652="Dados pessoais e sensíveis"),2,0)+IF(O652="De 1.001 a 10.000 titulares por mês",1,0)+IF(AA652="SIM",1,0)+IF(R652="SIM",1,0)+IF(AL652="SIM",1,0)+IF(AJ652="NÃO",1,0))&gt;=5,"SIM - Alta criticidade",IF((IF(I652="SIM",2,0)+IF(K652="SIM",2,0)+IF(AF652="SIM",2,0)+IF(OR(AN652="Dados pessoais",AN652="Dados sensíveis",AN652="Dados pessoais e sensíveis"),2,0)+IF(O652="De 1.001 a 10.000 titulares por mês",1,0)+IF(AA652="SIM",1,0)+IF(R652="SIM",1,0)+IF(AL652="SIM",1,0)+IF(AJ652="NÃO",1,0))&gt;=3,"Avaliação necessária","NÃO"))))</f>
      </c>
      <c r="AR652" s="11"/>
      <c r="AS652" s="113">
        <f>IF(AND(I652="",K652="",AF652="",AL652="",AN652="",O652=""),"",IF(OR(I652="SIM",K652="SIM",AF652="SIM",AL652="SIM",OR(AN652="Dados pessoais",AN652="Dados sensíveis",AN652="Dados pessoais e sensíveis"),O652="Acima de 10.000 titulares por mês",(IF(I652="SIM",2,0)+IF(K652="SIM",2,0)+IF(AF652="SIM",2,0)+IF(OR(AN652="Dados pessoais",AN652="Dados sensíveis",AN652="Dados pessoais e sensíveis"),2,0)+IF(O652="De 1.001 a 10.000 titulares por mês",1,0)+IF(AA652="SIM",1,0)+IF(R652="SIM",1,0)+IF(AL652="SIM",1,0)+IF(AJ652="NÃO",1,0))&gt;=3),"DPIA indicado ou em avaliação em razão de: " &amp; TRIM(IF(I652="SIM","tratamento de dados sensíveis; ","") &amp; IF(K652="SIM","utilização de dados de menores; ","") &amp; IF(AF652="SIM","transferência internacional de dados; ","") &amp; IF(AL652="SIM","utilização de inteligência artificial; ","") &amp; IF(OR(AN652="Dados pessoais",AN652="Dados sensíveis",AN652="Dados pessoais e sensíveis"),"dados inseridos em IA; ","") &amp; IF(O652="Acima de 10.000 titulares por mês","volume crítico de titulares; ","") &amp; IF(O652="De 1.001 a 10.000 titulares por mês","volume moderado de titulares; ","") &amp; IF(AA652="SIM","compartilhamento com terceiros; ","") &amp; IF(R652="SIM","compartilhamento com órgãos governamentais; ","") &amp; IF(AJ652="NÃO","ausência de controle de acesso por perfil; ","")),"DPIA não indicado: Processo de baixa criticidade."))</f>
      </c>
    </row>
    <row x14ac:dyDescent="0.25" r="653" customHeight="1" ht="15.75">
      <c r="A653" s="46"/>
      <c r="B653" s="6"/>
      <c r="C653" s="11"/>
      <c r="D653" s="11"/>
      <c r="E653" s="11"/>
      <c r="F653" s="29"/>
      <c r="G653" s="11"/>
      <c r="H653" s="11"/>
      <c r="I653" s="29"/>
      <c r="J653" s="11"/>
      <c r="K653" s="29"/>
      <c r="L653" s="11"/>
      <c r="M653" s="11"/>
      <c r="N653" s="11"/>
      <c r="O653" s="29"/>
      <c r="P653" s="29"/>
      <c r="Q653" s="11"/>
      <c r="R653" s="29"/>
      <c r="S653" s="11"/>
      <c r="T653" s="6"/>
      <c r="U653" s="29"/>
      <c r="V653" s="11"/>
      <c r="W653" s="11"/>
      <c r="X653" s="29"/>
      <c r="Y653" s="11"/>
      <c r="Z653" s="29"/>
      <c r="AA653" s="29"/>
      <c r="AB653" s="11"/>
      <c r="AC653" s="11"/>
      <c r="AD653" s="29"/>
      <c r="AE653" s="11"/>
      <c r="AF653" s="29"/>
      <c r="AG653" s="11"/>
      <c r="AH653" s="29"/>
      <c r="AI653" s="11"/>
      <c r="AJ653" s="29"/>
      <c r="AK653" s="29"/>
      <c r="AL653" s="29"/>
      <c r="AM653" s="11"/>
      <c r="AN653" s="29"/>
      <c r="AO653" s="29"/>
      <c r="AP653" s="6"/>
      <c r="AQ653" s="113">
        <f>IF(AND(I653="",K653="",AF653="",AL653="",AN653="",O653=""),"",IF(OR(I653="SIM",K653="SIM",AF653="SIM",AL653="SIM",AN653="Dados pessoais",AN653="Dados sensíveis",AN653="Dados pessoais e sensíveis",O653="Acima de 10.000 titulares por mês"),"SIM - Alta criticidade",IF((IF(I653="SIM",2,0)+IF(K653="SIM",2,0)+IF(AF653="SIM",2,0)+IF(OR(AN653="Dados pessoais",AN653="Dados sensíveis",AN653="Dados pessoais e sensíveis"),2,0)+IF(O653="De 1.001 a 10.000 titulares por mês",1,0)+IF(AA653="SIM",1,0)+IF(R653="SIM",1,0)+IF(AL653="SIM",1,0)+IF(AJ653="NÃO",1,0))&gt;=5,"SIM - Alta criticidade",IF((IF(I653="SIM",2,0)+IF(K653="SIM",2,0)+IF(AF653="SIM",2,0)+IF(OR(AN653="Dados pessoais",AN653="Dados sensíveis",AN653="Dados pessoais e sensíveis"),2,0)+IF(O653="De 1.001 a 10.000 titulares por mês",1,0)+IF(AA653="SIM",1,0)+IF(R653="SIM",1,0)+IF(AL653="SIM",1,0)+IF(AJ653="NÃO",1,0))&gt;=3,"Avaliação necessária","NÃO"))))</f>
      </c>
      <c r="AR653" s="11"/>
      <c r="AS653" s="113">
        <f>IF(AND(I653="",K653="",AF653="",AL653="",AN653="",O653=""),"",IF(OR(I653="SIM",K653="SIM",AF653="SIM",AL653="SIM",OR(AN653="Dados pessoais",AN653="Dados sensíveis",AN653="Dados pessoais e sensíveis"),O653="Acima de 10.000 titulares por mês",(IF(I653="SIM",2,0)+IF(K653="SIM",2,0)+IF(AF653="SIM",2,0)+IF(OR(AN653="Dados pessoais",AN653="Dados sensíveis",AN653="Dados pessoais e sensíveis"),2,0)+IF(O653="De 1.001 a 10.000 titulares por mês",1,0)+IF(AA653="SIM",1,0)+IF(R653="SIM",1,0)+IF(AL653="SIM",1,0)+IF(AJ653="NÃO",1,0))&gt;=3),"DPIA indicado ou em avaliação em razão de: " &amp; TRIM(IF(I653="SIM","tratamento de dados sensíveis; ","") &amp; IF(K653="SIM","utilização de dados de menores; ","") &amp; IF(AF653="SIM","transferência internacional de dados; ","") &amp; IF(AL653="SIM","utilização de inteligência artificial; ","") &amp; IF(OR(AN653="Dados pessoais",AN653="Dados sensíveis",AN653="Dados pessoais e sensíveis"),"dados inseridos em IA; ","") &amp; IF(O653="Acima de 10.000 titulares por mês","volume crítico de titulares; ","") &amp; IF(O653="De 1.001 a 10.000 titulares por mês","volume moderado de titulares; ","") &amp; IF(AA653="SIM","compartilhamento com terceiros; ","") &amp; IF(R653="SIM","compartilhamento com órgãos governamentais; ","") &amp; IF(AJ653="NÃO","ausência de controle de acesso por perfil; ","")),"DPIA não indicado: Processo de baixa criticidade."))</f>
      </c>
    </row>
    <row x14ac:dyDescent="0.25" r="654" customHeight="1" ht="15.75">
      <c r="A654" s="46"/>
      <c r="B654" s="6"/>
      <c r="C654" s="11"/>
      <c r="D654" s="11"/>
      <c r="E654" s="11"/>
      <c r="F654" s="29"/>
      <c r="G654" s="11"/>
      <c r="H654" s="11"/>
      <c r="I654" s="29"/>
      <c r="J654" s="11"/>
      <c r="K654" s="29"/>
      <c r="L654" s="11"/>
      <c r="M654" s="11"/>
      <c r="N654" s="11"/>
      <c r="O654" s="29"/>
      <c r="P654" s="29"/>
      <c r="Q654" s="11"/>
      <c r="R654" s="29"/>
      <c r="S654" s="11"/>
      <c r="T654" s="6"/>
      <c r="U654" s="29"/>
      <c r="V654" s="11"/>
      <c r="W654" s="11"/>
      <c r="X654" s="29"/>
      <c r="Y654" s="11"/>
      <c r="Z654" s="29"/>
      <c r="AA654" s="29"/>
      <c r="AB654" s="11"/>
      <c r="AC654" s="11"/>
      <c r="AD654" s="29"/>
      <c r="AE654" s="11"/>
      <c r="AF654" s="29"/>
      <c r="AG654" s="11"/>
      <c r="AH654" s="29"/>
      <c r="AI654" s="11"/>
      <c r="AJ654" s="29"/>
      <c r="AK654" s="29"/>
      <c r="AL654" s="29"/>
      <c r="AM654" s="11"/>
      <c r="AN654" s="29"/>
      <c r="AO654" s="29"/>
      <c r="AP654" s="6"/>
      <c r="AQ654" s="113">
        <f>IF(AND(I654="",K654="",AF654="",AL654="",AN654="",O654=""),"",IF(OR(I654="SIM",K654="SIM",AF654="SIM",AL654="SIM",AN654="Dados pessoais",AN654="Dados sensíveis",AN654="Dados pessoais e sensíveis",O654="Acima de 10.000 titulares por mês"),"SIM - Alta criticidade",IF((IF(I654="SIM",2,0)+IF(K654="SIM",2,0)+IF(AF654="SIM",2,0)+IF(OR(AN654="Dados pessoais",AN654="Dados sensíveis",AN654="Dados pessoais e sensíveis"),2,0)+IF(O654="De 1.001 a 10.000 titulares por mês",1,0)+IF(AA654="SIM",1,0)+IF(R654="SIM",1,0)+IF(AL654="SIM",1,0)+IF(AJ654="NÃO",1,0))&gt;=5,"SIM - Alta criticidade",IF((IF(I654="SIM",2,0)+IF(K654="SIM",2,0)+IF(AF654="SIM",2,0)+IF(OR(AN654="Dados pessoais",AN654="Dados sensíveis",AN654="Dados pessoais e sensíveis"),2,0)+IF(O654="De 1.001 a 10.000 titulares por mês",1,0)+IF(AA654="SIM",1,0)+IF(R654="SIM",1,0)+IF(AL654="SIM",1,0)+IF(AJ654="NÃO",1,0))&gt;=3,"Avaliação necessária","NÃO"))))</f>
      </c>
      <c r="AR654" s="11"/>
      <c r="AS654" s="113">
        <f>IF(AND(I654="",K654="",AF654="",AL654="",AN654="",O654=""),"",IF(OR(I654="SIM",K654="SIM",AF654="SIM",AL654="SIM",OR(AN654="Dados pessoais",AN654="Dados sensíveis",AN654="Dados pessoais e sensíveis"),O654="Acima de 10.000 titulares por mês",(IF(I654="SIM",2,0)+IF(K654="SIM",2,0)+IF(AF654="SIM",2,0)+IF(OR(AN654="Dados pessoais",AN654="Dados sensíveis",AN654="Dados pessoais e sensíveis"),2,0)+IF(O654="De 1.001 a 10.000 titulares por mês",1,0)+IF(AA654="SIM",1,0)+IF(R654="SIM",1,0)+IF(AL654="SIM",1,0)+IF(AJ654="NÃO",1,0))&gt;=3),"DPIA indicado ou em avaliação em razão de: " &amp; TRIM(IF(I654="SIM","tratamento de dados sensíveis; ","") &amp; IF(K654="SIM","utilização de dados de menores; ","") &amp; IF(AF654="SIM","transferência internacional de dados; ","") &amp; IF(AL654="SIM","utilização de inteligência artificial; ","") &amp; IF(OR(AN654="Dados pessoais",AN654="Dados sensíveis",AN654="Dados pessoais e sensíveis"),"dados inseridos em IA; ","") &amp; IF(O654="Acima de 10.000 titulares por mês","volume crítico de titulares; ","") &amp; IF(O654="De 1.001 a 10.000 titulares por mês","volume moderado de titulares; ","") &amp; IF(AA654="SIM","compartilhamento com terceiros; ","") &amp; IF(R654="SIM","compartilhamento com órgãos governamentais; ","") &amp; IF(AJ654="NÃO","ausência de controle de acesso por perfil; ","")),"DPIA não indicado: Processo de baixa criticidade."))</f>
      </c>
    </row>
    <row x14ac:dyDescent="0.25" r="655" customHeight="1" ht="15.75">
      <c r="A655" s="46"/>
      <c r="B655" s="6"/>
      <c r="C655" s="11"/>
      <c r="D655" s="11"/>
      <c r="E655" s="11"/>
      <c r="F655" s="29"/>
      <c r="G655" s="11"/>
      <c r="H655" s="11"/>
      <c r="I655" s="29"/>
      <c r="J655" s="11"/>
      <c r="K655" s="29"/>
      <c r="L655" s="11"/>
      <c r="M655" s="11"/>
      <c r="N655" s="11"/>
      <c r="O655" s="29"/>
      <c r="P655" s="29"/>
      <c r="Q655" s="11"/>
      <c r="R655" s="29"/>
      <c r="S655" s="11"/>
      <c r="T655" s="6"/>
      <c r="U655" s="29"/>
      <c r="V655" s="11"/>
      <c r="W655" s="11"/>
      <c r="X655" s="29"/>
      <c r="Y655" s="11"/>
      <c r="Z655" s="29"/>
      <c r="AA655" s="29"/>
      <c r="AB655" s="11"/>
      <c r="AC655" s="11"/>
      <c r="AD655" s="29"/>
      <c r="AE655" s="11"/>
      <c r="AF655" s="29"/>
      <c r="AG655" s="11"/>
      <c r="AH655" s="29"/>
      <c r="AI655" s="11"/>
      <c r="AJ655" s="29"/>
      <c r="AK655" s="29"/>
      <c r="AL655" s="29"/>
      <c r="AM655" s="11"/>
      <c r="AN655" s="29"/>
      <c r="AO655" s="29"/>
      <c r="AP655" s="6"/>
      <c r="AQ655" s="113">
        <f>IF(AND(I655="",K655="",AF655="",AL655="",AN655="",O655=""),"",IF(OR(I655="SIM",K655="SIM",AF655="SIM",AL655="SIM",AN655="Dados pessoais",AN655="Dados sensíveis",AN655="Dados pessoais e sensíveis",O655="Acima de 10.000 titulares por mês"),"SIM - Alta criticidade",IF((IF(I655="SIM",2,0)+IF(K655="SIM",2,0)+IF(AF655="SIM",2,0)+IF(OR(AN655="Dados pessoais",AN655="Dados sensíveis",AN655="Dados pessoais e sensíveis"),2,0)+IF(O655="De 1.001 a 10.000 titulares por mês",1,0)+IF(AA655="SIM",1,0)+IF(R655="SIM",1,0)+IF(AL655="SIM",1,0)+IF(AJ655="NÃO",1,0))&gt;=5,"SIM - Alta criticidade",IF((IF(I655="SIM",2,0)+IF(K655="SIM",2,0)+IF(AF655="SIM",2,0)+IF(OR(AN655="Dados pessoais",AN655="Dados sensíveis",AN655="Dados pessoais e sensíveis"),2,0)+IF(O655="De 1.001 a 10.000 titulares por mês",1,0)+IF(AA655="SIM",1,0)+IF(R655="SIM",1,0)+IF(AL655="SIM",1,0)+IF(AJ655="NÃO",1,0))&gt;=3,"Avaliação necessária","NÃO"))))</f>
      </c>
      <c r="AR655" s="11"/>
      <c r="AS655" s="113">
        <f>IF(AND(I655="",K655="",AF655="",AL655="",AN655="",O655=""),"",IF(OR(I655="SIM",K655="SIM",AF655="SIM",AL655="SIM",OR(AN655="Dados pessoais",AN655="Dados sensíveis",AN655="Dados pessoais e sensíveis"),O655="Acima de 10.000 titulares por mês",(IF(I655="SIM",2,0)+IF(K655="SIM",2,0)+IF(AF655="SIM",2,0)+IF(OR(AN655="Dados pessoais",AN655="Dados sensíveis",AN655="Dados pessoais e sensíveis"),2,0)+IF(O655="De 1.001 a 10.000 titulares por mês",1,0)+IF(AA655="SIM",1,0)+IF(R655="SIM",1,0)+IF(AL655="SIM",1,0)+IF(AJ655="NÃO",1,0))&gt;=3),"DPIA indicado ou em avaliação em razão de: " &amp; TRIM(IF(I655="SIM","tratamento de dados sensíveis; ","") &amp; IF(K655="SIM","utilização de dados de menores; ","") &amp; IF(AF655="SIM","transferência internacional de dados; ","") &amp; IF(AL655="SIM","utilização de inteligência artificial; ","") &amp; IF(OR(AN655="Dados pessoais",AN655="Dados sensíveis",AN655="Dados pessoais e sensíveis"),"dados inseridos em IA; ","") &amp; IF(O655="Acima de 10.000 titulares por mês","volume crítico de titulares; ","") &amp; IF(O655="De 1.001 a 10.000 titulares por mês","volume moderado de titulares; ","") &amp; IF(AA655="SIM","compartilhamento com terceiros; ","") &amp; IF(R655="SIM","compartilhamento com órgãos governamentais; ","") &amp; IF(AJ655="NÃO","ausência de controle de acesso por perfil; ","")),"DPIA não indicado: Processo de baixa criticidade."))</f>
      </c>
    </row>
    <row x14ac:dyDescent="0.25" r="656" customHeight="1" ht="15.75">
      <c r="A656" s="46"/>
      <c r="B656" s="6"/>
      <c r="C656" s="11"/>
      <c r="D656" s="11"/>
      <c r="E656" s="11"/>
      <c r="F656" s="29"/>
      <c r="G656" s="11"/>
      <c r="H656" s="11"/>
      <c r="I656" s="29"/>
      <c r="J656" s="11"/>
      <c r="K656" s="29"/>
      <c r="L656" s="11"/>
      <c r="M656" s="11"/>
      <c r="N656" s="11"/>
      <c r="O656" s="29"/>
      <c r="P656" s="29"/>
      <c r="Q656" s="11"/>
      <c r="R656" s="29"/>
      <c r="S656" s="11"/>
      <c r="T656" s="6"/>
      <c r="U656" s="29"/>
      <c r="V656" s="11"/>
      <c r="W656" s="11"/>
      <c r="X656" s="29"/>
      <c r="Y656" s="11"/>
      <c r="Z656" s="29"/>
      <c r="AA656" s="29"/>
      <c r="AB656" s="11"/>
      <c r="AC656" s="11"/>
      <c r="AD656" s="29"/>
      <c r="AE656" s="11"/>
      <c r="AF656" s="29"/>
      <c r="AG656" s="11"/>
      <c r="AH656" s="29"/>
      <c r="AI656" s="11"/>
      <c r="AJ656" s="29"/>
      <c r="AK656" s="29"/>
      <c r="AL656" s="29"/>
      <c r="AM656" s="11"/>
      <c r="AN656" s="29"/>
      <c r="AO656" s="29"/>
      <c r="AP656" s="6"/>
      <c r="AQ656" s="113">
        <f>IF(AND(I656="",K656="",AF656="",AL656="",AN656="",O656=""),"",IF(OR(I656="SIM",K656="SIM",AF656="SIM",AL656="SIM",AN656="Dados pessoais",AN656="Dados sensíveis",AN656="Dados pessoais e sensíveis",O656="Acima de 10.000 titulares por mês"),"SIM - Alta criticidade",IF((IF(I656="SIM",2,0)+IF(K656="SIM",2,0)+IF(AF656="SIM",2,0)+IF(OR(AN656="Dados pessoais",AN656="Dados sensíveis",AN656="Dados pessoais e sensíveis"),2,0)+IF(O656="De 1.001 a 10.000 titulares por mês",1,0)+IF(AA656="SIM",1,0)+IF(R656="SIM",1,0)+IF(AL656="SIM",1,0)+IF(AJ656="NÃO",1,0))&gt;=5,"SIM - Alta criticidade",IF((IF(I656="SIM",2,0)+IF(K656="SIM",2,0)+IF(AF656="SIM",2,0)+IF(OR(AN656="Dados pessoais",AN656="Dados sensíveis",AN656="Dados pessoais e sensíveis"),2,0)+IF(O656="De 1.001 a 10.000 titulares por mês",1,0)+IF(AA656="SIM",1,0)+IF(R656="SIM",1,0)+IF(AL656="SIM",1,0)+IF(AJ656="NÃO",1,0))&gt;=3,"Avaliação necessária","NÃO"))))</f>
      </c>
      <c r="AR656" s="11"/>
      <c r="AS656" s="113">
        <f>IF(AND(I656="",K656="",AF656="",AL656="",AN656="",O656=""),"",IF(OR(I656="SIM",K656="SIM",AF656="SIM",AL656="SIM",OR(AN656="Dados pessoais",AN656="Dados sensíveis",AN656="Dados pessoais e sensíveis"),O656="Acima de 10.000 titulares por mês",(IF(I656="SIM",2,0)+IF(K656="SIM",2,0)+IF(AF656="SIM",2,0)+IF(OR(AN656="Dados pessoais",AN656="Dados sensíveis",AN656="Dados pessoais e sensíveis"),2,0)+IF(O656="De 1.001 a 10.000 titulares por mês",1,0)+IF(AA656="SIM",1,0)+IF(R656="SIM",1,0)+IF(AL656="SIM",1,0)+IF(AJ656="NÃO",1,0))&gt;=3),"DPIA indicado ou em avaliação em razão de: " &amp; TRIM(IF(I656="SIM","tratamento de dados sensíveis; ","") &amp; IF(K656="SIM","utilização de dados de menores; ","") &amp; IF(AF656="SIM","transferência internacional de dados; ","") &amp; IF(AL656="SIM","utilização de inteligência artificial; ","") &amp; IF(OR(AN656="Dados pessoais",AN656="Dados sensíveis",AN656="Dados pessoais e sensíveis"),"dados inseridos em IA; ","") &amp; IF(O656="Acima de 10.000 titulares por mês","volume crítico de titulares; ","") &amp; IF(O656="De 1.001 a 10.000 titulares por mês","volume moderado de titulares; ","") &amp; IF(AA656="SIM","compartilhamento com terceiros; ","") &amp; IF(R656="SIM","compartilhamento com órgãos governamentais; ","") &amp; IF(AJ656="NÃO","ausência de controle de acesso por perfil; ","")),"DPIA não indicado: Processo de baixa criticidade."))</f>
      </c>
    </row>
    <row x14ac:dyDescent="0.25" r="657" customHeight="1" ht="15.75">
      <c r="A657" s="46"/>
      <c r="B657" s="6"/>
      <c r="C657" s="11"/>
      <c r="D657" s="11"/>
      <c r="E657" s="11"/>
      <c r="F657" s="29"/>
      <c r="G657" s="11"/>
      <c r="H657" s="11"/>
      <c r="I657" s="29"/>
      <c r="J657" s="11"/>
      <c r="K657" s="29"/>
      <c r="L657" s="11"/>
      <c r="M657" s="11"/>
      <c r="N657" s="11"/>
      <c r="O657" s="29"/>
      <c r="P657" s="29"/>
      <c r="Q657" s="11"/>
      <c r="R657" s="29"/>
      <c r="S657" s="11"/>
      <c r="T657" s="6"/>
      <c r="U657" s="29"/>
      <c r="V657" s="11"/>
      <c r="W657" s="11"/>
      <c r="X657" s="29"/>
      <c r="Y657" s="11"/>
      <c r="Z657" s="29"/>
      <c r="AA657" s="29"/>
      <c r="AB657" s="11"/>
      <c r="AC657" s="11"/>
      <c r="AD657" s="29"/>
      <c r="AE657" s="11"/>
      <c r="AF657" s="29"/>
      <c r="AG657" s="11"/>
      <c r="AH657" s="29"/>
      <c r="AI657" s="11"/>
      <c r="AJ657" s="29"/>
      <c r="AK657" s="29"/>
      <c r="AL657" s="29"/>
      <c r="AM657" s="11"/>
      <c r="AN657" s="29"/>
      <c r="AO657" s="29"/>
      <c r="AP657" s="6"/>
      <c r="AQ657" s="113">
        <f>IF(AND(I657="",K657="",AF657="",AL657="",AN657="",O657=""),"",IF(OR(I657="SIM",K657="SIM",AF657="SIM",AL657="SIM",AN657="Dados pessoais",AN657="Dados sensíveis",AN657="Dados pessoais e sensíveis",O657="Acima de 10.000 titulares por mês"),"SIM - Alta criticidade",IF((IF(I657="SIM",2,0)+IF(K657="SIM",2,0)+IF(AF657="SIM",2,0)+IF(OR(AN657="Dados pessoais",AN657="Dados sensíveis",AN657="Dados pessoais e sensíveis"),2,0)+IF(O657="De 1.001 a 10.000 titulares por mês",1,0)+IF(AA657="SIM",1,0)+IF(R657="SIM",1,0)+IF(AL657="SIM",1,0)+IF(AJ657="NÃO",1,0))&gt;=5,"SIM - Alta criticidade",IF((IF(I657="SIM",2,0)+IF(K657="SIM",2,0)+IF(AF657="SIM",2,0)+IF(OR(AN657="Dados pessoais",AN657="Dados sensíveis",AN657="Dados pessoais e sensíveis"),2,0)+IF(O657="De 1.001 a 10.000 titulares por mês",1,0)+IF(AA657="SIM",1,0)+IF(R657="SIM",1,0)+IF(AL657="SIM",1,0)+IF(AJ657="NÃO",1,0))&gt;=3,"Avaliação necessária","NÃO"))))</f>
      </c>
      <c r="AR657" s="11"/>
      <c r="AS657" s="113">
        <f>IF(AND(I657="",K657="",AF657="",AL657="",AN657="",O657=""),"",IF(OR(I657="SIM",K657="SIM",AF657="SIM",AL657="SIM",OR(AN657="Dados pessoais",AN657="Dados sensíveis",AN657="Dados pessoais e sensíveis"),O657="Acima de 10.000 titulares por mês",(IF(I657="SIM",2,0)+IF(K657="SIM",2,0)+IF(AF657="SIM",2,0)+IF(OR(AN657="Dados pessoais",AN657="Dados sensíveis",AN657="Dados pessoais e sensíveis"),2,0)+IF(O657="De 1.001 a 10.000 titulares por mês",1,0)+IF(AA657="SIM",1,0)+IF(R657="SIM",1,0)+IF(AL657="SIM",1,0)+IF(AJ657="NÃO",1,0))&gt;=3),"DPIA indicado ou em avaliação em razão de: " &amp; TRIM(IF(I657="SIM","tratamento de dados sensíveis; ","") &amp; IF(K657="SIM","utilização de dados de menores; ","") &amp; IF(AF657="SIM","transferência internacional de dados; ","") &amp; IF(AL657="SIM","utilização de inteligência artificial; ","") &amp; IF(OR(AN657="Dados pessoais",AN657="Dados sensíveis",AN657="Dados pessoais e sensíveis"),"dados inseridos em IA; ","") &amp; IF(O657="Acima de 10.000 titulares por mês","volume crítico de titulares; ","") &amp; IF(O657="De 1.001 a 10.000 titulares por mês","volume moderado de titulares; ","") &amp; IF(AA657="SIM","compartilhamento com terceiros; ","") &amp; IF(R657="SIM","compartilhamento com órgãos governamentais; ","") &amp; IF(AJ657="NÃO","ausência de controle de acesso por perfil; ","")),"DPIA não indicado: Processo de baixa criticidade."))</f>
      </c>
    </row>
    <row x14ac:dyDescent="0.25" r="658" customHeight="1" ht="15.75">
      <c r="A658" s="46"/>
      <c r="B658" s="6"/>
      <c r="C658" s="11"/>
      <c r="D658" s="11"/>
      <c r="E658" s="11"/>
      <c r="F658" s="29"/>
      <c r="G658" s="11"/>
      <c r="H658" s="11"/>
      <c r="I658" s="29"/>
      <c r="J658" s="11"/>
      <c r="K658" s="29"/>
      <c r="L658" s="11"/>
      <c r="M658" s="11"/>
      <c r="N658" s="11"/>
      <c r="O658" s="29"/>
      <c r="P658" s="29"/>
      <c r="Q658" s="11"/>
      <c r="R658" s="29"/>
      <c r="S658" s="11"/>
      <c r="T658" s="6"/>
      <c r="U658" s="29"/>
      <c r="V658" s="11"/>
      <c r="W658" s="11"/>
      <c r="X658" s="29"/>
      <c r="Y658" s="11"/>
      <c r="Z658" s="29"/>
      <c r="AA658" s="29"/>
      <c r="AB658" s="11"/>
      <c r="AC658" s="11"/>
      <c r="AD658" s="29"/>
      <c r="AE658" s="11"/>
      <c r="AF658" s="29"/>
      <c r="AG658" s="11"/>
      <c r="AH658" s="29"/>
      <c r="AI658" s="11"/>
      <c r="AJ658" s="29"/>
      <c r="AK658" s="29"/>
      <c r="AL658" s="29"/>
      <c r="AM658" s="11"/>
      <c r="AN658" s="29"/>
      <c r="AO658" s="29"/>
      <c r="AP658" s="6"/>
      <c r="AQ658" s="113">
        <f>IF(AND(I658="",K658="",AF658="",AL658="",AN658="",O658=""),"",IF(OR(I658="SIM",K658="SIM",AF658="SIM",AL658="SIM",AN658="Dados pessoais",AN658="Dados sensíveis",AN658="Dados pessoais e sensíveis",O658="Acima de 10.000 titulares por mês"),"SIM - Alta criticidade",IF((IF(I658="SIM",2,0)+IF(K658="SIM",2,0)+IF(AF658="SIM",2,0)+IF(OR(AN658="Dados pessoais",AN658="Dados sensíveis",AN658="Dados pessoais e sensíveis"),2,0)+IF(O658="De 1.001 a 10.000 titulares por mês",1,0)+IF(AA658="SIM",1,0)+IF(R658="SIM",1,0)+IF(AL658="SIM",1,0)+IF(AJ658="NÃO",1,0))&gt;=5,"SIM - Alta criticidade",IF((IF(I658="SIM",2,0)+IF(K658="SIM",2,0)+IF(AF658="SIM",2,0)+IF(OR(AN658="Dados pessoais",AN658="Dados sensíveis",AN658="Dados pessoais e sensíveis"),2,0)+IF(O658="De 1.001 a 10.000 titulares por mês",1,0)+IF(AA658="SIM",1,0)+IF(R658="SIM",1,0)+IF(AL658="SIM",1,0)+IF(AJ658="NÃO",1,0))&gt;=3,"Avaliação necessária","NÃO"))))</f>
      </c>
      <c r="AR658" s="11"/>
      <c r="AS658" s="113">
        <f>IF(AND(I658="",K658="",AF658="",AL658="",AN658="",O658=""),"",IF(OR(I658="SIM",K658="SIM",AF658="SIM",AL658="SIM",OR(AN658="Dados pessoais",AN658="Dados sensíveis",AN658="Dados pessoais e sensíveis"),O658="Acima de 10.000 titulares por mês",(IF(I658="SIM",2,0)+IF(K658="SIM",2,0)+IF(AF658="SIM",2,0)+IF(OR(AN658="Dados pessoais",AN658="Dados sensíveis",AN658="Dados pessoais e sensíveis"),2,0)+IF(O658="De 1.001 a 10.000 titulares por mês",1,0)+IF(AA658="SIM",1,0)+IF(R658="SIM",1,0)+IF(AL658="SIM",1,0)+IF(AJ658="NÃO",1,0))&gt;=3),"DPIA indicado ou em avaliação em razão de: " &amp; TRIM(IF(I658="SIM","tratamento de dados sensíveis; ","") &amp; IF(K658="SIM","utilização de dados de menores; ","") &amp; IF(AF658="SIM","transferência internacional de dados; ","") &amp; IF(AL658="SIM","utilização de inteligência artificial; ","") &amp; IF(OR(AN658="Dados pessoais",AN658="Dados sensíveis",AN658="Dados pessoais e sensíveis"),"dados inseridos em IA; ","") &amp; IF(O658="Acima de 10.000 titulares por mês","volume crítico de titulares; ","") &amp; IF(O658="De 1.001 a 10.000 titulares por mês","volume moderado de titulares; ","") &amp; IF(AA658="SIM","compartilhamento com terceiros; ","") &amp; IF(R658="SIM","compartilhamento com órgãos governamentais; ","") &amp; IF(AJ658="NÃO","ausência de controle de acesso por perfil; ","")),"DPIA não indicado: Processo de baixa criticidade."))</f>
      </c>
    </row>
    <row x14ac:dyDescent="0.25" r="659" customHeight="1" ht="15.75">
      <c r="A659" s="46"/>
      <c r="B659" s="6"/>
      <c r="C659" s="11"/>
      <c r="D659" s="11"/>
      <c r="E659" s="11"/>
      <c r="F659" s="29"/>
      <c r="G659" s="11"/>
      <c r="H659" s="11"/>
      <c r="I659" s="29"/>
      <c r="J659" s="11"/>
      <c r="K659" s="29"/>
      <c r="L659" s="11"/>
      <c r="M659" s="11"/>
      <c r="N659" s="11"/>
      <c r="O659" s="29"/>
      <c r="P659" s="29"/>
      <c r="Q659" s="11"/>
      <c r="R659" s="29"/>
      <c r="S659" s="11"/>
      <c r="T659" s="6"/>
      <c r="U659" s="29"/>
      <c r="V659" s="11"/>
      <c r="W659" s="11"/>
      <c r="X659" s="29"/>
      <c r="Y659" s="11"/>
      <c r="Z659" s="29"/>
      <c r="AA659" s="29"/>
      <c r="AB659" s="11"/>
      <c r="AC659" s="11"/>
      <c r="AD659" s="29"/>
      <c r="AE659" s="11"/>
      <c r="AF659" s="29"/>
      <c r="AG659" s="11"/>
      <c r="AH659" s="29"/>
      <c r="AI659" s="11"/>
      <c r="AJ659" s="29"/>
      <c r="AK659" s="29"/>
      <c r="AL659" s="29"/>
      <c r="AM659" s="11"/>
      <c r="AN659" s="29"/>
      <c r="AO659" s="29"/>
      <c r="AP659" s="6"/>
      <c r="AQ659" s="113">
        <f>IF(AND(I659="",K659="",AF659="",AL659="",AN659="",O659=""),"",IF(OR(I659="SIM",K659="SIM",AF659="SIM",AL659="SIM",AN659="Dados pessoais",AN659="Dados sensíveis",AN659="Dados pessoais e sensíveis",O659="Acima de 10.000 titulares por mês"),"SIM - Alta criticidade",IF((IF(I659="SIM",2,0)+IF(K659="SIM",2,0)+IF(AF659="SIM",2,0)+IF(OR(AN659="Dados pessoais",AN659="Dados sensíveis",AN659="Dados pessoais e sensíveis"),2,0)+IF(O659="De 1.001 a 10.000 titulares por mês",1,0)+IF(AA659="SIM",1,0)+IF(R659="SIM",1,0)+IF(AL659="SIM",1,0)+IF(AJ659="NÃO",1,0))&gt;=5,"SIM - Alta criticidade",IF((IF(I659="SIM",2,0)+IF(K659="SIM",2,0)+IF(AF659="SIM",2,0)+IF(OR(AN659="Dados pessoais",AN659="Dados sensíveis",AN659="Dados pessoais e sensíveis"),2,0)+IF(O659="De 1.001 a 10.000 titulares por mês",1,0)+IF(AA659="SIM",1,0)+IF(R659="SIM",1,0)+IF(AL659="SIM",1,0)+IF(AJ659="NÃO",1,0))&gt;=3,"Avaliação necessária","NÃO"))))</f>
      </c>
      <c r="AR659" s="11"/>
      <c r="AS659" s="113">
        <f>IF(AND(I659="",K659="",AF659="",AL659="",AN659="",O659=""),"",IF(OR(I659="SIM",K659="SIM",AF659="SIM",AL659="SIM",OR(AN659="Dados pessoais",AN659="Dados sensíveis",AN659="Dados pessoais e sensíveis"),O659="Acima de 10.000 titulares por mês",(IF(I659="SIM",2,0)+IF(K659="SIM",2,0)+IF(AF659="SIM",2,0)+IF(OR(AN659="Dados pessoais",AN659="Dados sensíveis",AN659="Dados pessoais e sensíveis"),2,0)+IF(O659="De 1.001 a 10.000 titulares por mês",1,0)+IF(AA659="SIM",1,0)+IF(R659="SIM",1,0)+IF(AL659="SIM",1,0)+IF(AJ659="NÃO",1,0))&gt;=3),"DPIA indicado ou em avaliação em razão de: " &amp; TRIM(IF(I659="SIM","tratamento de dados sensíveis; ","") &amp; IF(K659="SIM","utilização de dados de menores; ","") &amp; IF(AF659="SIM","transferência internacional de dados; ","") &amp; IF(AL659="SIM","utilização de inteligência artificial; ","") &amp; IF(OR(AN659="Dados pessoais",AN659="Dados sensíveis",AN659="Dados pessoais e sensíveis"),"dados inseridos em IA; ","") &amp; IF(O659="Acima de 10.000 titulares por mês","volume crítico de titulares; ","") &amp; IF(O659="De 1.001 a 10.000 titulares por mês","volume moderado de titulares; ","") &amp; IF(AA659="SIM","compartilhamento com terceiros; ","") &amp; IF(R659="SIM","compartilhamento com órgãos governamentais; ","") &amp; IF(AJ659="NÃO","ausência de controle de acesso por perfil; ","")),"DPIA não indicado: Processo de baixa criticidade."))</f>
      </c>
    </row>
    <row x14ac:dyDescent="0.25" r="660" customHeight="1" ht="15.75">
      <c r="A660" s="46"/>
      <c r="B660" s="6"/>
      <c r="C660" s="11"/>
      <c r="D660" s="11"/>
      <c r="E660" s="11"/>
      <c r="F660" s="29"/>
      <c r="G660" s="11"/>
      <c r="H660" s="11"/>
      <c r="I660" s="29"/>
      <c r="J660" s="11"/>
      <c r="K660" s="29"/>
      <c r="L660" s="11"/>
      <c r="M660" s="11"/>
      <c r="N660" s="11"/>
      <c r="O660" s="29"/>
      <c r="P660" s="29"/>
      <c r="Q660" s="11"/>
      <c r="R660" s="29"/>
      <c r="S660" s="11"/>
      <c r="T660" s="6"/>
      <c r="U660" s="29"/>
      <c r="V660" s="11"/>
      <c r="W660" s="11"/>
      <c r="X660" s="29"/>
      <c r="Y660" s="11"/>
      <c r="Z660" s="29"/>
      <c r="AA660" s="29"/>
      <c r="AB660" s="11"/>
      <c r="AC660" s="11"/>
      <c r="AD660" s="29"/>
      <c r="AE660" s="11"/>
      <c r="AF660" s="29"/>
      <c r="AG660" s="11"/>
      <c r="AH660" s="29"/>
      <c r="AI660" s="11"/>
      <c r="AJ660" s="29"/>
      <c r="AK660" s="29"/>
      <c r="AL660" s="29"/>
      <c r="AM660" s="11"/>
      <c r="AN660" s="29"/>
      <c r="AO660" s="29"/>
      <c r="AP660" s="6"/>
      <c r="AQ660" s="113">
        <f>IF(AND(I660="",K660="",AF660="",AL660="",AN660="",O660=""),"",IF(OR(I660="SIM",K660="SIM",AF660="SIM",AL660="SIM",AN660="Dados pessoais",AN660="Dados sensíveis",AN660="Dados pessoais e sensíveis",O660="Acima de 10.000 titulares por mês"),"SIM - Alta criticidade",IF((IF(I660="SIM",2,0)+IF(K660="SIM",2,0)+IF(AF660="SIM",2,0)+IF(OR(AN660="Dados pessoais",AN660="Dados sensíveis",AN660="Dados pessoais e sensíveis"),2,0)+IF(O660="De 1.001 a 10.000 titulares por mês",1,0)+IF(AA660="SIM",1,0)+IF(R660="SIM",1,0)+IF(AL660="SIM",1,0)+IF(AJ660="NÃO",1,0))&gt;=5,"SIM - Alta criticidade",IF((IF(I660="SIM",2,0)+IF(K660="SIM",2,0)+IF(AF660="SIM",2,0)+IF(OR(AN660="Dados pessoais",AN660="Dados sensíveis",AN660="Dados pessoais e sensíveis"),2,0)+IF(O660="De 1.001 a 10.000 titulares por mês",1,0)+IF(AA660="SIM",1,0)+IF(R660="SIM",1,0)+IF(AL660="SIM",1,0)+IF(AJ660="NÃO",1,0))&gt;=3,"Avaliação necessária","NÃO"))))</f>
      </c>
      <c r="AR660" s="11"/>
      <c r="AS660" s="113">
        <f>IF(AND(I660="",K660="",AF660="",AL660="",AN660="",O660=""),"",IF(OR(I660="SIM",K660="SIM",AF660="SIM",AL660="SIM",OR(AN660="Dados pessoais",AN660="Dados sensíveis",AN660="Dados pessoais e sensíveis"),O660="Acima de 10.000 titulares por mês",(IF(I660="SIM",2,0)+IF(K660="SIM",2,0)+IF(AF660="SIM",2,0)+IF(OR(AN660="Dados pessoais",AN660="Dados sensíveis",AN660="Dados pessoais e sensíveis"),2,0)+IF(O660="De 1.001 a 10.000 titulares por mês",1,0)+IF(AA660="SIM",1,0)+IF(R660="SIM",1,0)+IF(AL660="SIM",1,0)+IF(AJ660="NÃO",1,0))&gt;=3),"DPIA indicado ou em avaliação em razão de: " &amp; TRIM(IF(I660="SIM","tratamento de dados sensíveis; ","") &amp; IF(K660="SIM","utilização de dados de menores; ","") &amp; IF(AF660="SIM","transferência internacional de dados; ","") &amp; IF(AL660="SIM","utilização de inteligência artificial; ","") &amp; IF(OR(AN660="Dados pessoais",AN660="Dados sensíveis",AN660="Dados pessoais e sensíveis"),"dados inseridos em IA; ","") &amp; IF(O660="Acima de 10.000 titulares por mês","volume crítico de titulares; ","") &amp; IF(O660="De 1.001 a 10.000 titulares por mês","volume moderado de titulares; ","") &amp; IF(AA660="SIM","compartilhamento com terceiros; ","") &amp; IF(R660="SIM","compartilhamento com órgãos governamentais; ","") &amp; IF(AJ660="NÃO","ausência de controle de acesso por perfil; ","")),"DPIA não indicado: Processo de baixa criticidade."))</f>
      </c>
    </row>
    <row x14ac:dyDescent="0.25" r="661" customHeight="1" ht="15.75">
      <c r="A661" s="46"/>
      <c r="B661" s="6"/>
      <c r="C661" s="11"/>
      <c r="D661" s="11"/>
      <c r="E661" s="11"/>
      <c r="F661" s="29"/>
      <c r="G661" s="11"/>
      <c r="H661" s="11"/>
      <c r="I661" s="29"/>
      <c r="J661" s="11"/>
      <c r="K661" s="29"/>
      <c r="L661" s="11"/>
      <c r="M661" s="11"/>
      <c r="N661" s="11"/>
      <c r="O661" s="29"/>
      <c r="P661" s="29"/>
      <c r="Q661" s="11"/>
      <c r="R661" s="29"/>
      <c r="S661" s="11"/>
      <c r="T661" s="6"/>
      <c r="U661" s="29"/>
      <c r="V661" s="11"/>
      <c r="W661" s="11"/>
      <c r="X661" s="29"/>
      <c r="Y661" s="11"/>
      <c r="Z661" s="29"/>
      <c r="AA661" s="29"/>
      <c r="AB661" s="11"/>
      <c r="AC661" s="11"/>
      <c r="AD661" s="29"/>
      <c r="AE661" s="11"/>
      <c r="AF661" s="29"/>
      <c r="AG661" s="11"/>
      <c r="AH661" s="29"/>
      <c r="AI661" s="11"/>
      <c r="AJ661" s="29"/>
      <c r="AK661" s="29"/>
      <c r="AL661" s="29"/>
      <c r="AM661" s="11"/>
      <c r="AN661" s="29"/>
      <c r="AO661" s="29"/>
      <c r="AP661" s="6"/>
      <c r="AQ661" s="113">
        <f>IF(AND(I661="",K661="",AF661="",AL661="",AN661="",O661=""),"",IF(OR(I661="SIM",K661="SIM",AF661="SIM",AL661="SIM",AN661="Dados pessoais",AN661="Dados sensíveis",AN661="Dados pessoais e sensíveis",O661="Acima de 10.000 titulares por mês"),"SIM - Alta criticidade",IF((IF(I661="SIM",2,0)+IF(K661="SIM",2,0)+IF(AF661="SIM",2,0)+IF(OR(AN661="Dados pessoais",AN661="Dados sensíveis",AN661="Dados pessoais e sensíveis"),2,0)+IF(O661="De 1.001 a 10.000 titulares por mês",1,0)+IF(AA661="SIM",1,0)+IF(R661="SIM",1,0)+IF(AL661="SIM",1,0)+IF(AJ661="NÃO",1,0))&gt;=5,"SIM - Alta criticidade",IF((IF(I661="SIM",2,0)+IF(K661="SIM",2,0)+IF(AF661="SIM",2,0)+IF(OR(AN661="Dados pessoais",AN661="Dados sensíveis",AN661="Dados pessoais e sensíveis"),2,0)+IF(O661="De 1.001 a 10.000 titulares por mês",1,0)+IF(AA661="SIM",1,0)+IF(R661="SIM",1,0)+IF(AL661="SIM",1,0)+IF(AJ661="NÃO",1,0))&gt;=3,"Avaliação necessária","NÃO"))))</f>
      </c>
      <c r="AR661" s="11"/>
      <c r="AS661" s="113">
        <f>IF(AND(I661="",K661="",AF661="",AL661="",AN661="",O661=""),"",IF(OR(I661="SIM",K661="SIM",AF661="SIM",AL661="SIM",OR(AN661="Dados pessoais",AN661="Dados sensíveis",AN661="Dados pessoais e sensíveis"),O661="Acima de 10.000 titulares por mês",(IF(I661="SIM",2,0)+IF(K661="SIM",2,0)+IF(AF661="SIM",2,0)+IF(OR(AN661="Dados pessoais",AN661="Dados sensíveis",AN661="Dados pessoais e sensíveis"),2,0)+IF(O661="De 1.001 a 10.000 titulares por mês",1,0)+IF(AA661="SIM",1,0)+IF(R661="SIM",1,0)+IF(AL661="SIM",1,0)+IF(AJ661="NÃO",1,0))&gt;=3),"DPIA indicado ou em avaliação em razão de: " &amp; TRIM(IF(I661="SIM","tratamento de dados sensíveis; ","") &amp; IF(K661="SIM","utilização de dados de menores; ","") &amp; IF(AF661="SIM","transferência internacional de dados; ","") &amp; IF(AL661="SIM","utilização de inteligência artificial; ","") &amp; IF(OR(AN661="Dados pessoais",AN661="Dados sensíveis",AN661="Dados pessoais e sensíveis"),"dados inseridos em IA; ","") &amp; IF(O661="Acima de 10.000 titulares por mês","volume crítico de titulares; ","") &amp; IF(O661="De 1.001 a 10.000 titulares por mês","volume moderado de titulares; ","") &amp; IF(AA661="SIM","compartilhamento com terceiros; ","") &amp; IF(R661="SIM","compartilhamento com órgãos governamentais; ","") &amp; IF(AJ661="NÃO","ausência de controle de acesso por perfil; ","")),"DPIA não indicado: Processo de baixa criticidade."))</f>
      </c>
    </row>
    <row x14ac:dyDescent="0.25" r="662" customHeight="1" ht="15.75">
      <c r="A662" s="46"/>
      <c r="B662" s="6"/>
      <c r="C662" s="11"/>
      <c r="D662" s="11"/>
      <c r="E662" s="11"/>
      <c r="F662" s="29"/>
      <c r="G662" s="11"/>
      <c r="H662" s="11"/>
      <c r="I662" s="29"/>
      <c r="J662" s="11"/>
      <c r="K662" s="29"/>
      <c r="L662" s="11"/>
      <c r="M662" s="11"/>
      <c r="N662" s="11"/>
      <c r="O662" s="29"/>
      <c r="P662" s="29"/>
      <c r="Q662" s="11"/>
      <c r="R662" s="29"/>
      <c r="S662" s="11"/>
      <c r="T662" s="6"/>
      <c r="U662" s="29"/>
      <c r="V662" s="11"/>
      <c r="W662" s="11"/>
      <c r="X662" s="29"/>
      <c r="Y662" s="11"/>
      <c r="Z662" s="29"/>
      <c r="AA662" s="29"/>
      <c r="AB662" s="11"/>
      <c r="AC662" s="11"/>
      <c r="AD662" s="29"/>
      <c r="AE662" s="11"/>
      <c r="AF662" s="29"/>
      <c r="AG662" s="11"/>
      <c r="AH662" s="29"/>
      <c r="AI662" s="11"/>
      <c r="AJ662" s="29"/>
      <c r="AK662" s="29"/>
      <c r="AL662" s="29"/>
      <c r="AM662" s="11"/>
      <c r="AN662" s="29"/>
      <c r="AO662" s="29"/>
      <c r="AP662" s="6"/>
      <c r="AQ662" s="113">
        <f>IF(AND(I662="",K662="",AF662="",AL662="",AN662="",O662=""),"",IF(OR(I662="SIM",K662="SIM",AF662="SIM",AL662="SIM",AN662="Dados pessoais",AN662="Dados sensíveis",AN662="Dados pessoais e sensíveis",O662="Acima de 10.000 titulares por mês"),"SIM - Alta criticidade",IF((IF(I662="SIM",2,0)+IF(K662="SIM",2,0)+IF(AF662="SIM",2,0)+IF(OR(AN662="Dados pessoais",AN662="Dados sensíveis",AN662="Dados pessoais e sensíveis"),2,0)+IF(O662="De 1.001 a 10.000 titulares por mês",1,0)+IF(AA662="SIM",1,0)+IF(R662="SIM",1,0)+IF(AL662="SIM",1,0)+IF(AJ662="NÃO",1,0))&gt;=5,"SIM - Alta criticidade",IF((IF(I662="SIM",2,0)+IF(K662="SIM",2,0)+IF(AF662="SIM",2,0)+IF(OR(AN662="Dados pessoais",AN662="Dados sensíveis",AN662="Dados pessoais e sensíveis"),2,0)+IF(O662="De 1.001 a 10.000 titulares por mês",1,0)+IF(AA662="SIM",1,0)+IF(R662="SIM",1,0)+IF(AL662="SIM",1,0)+IF(AJ662="NÃO",1,0))&gt;=3,"Avaliação necessária","NÃO"))))</f>
      </c>
      <c r="AR662" s="11"/>
      <c r="AS662" s="113">
        <f>IF(AND(I662="",K662="",AF662="",AL662="",AN662="",O662=""),"",IF(OR(I662="SIM",K662="SIM",AF662="SIM",AL662="SIM",OR(AN662="Dados pessoais",AN662="Dados sensíveis",AN662="Dados pessoais e sensíveis"),O662="Acima de 10.000 titulares por mês",(IF(I662="SIM",2,0)+IF(K662="SIM",2,0)+IF(AF662="SIM",2,0)+IF(OR(AN662="Dados pessoais",AN662="Dados sensíveis",AN662="Dados pessoais e sensíveis"),2,0)+IF(O662="De 1.001 a 10.000 titulares por mês",1,0)+IF(AA662="SIM",1,0)+IF(R662="SIM",1,0)+IF(AL662="SIM",1,0)+IF(AJ662="NÃO",1,0))&gt;=3),"DPIA indicado ou em avaliação em razão de: " &amp; TRIM(IF(I662="SIM","tratamento de dados sensíveis; ","") &amp; IF(K662="SIM","utilização de dados de menores; ","") &amp; IF(AF662="SIM","transferência internacional de dados; ","") &amp; IF(AL662="SIM","utilização de inteligência artificial; ","") &amp; IF(OR(AN662="Dados pessoais",AN662="Dados sensíveis",AN662="Dados pessoais e sensíveis"),"dados inseridos em IA; ","") &amp; IF(O662="Acima de 10.000 titulares por mês","volume crítico de titulares; ","") &amp; IF(O662="De 1.001 a 10.000 titulares por mês","volume moderado de titulares; ","") &amp; IF(AA662="SIM","compartilhamento com terceiros; ","") &amp; IF(R662="SIM","compartilhamento com órgãos governamentais; ","") &amp; IF(AJ662="NÃO","ausência de controle de acesso por perfil; ","")),"DPIA não indicado: Processo de baixa criticidade."))</f>
      </c>
    </row>
    <row x14ac:dyDescent="0.25" r="663" customHeight="1" ht="15.75">
      <c r="A663" s="46"/>
      <c r="B663" s="6"/>
      <c r="C663" s="11"/>
      <c r="D663" s="11"/>
      <c r="E663" s="11"/>
      <c r="F663" s="29"/>
      <c r="G663" s="11"/>
      <c r="H663" s="11"/>
      <c r="I663" s="29"/>
      <c r="J663" s="11"/>
      <c r="K663" s="29"/>
      <c r="L663" s="11"/>
      <c r="M663" s="11"/>
      <c r="N663" s="11"/>
      <c r="O663" s="29"/>
      <c r="P663" s="29"/>
      <c r="Q663" s="11"/>
      <c r="R663" s="29"/>
      <c r="S663" s="11"/>
      <c r="T663" s="6"/>
      <c r="U663" s="29"/>
      <c r="V663" s="11"/>
      <c r="W663" s="11"/>
      <c r="X663" s="29"/>
      <c r="Y663" s="11"/>
      <c r="Z663" s="29"/>
      <c r="AA663" s="29"/>
      <c r="AB663" s="11"/>
      <c r="AC663" s="11"/>
      <c r="AD663" s="29"/>
      <c r="AE663" s="11"/>
      <c r="AF663" s="29"/>
      <c r="AG663" s="11"/>
      <c r="AH663" s="29"/>
      <c r="AI663" s="11"/>
      <c r="AJ663" s="29"/>
      <c r="AK663" s="29"/>
      <c r="AL663" s="29"/>
      <c r="AM663" s="11"/>
      <c r="AN663" s="29"/>
      <c r="AO663" s="29"/>
      <c r="AP663" s="6"/>
      <c r="AQ663" s="113">
        <f>IF(AND(I663="",K663="",AF663="",AL663="",AN663="",O663=""),"",IF(OR(I663="SIM",K663="SIM",AF663="SIM",AL663="SIM",AN663="Dados pessoais",AN663="Dados sensíveis",AN663="Dados pessoais e sensíveis",O663="Acima de 10.000 titulares por mês"),"SIM - Alta criticidade",IF((IF(I663="SIM",2,0)+IF(K663="SIM",2,0)+IF(AF663="SIM",2,0)+IF(OR(AN663="Dados pessoais",AN663="Dados sensíveis",AN663="Dados pessoais e sensíveis"),2,0)+IF(O663="De 1.001 a 10.000 titulares por mês",1,0)+IF(AA663="SIM",1,0)+IF(R663="SIM",1,0)+IF(AL663="SIM",1,0)+IF(AJ663="NÃO",1,0))&gt;=5,"SIM - Alta criticidade",IF((IF(I663="SIM",2,0)+IF(K663="SIM",2,0)+IF(AF663="SIM",2,0)+IF(OR(AN663="Dados pessoais",AN663="Dados sensíveis",AN663="Dados pessoais e sensíveis"),2,0)+IF(O663="De 1.001 a 10.000 titulares por mês",1,0)+IF(AA663="SIM",1,0)+IF(R663="SIM",1,0)+IF(AL663="SIM",1,0)+IF(AJ663="NÃO",1,0))&gt;=3,"Avaliação necessária","NÃO"))))</f>
      </c>
      <c r="AR663" s="11"/>
      <c r="AS663" s="113">
        <f>IF(AND(I663="",K663="",AF663="",AL663="",AN663="",O663=""),"",IF(OR(I663="SIM",K663="SIM",AF663="SIM",AL663="SIM",OR(AN663="Dados pessoais",AN663="Dados sensíveis",AN663="Dados pessoais e sensíveis"),O663="Acima de 10.000 titulares por mês",(IF(I663="SIM",2,0)+IF(K663="SIM",2,0)+IF(AF663="SIM",2,0)+IF(OR(AN663="Dados pessoais",AN663="Dados sensíveis",AN663="Dados pessoais e sensíveis"),2,0)+IF(O663="De 1.001 a 10.000 titulares por mês",1,0)+IF(AA663="SIM",1,0)+IF(R663="SIM",1,0)+IF(AL663="SIM",1,0)+IF(AJ663="NÃO",1,0))&gt;=3),"DPIA indicado ou em avaliação em razão de: " &amp; TRIM(IF(I663="SIM","tratamento de dados sensíveis; ","") &amp; IF(K663="SIM","utilização de dados de menores; ","") &amp; IF(AF663="SIM","transferência internacional de dados; ","") &amp; IF(AL663="SIM","utilização de inteligência artificial; ","") &amp; IF(OR(AN663="Dados pessoais",AN663="Dados sensíveis",AN663="Dados pessoais e sensíveis"),"dados inseridos em IA; ","") &amp; IF(O663="Acima de 10.000 titulares por mês","volume crítico de titulares; ","") &amp; IF(O663="De 1.001 a 10.000 titulares por mês","volume moderado de titulares; ","") &amp; IF(AA663="SIM","compartilhamento com terceiros; ","") &amp; IF(R663="SIM","compartilhamento com órgãos governamentais; ","") &amp; IF(AJ663="NÃO","ausência de controle de acesso por perfil; ","")),"DPIA não indicado: Processo de baixa criticidade."))</f>
      </c>
    </row>
    <row x14ac:dyDescent="0.25" r="664" customHeight="1" ht="15.75">
      <c r="A664" s="46"/>
      <c r="B664" s="6"/>
      <c r="C664" s="11"/>
      <c r="D664" s="11"/>
      <c r="E664" s="11"/>
      <c r="F664" s="29"/>
      <c r="G664" s="11"/>
      <c r="H664" s="11"/>
      <c r="I664" s="29"/>
      <c r="J664" s="11"/>
      <c r="K664" s="29"/>
      <c r="L664" s="11"/>
      <c r="M664" s="11"/>
      <c r="N664" s="11"/>
      <c r="O664" s="29"/>
      <c r="P664" s="29"/>
      <c r="Q664" s="11"/>
      <c r="R664" s="29"/>
      <c r="S664" s="11"/>
      <c r="T664" s="6"/>
      <c r="U664" s="29"/>
      <c r="V664" s="11"/>
      <c r="W664" s="11"/>
      <c r="X664" s="29"/>
      <c r="Y664" s="11"/>
      <c r="Z664" s="29"/>
      <c r="AA664" s="29"/>
      <c r="AB664" s="11"/>
      <c r="AC664" s="11"/>
      <c r="AD664" s="29"/>
      <c r="AE664" s="11"/>
      <c r="AF664" s="29"/>
      <c r="AG664" s="11"/>
      <c r="AH664" s="29"/>
      <c r="AI664" s="11"/>
      <c r="AJ664" s="29"/>
      <c r="AK664" s="29"/>
      <c r="AL664" s="29"/>
      <c r="AM664" s="11"/>
      <c r="AN664" s="29"/>
      <c r="AO664" s="29"/>
      <c r="AP664" s="6"/>
      <c r="AQ664" s="113">
        <f>IF(AND(I664="",K664="",AF664="",AL664="",AN664="",O664=""),"",IF(OR(I664="SIM",K664="SIM",AF664="SIM",AL664="SIM",AN664="Dados pessoais",AN664="Dados sensíveis",AN664="Dados pessoais e sensíveis",O664="Acima de 10.000 titulares por mês"),"SIM - Alta criticidade",IF((IF(I664="SIM",2,0)+IF(K664="SIM",2,0)+IF(AF664="SIM",2,0)+IF(OR(AN664="Dados pessoais",AN664="Dados sensíveis",AN664="Dados pessoais e sensíveis"),2,0)+IF(O664="De 1.001 a 10.000 titulares por mês",1,0)+IF(AA664="SIM",1,0)+IF(R664="SIM",1,0)+IF(AL664="SIM",1,0)+IF(AJ664="NÃO",1,0))&gt;=5,"SIM - Alta criticidade",IF((IF(I664="SIM",2,0)+IF(K664="SIM",2,0)+IF(AF664="SIM",2,0)+IF(OR(AN664="Dados pessoais",AN664="Dados sensíveis",AN664="Dados pessoais e sensíveis"),2,0)+IF(O664="De 1.001 a 10.000 titulares por mês",1,0)+IF(AA664="SIM",1,0)+IF(R664="SIM",1,0)+IF(AL664="SIM",1,0)+IF(AJ664="NÃO",1,0))&gt;=3,"Avaliação necessária","NÃO"))))</f>
      </c>
      <c r="AR664" s="11"/>
      <c r="AS664" s="113">
        <f>IF(AND(I664="",K664="",AF664="",AL664="",AN664="",O664=""),"",IF(OR(I664="SIM",K664="SIM",AF664="SIM",AL664="SIM",OR(AN664="Dados pessoais",AN664="Dados sensíveis",AN664="Dados pessoais e sensíveis"),O664="Acima de 10.000 titulares por mês",(IF(I664="SIM",2,0)+IF(K664="SIM",2,0)+IF(AF664="SIM",2,0)+IF(OR(AN664="Dados pessoais",AN664="Dados sensíveis",AN664="Dados pessoais e sensíveis"),2,0)+IF(O664="De 1.001 a 10.000 titulares por mês",1,0)+IF(AA664="SIM",1,0)+IF(R664="SIM",1,0)+IF(AL664="SIM",1,0)+IF(AJ664="NÃO",1,0))&gt;=3),"DPIA indicado ou em avaliação em razão de: " &amp; TRIM(IF(I664="SIM","tratamento de dados sensíveis; ","") &amp; IF(K664="SIM","utilização de dados de menores; ","") &amp; IF(AF664="SIM","transferência internacional de dados; ","") &amp; IF(AL664="SIM","utilização de inteligência artificial; ","") &amp; IF(OR(AN664="Dados pessoais",AN664="Dados sensíveis",AN664="Dados pessoais e sensíveis"),"dados inseridos em IA; ","") &amp; IF(O664="Acima de 10.000 titulares por mês","volume crítico de titulares; ","") &amp; IF(O664="De 1.001 a 10.000 titulares por mês","volume moderado de titulares; ","") &amp; IF(AA664="SIM","compartilhamento com terceiros; ","") &amp; IF(R664="SIM","compartilhamento com órgãos governamentais; ","") &amp; IF(AJ664="NÃO","ausência de controle de acesso por perfil; ","")),"DPIA não indicado: Processo de baixa criticidade."))</f>
      </c>
    </row>
    <row x14ac:dyDescent="0.25" r="665" customHeight="1" ht="15.75">
      <c r="A665" s="46"/>
      <c r="B665" s="6"/>
      <c r="C665" s="11"/>
      <c r="D665" s="11"/>
      <c r="E665" s="11"/>
      <c r="F665" s="29"/>
      <c r="G665" s="11"/>
      <c r="H665" s="11"/>
      <c r="I665" s="29"/>
      <c r="J665" s="11"/>
      <c r="K665" s="29"/>
      <c r="L665" s="11"/>
      <c r="M665" s="11"/>
      <c r="N665" s="11"/>
      <c r="O665" s="29"/>
      <c r="P665" s="29"/>
      <c r="Q665" s="11"/>
      <c r="R665" s="29"/>
      <c r="S665" s="11"/>
      <c r="T665" s="6"/>
      <c r="U665" s="29"/>
      <c r="V665" s="11"/>
      <c r="W665" s="11"/>
      <c r="X665" s="29"/>
      <c r="Y665" s="11"/>
      <c r="Z665" s="29"/>
      <c r="AA665" s="29"/>
      <c r="AB665" s="11"/>
      <c r="AC665" s="11"/>
      <c r="AD665" s="29"/>
      <c r="AE665" s="11"/>
      <c r="AF665" s="29"/>
      <c r="AG665" s="11"/>
      <c r="AH665" s="29"/>
      <c r="AI665" s="11"/>
      <c r="AJ665" s="29"/>
      <c r="AK665" s="29"/>
      <c r="AL665" s="29"/>
      <c r="AM665" s="11"/>
      <c r="AN665" s="29"/>
      <c r="AO665" s="29"/>
      <c r="AP665" s="6"/>
      <c r="AQ665" s="113">
        <f>IF(AND(I665="",K665="",AF665="",AL665="",AN665="",O665=""),"",IF(OR(I665="SIM",K665="SIM",AF665="SIM",AL665="SIM",AN665="Dados pessoais",AN665="Dados sensíveis",AN665="Dados pessoais e sensíveis",O665="Acima de 10.000 titulares por mês"),"SIM - Alta criticidade",IF((IF(I665="SIM",2,0)+IF(K665="SIM",2,0)+IF(AF665="SIM",2,0)+IF(OR(AN665="Dados pessoais",AN665="Dados sensíveis",AN665="Dados pessoais e sensíveis"),2,0)+IF(O665="De 1.001 a 10.000 titulares por mês",1,0)+IF(AA665="SIM",1,0)+IF(R665="SIM",1,0)+IF(AL665="SIM",1,0)+IF(AJ665="NÃO",1,0))&gt;=5,"SIM - Alta criticidade",IF((IF(I665="SIM",2,0)+IF(K665="SIM",2,0)+IF(AF665="SIM",2,0)+IF(OR(AN665="Dados pessoais",AN665="Dados sensíveis",AN665="Dados pessoais e sensíveis"),2,0)+IF(O665="De 1.001 a 10.000 titulares por mês",1,0)+IF(AA665="SIM",1,0)+IF(R665="SIM",1,0)+IF(AL665="SIM",1,0)+IF(AJ665="NÃO",1,0))&gt;=3,"Avaliação necessária","NÃO"))))</f>
      </c>
      <c r="AR665" s="11"/>
      <c r="AS665" s="113">
        <f>IF(AND(I665="",K665="",AF665="",AL665="",AN665="",O665=""),"",IF(OR(I665="SIM",K665="SIM",AF665="SIM",AL665="SIM",OR(AN665="Dados pessoais",AN665="Dados sensíveis",AN665="Dados pessoais e sensíveis"),O665="Acima de 10.000 titulares por mês",(IF(I665="SIM",2,0)+IF(K665="SIM",2,0)+IF(AF665="SIM",2,0)+IF(OR(AN665="Dados pessoais",AN665="Dados sensíveis",AN665="Dados pessoais e sensíveis"),2,0)+IF(O665="De 1.001 a 10.000 titulares por mês",1,0)+IF(AA665="SIM",1,0)+IF(R665="SIM",1,0)+IF(AL665="SIM",1,0)+IF(AJ665="NÃO",1,0))&gt;=3),"DPIA indicado ou em avaliação em razão de: " &amp; TRIM(IF(I665="SIM","tratamento de dados sensíveis; ","") &amp; IF(K665="SIM","utilização de dados de menores; ","") &amp; IF(AF665="SIM","transferência internacional de dados; ","") &amp; IF(AL665="SIM","utilização de inteligência artificial; ","") &amp; IF(OR(AN665="Dados pessoais",AN665="Dados sensíveis",AN665="Dados pessoais e sensíveis"),"dados inseridos em IA; ","") &amp; IF(O665="Acima de 10.000 titulares por mês","volume crítico de titulares; ","") &amp; IF(O665="De 1.001 a 10.000 titulares por mês","volume moderado de titulares; ","") &amp; IF(AA665="SIM","compartilhamento com terceiros; ","") &amp; IF(R665="SIM","compartilhamento com órgãos governamentais; ","") &amp; IF(AJ665="NÃO","ausência de controle de acesso por perfil; ","")),"DPIA não indicado: Processo de baixa criticidade."))</f>
      </c>
    </row>
    <row x14ac:dyDescent="0.25" r="666" customHeight="1" ht="15.75">
      <c r="A666" s="46"/>
      <c r="B666" s="6"/>
      <c r="C666" s="11"/>
      <c r="D666" s="11"/>
      <c r="E666" s="11"/>
      <c r="F666" s="29"/>
      <c r="G666" s="11"/>
      <c r="H666" s="11"/>
      <c r="I666" s="29"/>
      <c r="J666" s="11"/>
      <c r="K666" s="29"/>
      <c r="L666" s="11"/>
      <c r="M666" s="11"/>
      <c r="N666" s="11"/>
      <c r="O666" s="29"/>
      <c r="P666" s="29"/>
      <c r="Q666" s="11"/>
      <c r="R666" s="29"/>
      <c r="S666" s="11"/>
      <c r="T666" s="6"/>
      <c r="U666" s="29"/>
      <c r="V666" s="11"/>
      <c r="W666" s="11"/>
      <c r="X666" s="29"/>
      <c r="Y666" s="11"/>
      <c r="Z666" s="29"/>
      <c r="AA666" s="29"/>
      <c r="AB666" s="11"/>
      <c r="AC666" s="11"/>
      <c r="AD666" s="29"/>
      <c r="AE666" s="11"/>
      <c r="AF666" s="29"/>
      <c r="AG666" s="11"/>
      <c r="AH666" s="29"/>
      <c r="AI666" s="11"/>
      <c r="AJ666" s="29"/>
      <c r="AK666" s="29"/>
      <c r="AL666" s="29"/>
      <c r="AM666" s="11"/>
      <c r="AN666" s="29"/>
      <c r="AO666" s="29"/>
      <c r="AP666" s="6"/>
      <c r="AQ666" s="113">
        <f>IF(AND(I666="",K666="",AF666="",AL666="",AN666="",O666=""),"",IF(OR(I666="SIM",K666="SIM",AF666="SIM",AL666="SIM",AN666="Dados pessoais",AN666="Dados sensíveis",AN666="Dados pessoais e sensíveis",O666="Acima de 10.000 titulares por mês"),"SIM - Alta criticidade",IF((IF(I666="SIM",2,0)+IF(K666="SIM",2,0)+IF(AF666="SIM",2,0)+IF(OR(AN666="Dados pessoais",AN666="Dados sensíveis",AN666="Dados pessoais e sensíveis"),2,0)+IF(O666="De 1.001 a 10.000 titulares por mês",1,0)+IF(AA666="SIM",1,0)+IF(R666="SIM",1,0)+IF(AL666="SIM",1,0)+IF(AJ666="NÃO",1,0))&gt;=5,"SIM - Alta criticidade",IF((IF(I666="SIM",2,0)+IF(K666="SIM",2,0)+IF(AF666="SIM",2,0)+IF(OR(AN666="Dados pessoais",AN666="Dados sensíveis",AN666="Dados pessoais e sensíveis"),2,0)+IF(O666="De 1.001 a 10.000 titulares por mês",1,0)+IF(AA666="SIM",1,0)+IF(R666="SIM",1,0)+IF(AL666="SIM",1,0)+IF(AJ666="NÃO",1,0))&gt;=3,"Avaliação necessária","NÃO"))))</f>
      </c>
      <c r="AR666" s="11"/>
      <c r="AS666" s="113">
        <f>IF(AND(I666="",K666="",AF666="",AL666="",AN666="",O666=""),"",IF(OR(I666="SIM",K666="SIM",AF666="SIM",AL666="SIM",OR(AN666="Dados pessoais",AN666="Dados sensíveis",AN666="Dados pessoais e sensíveis"),O666="Acima de 10.000 titulares por mês",(IF(I666="SIM",2,0)+IF(K666="SIM",2,0)+IF(AF666="SIM",2,0)+IF(OR(AN666="Dados pessoais",AN666="Dados sensíveis",AN666="Dados pessoais e sensíveis"),2,0)+IF(O666="De 1.001 a 10.000 titulares por mês",1,0)+IF(AA666="SIM",1,0)+IF(R666="SIM",1,0)+IF(AL666="SIM",1,0)+IF(AJ666="NÃO",1,0))&gt;=3),"DPIA indicado ou em avaliação em razão de: " &amp; TRIM(IF(I666="SIM","tratamento de dados sensíveis; ","") &amp; IF(K666="SIM","utilização de dados de menores; ","") &amp; IF(AF666="SIM","transferência internacional de dados; ","") &amp; IF(AL666="SIM","utilização de inteligência artificial; ","") &amp; IF(OR(AN666="Dados pessoais",AN666="Dados sensíveis",AN666="Dados pessoais e sensíveis"),"dados inseridos em IA; ","") &amp; IF(O666="Acima de 10.000 titulares por mês","volume crítico de titulares; ","") &amp; IF(O666="De 1.001 a 10.000 titulares por mês","volume moderado de titulares; ","") &amp; IF(AA666="SIM","compartilhamento com terceiros; ","") &amp; IF(R666="SIM","compartilhamento com órgãos governamentais; ","") &amp; IF(AJ666="NÃO","ausência de controle de acesso por perfil; ","")),"DPIA não indicado: Processo de baixa criticidade."))</f>
      </c>
    </row>
    <row x14ac:dyDescent="0.25" r="667" customHeight="1" ht="15.75">
      <c r="A667" s="46"/>
      <c r="B667" s="6"/>
      <c r="C667" s="11"/>
      <c r="D667" s="11"/>
      <c r="E667" s="11"/>
      <c r="F667" s="29"/>
      <c r="G667" s="11"/>
      <c r="H667" s="11"/>
      <c r="I667" s="29"/>
      <c r="J667" s="11"/>
      <c r="K667" s="29"/>
      <c r="L667" s="11"/>
      <c r="M667" s="11"/>
      <c r="N667" s="11"/>
      <c r="O667" s="29"/>
      <c r="P667" s="29"/>
      <c r="Q667" s="11"/>
      <c r="R667" s="29"/>
      <c r="S667" s="11"/>
      <c r="T667" s="6"/>
      <c r="U667" s="29"/>
      <c r="V667" s="11"/>
      <c r="W667" s="11"/>
      <c r="X667" s="29"/>
      <c r="Y667" s="11"/>
      <c r="Z667" s="29"/>
      <c r="AA667" s="29"/>
      <c r="AB667" s="11"/>
      <c r="AC667" s="11"/>
      <c r="AD667" s="29"/>
      <c r="AE667" s="11"/>
      <c r="AF667" s="29"/>
      <c r="AG667" s="11"/>
      <c r="AH667" s="29"/>
      <c r="AI667" s="11"/>
      <c r="AJ667" s="29"/>
      <c r="AK667" s="29"/>
      <c r="AL667" s="29"/>
      <c r="AM667" s="11"/>
      <c r="AN667" s="29"/>
      <c r="AO667" s="29"/>
      <c r="AP667" s="6"/>
      <c r="AQ667" s="113">
        <f>IF(AND(I667="",K667="",AF667="",AL667="",AN667="",O667=""),"",IF(OR(I667="SIM",K667="SIM",AF667="SIM",AL667="SIM",AN667="Dados pessoais",AN667="Dados sensíveis",AN667="Dados pessoais e sensíveis",O667="Acima de 10.000 titulares por mês"),"SIM - Alta criticidade",IF((IF(I667="SIM",2,0)+IF(K667="SIM",2,0)+IF(AF667="SIM",2,0)+IF(OR(AN667="Dados pessoais",AN667="Dados sensíveis",AN667="Dados pessoais e sensíveis"),2,0)+IF(O667="De 1.001 a 10.000 titulares por mês",1,0)+IF(AA667="SIM",1,0)+IF(R667="SIM",1,0)+IF(AL667="SIM",1,0)+IF(AJ667="NÃO",1,0))&gt;=5,"SIM - Alta criticidade",IF((IF(I667="SIM",2,0)+IF(K667="SIM",2,0)+IF(AF667="SIM",2,0)+IF(OR(AN667="Dados pessoais",AN667="Dados sensíveis",AN667="Dados pessoais e sensíveis"),2,0)+IF(O667="De 1.001 a 10.000 titulares por mês",1,0)+IF(AA667="SIM",1,0)+IF(R667="SIM",1,0)+IF(AL667="SIM",1,0)+IF(AJ667="NÃO",1,0))&gt;=3,"Avaliação necessária","NÃO"))))</f>
      </c>
      <c r="AR667" s="11"/>
      <c r="AS667" s="113">
        <f>IF(AND(I667="",K667="",AF667="",AL667="",AN667="",O667=""),"",IF(OR(I667="SIM",K667="SIM",AF667="SIM",AL667="SIM",OR(AN667="Dados pessoais",AN667="Dados sensíveis",AN667="Dados pessoais e sensíveis"),O667="Acima de 10.000 titulares por mês",(IF(I667="SIM",2,0)+IF(K667="SIM",2,0)+IF(AF667="SIM",2,0)+IF(OR(AN667="Dados pessoais",AN667="Dados sensíveis",AN667="Dados pessoais e sensíveis"),2,0)+IF(O667="De 1.001 a 10.000 titulares por mês",1,0)+IF(AA667="SIM",1,0)+IF(R667="SIM",1,0)+IF(AL667="SIM",1,0)+IF(AJ667="NÃO",1,0))&gt;=3),"DPIA indicado ou em avaliação em razão de: " &amp; TRIM(IF(I667="SIM","tratamento de dados sensíveis; ","") &amp; IF(K667="SIM","utilização de dados de menores; ","") &amp; IF(AF667="SIM","transferência internacional de dados; ","") &amp; IF(AL667="SIM","utilização de inteligência artificial; ","") &amp; IF(OR(AN667="Dados pessoais",AN667="Dados sensíveis",AN667="Dados pessoais e sensíveis"),"dados inseridos em IA; ","") &amp; IF(O667="Acima de 10.000 titulares por mês","volume crítico de titulares; ","") &amp; IF(O667="De 1.001 a 10.000 titulares por mês","volume moderado de titulares; ","") &amp; IF(AA667="SIM","compartilhamento com terceiros; ","") &amp; IF(R667="SIM","compartilhamento com órgãos governamentais; ","") &amp; IF(AJ667="NÃO","ausência de controle de acesso por perfil; ","")),"DPIA não indicado: Processo de baixa criticidade."))</f>
      </c>
    </row>
    <row x14ac:dyDescent="0.25" r="668" customHeight="1" ht="15.75">
      <c r="A668" s="46"/>
      <c r="B668" s="6"/>
      <c r="C668" s="11"/>
      <c r="D668" s="11"/>
      <c r="E668" s="11"/>
      <c r="F668" s="29"/>
      <c r="G668" s="11"/>
      <c r="H668" s="11"/>
      <c r="I668" s="29"/>
      <c r="J668" s="11"/>
      <c r="K668" s="29"/>
      <c r="L668" s="11"/>
      <c r="M668" s="11"/>
      <c r="N668" s="11"/>
      <c r="O668" s="29"/>
      <c r="P668" s="29"/>
      <c r="Q668" s="11"/>
      <c r="R668" s="29"/>
      <c r="S668" s="11"/>
      <c r="T668" s="6"/>
      <c r="U668" s="29"/>
      <c r="V668" s="11"/>
      <c r="W668" s="11"/>
      <c r="X668" s="29"/>
      <c r="Y668" s="11"/>
      <c r="Z668" s="29"/>
      <c r="AA668" s="29"/>
      <c r="AB668" s="11"/>
      <c r="AC668" s="11"/>
      <c r="AD668" s="29"/>
      <c r="AE668" s="11"/>
      <c r="AF668" s="29"/>
      <c r="AG668" s="11"/>
      <c r="AH668" s="29"/>
      <c r="AI668" s="11"/>
      <c r="AJ668" s="29"/>
      <c r="AK668" s="29"/>
      <c r="AL668" s="29"/>
      <c r="AM668" s="11"/>
      <c r="AN668" s="29"/>
      <c r="AO668" s="29"/>
      <c r="AP668" s="6"/>
      <c r="AQ668" s="113">
        <f>IF(AND(I668="",K668="",AF668="",AL668="",AN668="",O668=""),"",IF(OR(I668="SIM",K668="SIM",AF668="SIM",AL668="SIM",AN668="Dados pessoais",AN668="Dados sensíveis",AN668="Dados pessoais e sensíveis",O668="Acima de 10.000 titulares por mês"),"SIM - Alta criticidade",IF((IF(I668="SIM",2,0)+IF(K668="SIM",2,0)+IF(AF668="SIM",2,0)+IF(OR(AN668="Dados pessoais",AN668="Dados sensíveis",AN668="Dados pessoais e sensíveis"),2,0)+IF(O668="De 1.001 a 10.000 titulares por mês",1,0)+IF(AA668="SIM",1,0)+IF(R668="SIM",1,0)+IF(AL668="SIM",1,0)+IF(AJ668="NÃO",1,0))&gt;=5,"SIM - Alta criticidade",IF((IF(I668="SIM",2,0)+IF(K668="SIM",2,0)+IF(AF668="SIM",2,0)+IF(OR(AN668="Dados pessoais",AN668="Dados sensíveis",AN668="Dados pessoais e sensíveis"),2,0)+IF(O668="De 1.001 a 10.000 titulares por mês",1,0)+IF(AA668="SIM",1,0)+IF(R668="SIM",1,0)+IF(AL668="SIM",1,0)+IF(AJ668="NÃO",1,0))&gt;=3,"Avaliação necessária","NÃO"))))</f>
      </c>
      <c r="AR668" s="11"/>
      <c r="AS668" s="113">
        <f>IF(AND(I668="",K668="",AF668="",AL668="",AN668="",O668=""),"",IF(OR(I668="SIM",K668="SIM",AF668="SIM",AL668="SIM",OR(AN668="Dados pessoais",AN668="Dados sensíveis",AN668="Dados pessoais e sensíveis"),O668="Acima de 10.000 titulares por mês",(IF(I668="SIM",2,0)+IF(K668="SIM",2,0)+IF(AF668="SIM",2,0)+IF(OR(AN668="Dados pessoais",AN668="Dados sensíveis",AN668="Dados pessoais e sensíveis"),2,0)+IF(O668="De 1.001 a 10.000 titulares por mês",1,0)+IF(AA668="SIM",1,0)+IF(R668="SIM",1,0)+IF(AL668="SIM",1,0)+IF(AJ668="NÃO",1,0))&gt;=3),"DPIA indicado ou em avaliação em razão de: " &amp; TRIM(IF(I668="SIM","tratamento de dados sensíveis; ","") &amp; IF(K668="SIM","utilização de dados de menores; ","") &amp; IF(AF668="SIM","transferência internacional de dados; ","") &amp; IF(AL668="SIM","utilização de inteligência artificial; ","") &amp; IF(OR(AN668="Dados pessoais",AN668="Dados sensíveis",AN668="Dados pessoais e sensíveis"),"dados inseridos em IA; ","") &amp; IF(O668="Acima de 10.000 titulares por mês","volume crítico de titulares; ","") &amp; IF(O668="De 1.001 a 10.000 titulares por mês","volume moderado de titulares; ","") &amp; IF(AA668="SIM","compartilhamento com terceiros; ","") &amp; IF(R668="SIM","compartilhamento com órgãos governamentais; ","") &amp; IF(AJ668="NÃO","ausência de controle de acesso por perfil; ","")),"DPIA não indicado: Processo de baixa criticidade."))</f>
      </c>
    </row>
    <row x14ac:dyDescent="0.25" r="669" customHeight="1" ht="15.75">
      <c r="A669" s="46"/>
      <c r="B669" s="6"/>
      <c r="C669" s="11"/>
      <c r="D669" s="11"/>
      <c r="E669" s="11"/>
      <c r="F669" s="29"/>
      <c r="G669" s="11"/>
      <c r="H669" s="11"/>
      <c r="I669" s="29"/>
      <c r="J669" s="11"/>
      <c r="K669" s="29"/>
      <c r="L669" s="11"/>
      <c r="M669" s="11"/>
      <c r="N669" s="11"/>
      <c r="O669" s="29"/>
      <c r="P669" s="29"/>
      <c r="Q669" s="11"/>
      <c r="R669" s="29"/>
      <c r="S669" s="11"/>
      <c r="T669" s="6"/>
      <c r="U669" s="29"/>
      <c r="V669" s="11"/>
      <c r="W669" s="11"/>
      <c r="X669" s="29"/>
      <c r="Y669" s="11"/>
      <c r="Z669" s="29"/>
      <c r="AA669" s="29"/>
      <c r="AB669" s="11"/>
      <c r="AC669" s="11"/>
      <c r="AD669" s="29"/>
      <c r="AE669" s="11"/>
      <c r="AF669" s="29"/>
      <c r="AG669" s="11"/>
      <c r="AH669" s="29"/>
      <c r="AI669" s="11"/>
      <c r="AJ669" s="29"/>
      <c r="AK669" s="29"/>
      <c r="AL669" s="29"/>
      <c r="AM669" s="11"/>
      <c r="AN669" s="29"/>
      <c r="AO669" s="29"/>
      <c r="AP669" s="6"/>
      <c r="AQ669" s="113">
        <f>IF(AND(I669="",K669="",AF669="",AL669="",AN669="",O669=""),"",IF(OR(I669="SIM",K669="SIM",AF669="SIM",AL669="SIM",AN669="Dados pessoais",AN669="Dados sensíveis",AN669="Dados pessoais e sensíveis",O669="Acima de 10.000 titulares por mês"),"SIM - Alta criticidade",IF((IF(I669="SIM",2,0)+IF(K669="SIM",2,0)+IF(AF669="SIM",2,0)+IF(OR(AN669="Dados pessoais",AN669="Dados sensíveis",AN669="Dados pessoais e sensíveis"),2,0)+IF(O669="De 1.001 a 10.000 titulares por mês",1,0)+IF(AA669="SIM",1,0)+IF(R669="SIM",1,0)+IF(AL669="SIM",1,0)+IF(AJ669="NÃO",1,0))&gt;=5,"SIM - Alta criticidade",IF((IF(I669="SIM",2,0)+IF(K669="SIM",2,0)+IF(AF669="SIM",2,0)+IF(OR(AN669="Dados pessoais",AN669="Dados sensíveis",AN669="Dados pessoais e sensíveis"),2,0)+IF(O669="De 1.001 a 10.000 titulares por mês",1,0)+IF(AA669="SIM",1,0)+IF(R669="SIM",1,0)+IF(AL669="SIM",1,0)+IF(AJ669="NÃO",1,0))&gt;=3,"Avaliação necessária","NÃO"))))</f>
      </c>
      <c r="AR669" s="11"/>
      <c r="AS669" s="113">
        <f>IF(AND(I669="",K669="",AF669="",AL669="",AN669="",O669=""),"",IF(OR(I669="SIM",K669="SIM",AF669="SIM",AL669="SIM",OR(AN669="Dados pessoais",AN669="Dados sensíveis",AN669="Dados pessoais e sensíveis"),O669="Acima de 10.000 titulares por mês",(IF(I669="SIM",2,0)+IF(K669="SIM",2,0)+IF(AF669="SIM",2,0)+IF(OR(AN669="Dados pessoais",AN669="Dados sensíveis",AN669="Dados pessoais e sensíveis"),2,0)+IF(O669="De 1.001 a 10.000 titulares por mês",1,0)+IF(AA669="SIM",1,0)+IF(R669="SIM",1,0)+IF(AL669="SIM",1,0)+IF(AJ669="NÃO",1,0))&gt;=3),"DPIA indicado ou em avaliação em razão de: " &amp; TRIM(IF(I669="SIM","tratamento de dados sensíveis; ","") &amp; IF(K669="SIM","utilização de dados de menores; ","") &amp; IF(AF669="SIM","transferência internacional de dados; ","") &amp; IF(AL669="SIM","utilização de inteligência artificial; ","") &amp; IF(OR(AN669="Dados pessoais",AN669="Dados sensíveis",AN669="Dados pessoais e sensíveis"),"dados inseridos em IA; ","") &amp; IF(O669="Acima de 10.000 titulares por mês","volume crítico de titulares; ","") &amp; IF(O669="De 1.001 a 10.000 titulares por mês","volume moderado de titulares; ","") &amp; IF(AA669="SIM","compartilhamento com terceiros; ","") &amp; IF(R669="SIM","compartilhamento com órgãos governamentais; ","") &amp; IF(AJ669="NÃO","ausência de controle de acesso por perfil; ","")),"DPIA não indicado: Processo de baixa criticidade."))</f>
      </c>
    </row>
    <row x14ac:dyDescent="0.25" r="670" customHeight="1" ht="15.75">
      <c r="A670" s="46"/>
      <c r="B670" s="6"/>
      <c r="C670" s="11"/>
      <c r="D670" s="11"/>
      <c r="E670" s="11"/>
      <c r="F670" s="29"/>
      <c r="G670" s="11"/>
      <c r="H670" s="11"/>
      <c r="I670" s="29"/>
      <c r="J670" s="11"/>
      <c r="K670" s="29"/>
      <c r="L670" s="11"/>
      <c r="M670" s="11"/>
      <c r="N670" s="11"/>
      <c r="O670" s="29"/>
      <c r="P670" s="29"/>
      <c r="Q670" s="11"/>
      <c r="R670" s="29"/>
      <c r="S670" s="11"/>
      <c r="T670" s="6"/>
      <c r="U670" s="29"/>
      <c r="V670" s="11"/>
      <c r="W670" s="11"/>
      <c r="X670" s="29"/>
      <c r="Y670" s="11"/>
      <c r="Z670" s="29"/>
      <c r="AA670" s="29"/>
      <c r="AB670" s="11"/>
      <c r="AC670" s="11"/>
      <c r="AD670" s="29"/>
      <c r="AE670" s="11"/>
      <c r="AF670" s="29"/>
      <c r="AG670" s="11"/>
      <c r="AH670" s="29"/>
      <c r="AI670" s="11"/>
      <c r="AJ670" s="29"/>
      <c r="AK670" s="29"/>
      <c r="AL670" s="29"/>
      <c r="AM670" s="11"/>
      <c r="AN670" s="29"/>
      <c r="AO670" s="29"/>
      <c r="AP670" s="6"/>
      <c r="AQ670" s="113">
        <f>IF(AND(I670="",K670="",AF670="",AL670="",AN670="",O670=""),"",IF(OR(I670="SIM",K670="SIM",AF670="SIM",AL670="SIM",AN670="Dados pessoais",AN670="Dados sensíveis",AN670="Dados pessoais e sensíveis",O670="Acima de 10.000 titulares por mês"),"SIM - Alta criticidade",IF((IF(I670="SIM",2,0)+IF(K670="SIM",2,0)+IF(AF670="SIM",2,0)+IF(OR(AN670="Dados pessoais",AN670="Dados sensíveis",AN670="Dados pessoais e sensíveis"),2,0)+IF(O670="De 1.001 a 10.000 titulares por mês",1,0)+IF(AA670="SIM",1,0)+IF(R670="SIM",1,0)+IF(AL670="SIM",1,0)+IF(AJ670="NÃO",1,0))&gt;=5,"SIM - Alta criticidade",IF((IF(I670="SIM",2,0)+IF(K670="SIM",2,0)+IF(AF670="SIM",2,0)+IF(OR(AN670="Dados pessoais",AN670="Dados sensíveis",AN670="Dados pessoais e sensíveis"),2,0)+IF(O670="De 1.001 a 10.000 titulares por mês",1,0)+IF(AA670="SIM",1,0)+IF(R670="SIM",1,0)+IF(AL670="SIM",1,0)+IF(AJ670="NÃO",1,0))&gt;=3,"Avaliação necessária","NÃO"))))</f>
      </c>
      <c r="AR670" s="11"/>
      <c r="AS670" s="113">
        <f>IF(AND(I670="",K670="",AF670="",AL670="",AN670="",O670=""),"",IF(OR(I670="SIM",K670="SIM",AF670="SIM",AL670="SIM",OR(AN670="Dados pessoais",AN670="Dados sensíveis",AN670="Dados pessoais e sensíveis"),O670="Acima de 10.000 titulares por mês",(IF(I670="SIM",2,0)+IF(K670="SIM",2,0)+IF(AF670="SIM",2,0)+IF(OR(AN670="Dados pessoais",AN670="Dados sensíveis",AN670="Dados pessoais e sensíveis"),2,0)+IF(O670="De 1.001 a 10.000 titulares por mês",1,0)+IF(AA670="SIM",1,0)+IF(R670="SIM",1,0)+IF(AL670="SIM",1,0)+IF(AJ670="NÃO",1,0))&gt;=3),"DPIA indicado ou em avaliação em razão de: " &amp; TRIM(IF(I670="SIM","tratamento de dados sensíveis; ","") &amp; IF(K670="SIM","utilização de dados de menores; ","") &amp; IF(AF670="SIM","transferência internacional de dados; ","") &amp; IF(AL670="SIM","utilização de inteligência artificial; ","") &amp; IF(OR(AN670="Dados pessoais",AN670="Dados sensíveis",AN670="Dados pessoais e sensíveis"),"dados inseridos em IA; ","") &amp; IF(O670="Acima de 10.000 titulares por mês","volume crítico de titulares; ","") &amp; IF(O670="De 1.001 a 10.000 titulares por mês","volume moderado de titulares; ","") &amp; IF(AA670="SIM","compartilhamento com terceiros; ","") &amp; IF(R670="SIM","compartilhamento com órgãos governamentais; ","") &amp; IF(AJ670="NÃO","ausência de controle de acesso por perfil; ","")),"DPIA não indicado: Processo de baixa criticidade."))</f>
      </c>
    </row>
    <row x14ac:dyDescent="0.25" r="671" customHeight="1" ht="15.75">
      <c r="A671" s="46"/>
      <c r="B671" s="6"/>
      <c r="C671" s="11"/>
      <c r="D671" s="11"/>
      <c r="E671" s="11"/>
      <c r="F671" s="29"/>
      <c r="G671" s="11"/>
      <c r="H671" s="11"/>
      <c r="I671" s="29"/>
      <c r="J671" s="11"/>
      <c r="K671" s="29"/>
      <c r="L671" s="11"/>
      <c r="M671" s="11"/>
      <c r="N671" s="11"/>
      <c r="O671" s="29"/>
      <c r="P671" s="29"/>
      <c r="Q671" s="11"/>
      <c r="R671" s="29"/>
      <c r="S671" s="11"/>
      <c r="T671" s="6"/>
      <c r="U671" s="29"/>
      <c r="V671" s="11"/>
      <c r="W671" s="11"/>
      <c r="X671" s="29"/>
      <c r="Y671" s="11"/>
      <c r="Z671" s="29"/>
      <c r="AA671" s="29"/>
      <c r="AB671" s="11"/>
      <c r="AC671" s="11"/>
      <c r="AD671" s="29"/>
      <c r="AE671" s="11"/>
      <c r="AF671" s="29"/>
      <c r="AG671" s="11"/>
      <c r="AH671" s="29"/>
      <c r="AI671" s="11"/>
      <c r="AJ671" s="29"/>
      <c r="AK671" s="29"/>
      <c r="AL671" s="29"/>
      <c r="AM671" s="11"/>
      <c r="AN671" s="29"/>
      <c r="AO671" s="29"/>
      <c r="AP671" s="6"/>
      <c r="AQ671" s="113">
        <f>IF(AND(I671="",K671="",AF671="",AL671="",AN671="",O671=""),"",IF(OR(I671="SIM",K671="SIM",AF671="SIM",AL671="SIM",AN671="Dados pessoais",AN671="Dados sensíveis",AN671="Dados pessoais e sensíveis",O671="Acima de 10.000 titulares por mês"),"SIM - Alta criticidade",IF((IF(I671="SIM",2,0)+IF(K671="SIM",2,0)+IF(AF671="SIM",2,0)+IF(OR(AN671="Dados pessoais",AN671="Dados sensíveis",AN671="Dados pessoais e sensíveis"),2,0)+IF(O671="De 1.001 a 10.000 titulares por mês",1,0)+IF(AA671="SIM",1,0)+IF(R671="SIM",1,0)+IF(AL671="SIM",1,0)+IF(AJ671="NÃO",1,0))&gt;=5,"SIM - Alta criticidade",IF((IF(I671="SIM",2,0)+IF(K671="SIM",2,0)+IF(AF671="SIM",2,0)+IF(OR(AN671="Dados pessoais",AN671="Dados sensíveis",AN671="Dados pessoais e sensíveis"),2,0)+IF(O671="De 1.001 a 10.000 titulares por mês",1,0)+IF(AA671="SIM",1,0)+IF(R671="SIM",1,0)+IF(AL671="SIM",1,0)+IF(AJ671="NÃO",1,0))&gt;=3,"Avaliação necessária","NÃO"))))</f>
      </c>
      <c r="AR671" s="11"/>
      <c r="AS671" s="113">
        <f>IF(AND(I671="",K671="",AF671="",AL671="",AN671="",O671=""),"",IF(OR(I671="SIM",K671="SIM",AF671="SIM",AL671="SIM",OR(AN671="Dados pessoais",AN671="Dados sensíveis",AN671="Dados pessoais e sensíveis"),O671="Acima de 10.000 titulares por mês",(IF(I671="SIM",2,0)+IF(K671="SIM",2,0)+IF(AF671="SIM",2,0)+IF(OR(AN671="Dados pessoais",AN671="Dados sensíveis",AN671="Dados pessoais e sensíveis"),2,0)+IF(O671="De 1.001 a 10.000 titulares por mês",1,0)+IF(AA671="SIM",1,0)+IF(R671="SIM",1,0)+IF(AL671="SIM",1,0)+IF(AJ671="NÃO",1,0))&gt;=3),"DPIA indicado ou em avaliação em razão de: " &amp; TRIM(IF(I671="SIM","tratamento de dados sensíveis; ","") &amp; IF(K671="SIM","utilização de dados de menores; ","") &amp; IF(AF671="SIM","transferência internacional de dados; ","") &amp; IF(AL671="SIM","utilização de inteligência artificial; ","") &amp; IF(OR(AN671="Dados pessoais",AN671="Dados sensíveis",AN671="Dados pessoais e sensíveis"),"dados inseridos em IA; ","") &amp; IF(O671="Acima de 10.000 titulares por mês","volume crítico de titulares; ","") &amp; IF(O671="De 1.001 a 10.000 titulares por mês","volume moderado de titulares; ","") &amp; IF(AA671="SIM","compartilhamento com terceiros; ","") &amp; IF(R671="SIM","compartilhamento com órgãos governamentais; ","") &amp; IF(AJ671="NÃO","ausência de controle de acesso por perfil; ","")),"DPIA não indicado: Processo de baixa criticidade."))</f>
      </c>
    </row>
    <row x14ac:dyDescent="0.25" r="672" customHeight="1" ht="15.75">
      <c r="A672" s="46"/>
      <c r="B672" s="6"/>
      <c r="C672" s="11"/>
      <c r="D672" s="11"/>
      <c r="E672" s="11"/>
      <c r="F672" s="29"/>
      <c r="G672" s="11"/>
      <c r="H672" s="11"/>
      <c r="I672" s="29"/>
      <c r="J672" s="11"/>
      <c r="K672" s="29"/>
      <c r="L672" s="11"/>
      <c r="M672" s="11"/>
      <c r="N672" s="11"/>
      <c r="O672" s="29"/>
      <c r="P672" s="29"/>
      <c r="Q672" s="11"/>
      <c r="R672" s="29"/>
      <c r="S672" s="11"/>
      <c r="T672" s="6"/>
      <c r="U672" s="29"/>
      <c r="V672" s="11"/>
      <c r="W672" s="11"/>
      <c r="X672" s="29"/>
      <c r="Y672" s="11"/>
      <c r="Z672" s="29"/>
      <c r="AA672" s="29"/>
      <c r="AB672" s="11"/>
      <c r="AC672" s="11"/>
      <c r="AD672" s="29"/>
      <c r="AE672" s="11"/>
      <c r="AF672" s="29"/>
      <c r="AG672" s="11"/>
      <c r="AH672" s="29"/>
      <c r="AI672" s="11"/>
      <c r="AJ672" s="29"/>
      <c r="AK672" s="29"/>
      <c r="AL672" s="29"/>
      <c r="AM672" s="11"/>
      <c r="AN672" s="29"/>
      <c r="AO672" s="29"/>
      <c r="AP672" s="6"/>
      <c r="AQ672" s="113">
        <f>IF(AND(I672="",K672="",AF672="",AL672="",AN672="",O672=""),"",IF(OR(I672="SIM",K672="SIM",AF672="SIM",AL672="SIM",AN672="Dados pessoais",AN672="Dados sensíveis",AN672="Dados pessoais e sensíveis",O672="Acima de 10.000 titulares por mês"),"SIM - Alta criticidade",IF((IF(I672="SIM",2,0)+IF(K672="SIM",2,0)+IF(AF672="SIM",2,0)+IF(OR(AN672="Dados pessoais",AN672="Dados sensíveis",AN672="Dados pessoais e sensíveis"),2,0)+IF(O672="De 1.001 a 10.000 titulares por mês",1,0)+IF(AA672="SIM",1,0)+IF(R672="SIM",1,0)+IF(AL672="SIM",1,0)+IF(AJ672="NÃO",1,0))&gt;=5,"SIM - Alta criticidade",IF((IF(I672="SIM",2,0)+IF(K672="SIM",2,0)+IF(AF672="SIM",2,0)+IF(OR(AN672="Dados pessoais",AN672="Dados sensíveis",AN672="Dados pessoais e sensíveis"),2,0)+IF(O672="De 1.001 a 10.000 titulares por mês",1,0)+IF(AA672="SIM",1,0)+IF(R672="SIM",1,0)+IF(AL672="SIM",1,0)+IF(AJ672="NÃO",1,0))&gt;=3,"Avaliação necessária","NÃO"))))</f>
      </c>
      <c r="AR672" s="11"/>
      <c r="AS672" s="113">
        <f>IF(AND(I672="",K672="",AF672="",AL672="",AN672="",O672=""),"",IF(OR(I672="SIM",K672="SIM",AF672="SIM",AL672="SIM",OR(AN672="Dados pessoais",AN672="Dados sensíveis",AN672="Dados pessoais e sensíveis"),O672="Acima de 10.000 titulares por mês",(IF(I672="SIM",2,0)+IF(K672="SIM",2,0)+IF(AF672="SIM",2,0)+IF(OR(AN672="Dados pessoais",AN672="Dados sensíveis",AN672="Dados pessoais e sensíveis"),2,0)+IF(O672="De 1.001 a 10.000 titulares por mês",1,0)+IF(AA672="SIM",1,0)+IF(R672="SIM",1,0)+IF(AL672="SIM",1,0)+IF(AJ672="NÃO",1,0))&gt;=3),"DPIA indicado ou em avaliação em razão de: " &amp; TRIM(IF(I672="SIM","tratamento de dados sensíveis; ","") &amp; IF(K672="SIM","utilização de dados de menores; ","") &amp; IF(AF672="SIM","transferência internacional de dados; ","") &amp; IF(AL672="SIM","utilização de inteligência artificial; ","") &amp; IF(OR(AN672="Dados pessoais",AN672="Dados sensíveis",AN672="Dados pessoais e sensíveis"),"dados inseridos em IA; ","") &amp; IF(O672="Acima de 10.000 titulares por mês","volume crítico de titulares; ","") &amp; IF(O672="De 1.001 a 10.000 titulares por mês","volume moderado de titulares; ","") &amp; IF(AA672="SIM","compartilhamento com terceiros; ","") &amp; IF(R672="SIM","compartilhamento com órgãos governamentais; ","") &amp; IF(AJ672="NÃO","ausência de controle de acesso por perfil; ","")),"DPIA não indicado: Processo de baixa criticidade."))</f>
      </c>
    </row>
    <row x14ac:dyDescent="0.25" r="673" customHeight="1" ht="15.75">
      <c r="A673" s="46"/>
      <c r="B673" s="6"/>
      <c r="C673" s="11"/>
      <c r="D673" s="11"/>
      <c r="E673" s="11"/>
      <c r="F673" s="29"/>
      <c r="G673" s="11"/>
      <c r="H673" s="11"/>
      <c r="I673" s="29"/>
      <c r="J673" s="11"/>
      <c r="K673" s="29"/>
      <c r="L673" s="11"/>
      <c r="M673" s="11"/>
      <c r="N673" s="11"/>
      <c r="O673" s="29"/>
      <c r="P673" s="29"/>
      <c r="Q673" s="11"/>
      <c r="R673" s="29"/>
      <c r="S673" s="11"/>
      <c r="T673" s="6"/>
      <c r="U673" s="29"/>
      <c r="V673" s="11"/>
      <c r="W673" s="11"/>
      <c r="X673" s="29"/>
      <c r="Y673" s="11"/>
      <c r="Z673" s="29"/>
      <c r="AA673" s="29"/>
      <c r="AB673" s="11"/>
      <c r="AC673" s="11"/>
      <c r="AD673" s="29"/>
      <c r="AE673" s="11"/>
      <c r="AF673" s="29"/>
      <c r="AG673" s="11"/>
      <c r="AH673" s="29"/>
      <c r="AI673" s="11"/>
      <c r="AJ673" s="29"/>
      <c r="AK673" s="29"/>
      <c r="AL673" s="29"/>
      <c r="AM673" s="11"/>
      <c r="AN673" s="29"/>
      <c r="AO673" s="29"/>
      <c r="AP673" s="6"/>
      <c r="AQ673" s="113">
        <f>IF(AND(I673="",K673="",AF673="",AL673="",AN673="",O673=""),"",IF(OR(I673="SIM",K673="SIM",AF673="SIM",AL673="SIM",AN673="Dados pessoais",AN673="Dados sensíveis",AN673="Dados pessoais e sensíveis",O673="Acima de 10.000 titulares por mês"),"SIM - Alta criticidade",IF((IF(I673="SIM",2,0)+IF(K673="SIM",2,0)+IF(AF673="SIM",2,0)+IF(OR(AN673="Dados pessoais",AN673="Dados sensíveis",AN673="Dados pessoais e sensíveis"),2,0)+IF(O673="De 1.001 a 10.000 titulares por mês",1,0)+IF(AA673="SIM",1,0)+IF(R673="SIM",1,0)+IF(AL673="SIM",1,0)+IF(AJ673="NÃO",1,0))&gt;=5,"SIM - Alta criticidade",IF((IF(I673="SIM",2,0)+IF(K673="SIM",2,0)+IF(AF673="SIM",2,0)+IF(OR(AN673="Dados pessoais",AN673="Dados sensíveis",AN673="Dados pessoais e sensíveis"),2,0)+IF(O673="De 1.001 a 10.000 titulares por mês",1,0)+IF(AA673="SIM",1,0)+IF(R673="SIM",1,0)+IF(AL673="SIM",1,0)+IF(AJ673="NÃO",1,0))&gt;=3,"Avaliação necessária","NÃO"))))</f>
      </c>
      <c r="AR673" s="11"/>
      <c r="AS673" s="113">
        <f>IF(AND(I673="",K673="",AF673="",AL673="",AN673="",O673=""),"",IF(OR(I673="SIM",K673="SIM",AF673="SIM",AL673="SIM",OR(AN673="Dados pessoais",AN673="Dados sensíveis",AN673="Dados pessoais e sensíveis"),O673="Acima de 10.000 titulares por mês",(IF(I673="SIM",2,0)+IF(K673="SIM",2,0)+IF(AF673="SIM",2,0)+IF(OR(AN673="Dados pessoais",AN673="Dados sensíveis",AN673="Dados pessoais e sensíveis"),2,0)+IF(O673="De 1.001 a 10.000 titulares por mês",1,0)+IF(AA673="SIM",1,0)+IF(R673="SIM",1,0)+IF(AL673="SIM",1,0)+IF(AJ673="NÃO",1,0))&gt;=3),"DPIA indicado ou em avaliação em razão de: " &amp; TRIM(IF(I673="SIM","tratamento de dados sensíveis; ","") &amp; IF(K673="SIM","utilização de dados de menores; ","") &amp; IF(AF673="SIM","transferência internacional de dados; ","") &amp; IF(AL673="SIM","utilização de inteligência artificial; ","") &amp; IF(OR(AN673="Dados pessoais",AN673="Dados sensíveis",AN673="Dados pessoais e sensíveis"),"dados inseridos em IA; ","") &amp; IF(O673="Acima de 10.000 titulares por mês","volume crítico de titulares; ","") &amp; IF(O673="De 1.001 a 10.000 titulares por mês","volume moderado de titulares; ","") &amp; IF(AA673="SIM","compartilhamento com terceiros; ","") &amp; IF(R673="SIM","compartilhamento com órgãos governamentais; ","") &amp; IF(AJ673="NÃO","ausência de controle de acesso por perfil; ","")),"DPIA não indicado: Processo de baixa criticidade."))</f>
      </c>
    </row>
    <row x14ac:dyDescent="0.25" r="674" customHeight="1" ht="15.75">
      <c r="A674" s="46"/>
      <c r="B674" s="6"/>
      <c r="C674" s="11"/>
      <c r="D674" s="11"/>
      <c r="E674" s="11"/>
      <c r="F674" s="29"/>
      <c r="G674" s="11"/>
      <c r="H674" s="11"/>
      <c r="I674" s="29"/>
      <c r="J674" s="11"/>
      <c r="K674" s="29"/>
      <c r="L674" s="11"/>
      <c r="M674" s="11"/>
      <c r="N674" s="11"/>
      <c r="O674" s="29"/>
      <c r="P674" s="29"/>
      <c r="Q674" s="11"/>
      <c r="R674" s="29"/>
      <c r="S674" s="11"/>
      <c r="T674" s="6"/>
      <c r="U674" s="29"/>
      <c r="V674" s="11"/>
      <c r="W674" s="11"/>
      <c r="X674" s="29"/>
      <c r="Y674" s="11"/>
      <c r="Z674" s="29"/>
      <c r="AA674" s="29"/>
      <c r="AB674" s="11"/>
      <c r="AC674" s="11"/>
      <c r="AD674" s="29"/>
      <c r="AE674" s="11"/>
      <c r="AF674" s="29"/>
      <c r="AG674" s="11"/>
      <c r="AH674" s="29"/>
      <c r="AI674" s="11"/>
      <c r="AJ674" s="29"/>
      <c r="AK674" s="29"/>
      <c r="AL674" s="29"/>
      <c r="AM674" s="11"/>
      <c r="AN674" s="29"/>
      <c r="AO674" s="29"/>
      <c r="AP674" s="6"/>
      <c r="AQ674" s="113">
        <f>IF(AND(I674="",K674="",AF674="",AL674="",AN674="",O674=""),"",IF(OR(I674="SIM",K674="SIM",AF674="SIM",AL674="SIM",AN674="Dados pessoais",AN674="Dados sensíveis",AN674="Dados pessoais e sensíveis",O674="Acima de 10.000 titulares por mês"),"SIM - Alta criticidade",IF((IF(I674="SIM",2,0)+IF(K674="SIM",2,0)+IF(AF674="SIM",2,0)+IF(OR(AN674="Dados pessoais",AN674="Dados sensíveis",AN674="Dados pessoais e sensíveis"),2,0)+IF(O674="De 1.001 a 10.000 titulares por mês",1,0)+IF(AA674="SIM",1,0)+IF(R674="SIM",1,0)+IF(AL674="SIM",1,0)+IF(AJ674="NÃO",1,0))&gt;=5,"SIM - Alta criticidade",IF((IF(I674="SIM",2,0)+IF(K674="SIM",2,0)+IF(AF674="SIM",2,0)+IF(OR(AN674="Dados pessoais",AN674="Dados sensíveis",AN674="Dados pessoais e sensíveis"),2,0)+IF(O674="De 1.001 a 10.000 titulares por mês",1,0)+IF(AA674="SIM",1,0)+IF(R674="SIM",1,0)+IF(AL674="SIM",1,0)+IF(AJ674="NÃO",1,0))&gt;=3,"Avaliação necessária","NÃO"))))</f>
      </c>
      <c r="AR674" s="11"/>
      <c r="AS674" s="113">
        <f>IF(AND(I674="",K674="",AF674="",AL674="",AN674="",O674=""),"",IF(OR(I674="SIM",K674="SIM",AF674="SIM",AL674="SIM",OR(AN674="Dados pessoais",AN674="Dados sensíveis",AN674="Dados pessoais e sensíveis"),O674="Acima de 10.000 titulares por mês",(IF(I674="SIM",2,0)+IF(K674="SIM",2,0)+IF(AF674="SIM",2,0)+IF(OR(AN674="Dados pessoais",AN674="Dados sensíveis",AN674="Dados pessoais e sensíveis"),2,0)+IF(O674="De 1.001 a 10.000 titulares por mês",1,0)+IF(AA674="SIM",1,0)+IF(R674="SIM",1,0)+IF(AL674="SIM",1,0)+IF(AJ674="NÃO",1,0))&gt;=3),"DPIA indicado ou em avaliação em razão de: " &amp; TRIM(IF(I674="SIM","tratamento de dados sensíveis; ","") &amp; IF(K674="SIM","utilização de dados de menores; ","") &amp; IF(AF674="SIM","transferência internacional de dados; ","") &amp; IF(AL674="SIM","utilização de inteligência artificial; ","") &amp; IF(OR(AN674="Dados pessoais",AN674="Dados sensíveis",AN674="Dados pessoais e sensíveis"),"dados inseridos em IA; ","") &amp; IF(O674="Acima de 10.000 titulares por mês","volume crítico de titulares; ","") &amp; IF(O674="De 1.001 a 10.000 titulares por mês","volume moderado de titulares; ","") &amp; IF(AA674="SIM","compartilhamento com terceiros; ","") &amp; IF(R674="SIM","compartilhamento com órgãos governamentais; ","") &amp; IF(AJ674="NÃO","ausência de controle de acesso por perfil; ","")),"DPIA não indicado: Processo de baixa criticidade."))</f>
      </c>
    </row>
    <row x14ac:dyDescent="0.25" r="675" customHeight="1" ht="15.75">
      <c r="A675" s="46"/>
      <c r="B675" s="6"/>
      <c r="C675" s="11"/>
      <c r="D675" s="11"/>
      <c r="E675" s="11"/>
      <c r="F675" s="29"/>
      <c r="G675" s="11"/>
      <c r="H675" s="11"/>
      <c r="I675" s="29"/>
      <c r="J675" s="11"/>
      <c r="K675" s="29"/>
      <c r="L675" s="11"/>
      <c r="M675" s="11"/>
      <c r="N675" s="11"/>
      <c r="O675" s="29"/>
      <c r="P675" s="29"/>
      <c r="Q675" s="11"/>
      <c r="R675" s="29"/>
      <c r="S675" s="11"/>
      <c r="T675" s="6"/>
      <c r="U675" s="29"/>
      <c r="V675" s="11"/>
      <c r="W675" s="11"/>
      <c r="X675" s="29"/>
      <c r="Y675" s="11"/>
      <c r="Z675" s="29"/>
      <c r="AA675" s="29"/>
      <c r="AB675" s="11"/>
      <c r="AC675" s="11"/>
      <c r="AD675" s="29"/>
      <c r="AE675" s="11"/>
      <c r="AF675" s="29"/>
      <c r="AG675" s="11"/>
      <c r="AH675" s="29"/>
      <c r="AI675" s="11"/>
      <c r="AJ675" s="29"/>
      <c r="AK675" s="29"/>
      <c r="AL675" s="29"/>
      <c r="AM675" s="11"/>
      <c r="AN675" s="29"/>
      <c r="AO675" s="29"/>
      <c r="AP675" s="6"/>
      <c r="AQ675" s="113">
        <f>IF(AND(I675="",K675="",AF675="",AL675="",AN675="",O675=""),"",IF(OR(I675="SIM",K675="SIM",AF675="SIM",AL675="SIM",AN675="Dados pessoais",AN675="Dados sensíveis",AN675="Dados pessoais e sensíveis",O675="Acima de 10.000 titulares por mês"),"SIM - Alta criticidade",IF((IF(I675="SIM",2,0)+IF(K675="SIM",2,0)+IF(AF675="SIM",2,0)+IF(OR(AN675="Dados pessoais",AN675="Dados sensíveis",AN675="Dados pessoais e sensíveis"),2,0)+IF(O675="De 1.001 a 10.000 titulares por mês",1,0)+IF(AA675="SIM",1,0)+IF(R675="SIM",1,0)+IF(AL675="SIM",1,0)+IF(AJ675="NÃO",1,0))&gt;=5,"SIM - Alta criticidade",IF((IF(I675="SIM",2,0)+IF(K675="SIM",2,0)+IF(AF675="SIM",2,0)+IF(OR(AN675="Dados pessoais",AN675="Dados sensíveis",AN675="Dados pessoais e sensíveis"),2,0)+IF(O675="De 1.001 a 10.000 titulares por mês",1,0)+IF(AA675="SIM",1,0)+IF(R675="SIM",1,0)+IF(AL675="SIM",1,0)+IF(AJ675="NÃO",1,0))&gt;=3,"Avaliação necessária","NÃO"))))</f>
      </c>
      <c r="AR675" s="11"/>
      <c r="AS675" s="113">
        <f>IF(AND(I675="",K675="",AF675="",AL675="",AN675="",O675=""),"",IF(OR(I675="SIM",K675="SIM",AF675="SIM",AL675="SIM",OR(AN675="Dados pessoais",AN675="Dados sensíveis",AN675="Dados pessoais e sensíveis"),O675="Acima de 10.000 titulares por mês",(IF(I675="SIM",2,0)+IF(K675="SIM",2,0)+IF(AF675="SIM",2,0)+IF(OR(AN675="Dados pessoais",AN675="Dados sensíveis",AN675="Dados pessoais e sensíveis"),2,0)+IF(O675="De 1.001 a 10.000 titulares por mês",1,0)+IF(AA675="SIM",1,0)+IF(R675="SIM",1,0)+IF(AL675="SIM",1,0)+IF(AJ675="NÃO",1,0))&gt;=3),"DPIA indicado ou em avaliação em razão de: " &amp; TRIM(IF(I675="SIM","tratamento de dados sensíveis; ","") &amp; IF(K675="SIM","utilização de dados de menores; ","") &amp; IF(AF675="SIM","transferência internacional de dados; ","") &amp; IF(AL675="SIM","utilização de inteligência artificial; ","") &amp; IF(OR(AN675="Dados pessoais",AN675="Dados sensíveis",AN675="Dados pessoais e sensíveis"),"dados inseridos em IA; ","") &amp; IF(O675="Acima de 10.000 titulares por mês","volume crítico de titulares; ","") &amp; IF(O675="De 1.001 a 10.000 titulares por mês","volume moderado de titulares; ","") &amp; IF(AA675="SIM","compartilhamento com terceiros; ","") &amp; IF(R675="SIM","compartilhamento com órgãos governamentais; ","") &amp; IF(AJ675="NÃO","ausência de controle de acesso por perfil; ","")),"DPIA não indicado: Processo de baixa criticidade."))</f>
      </c>
    </row>
    <row x14ac:dyDescent="0.25" r="676" customHeight="1" ht="15.75">
      <c r="A676" s="46"/>
      <c r="B676" s="6"/>
      <c r="C676" s="11"/>
      <c r="D676" s="11"/>
      <c r="E676" s="11"/>
      <c r="F676" s="29"/>
      <c r="G676" s="11"/>
      <c r="H676" s="11"/>
      <c r="I676" s="29"/>
      <c r="J676" s="11"/>
      <c r="K676" s="29"/>
      <c r="L676" s="11"/>
      <c r="M676" s="11"/>
      <c r="N676" s="11"/>
      <c r="O676" s="29"/>
      <c r="P676" s="29"/>
      <c r="Q676" s="11"/>
      <c r="R676" s="29"/>
      <c r="S676" s="11"/>
      <c r="T676" s="6"/>
      <c r="U676" s="29"/>
      <c r="V676" s="11"/>
      <c r="W676" s="11"/>
      <c r="X676" s="29"/>
      <c r="Y676" s="11"/>
      <c r="Z676" s="29"/>
      <c r="AA676" s="29"/>
      <c r="AB676" s="11"/>
      <c r="AC676" s="11"/>
      <c r="AD676" s="29"/>
      <c r="AE676" s="11"/>
      <c r="AF676" s="29"/>
      <c r="AG676" s="11"/>
      <c r="AH676" s="29"/>
      <c r="AI676" s="11"/>
      <c r="AJ676" s="29"/>
      <c r="AK676" s="29"/>
      <c r="AL676" s="29"/>
      <c r="AM676" s="11"/>
      <c r="AN676" s="29"/>
      <c r="AO676" s="29"/>
      <c r="AP676" s="6"/>
      <c r="AQ676" s="113">
        <f>IF(AND(I676="",K676="",AF676="",AL676="",AN676="",O676=""),"",IF(OR(I676="SIM",K676="SIM",AF676="SIM",AL676="SIM",AN676="Dados pessoais",AN676="Dados sensíveis",AN676="Dados pessoais e sensíveis",O676="Acima de 10.000 titulares por mês"),"SIM - Alta criticidade",IF((IF(I676="SIM",2,0)+IF(K676="SIM",2,0)+IF(AF676="SIM",2,0)+IF(OR(AN676="Dados pessoais",AN676="Dados sensíveis",AN676="Dados pessoais e sensíveis"),2,0)+IF(O676="De 1.001 a 10.000 titulares por mês",1,0)+IF(AA676="SIM",1,0)+IF(R676="SIM",1,0)+IF(AL676="SIM",1,0)+IF(AJ676="NÃO",1,0))&gt;=5,"SIM - Alta criticidade",IF((IF(I676="SIM",2,0)+IF(K676="SIM",2,0)+IF(AF676="SIM",2,0)+IF(OR(AN676="Dados pessoais",AN676="Dados sensíveis",AN676="Dados pessoais e sensíveis"),2,0)+IF(O676="De 1.001 a 10.000 titulares por mês",1,0)+IF(AA676="SIM",1,0)+IF(R676="SIM",1,0)+IF(AL676="SIM",1,0)+IF(AJ676="NÃO",1,0))&gt;=3,"Avaliação necessária","NÃO"))))</f>
      </c>
      <c r="AR676" s="11"/>
      <c r="AS676" s="113">
        <f>IF(AND(I676="",K676="",AF676="",AL676="",AN676="",O676=""),"",IF(OR(I676="SIM",K676="SIM",AF676="SIM",AL676="SIM",OR(AN676="Dados pessoais",AN676="Dados sensíveis",AN676="Dados pessoais e sensíveis"),O676="Acima de 10.000 titulares por mês",(IF(I676="SIM",2,0)+IF(K676="SIM",2,0)+IF(AF676="SIM",2,0)+IF(OR(AN676="Dados pessoais",AN676="Dados sensíveis",AN676="Dados pessoais e sensíveis"),2,0)+IF(O676="De 1.001 a 10.000 titulares por mês",1,0)+IF(AA676="SIM",1,0)+IF(R676="SIM",1,0)+IF(AL676="SIM",1,0)+IF(AJ676="NÃO",1,0))&gt;=3),"DPIA indicado ou em avaliação em razão de: " &amp; TRIM(IF(I676="SIM","tratamento de dados sensíveis; ","") &amp; IF(K676="SIM","utilização de dados de menores; ","") &amp; IF(AF676="SIM","transferência internacional de dados; ","") &amp; IF(AL676="SIM","utilização de inteligência artificial; ","") &amp; IF(OR(AN676="Dados pessoais",AN676="Dados sensíveis",AN676="Dados pessoais e sensíveis"),"dados inseridos em IA; ","") &amp; IF(O676="Acima de 10.000 titulares por mês","volume crítico de titulares; ","") &amp; IF(O676="De 1.001 a 10.000 titulares por mês","volume moderado de titulares; ","") &amp; IF(AA676="SIM","compartilhamento com terceiros; ","") &amp; IF(R676="SIM","compartilhamento com órgãos governamentais; ","") &amp; IF(AJ676="NÃO","ausência de controle de acesso por perfil; ","")),"DPIA não indicado: Processo de baixa criticidade."))</f>
      </c>
    </row>
    <row x14ac:dyDescent="0.25" r="677" customHeight="1" ht="15.75">
      <c r="A677" s="46"/>
      <c r="B677" s="6"/>
      <c r="C677" s="11"/>
      <c r="D677" s="11"/>
      <c r="E677" s="11"/>
      <c r="F677" s="29"/>
      <c r="G677" s="11"/>
      <c r="H677" s="11"/>
      <c r="I677" s="29"/>
      <c r="J677" s="11"/>
      <c r="K677" s="29"/>
      <c r="L677" s="11"/>
      <c r="M677" s="11"/>
      <c r="N677" s="11"/>
      <c r="O677" s="29"/>
      <c r="P677" s="29"/>
      <c r="Q677" s="11"/>
      <c r="R677" s="29"/>
      <c r="S677" s="11"/>
      <c r="T677" s="6"/>
      <c r="U677" s="29"/>
      <c r="V677" s="11"/>
      <c r="W677" s="11"/>
      <c r="X677" s="29"/>
      <c r="Y677" s="11"/>
      <c r="Z677" s="29"/>
      <c r="AA677" s="29"/>
      <c r="AB677" s="11"/>
      <c r="AC677" s="11"/>
      <c r="AD677" s="29"/>
      <c r="AE677" s="11"/>
      <c r="AF677" s="29"/>
      <c r="AG677" s="11"/>
      <c r="AH677" s="29"/>
      <c r="AI677" s="11"/>
      <c r="AJ677" s="29"/>
      <c r="AK677" s="29"/>
      <c r="AL677" s="29"/>
      <c r="AM677" s="11"/>
      <c r="AN677" s="29"/>
      <c r="AO677" s="29"/>
      <c r="AP677" s="6"/>
      <c r="AQ677" s="113">
        <f>IF(AND(I677="",K677="",AF677="",AL677="",AN677="",O677=""),"",IF(OR(I677="SIM",K677="SIM",AF677="SIM",AL677="SIM",AN677="Dados pessoais",AN677="Dados sensíveis",AN677="Dados pessoais e sensíveis",O677="Acima de 10.000 titulares por mês"),"SIM - Alta criticidade",IF((IF(I677="SIM",2,0)+IF(K677="SIM",2,0)+IF(AF677="SIM",2,0)+IF(OR(AN677="Dados pessoais",AN677="Dados sensíveis",AN677="Dados pessoais e sensíveis"),2,0)+IF(O677="De 1.001 a 10.000 titulares por mês",1,0)+IF(AA677="SIM",1,0)+IF(R677="SIM",1,0)+IF(AL677="SIM",1,0)+IF(AJ677="NÃO",1,0))&gt;=5,"SIM - Alta criticidade",IF((IF(I677="SIM",2,0)+IF(K677="SIM",2,0)+IF(AF677="SIM",2,0)+IF(OR(AN677="Dados pessoais",AN677="Dados sensíveis",AN677="Dados pessoais e sensíveis"),2,0)+IF(O677="De 1.001 a 10.000 titulares por mês",1,0)+IF(AA677="SIM",1,0)+IF(R677="SIM",1,0)+IF(AL677="SIM",1,0)+IF(AJ677="NÃO",1,0))&gt;=3,"Avaliação necessária","NÃO"))))</f>
      </c>
      <c r="AR677" s="11"/>
      <c r="AS677" s="113">
        <f>IF(AND(I677="",K677="",AF677="",AL677="",AN677="",O677=""),"",IF(OR(I677="SIM",K677="SIM",AF677="SIM",AL677="SIM",OR(AN677="Dados pessoais",AN677="Dados sensíveis",AN677="Dados pessoais e sensíveis"),O677="Acima de 10.000 titulares por mês",(IF(I677="SIM",2,0)+IF(K677="SIM",2,0)+IF(AF677="SIM",2,0)+IF(OR(AN677="Dados pessoais",AN677="Dados sensíveis",AN677="Dados pessoais e sensíveis"),2,0)+IF(O677="De 1.001 a 10.000 titulares por mês",1,0)+IF(AA677="SIM",1,0)+IF(R677="SIM",1,0)+IF(AL677="SIM",1,0)+IF(AJ677="NÃO",1,0))&gt;=3),"DPIA indicado ou em avaliação em razão de: " &amp; TRIM(IF(I677="SIM","tratamento de dados sensíveis; ","") &amp; IF(K677="SIM","utilização de dados de menores; ","") &amp; IF(AF677="SIM","transferência internacional de dados; ","") &amp; IF(AL677="SIM","utilização de inteligência artificial; ","") &amp; IF(OR(AN677="Dados pessoais",AN677="Dados sensíveis",AN677="Dados pessoais e sensíveis"),"dados inseridos em IA; ","") &amp; IF(O677="Acima de 10.000 titulares por mês","volume crítico de titulares; ","") &amp; IF(O677="De 1.001 a 10.000 titulares por mês","volume moderado de titulares; ","") &amp; IF(AA677="SIM","compartilhamento com terceiros; ","") &amp; IF(R677="SIM","compartilhamento com órgãos governamentais; ","") &amp; IF(AJ677="NÃO","ausência de controle de acesso por perfil; ","")),"DPIA não indicado: Processo de baixa criticidade."))</f>
      </c>
    </row>
    <row x14ac:dyDescent="0.25" r="678" customHeight="1" ht="15.75">
      <c r="A678" s="46"/>
      <c r="B678" s="6"/>
      <c r="C678" s="11"/>
      <c r="D678" s="11"/>
      <c r="E678" s="11"/>
      <c r="F678" s="29"/>
      <c r="G678" s="11"/>
      <c r="H678" s="11"/>
      <c r="I678" s="29"/>
      <c r="J678" s="11"/>
      <c r="K678" s="29"/>
      <c r="L678" s="11"/>
      <c r="M678" s="11"/>
      <c r="N678" s="11"/>
      <c r="O678" s="29"/>
      <c r="P678" s="29"/>
      <c r="Q678" s="11"/>
      <c r="R678" s="29"/>
      <c r="S678" s="11"/>
      <c r="T678" s="6"/>
      <c r="U678" s="29"/>
      <c r="V678" s="11"/>
      <c r="W678" s="11"/>
      <c r="X678" s="29"/>
      <c r="Y678" s="11"/>
      <c r="Z678" s="29"/>
      <c r="AA678" s="29"/>
      <c r="AB678" s="11"/>
      <c r="AC678" s="11"/>
      <c r="AD678" s="29"/>
      <c r="AE678" s="11"/>
      <c r="AF678" s="29"/>
      <c r="AG678" s="11"/>
      <c r="AH678" s="29"/>
      <c r="AI678" s="11"/>
      <c r="AJ678" s="29"/>
      <c r="AK678" s="29"/>
      <c r="AL678" s="29"/>
      <c r="AM678" s="11"/>
      <c r="AN678" s="29"/>
      <c r="AO678" s="29"/>
      <c r="AP678" s="6"/>
      <c r="AQ678" s="113">
        <f>IF(AND(I678="",K678="",AF678="",AL678="",AN678="",O678=""),"",IF(OR(I678="SIM",K678="SIM",AF678="SIM",AL678="SIM",AN678="Dados pessoais",AN678="Dados sensíveis",AN678="Dados pessoais e sensíveis",O678="Acima de 10.000 titulares por mês"),"SIM - Alta criticidade",IF((IF(I678="SIM",2,0)+IF(K678="SIM",2,0)+IF(AF678="SIM",2,0)+IF(OR(AN678="Dados pessoais",AN678="Dados sensíveis",AN678="Dados pessoais e sensíveis"),2,0)+IF(O678="De 1.001 a 10.000 titulares por mês",1,0)+IF(AA678="SIM",1,0)+IF(R678="SIM",1,0)+IF(AL678="SIM",1,0)+IF(AJ678="NÃO",1,0))&gt;=5,"SIM - Alta criticidade",IF((IF(I678="SIM",2,0)+IF(K678="SIM",2,0)+IF(AF678="SIM",2,0)+IF(OR(AN678="Dados pessoais",AN678="Dados sensíveis",AN678="Dados pessoais e sensíveis"),2,0)+IF(O678="De 1.001 a 10.000 titulares por mês",1,0)+IF(AA678="SIM",1,0)+IF(R678="SIM",1,0)+IF(AL678="SIM",1,0)+IF(AJ678="NÃO",1,0))&gt;=3,"Avaliação necessária","NÃO"))))</f>
      </c>
      <c r="AR678" s="11"/>
      <c r="AS678" s="113">
        <f>IF(AND(I678="",K678="",AF678="",AL678="",AN678="",O678=""),"",IF(OR(I678="SIM",K678="SIM",AF678="SIM",AL678="SIM",OR(AN678="Dados pessoais",AN678="Dados sensíveis",AN678="Dados pessoais e sensíveis"),O678="Acima de 10.000 titulares por mês",(IF(I678="SIM",2,0)+IF(K678="SIM",2,0)+IF(AF678="SIM",2,0)+IF(OR(AN678="Dados pessoais",AN678="Dados sensíveis",AN678="Dados pessoais e sensíveis"),2,0)+IF(O678="De 1.001 a 10.000 titulares por mês",1,0)+IF(AA678="SIM",1,0)+IF(R678="SIM",1,0)+IF(AL678="SIM",1,0)+IF(AJ678="NÃO",1,0))&gt;=3),"DPIA indicado ou em avaliação em razão de: " &amp; TRIM(IF(I678="SIM","tratamento de dados sensíveis; ","") &amp; IF(K678="SIM","utilização de dados de menores; ","") &amp; IF(AF678="SIM","transferência internacional de dados; ","") &amp; IF(AL678="SIM","utilização de inteligência artificial; ","") &amp; IF(OR(AN678="Dados pessoais",AN678="Dados sensíveis",AN678="Dados pessoais e sensíveis"),"dados inseridos em IA; ","") &amp; IF(O678="Acima de 10.000 titulares por mês","volume crítico de titulares; ","") &amp; IF(O678="De 1.001 a 10.000 titulares por mês","volume moderado de titulares; ","") &amp; IF(AA678="SIM","compartilhamento com terceiros; ","") &amp; IF(R678="SIM","compartilhamento com órgãos governamentais; ","") &amp; IF(AJ678="NÃO","ausência de controle de acesso por perfil; ","")),"DPIA não indicado: Processo de baixa criticidade."))</f>
      </c>
    </row>
    <row x14ac:dyDescent="0.25" r="679" customHeight="1" ht="15.75">
      <c r="A679" s="46"/>
      <c r="B679" s="6"/>
      <c r="C679" s="11"/>
      <c r="D679" s="11"/>
      <c r="E679" s="11"/>
      <c r="F679" s="29"/>
      <c r="G679" s="11"/>
      <c r="H679" s="11"/>
      <c r="I679" s="29"/>
      <c r="J679" s="11"/>
      <c r="K679" s="29"/>
      <c r="L679" s="11"/>
      <c r="M679" s="11"/>
      <c r="N679" s="11"/>
      <c r="O679" s="29"/>
      <c r="P679" s="29"/>
      <c r="Q679" s="11"/>
      <c r="R679" s="29"/>
      <c r="S679" s="11"/>
      <c r="T679" s="6"/>
      <c r="U679" s="29"/>
      <c r="V679" s="11"/>
      <c r="W679" s="11"/>
      <c r="X679" s="29"/>
      <c r="Y679" s="11"/>
      <c r="Z679" s="29"/>
      <c r="AA679" s="29"/>
      <c r="AB679" s="11"/>
      <c r="AC679" s="11"/>
      <c r="AD679" s="29"/>
      <c r="AE679" s="11"/>
      <c r="AF679" s="29"/>
      <c r="AG679" s="11"/>
      <c r="AH679" s="29"/>
      <c r="AI679" s="11"/>
      <c r="AJ679" s="29"/>
      <c r="AK679" s="29"/>
      <c r="AL679" s="29"/>
      <c r="AM679" s="11"/>
      <c r="AN679" s="29"/>
      <c r="AO679" s="29"/>
      <c r="AP679" s="6"/>
      <c r="AQ679" s="113">
        <f>IF(AND(I679="",K679="",AF679="",AL679="",AN679="",O679=""),"",IF(OR(I679="SIM",K679="SIM",AF679="SIM",AL679="SIM",AN679="Dados pessoais",AN679="Dados sensíveis",AN679="Dados pessoais e sensíveis",O679="Acima de 10.000 titulares por mês"),"SIM - Alta criticidade",IF((IF(I679="SIM",2,0)+IF(K679="SIM",2,0)+IF(AF679="SIM",2,0)+IF(OR(AN679="Dados pessoais",AN679="Dados sensíveis",AN679="Dados pessoais e sensíveis"),2,0)+IF(O679="De 1.001 a 10.000 titulares por mês",1,0)+IF(AA679="SIM",1,0)+IF(R679="SIM",1,0)+IF(AL679="SIM",1,0)+IF(AJ679="NÃO",1,0))&gt;=5,"SIM - Alta criticidade",IF((IF(I679="SIM",2,0)+IF(K679="SIM",2,0)+IF(AF679="SIM",2,0)+IF(OR(AN679="Dados pessoais",AN679="Dados sensíveis",AN679="Dados pessoais e sensíveis"),2,0)+IF(O679="De 1.001 a 10.000 titulares por mês",1,0)+IF(AA679="SIM",1,0)+IF(R679="SIM",1,0)+IF(AL679="SIM",1,0)+IF(AJ679="NÃO",1,0))&gt;=3,"Avaliação necessária","NÃO"))))</f>
      </c>
      <c r="AR679" s="11"/>
      <c r="AS679" s="113">
        <f>IF(AND(I679="",K679="",AF679="",AL679="",AN679="",O679=""),"",IF(OR(I679="SIM",K679="SIM",AF679="SIM",AL679="SIM",OR(AN679="Dados pessoais",AN679="Dados sensíveis",AN679="Dados pessoais e sensíveis"),O679="Acima de 10.000 titulares por mês",(IF(I679="SIM",2,0)+IF(K679="SIM",2,0)+IF(AF679="SIM",2,0)+IF(OR(AN679="Dados pessoais",AN679="Dados sensíveis",AN679="Dados pessoais e sensíveis"),2,0)+IF(O679="De 1.001 a 10.000 titulares por mês",1,0)+IF(AA679="SIM",1,0)+IF(R679="SIM",1,0)+IF(AL679="SIM",1,0)+IF(AJ679="NÃO",1,0))&gt;=3),"DPIA indicado ou em avaliação em razão de: " &amp; TRIM(IF(I679="SIM","tratamento de dados sensíveis; ","") &amp; IF(K679="SIM","utilização de dados de menores; ","") &amp; IF(AF679="SIM","transferência internacional de dados; ","") &amp; IF(AL679="SIM","utilização de inteligência artificial; ","") &amp; IF(OR(AN679="Dados pessoais",AN679="Dados sensíveis",AN679="Dados pessoais e sensíveis"),"dados inseridos em IA; ","") &amp; IF(O679="Acima de 10.000 titulares por mês","volume crítico de titulares; ","") &amp; IF(O679="De 1.001 a 10.000 titulares por mês","volume moderado de titulares; ","") &amp; IF(AA679="SIM","compartilhamento com terceiros; ","") &amp; IF(R679="SIM","compartilhamento com órgãos governamentais; ","") &amp; IF(AJ679="NÃO","ausência de controle de acesso por perfil; ","")),"DPIA não indicado: Processo de baixa criticidade."))</f>
      </c>
    </row>
    <row x14ac:dyDescent="0.25" r="680" customHeight="1" ht="15.75">
      <c r="A680" s="46"/>
      <c r="B680" s="6"/>
      <c r="C680" s="11"/>
      <c r="D680" s="11"/>
      <c r="E680" s="11"/>
      <c r="F680" s="29"/>
      <c r="G680" s="11"/>
      <c r="H680" s="11"/>
      <c r="I680" s="29"/>
      <c r="J680" s="11"/>
      <c r="K680" s="29"/>
      <c r="L680" s="11"/>
      <c r="M680" s="11"/>
      <c r="N680" s="11"/>
      <c r="O680" s="29"/>
      <c r="P680" s="29"/>
      <c r="Q680" s="11"/>
      <c r="R680" s="29"/>
      <c r="S680" s="11"/>
      <c r="T680" s="6"/>
      <c r="U680" s="29"/>
      <c r="V680" s="11"/>
      <c r="W680" s="11"/>
      <c r="X680" s="29"/>
      <c r="Y680" s="11"/>
      <c r="Z680" s="29"/>
      <c r="AA680" s="29"/>
      <c r="AB680" s="11"/>
      <c r="AC680" s="11"/>
      <c r="AD680" s="29"/>
      <c r="AE680" s="11"/>
      <c r="AF680" s="29"/>
      <c r="AG680" s="11"/>
      <c r="AH680" s="29"/>
      <c r="AI680" s="11"/>
      <c r="AJ680" s="29"/>
      <c r="AK680" s="29"/>
      <c r="AL680" s="29"/>
      <c r="AM680" s="11"/>
      <c r="AN680" s="29"/>
      <c r="AO680" s="29"/>
      <c r="AP680" s="6"/>
      <c r="AQ680" s="113">
        <f>IF(AND(I680="",K680="",AF680="",AL680="",AN680="",O680=""),"",IF(OR(I680="SIM",K680="SIM",AF680="SIM",AL680="SIM",AN680="Dados pessoais",AN680="Dados sensíveis",AN680="Dados pessoais e sensíveis",O680="Acima de 10.000 titulares por mês"),"SIM - Alta criticidade",IF((IF(I680="SIM",2,0)+IF(K680="SIM",2,0)+IF(AF680="SIM",2,0)+IF(OR(AN680="Dados pessoais",AN680="Dados sensíveis",AN680="Dados pessoais e sensíveis"),2,0)+IF(O680="De 1.001 a 10.000 titulares por mês",1,0)+IF(AA680="SIM",1,0)+IF(R680="SIM",1,0)+IF(AL680="SIM",1,0)+IF(AJ680="NÃO",1,0))&gt;=5,"SIM - Alta criticidade",IF((IF(I680="SIM",2,0)+IF(K680="SIM",2,0)+IF(AF680="SIM",2,0)+IF(OR(AN680="Dados pessoais",AN680="Dados sensíveis",AN680="Dados pessoais e sensíveis"),2,0)+IF(O680="De 1.001 a 10.000 titulares por mês",1,0)+IF(AA680="SIM",1,0)+IF(R680="SIM",1,0)+IF(AL680="SIM",1,0)+IF(AJ680="NÃO",1,0))&gt;=3,"Avaliação necessária","NÃO"))))</f>
      </c>
      <c r="AR680" s="11"/>
      <c r="AS680" s="113">
        <f>IF(AND(I680="",K680="",AF680="",AL680="",AN680="",O680=""),"",IF(OR(I680="SIM",K680="SIM",AF680="SIM",AL680="SIM",OR(AN680="Dados pessoais",AN680="Dados sensíveis",AN680="Dados pessoais e sensíveis"),O680="Acima de 10.000 titulares por mês",(IF(I680="SIM",2,0)+IF(K680="SIM",2,0)+IF(AF680="SIM",2,0)+IF(OR(AN680="Dados pessoais",AN680="Dados sensíveis",AN680="Dados pessoais e sensíveis"),2,0)+IF(O680="De 1.001 a 10.000 titulares por mês",1,0)+IF(AA680="SIM",1,0)+IF(R680="SIM",1,0)+IF(AL680="SIM",1,0)+IF(AJ680="NÃO",1,0))&gt;=3),"DPIA indicado ou em avaliação em razão de: " &amp; TRIM(IF(I680="SIM","tratamento de dados sensíveis; ","") &amp; IF(K680="SIM","utilização de dados de menores; ","") &amp; IF(AF680="SIM","transferência internacional de dados; ","") &amp; IF(AL680="SIM","utilização de inteligência artificial; ","") &amp; IF(OR(AN680="Dados pessoais",AN680="Dados sensíveis",AN680="Dados pessoais e sensíveis"),"dados inseridos em IA; ","") &amp; IF(O680="Acima de 10.000 titulares por mês","volume crítico de titulares; ","") &amp; IF(O680="De 1.001 a 10.000 titulares por mês","volume moderado de titulares; ","") &amp; IF(AA680="SIM","compartilhamento com terceiros; ","") &amp; IF(R680="SIM","compartilhamento com órgãos governamentais; ","") &amp; IF(AJ680="NÃO","ausência de controle de acesso por perfil; ","")),"DPIA não indicado: Processo de baixa criticidade."))</f>
      </c>
    </row>
    <row x14ac:dyDescent="0.25" r="681" customHeight="1" ht="15.75">
      <c r="A681" s="46"/>
      <c r="B681" s="6"/>
      <c r="C681" s="11"/>
      <c r="D681" s="11"/>
      <c r="E681" s="11"/>
      <c r="F681" s="29"/>
      <c r="G681" s="11"/>
      <c r="H681" s="11"/>
      <c r="I681" s="29"/>
      <c r="J681" s="11"/>
      <c r="K681" s="29"/>
      <c r="L681" s="11"/>
      <c r="M681" s="11"/>
      <c r="N681" s="11"/>
      <c r="O681" s="29"/>
      <c r="P681" s="29"/>
      <c r="Q681" s="11"/>
      <c r="R681" s="29"/>
      <c r="S681" s="11"/>
      <c r="T681" s="6"/>
      <c r="U681" s="29"/>
      <c r="V681" s="11"/>
      <c r="W681" s="11"/>
      <c r="X681" s="29"/>
      <c r="Y681" s="11"/>
      <c r="Z681" s="29"/>
      <c r="AA681" s="29"/>
      <c r="AB681" s="11"/>
      <c r="AC681" s="11"/>
      <c r="AD681" s="29"/>
      <c r="AE681" s="11"/>
      <c r="AF681" s="29"/>
      <c r="AG681" s="11"/>
      <c r="AH681" s="29"/>
      <c r="AI681" s="11"/>
      <c r="AJ681" s="29"/>
      <c r="AK681" s="29"/>
      <c r="AL681" s="29"/>
      <c r="AM681" s="11"/>
      <c r="AN681" s="29"/>
      <c r="AO681" s="29"/>
      <c r="AP681" s="6"/>
      <c r="AQ681" s="113">
        <f>IF(AND(I681="",K681="",AF681="",AL681="",AN681="",O681=""),"",IF(OR(I681="SIM",K681="SIM",AF681="SIM",AL681="SIM",AN681="Dados pessoais",AN681="Dados sensíveis",AN681="Dados pessoais e sensíveis",O681="Acima de 10.000 titulares por mês"),"SIM - Alta criticidade",IF((IF(I681="SIM",2,0)+IF(K681="SIM",2,0)+IF(AF681="SIM",2,0)+IF(OR(AN681="Dados pessoais",AN681="Dados sensíveis",AN681="Dados pessoais e sensíveis"),2,0)+IF(O681="De 1.001 a 10.000 titulares por mês",1,0)+IF(AA681="SIM",1,0)+IF(R681="SIM",1,0)+IF(AL681="SIM",1,0)+IF(AJ681="NÃO",1,0))&gt;=5,"SIM - Alta criticidade",IF((IF(I681="SIM",2,0)+IF(K681="SIM",2,0)+IF(AF681="SIM",2,0)+IF(OR(AN681="Dados pessoais",AN681="Dados sensíveis",AN681="Dados pessoais e sensíveis"),2,0)+IF(O681="De 1.001 a 10.000 titulares por mês",1,0)+IF(AA681="SIM",1,0)+IF(R681="SIM",1,0)+IF(AL681="SIM",1,0)+IF(AJ681="NÃO",1,0))&gt;=3,"Avaliação necessária","NÃO"))))</f>
      </c>
      <c r="AR681" s="11"/>
      <c r="AS681" s="113">
        <f>IF(AND(I681="",K681="",AF681="",AL681="",AN681="",O681=""),"",IF(OR(I681="SIM",K681="SIM",AF681="SIM",AL681="SIM",OR(AN681="Dados pessoais",AN681="Dados sensíveis",AN681="Dados pessoais e sensíveis"),O681="Acima de 10.000 titulares por mês",(IF(I681="SIM",2,0)+IF(K681="SIM",2,0)+IF(AF681="SIM",2,0)+IF(OR(AN681="Dados pessoais",AN681="Dados sensíveis",AN681="Dados pessoais e sensíveis"),2,0)+IF(O681="De 1.001 a 10.000 titulares por mês",1,0)+IF(AA681="SIM",1,0)+IF(R681="SIM",1,0)+IF(AL681="SIM",1,0)+IF(AJ681="NÃO",1,0))&gt;=3),"DPIA indicado ou em avaliação em razão de: " &amp; TRIM(IF(I681="SIM","tratamento de dados sensíveis; ","") &amp; IF(K681="SIM","utilização de dados de menores; ","") &amp; IF(AF681="SIM","transferência internacional de dados; ","") &amp; IF(AL681="SIM","utilização de inteligência artificial; ","") &amp; IF(OR(AN681="Dados pessoais",AN681="Dados sensíveis",AN681="Dados pessoais e sensíveis"),"dados inseridos em IA; ","") &amp; IF(O681="Acima de 10.000 titulares por mês","volume crítico de titulares; ","") &amp; IF(O681="De 1.001 a 10.000 titulares por mês","volume moderado de titulares; ","") &amp; IF(AA681="SIM","compartilhamento com terceiros; ","") &amp; IF(R681="SIM","compartilhamento com órgãos governamentais; ","") &amp; IF(AJ681="NÃO","ausência de controle de acesso por perfil; ","")),"DPIA não indicado: Processo de baixa criticidade."))</f>
      </c>
    </row>
    <row x14ac:dyDescent="0.25" r="682" customHeight="1" ht="15.75">
      <c r="A682" s="46"/>
      <c r="B682" s="6"/>
      <c r="C682" s="11"/>
      <c r="D682" s="11"/>
      <c r="E682" s="11"/>
      <c r="F682" s="29"/>
      <c r="G682" s="11"/>
      <c r="H682" s="11"/>
      <c r="I682" s="29"/>
      <c r="J682" s="11"/>
      <c r="K682" s="29"/>
      <c r="L682" s="11"/>
      <c r="M682" s="11"/>
      <c r="N682" s="11"/>
      <c r="O682" s="29"/>
      <c r="P682" s="29"/>
      <c r="Q682" s="11"/>
      <c r="R682" s="29"/>
      <c r="S682" s="11"/>
      <c r="T682" s="6"/>
      <c r="U682" s="29"/>
      <c r="V682" s="11"/>
      <c r="W682" s="11"/>
      <c r="X682" s="29"/>
      <c r="Y682" s="11"/>
      <c r="Z682" s="29"/>
      <c r="AA682" s="29"/>
      <c r="AB682" s="11"/>
      <c r="AC682" s="11"/>
      <c r="AD682" s="29"/>
      <c r="AE682" s="11"/>
      <c r="AF682" s="29"/>
      <c r="AG682" s="11"/>
      <c r="AH682" s="29"/>
      <c r="AI682" s="11"/>
      <c r="AJ682" s="29"/>
      <c r="AK682" s="29"/>
      <c r="AL682" s="29"/>
      <c r="AM682" s="11"/>
      <c r="AN682" s="29"/>
      <c r="AO682" s="29"/>
      <c r="AP682" s="6"/>
      <c r="AQ682" s="113">
        <f>IF(AND(I682="",K682="",AF682="",AL682="",AN682="",O682=""),"",IF(OR(I682="SIM",K682="SIM",AF682="SIM",AL682="SIM",AN682="Dados pessoais",AN682="Dados sensíveis",AN682="Dados pessoais e sensíveis",O682="Acima de 10.000 titulares por mês"),"SIM - Alta criticidade",IF((IF(I682="SIM",2,0)+IF(K682="SIM",2,0)+IF(AF682="SIM",2,0)+IF(OR(AN682="Dados pessoais",AN682="Dados sensíveis",AN682="Dados pessoais e sensíveis"),2,0)+IF(O682="De 1.001 a 10.000 titulares por mês",1,0)+IF(AA682="SIM",1,0)+IF(R682="SIM",1,0)+IF(AL682="SIM",1,0)+IF(AJ682="NÃO",1,0))&gt;=5,"SIM - Alta criticidade",IF((IF(I682="SIM",2,0)+IF(K682="SIM",2,0)+IF(AF682="SIM",2,0)+IF(OR(AN682="Dados pessoais",AN682="Dados sensíveis",AN682="Dados pessoais e sensíveis"),2,0)+IF(O682="De 1.001 a 10.000 titulares por mês",1,0)+IF(AA682="SIM",1,0)+IF(R682="SIM",1,0)+IF(AL682="SIM",1,0)+IF(AJ682="NÃO",1,0))&gt;=3,"Avaliação necessária","NÃO"))))</f>
      </c>
      <c r="AR682" s="11"/>
      <c r="AS682" s="113">
        <f>IF(AND(I682="",K682="",AF682="",AL682="",AN682="",O682=""),"",IF(OR(I682="SIM",K682="SIM",AF682="SIM",AL682="SIM",OR(AN682="Dados pessoais",AN682="Dados sensíveis",AN682="Dados pessoais e sensíveis"),O682="Acima de 10.000 titulares por mês",(IF(I682="SIM",2,0)+IF(K682="SIM",2,0)+IF(AF682="SIM",2,0)+IF(OR(AN682="Dados pessoais",AN682="Dados sensíveis",AN682="Dados pessoais e sensíveis"),2,0)+IF(O682="De 1.001 a 10.000 titulares por mês",1,0)+IF(AA682="SIM",1,0)+IF(R682="SIM",1,0)+IF(AL682="SIM",1,0)+IF(AJ682="NÃO",1,0))&gt;=3),"DPIA indicado ou em avaliação em razão de: " &amp; TRIM(IF(I682="SIM","tratamento de dados sensíveis; ","") &amp; IF(K682="SIM","utilização de dados de menores; ","") &amp; IF(AF682="SIM","transferência internacional de dados; ","") &amp; IF(AL682="SIM","utilização de inteligência artificial; ","") &amp; IF(OR(AN682="Dados pessoais",AN682="Dados sensíveis",AN682="Dados pessoais e sensíveis"),"dados inseridos em IA; ","") &amp; IF(O682="Acima de 10.000 titulares por mês","volume crítico de titulares; ","") &amp; IF(O682="De 1.001 a 10.000 titulares por mês","volume moderado de titulares; ","") &amp; IF(AA682="SIM","compartilhamento com terceiros; ","") &amp; IF(R682="SIM","compartilhamento com órgãos governamentais; ","") &amp; IF(AJ682="NÃO","ausência de controle de acesso por perfil; ","")),"DPIA não indicado: Processo de baixa criticidade."))</f>
      </c>
    </row>
    <row x14ac:dyDescent="0.25" r="683" customHeight="1" ht="15.75">
      <c r="A683" s="46"/>
      <c r="B683" s="6"/>
      <c r="C683" s="11"/>
      <c r="D683" s="11"/>
      <c r="E683" s="11"/>
      <c r="F683" s="29"/>
      <c r="G683" s="11"/>
      <c r="H683" s="11"/>
      <c r="I683" s="29"/>
      <c r="J683" s="11"/>
      <c r="K683" s="29"/>
      <c r="L683" s="11"/>
      <c r="M683" s="11"/>
      <c r="N683" s="11"/>
      <c r="O683" s="29"/>
      <c r="P683" s="29"/>
      <c r="Q683" s="11"/>
      <c r="R683" s="29"/>
      <c r="S683" s="11"/>
      <c r="T683" s="6"/>
      <c r="U683" s="29"/>
      <c r="V683" s="11"/>
      <c r="W683" s="11"/>
      <c r="X683" s="29"/>
      <c r="Y683" s="11"/>
      <c r="Z683" s="29"/>
      <c r="AA683" s="29"/>
      <c r="AB683" s="11"/>
      <c r="AC683" s="11"/>
      <c r="AD683" s="29"/>
      <c r="AE683" s="11"/>
      <c r="AF683" s="29"/>
      <c r="AG683" s="11"/>
      <c r="AH683" s="29"/>
      <c r="AI683" s="11"/>
      <c r="AJ683" s="29"/>
      <c r="AK683" s="29"/>
      <c r="AL683" s="29"/>
      <c r="AM683" s="11"/>
      <c r="AN683" s="29"/>
      <c r="AO683" s="29"/>
      <c r="AP683" s="6"/>
      <c r="AQ683" s="113">
        <f>IF(AND(I683="",K683="",AF683="",AL683="",AN683="",O683=""),"",IF(OR(I683="SIM",K683="SIM",AF683="SIM",AL683="SIM",AN683="Dados pessoais",AN683="Dados sensíveis",AN683="Dados pessoais e sensíveis",O683="Acima de 10.000 titulares por mês"),"SIM - Alta criticidade",IF((IF(I683="SIM",2,0)+IF(K683="SIM",2,0)+IF(AF683="SIM",2,0)+IF(OR(AN683="Dados pessoais",AN683="Dados sensíveis",AN683="Dados pessoais e sensíveis"),2,0)+IF(O683="De 1.001 a 10.000 titulares por mês",1,0)+IF(AA683="SIM",1,0)+IF(R683="SIM",1,0)+IF(AL683="SIM",1,0)+IF(AJ683="NÃO",1,0))&gt;=5,"SIM - Alta criticidade",IF((IF(I683="SIM",2,0)+IF(K683="SIM",2,0)+IF(AF683="SIM",2,0)+IF(OR(AN683="Dados pessoais",AN683="Dados sensíveis",AN683="Dados pessoais e sensíveis"),2,0)+IF(O683="De 1.001 a 10.000 titulares por mês",1,0)+IF(AA683="SIM",1,0)+IF(R683="SIM",1,0)+IF(AL683="SIM",1,0)+IF(AJ683="NÃO",1,0))&gt;=3,"Avaliação necessária","NÃO"))))</f>
      </c>
      <c r="AR683" s="11"/>
      <c r="AS683" s="113">
        <f>IF(AND(I683="",K683="",AF683="",AL683="",AN683="",O683=""),"",IF(OR(I683="SIM",K683="SIM",AF683="SIM",AL683="SIM",OR(AN683="Dados pessoais",AN683="Dados sensíveis",AN683="Dados pessoais e sensíveis"),O683="Acima de 10.000 titulares por mês",(IF(I683="SIM",2,0)+IF(K683="SIM",2,0)+IF(AF683="SIM",2,0)+IF(OR(AN683="Dados pessoais",AN683="Dados sensíveis",AN683="Dados pessoais e sensíveis"),2,0)+IF(O683="De 1.001 a 10.000 titulares por mês",1,0)+IF(AA683="SIM",1,0)+IF(R683="SIM",1,0)+IF(AL683="SIM",1,0)+IF(AJ683="NÃO",1,0))&gt;=3),"DPIA indicado ou em avaliação em razão de: " &amp; TRIM(IF(I683="SIM","tratamento de dados sensíveis; ","") &amp; IF(K683="SIM","utilização de dados de menores; ","") &amp; IF(AF683="SIM","transferência internacional de dados; ","") &amp; IF(AL683="SIM","utilização de inteligência artificial; ","") &amp; IF(OR(AN683="Dados pessoais",AN683="Dados sensíveis",AN683="Dados pessoais e sensíveis"),"dados inseridos em IA; ","") &amp; IF(O683="Acima de 10.000 titulares por mês","volume crítico de titulares; ","") &amp; IF(O683="De 1.001 a 10.000 titulares por mês","volume moderado de titulares; ","") &amp; IF(AA683="SIM","compartilhamento com terceiros; ","") &amp; IF(R683="SIM","compartilhamento com órgãos governamentais; ","") &amp; IF(AJ683="NÃO","ausência de controle de acesso por perfil; ","")),"DPIA não indicado: Processo de baixa criticidade."))</f>
      </c>
    </row>
    <row x14ac:dyDescent="0.25" r="684" customHeight="1" ht="15.75">
      <c r="A684" s="46"/>
      <c r="B684" s="6"/>
      <c r="C684" s="11"/>
      <c r="D684" s="11"/>
      <c r="E684" s="11"/>
      <c r="F684" s="29"/>
      <c r="G684" s="11"/>
      <c r="H684" s="11"/>
      <c r="I684" s="29"/>
      <c r="J684" s="11"/>
      <c r="K684" s="29"/>
      <c r="L684" s="11"/>
      <c r="M684" s="11"/>
      <c r="N684" s="11"/>
      <c r="O684" s="29"/>
      <c r="P684" s="29"/>
      <c r="Q684" s="11"/>
      <c r="R684" s="29"/>
      <c r="S684" s="11"/>
      <c r="T684" s="6"/>
      <c r="U684" s="29"/>
      <c r="V684" s="11"/>
      <c r="W684" s="11"/>
      <c r="X684" s="29"/>
      <c r="Y684" s="11"/>
      <c r="Z684" s="29"/>
      <c r="AA684" s="29"/>
      <c r="AB684" s="11"/>
      <c r="AC684" s="11"/>
      <c r="AD684" s="29"/>
      <c r="AE684" s="11"/>
      <c r="AF684" s="29"/>
      <c r="AG684" s="11"/>
      <c r="AH684" s="29"/>
      <c r="AI684" s="11"/>
      <c r="AJ684" s="29"/>
      <c r="AK684" s="29"/>
      <c r="AL684" s="29"/>
      <c r="AM684" s="11"/>
      <c r="AN684" s="29"/>
      <c r="AO684" s="29"/>
      <c r="AP684" s="6"/>
      <c r="AQ684" s="113">
        <f>IF(AND(I684="",K684="",AF684="",AL684="",AN684="",O684=""),"",IF(OR(I684="SIM",K684="SIM",AF684="SIM",AL684="SIM",AN684="Dados pessoais",AN684="Dados sensíveis",AN684="Dados pessoais e sensíveis",O684="Acima de 10.000 titulares por mês"),"SIM - Alta criticidade",IF((IF(I684="SIM",2,0)+IF(K684="SIM",2,0)+IF(AF684="SIM",2,0)+IF(OR(AN684="Dados pessoais",AN684="Dados sensíveis",AN684="Dados pessoais e sensíveis"),2,0)+IF(O684="De 1.001 a 10.000 titulares por mês",1,0)+IF(AA684="SIM",1,0)+IF(R684="SIM",1,0)+IF(AL684="SIM",1,0)+IF(AJ684="NÃO",1,0))&gt;=5,"SIM - Alta criticidade",IF((IF(I684="SIM",2,0)+IF(K684="SIM",2,0)+IF(AF684="SIM",2,0)+IF(OR(AN684="Dados pessoais",AN684="Dados sensíveis",AN684="Dados pessoais e sensíveis"),2,0)+IF(O684="De 1.001 a 10.000 titulares por mês",1,0)+IF(AA684="SIM",1,0)+IF(R684="SIM",1,0)+IF(AL684="SIM",1,0)+IF(AJ684="NÃO",1,0))&gt;=3,"Avaliação necessária","NÃO"))))</f>
      </c>
      <c r="AR684" s="11"/>
      <c r="AS684" s="113">
        <f>IF(AND(I684="",K684="",AF684="",AL684="",AN684="",O684=""),"",IF(OR(I684="SIM",K684="SIM",AF684="SIM",AL684="SIM",OR(AN684="Dados pessoais",AN684="Dados sensíveis",AN684="Dados pessoais e sensíveis"),O684="Acima de 10.000 titulares por mês",(IF(I684="SIM",2,0)+IF(K684="SIM",2,0)+IF(AF684="SIM",2,0)+IF(OR(AN684="Dados pessoais",AN684="Dados sensíveis",AN684="Dados pessoais e sensíveis"),2,0)+IF(O684="De 1.001 a 10.000 titulares por mês",1,0)+IF(AA684="SIM",1,0)+IF(R684="SIM",1,0)+IF(AL684="SIM",1,0)+IF(AJ684="NÃO",1,0))&gt;=3),"DPIA indicado ou em avaliação em razão de: " &amp; TRIM(IF(I684="SIM","tratamento de dados sensíveis; ","") &amp; IF(K684="SIM","utilização de dados de menores; ","") &amp; IF(AF684="SIM","transferência internacional de dados; ","") &amp; IF(AL684="SIM","utilização de inteligência artificial; ","") &amp; IF(OR(AN684="Dados pessoais",AN684="Dados sensíveis",AN684="Dados pessoais e sensíveis"),"dados inseridos em IA; ","") &amp; IF(O684="Acima de 10.000 titulares por mês","volume crítico de titulares; ","") &amp; IF(O684="De 1.001 a 10.000 titulares por mês","volume moderado de titulares; ","") &amp; IF(AA684="SIM","compartilhamento com terceiros; ","") &amp; IF(R684="SIM","compartilhamento com órgãos governamentais; ","") &amp; IF(AJ684="NÃO","ausência de controle de acesso por perfil; ","")),"DPIA não indicado: Processo de baixa criticidade."))</f>
      </c>
    </row>
    <row x14ac:dyDescent="0.25" r="685" customHeight="1" ht="15.75">
      <c r="A685" s="46"/>
      <c r="B685" s="6"/>
      <c r="C685" s="11"/>
      <c r="D685" s="11"/>
      <c r="E685" s="11"/>
      <c r="F685" s="29"/>
      <c r="G685" s="11"/>
      <c r="H685" s="11"/>
      <c r="I685" s="29"/>
      <c r="J685" s="11"/>
      <c r="K685" s="29"/>
      <c r="L685" s="11"/>
      <c r="M685" s="11"/>
      <c r="N685" s="11"/>
      <c r="O685" s="29"/>
      <c r="P685" s="29"/>
      <c r="Q685" s="11"/>
      <c r="R685" s="29"/>
      <c r="S685" s="11"/>
      <c r="T685" s="6"/>
      <c r="U685" s="29"/>
      <c r="V685" s="11"/>
      <c r="W685" s="11"/>
      <c r="X685" s="29"/>
      <c r="Y685" s="11"/>
      <c r="Z685" s="29"/>
      <c r="AA685" s="29"/>
      <c r="AB685" s="11"/>
      <c r="AC685" s="11"/>
      <c r="AD685" s="29"/>
      <c r="AE685" s="11"/>
      <c r="AF685" s="29"/>
      <c r="AG685" s="11"/>
      <c r="AH685" s="29"/>
      <c r="AI685" s="11"/>
      <c r="AJ685" s="29"/>
      <c r="AK685" s="29"/>
      <c r="AL685" s="29"/>
      <c r="AM685" s="11"/>
      <c r="AN685" s="29"/>
      <c r="AO685" s="29"/>
      <c r="AP685" s="6"/>
      <c r="AQ685" s="113">
        <f>IF(AND(I685="",K685="",AF685="",AL685="",AN685="",O685=""),"",IF(OR(I685="SIM",K685="SIM",AF685="SIM",AL685="SIM",AN685="Dados pessoais",AN685="Dados sensíveis",AN685="Dados pessoais e sensíveis",O685="Acima de 10.000 titulares por mês"),"SIM - Alta criticidade",IF((IF(I685="SIM",2,0)+IF(K685="SIM",2,0)+IF(AF685="SIM",2,0)+IF(OR(AN685="Dados pessoais",AN685="Dados sensíveis",AN685="Dados pessoais e sensíveis"),2,0)+IF(O685="De 1.001 a 10.000 titulares por mês",1,0)+IF(AA685="SIM",1,0)+IF(R685="SIM",1,0)+IF(AL685="SIM",1,0)+IF(AJ685="NÃO",1,0))&gt;=5,"SIM - Alta criticidade",IF((IF(I685="SIM",2,0)+IF(K685="SIM",2,0)+IF(AF685="SIM",2,0)+IF(OR(AN685="Dados pessoais",AN685="Dados sensíveis",AN685="Dados pessoais e sensíveis"),2,0)+IF(O685="De 1.001 a 10.000 titulares por mês",1,0)+IF(AA685="SIM",1,0)+IF(R685="SIM",1,0)+IF(AL685="SIM",1,0)+IF(AJ685="NÃO",1,0))&gt;=3,"Avaliação necessária","NÃO"))))</f>
      </c>
      <c r="AR685" s="11"/>
      <c r="AS685" s="113">
        <f>IF(AND(I685="",K685="",AF685="",AL685="",AN685="",O685=""),"",IF(OR(I685="SIM",K685="SIM",AF685="SIM",AL685="SIM",OR(AN685="Dados pessoais",AN685="Dados sensíveis",AN685="Dados pessoais e sensíveis"),O685="Acima de 10.000 titulares por mês",(IF(I685="SIM",2,0)+IF(K685="SIM",2,0)+IF(AF685="SIM",2,0)+IF(OR(AN685="Dados pessoais",AN685="Dados sensíveis",AN685="Dados pessoais e sensíveis"),2,0)+IF(O685="De 1.001 a 10.000 titulares por mês",1,0)+IF(AA685="SIM",1,0)+IF(R685="SIM",1,0)+IF(AL685="SIM",1,0)+IF(AJ685="NÃO",1,0))&gt;=3),"DPIA indicado ou em avaliação em razão de: " &amp; TRIM(IF(I685="SIM","tratamento de dados sensíveis; ","") &amp; IF(K685="SIM","utilização de dados de menores; ","") &amp; IF(AF685="SIM","transferência internacional de dados; ","") &amp; IF(AL685="SIM","utilização de inteligência artificial; ","") &amp; IF(OR(AN685="Dados pessoais",AN685="Dados sensíveis",AN685="Dados pessoais e sensíveis"),"dados inseridos em IA; ","") &amp; IF(O685="Acima de 10.000 titulares por mês","volume crítico de titulares; ","") &amp; IF(O685="De 1.001 a 10.000 titulares por mês","volume moderado de titulares; ","") &amp; IF(AA685="SIM","compartilhamento com terceiros; ","") &amp; IF(R685="SIM","compartilhamento com órgãos governamentais; ","") &amp; IF(AJ685="NÃO","ausência de controle de acesso por perfil; ","")),"DPIA não indicado: Processo de baixa criticidade."))</f>
      </c>
    </row>
    <row x14ac:dyDescent="0.25" r="686" customHeight="1" ht="15.75">
      <c r="A686" s="46"/>
      <c r="B686" s="6"/>
      <c r="C686" s="11"/>
      <c r="D686" s="11"/>
      <c r="E686" s="11"/>
      <c r="F686" s="29"/>
      <c r="G686" s="11"/>
      <c r="H686" s="11"/>
      <c r="I686" s="29"/>
      <c r="J686" s="11"/>
      <c r="K686" s="29"/>
      <c r="L686" s="11"/>
      <c r="M686" s="11"/>
      <c r="N686" s="11"/>
      <c r="O686" s="29"/>
      <c r="P686" s="29"/>
      <c r="Q686" s="11"/>
      <c r="R686" s="29"/>
      <c r="S686" s="11"/>
      <c r="T686" s="6"/>
      <c r="U686" s="29"/>
      <c r="V686" s="11"/>
      <c r="W686" s="11"/>
      <c r="X686" s="29"/>
      <c r="Y686" s="11"/>
      <c r="Z686" s="29"/>
      <c r="AA686" s="29"/>
      <c r="AB686" s="11"/>
      <c r="AC686" s="11"/>
      <c r="AD686" s="29"/>
      <c r="AE686" s="11"/>
      <c r="AF686" s="29"/>
      <c r="AG686" s="11"/>
      <c r="AH686" s="29"/>
      <c r="AI686" s="11"/>
      <c r="AJ686" s="29"/>
      <c r="AK686" s="29"/>
      <c r="AL686" s="29"/>
      <c r="AM686" s="11"/>
      <c r="AN686" s="29"/>
      <c r="AO686" s="29"/>
      <c r="AP686" s="6"/>
      <c r="AQ686" s="113">
        <f>IF(AND(I686="",K686="",AF686="",AL686="",AN686="",O686=""),"",IF(OR(I686="SIM",K686="SIM",AF686="SIM",AL686="SIM",AN686="Dados pessoais",AN686="Dados sensíveis",AN686="Dados pessoais e sensíveis",O686="Acima de 10.000 titulares por mês"),"SIM - Alta criticidade",IF((IF(I686="SIM",2,0)+IF(K686="SIM",2,0)+IF(AF686="SIM",2,0)+IF(OR(AN686="Dados pessoais",AN686="Dados sensíveis",AN686="Dados pessoais e sensíveis"),2,0)+IF(O686="De 1.001 a 10.000 titulares por mês",1,0)+IF(AA686="SIM",1,0)+IF(R686="SIM",1,0)+IF(AL686="SIM",1,0)+IF(AJ686="NÃO",1,0))&gt;=5,"SIM - Alta criticidade",IF((IF(I686="SIM",2,0)+IF(K686="SIM",2,0)+IF(AF686="SIM",2,0)+IF(OR(AN686="Dados pessoais",AN686="Dados sensíveis",AN686="Dados pessoais e sensíveis"),2,0)+IF(O686="De 1.001 a 10.000 titulares por mês",1,0)+IF(AA686="SIM",1,0)+IF(R686="SIM",1,0)+IF(AL686="SIM",1,0)+IF(AJ686="NÃO",1,0))&gt;=3,"Avaliação necessária","NÃO"))))</f>
      </c>
      <c r="AR686" s="11"/>
      <c r="AS686" s="113">
        <f>IF(AND(I686="",K686="",AF686="",AL686="",AN686="",O686=""),"",IF(OR(I686="SIM",K686="SIM",AF686="SIM",AL686="SIM",OR(AN686="Dados pessoais",AN686="Dados sensíveis",AN686="Dados pessoais e sensíveis"),O686="Acima de 10.000 titulares por mês",(IF(I686="SIM",2,0)+IF(K686="SIM",2,0)+IF(AF686="SIM",2,0)+IF(OR(AN686="Dados pessoais",AN686="Dados sensíveis",AN686="Dados pessoais e sensíveis"),2,0)+IF(O686="De 1.001 a 10.000 titulares por mês",1,0)+IF(AA686="SIM",1,0)+IF(R686="SIM",1,0)+IF(AL686="SIM",1,0)+IF(AJ686="NÃO",1,0))&gt;=3),"DPIA indicado ou em avaliação em razão de: " &amp; TRIM(IF(I686="SIM","tratamento de dados sensíveis; ","") &amp; IF(K686="SIM","utilização de dados de menores; ","") &amp; IF(AF686="SIM","transferência internacional de dados; ","") &amp; IF(AL686="SIM","utilização de inteligência artificial; ","") &amp; IF(OR(AN686="Dados pessoais",AN686="Dados sensíveis",AN686="Dados pessoais e sensíveis"),"dados inseridos em IA; ","") &amp; IF(O686="Acima de 10.000 titulares por mês","volume crítico de titulares; ","") &amp; IF(O686="De 1.001 a 10.000 titulares por mês","volume moderado de titulares; ","") &amp; IF(AA686="SIM","compartilhamento com terceiros; ","") &amp; IF(R686="SIM","compartilhamento com órgãos governamentais; ","") &amp; IF(AJ686="NÃO","ausência de controle de acesso por perfil; ","")),"DPIA não indicado: Processo de baixa criticidade."))</f>
      </c>
    </row>
    <row x14ac:dyDescent="0.25" r="687" customHeight="1" ht="15.75">
      <c r="A687" s="46"/>
      <c r="B687" s="6"/>
      <c r="C687" s="11"/>
      <c r="D687" s="11"/>
      <c r="E687" s="11"/>
      <c r="F687" s="29"/>
      <c r="G687" s="11"/>
      <c r="H687" s="11"/>
      <c r="I687" s="29"/>
      <c r="J687" s="11"/>
      <c r="K687" s="29"/>
      <c r="L687" s="11"/>
      <c r="M687" s="11"/>
      <c r="N687" s="11"/>
      <c r="O687" s="29"/>
      <c r="P687" s="29"/>
      <c r="Q687" s="11"/>
      <c r="R687" s="29"/>
      <c r="S687" s="11"/>
      <c r="T687" s="6"/>
      <c r="U687" s="29"/>
      <c r="V687" s="11"/>
      <c r="W687" s="11"/>
      <c r="X687" s="29"/>
      <c r="Y687" s="11"/>
      <c r="Z687" s="29"/>
      <c r="AA687" s="29"/>
      <c r="AB687" s="11"/>
      <c r="AC687" s="11"/>
      <c r="AD687" s="29"/>
      <c r="AE687" s="11"/>
      <c r="AF687" s="29"/>
      <c r="AG687" s="11"/>
      <c r="AH687" s="29"/>
      <c r="AI687" s="11"/>
      <c r="AJ687" s="29"/>
      <c r="AK687" s="29"/>
      <c r="AL687" s="29"/>
      <c r="AM687" s="11"/>
      <c r="AN687" s="29"/>
      <c r="AO687" s="29"/>
      <c r="AP687" s="6"/>
      <c r="AQ687" s="113">
        <f>IF(AND(I687="",K687="",AF687="",AL687="",AN687="",O687=""),"",IF(OR(I687="SIM",K687="SIM",AF687="SIM",AL687="SIM",AN687="Dados pessoais",AN687="Dados sensíveis",AN687="Dados pessoais e sensíveis",O687="Acima de 10.000 titulares por mês"),"SIM - Alta criticidade",IF((IF(I687="SIM",2,0)+IF(K687="SIM",2,0)+IF(AF687="SIM",2,0)+IF(OR(AN687="Dados pessoais",AN687="Dados sensíveis",AN687="Dados pessoais e sensíveis"),2,0)+IF(O687="De 1.001 a 10.000 titulares por mês",1,0)+IF(AA687="SIM",1,0)+IF(R687="SIM",1,0)+IF(AL687="SIM",1,0)+IF(AJ687="NÃO",1,0))&gt;=5,"SIM - Alta criticidade",IF((IF(I687="SIM",2,0)+IF(K687="SIM",2,0)+IF(AF687="SIM",2,0)+IF(OR(AN687="Dados pessoais",AN687="Dados sensíveis",AN687="Dados pessoais e sensíveis"),2,0)+IF(O687="De 1.001 a 10.000 titulares por mês",1,0)+IF(AA687="SIM",1,0)+IF(R687="SIM",1,0)+IF(AL687="SIM",1,0)+IF(AJ687="NÃO",1,0))&gt;=3,"Avaliação necessária","NÃO"))))</f>
      </c>
      <c r="AR687" s="11"/>
      <c r="AS687" s="113">
        <f>IF(AND(I687="",K687="",AF687="",AL687="",AN687="",O687=""),"",IF(OR(I687="SIM",K687="SIM",AF687="SIM",AL687="SIM",OR(AN687="Dados pessoais",AN687="Dados sensíveis",AN687="Dados pessoais e sensíveis"),O687="Acima de 10.000 titulares por mês",(IF(I687="SIM",2,0)+IF(K687="SIM",2,0)+IF(AF687="SIM",2,0)+IF(OR(AN687="Dados pessoais",AN687="Dados sensíveis",AN687="Dados pessoais e sensíveis"),2,0)+IF(O687="De 1.001 a 10.000 titulares por mês",1,0)+IF(AA687="SIM",1,0)+IF(R687="SIM",1,0)+IF(AL687="SIM",1,0)+IF(AJ687="NÃO",1,0))&gt;=3),"DPIA indicado ou em avaliação em razão de: " &amp; TRIM(IF(I687="SIM","tratamento de dados sensíveis; ","") &amp; IF(K687="SIM","utilização de dados de menores; ","") &amp; IF(AF687="SIM","transferência internacional de dados; ","") &amp; IF(AL687="SIM","utilização de inteligência artificial; ","") &amp; IF(OR(AN687="Dados pessoais",AN687="Dados sensíveis",AN687="Dados pessoais e sensíveis"),"dados inseridos em IA; ","") &amp; IF(O687="Acima de 10.000 titulares por mês","volume crítico de titulares; ","") &amp; IF(O687="De 1.001 a 10.000 titulares por mês","volume moderado de titulares; ","") &amp; IF(AA687="SIM","compartilhamento com terceiros; ","") &amp; IF(R687="SIM","compartilhamento com órgãos governamentais; ","") &amp; IF(AJ687="NÃO","ausência de controle de acesso por perfil; ","")),"DPIA não indicado: Processo de baixa criticidade."))</f>
      </c>
    </row>
    <row x14ac:dyDescent="0.25" r="688" customHeight="1" ht="15.75">
      <c r="A688" s="46"/>
      <c r="B688" s="6"/>
      <c r="C688" s="11"/>
      <c r="D688" s="11"/>
      <c r="E688" s="11"/>
      <c r="F688" s="29"/>
      <c r="G688" s="11"/>
      <c r="H688" s="11"/>
      <c r="I688" s="29"/>
      <c r="J688" s="11"/>
      <c r="K688" s="29"/>
      <c r="L688" s="11"/>
      <c r="M688" s="11"/>
      <c r="N688" s="11"/>
      <c r="O688" s="29"/>
      <c r="P688" s="29"/>
      <c r="Q688" s="11"/>
      <c r="R688" s="29"/>
      <c r="S688" s="11"/>
      <c r="T688" s="6"/>
      <c r="U688" s="29"/>
      <c r="V688" s="11"/>
      <c r="W688" s="11"/>
      <c r="X688" s="29"/>
      <c r="Y688" s="11"/>
      <c r="Z688" s="29"/>
      <c r="AA688" s="29"/>
      <c r="AB688" s="11"/>
      <c r="AC688" s="11"/>
      <c r="AD688" s="29"/>
      <c r="AE688" s="11"/>
      <c r="AF688" s="29"/>
      <c r="AG688" s="11"/>
      <c r="AH688" s="29"/>
      <c r="AI688" s="11"/>
      <c r="AJ688" s="29"/>
      <c r="AK688" s="29"/>
      <c r="AL688" s="29"/>
      <c r="AM688" s="11"/>
      <c r="AN688" s="29"/>
      <c r="AO688" s="29"/>
      <c r="AP688" s="6"/>
      <c r="AQ688" s="113">
        <f>IF(AND(I688="",K688="",AF688="",AL688="",AN688="",O688=""),"",IF(OR(I688="SIM",K688="SIM",AF688="SIM",AL688="SIM",AN688="Dados pessoais",AN688="Dados sensíveis",AN688="Dados pessoais e sensíveis",O688="Acima de 10.000 titulares por mês"),"SIM - Alta criticidade",IF((IF(I688="SIM",2,0)+IF(K688="SIM",2,0)+IF(AF688="SIM",2,0)+IF(OR(AN688="Dados pessoais",AN688="Dados sensíveis",AN688="Dados pessoais e sensíveis"),2,0)+IF(O688="De 1.001 a 10.000 titulares por mês",1,0)+IF(AA688="SIM",1,0)+IF(R688="SIM",1,0)+IF(AL688="SIM",1,0)+IF(AJ688="NÃO",1,0))&gt;=5,"SIM - Alta criticidade",IF((IF(I688="SIM",2,0)+IF(K688="SIM",2,0)+IF(AF688="SIM",2,0)+IF(OR(AN688="Dados pessoais",AN688="Dados sensíveis",AN688="Dados pessoais e sensíveis"),2,0)+IF(O688="De 1.001 a 10.000 titulares por mês",1,0)+IF(AA688="SIM",1,0)+IF(R688="SIM",1,0)+IF(AL688="SIM",1,0)+IF(AJ688="NÃO",1,0))&gt;=3,"Avaliação necessária","NÃO"))))</f>
      </c>
      <c r="AR688" s="11"/>
      <c r="AS688" s="113">
        <f>IF(AND(I688="",K688="",AF688="",AL688="",AN688="",O688=""),"",IF(OR(I688="SIM",K688="SIM",AF688="SIM",AL688="SIM",OR(AN688="Dados pessoais",AN688="Dados sensíveis",AN688="Dados pessoais e sensíveis"),O688="Acima de 10.000 titulares por mês",(IF(I688="SIM",2,0)+IF(K688="SIM",2,0)+IF(AF688="SIM",2,0)+IF(OR(AN688="Dados pessoais",AN688="Dados sensíveis",AN688="Dados pessoais e sensíveis"),2,0)+IF(O688="De 1.001 a 10.000 titulares por mês",1,0)+IF(AA688="SIM",1,0)+IF(R688="SIM",1,0)+IF(AL688="SIM",1,0)+IF(AJ688="NÃO",1,0))&gt;=3),"DPIA indicado ou em avaliação em razão de: " &amp; TRIM(IF(I688="SIM","tratamento de dados sensíveis; ","") &amp; IF(K688="SIM","utilização de dados de menores; ","") &amp; IF(AF688="SIM","transferência internacional de dados; ","") &amp; IF(AL688="SIM","utilização de inteligência artificial; ","") &amp; IF(OR(AN688="Dados pessoais",AN688="Dados sensíveis",AN688="Dados pessoais e sensíveis"),"dados inseridos em IA; ","") &amp; IF(O688="Acima de 10.000 titulares por mês","volume crítico de titulares; ","") &amp; IF(O688="De 1.001 a 10.000 titulares por mês","volume moderado de titulares; ","") &amp; IF(AA688="SIM","compartilhamento com terceiros; ","") &amp; IF(R688="SIM","compartilhamento com órgãos governamentais; ","") &amp; IF(AJ688="NÃO","ausência de controle de acesso por perfil; ","")),"DPIA não indicado: Processo de baixa criticidade."))</f>
      </c>
    </row>
    <row x14ac:dyDescent="0.25" r="689" customHeight="1" ht="15.75">
      <c r="A689" s="46"/>
      <c r="B689" s="6"/>
      <c r="C689" s="11"/>
      <c r="D689" s="11"/>
      <c r="E689" s="11"/>
      <c r="F689" s="29"/>
      <c r="G689" s="11"/>
      <c r="H689" s="11"/>
      <c r="I689" s="29"/>
      <c r="J689" s="11"/>
      <c r="K689" s="29"/>
      <c r="L689" s="11"/>
      <c r="M689" s="11"/>
      <c r="N689" s="11"/>
      <c r="O689" s="29"/>
      <c r="P689" s="29"/>
      <c r="Q689" s="11"/>
      <c r="R689" s="29"/>
      <c r="S689" s="11"/>
      <c r="T689" s="6"/>
      <c r="U689" s="29"/>
      <c r="V689" s="11"/>
      <c r="W689" s="11"/>
      <c r="X689" s="29"/>
      <c r="Y689" s="11"/>
      <c r="Z689" s="29"/>
      <c r="AA689" s="29"/>
      <c r="AB689" s="11"/>
      <c r="AC689" s="11"/>
      <c r="AD689" s="29"/>
      <c r="AE689" s="11"/>
      <c r="AF689" s="29"/>
      <c r="AG689" s="11"/>
      <c r="AH689" s="29"/>
      <c r="AI689" s="11"/>
      <c r="AJ689" s="29"/>
      <c r="AK689" s="29"/>
      <c r="AL689" s="29"/>
      <c r="AM689" s="11"/>
      <c r="AN689" s="29"/>
      <c r="AO689" s="29"/>
      <c r="AP689" s="6"/>
      <c r="AQ689" s="113">
        <f>IF(AND(I689="",K689="",AF689="",AL689="",AN689="",O689=""),"",IF(OR(I689="SIM",K689="SIM",AF689="SIM",AL689="SIM",AN689="Dados pessoais",AN689="Dados sensíveis",AN689="Dados pessoais e sensíveis",O689="Acima de 10.000 titulares por mês"),"SIM - Alta criticidade",IF((IF(I689="SIM",2,0)+IF(K689="SIM",2,0)+IF(AF689="SIM",2,0)+IF(OR(AN689="Dados pessoais",AN689="Dados sensíveis",AN689="Dados pessoais e sensíveis"),2,0)+IF(O689="De 1.001 a 10.000 titulares por mês",1,0)+IF(AA689="SIM",1,0)+IF(R689="SIM",1,0)+IF(AL689="SIM",1,0)+IF(AJ689="NÃO",1,0))&gt;=5,"SIM - Alta criticidade",IF((IF(I689="SIM",2,0)+IF(K689="SIM",2,0)+IF(AF689="SIM",2,0)+IF(OR(AN689="Dados pessoais",AN689="Dados sensíveis",AN689="Dados pessoais e sensíveis"),2,0)+IF(O689="De 1.001 a 10.000 titulares por mês",1,0)+IF(AA689="SIM",1,0)+IF(R689="SIM",1,0)+IF(AL689="SIM",1,0)+IF(AJ689="NÃO",1,0))&gt;=3,"Avaliação necessária","NÃO"))))</f>
      </c>
      <c r="AR689" s="11"/>
      <c r="AS689" s="113">
        <f>IF(AND(I689="",K689="",AF689="",AL689="",AN689="",O689=""),"",IF(OR(I689="SIM",K689="SIM",AF689="SIM",AL689="SIM",OR(AN689="Dados pessoais",AN689="Dados sensíveis",AN689="Dados pessoais e sensíveis"),O689="Acima de 10.000 titulares por mês",(IF(I689="SIM",2,0)+IF(K689="SIM",2,0)+IF(AF689="SIM",2,0)+IF(OR(AN689="Dados pessoais",AN689="Dados sensíveis",AN689="Dados pessoais e sensíveis"),2,0)+IF(O689="De 1.001 a 10.000 titulares por mês",1,0)+IF(AA689="SIM",1,0)+IF(R689="SIM",1,0)+IF(AL689="SIM",1,0)+IF(AJ689="NÃO",1,0))&gt;=3),"DPIA indicado ou em avaliação em razão de: " &amp; TRIM(IF(I689="SIM","tratamento de dados sensíveis; ","") &amp; IF(K689="SIM","utilização de dados de menores; ","") &amp; IF(AF689="SIM","transferência internacional de dados; ","") &amp; IF(AL689="SIM","utilização de inteligência artificial; ","") &amp; IF(OR(AN689="Dados pessoais",AN689="Dados sensíveis",AN689="Dados pessoais e sensíveis"),"dados inseridos em IA; ","") &amp; IF(O689="Acima de 10.000 titulares por mês","volume crítico de titulares; ","") &amp; IF(O689="De 1.001 a 10.000 titulares por mês","volume moderado de titulares; ","") &amp; IF(AA689="SIM","compartilhamento com terceiros; ","") &amp; IF(R689="SIM","compartilhamento com órgãos governamentais; ","") &amp; IF(AJ689="NÃO","ausência de controle de acesso por perfil; ","")),"DPIA não indicado: Processo de baixa criticidade."))</f>
      </c>
    </row>
    <row x14ac:dyDescent="0.25" r="690" customHeight="1" ht="15.75">
      <c r="A690" s="46"/>
      <c r="B690" s="6"/>
      <c r="C690" s="11"/>
      <c r="D690" s="11"/>
      <c r="E690" s="11"/>
      <c r="F690" s="29"/>
      <c r="G690" s="11"/>
      <c r="H690" s="11"/>
      <c r="I690" s="29"/>
      <c r="J690" s="11"/>
      <c r="K690" s="29"/>
      <c r="L690" s="11"/>
      <c r="M690" s="11"/>
      <c r="N690" s="11"/>
      <c r="O690" s="29"/>
      <c r="P690" s="29"/>
      <c r="Q690" s="11"/>
      <c r="R690" s="29"/>
      <c r="S690" s="11"/>
      <c r="T690" s="6"/>
      <c r="U690" s="29"/>
      <c r="V690" s="11"/>
      <c r="W690" s="11"/>
      <c r="X690" s="29"/>
      <c r="Y690" s="11"/>
      <c r="Z690" s="29"/>
      <c r="AA690" s="29"/>
      <c r="AB690" s="11"/>
      <c r="AC690" s="11"/>
      <c r="AD690" s="29"/>
      <c r="AE690" s="11"/>
      <c r="AF690" s="29"/>
      <c r="AG690" s="11"/>
      <c r="AH690" s="29"/>
      <c r="AI690" s="11"/>
      <c r="AJ690" s="29"/>
      <c r="AK690" s="29"/>
      <c r="AL690" s="29"/>
      <c r="AM690" s="11"/>
      <c r="AN690" s="29"/>
      <c r="AO690" s="29"/>
      <c r="AP690" s="6"/>
      <c r="AQ690" s="113">
        <f>IF(AND(I690="",K690="",AF690="",AL690="",AN690="",O690=""),"",IF(OR(I690="SIM",K690="SIM",AF690="SIM",AL690="SIM",AN690="Dados pessoais",AN690="Dados sensíveis",AN690="Dados pessoais e sensíveis",O690="Acima de 10.000 titulares por mês"),"SIM - Alta criticidade",IF((IF(I690="SIM",2,0)+IF(K690="SIM",2,0)+IF(AF690="SIM",2,0)+IF(OR(AN690="Dados pessoais",AN690="Dados sensíveis",AN690="Dados pessoais e sensíveis"),2,0)+IF(O690="De 1.001 a 10.000 titulares por mês",1,0)+IF(AA690="SIM",1,0)+IF(R690="SIM",1,0)+IF(AL690="SIM",1,0)+IF(AJ690="NÃO",1,0))&gt;=5,"SIM - Alta criticidade",IF((IF(I690="SIM",2,0)+IF(K690="SIM",2,0)+IF(AF690="SIM",2,0)+IF(OR(AN690="Dados pessoais",AN690="Dados sensíveis",AN690="Dados pessoais e sensíveis"),2,0)+IF(O690="De 1.001 a 10.000 titulares por mês",1,0)+IF(AA690="SIM",1,0)+IF(R690="SIM",1,0)+IF(AL690="SIM",1,0)+IF(AJ690="NÃO",1,0))&gt;=3,"Avaliação necessária","NÃO"))))</f>
      </c>
      <c r="AR690" s="11"/>
      <c r="AS690" s="113">
        <f>IF(AND(I690="",K690="",AF690="",AL690="",AN690="",O690=""),"",IF(OR(I690="SIM",K690="SIM",AF690="SIM",AL690="SIM",OR(AN690="Dados pessoais",AN690="Dados sensíveis",AN690="Dados pessoais e sensíveis"),O690="Acima de 10.000 titulares por mês",(IF(I690="SIM",2,0)+IF(K690="SIM",2,0)+IF(AF690="SIM",2,0)+IF(OR(AN690="Dados pessoais",AN690="Dados sensíveis",AN690="Dados pessoais e sensíveis"),2,0)+IF(O690="De 1.001 a 10.000 titulares por mês",1,0)+IF(AA690="SIM",1,0)+IF(R690="SIM",1,0)+IF(AL690="SIM",1,0)+IF(AJ690="NÃO",1,0))&gt;=3),"DPIA indicado ou em avaliação em razão de: " &amp; TRIM(IF(I690="SIM","tratamento de dados sensíveis; ","") &amp; IF(K690="SIM","utilização de dados de menores; ","") &amp; IF(AF690="SIM","transferência internacional de dados; ","") &amp; IF(AL690="SIM","utilização de inteligência artificial; ","") &amp; IF(OR(AN690="Dados pessoais",AN690="Dados sensíveis",AN690="Dados pessoais e sensíveis"),"dados inseridos em IA; ","") &amp; IF(O690="Acima de 10.000 titulares por mês","volume crítico de titulares; ","") &amp; IF(O690="De 1.001 a 10.000 titulares por mês","volume moderado de titulares; ","") &amp; IF(AA690="SIM","compartilhamento com terceiros; ","") &amp; IF(R690="SIM","compartilhamento com órgãos governamentais; ","") &amp; IF(AJ690="NÃO","ausência de controle de acesso por perfil; ","")),"DPIA não indicado: Processo de baixa criticidade."))</f>
      </c>
    </row>
    <row x14ac:dyDescent="0.25" r="691" customHeight="1" ht="15.75">
      <c r="A691" s="46"/>
      <c r="B691" s="6"/>
      <c r="C691" s="11"/>
      <c r="D691" s="11"/>
      <c r="E691" s="11"/>
      <c r="F691" s="29"/>
      <c r="G691" s="11"/>
      <c r="H691" s="11"/>
      <c r="I691" s="29"/>
      <c r="J691" s="11"/>
      <c r="K691" s="29"/>
      <c r="L691" s="11"/>
      <c r="M691" s="11"/>
      <c r="N691" s="11"/>
      <c r="O691" s="29"/>
      <c r="P691" s="29"/>
      <c r="Q691" s="11"/>
      <c r="R691" s="29"/>
      <c r="S691" s="11"/>
      <c r="T691" s="6"/>
      <c r="U691" s="29"/>
      <c r="V691" s="11"/>
      <c r="W691" s="11"/>
      <c r="X691" s="29"/>
      <c r="Y691" s="11"/>
      <c r="Z691" s="29"/>
      <c r="AA691" s="29"/>
      <c r="AB691" s="11"/>
      <c r="AC691" s="11"/>
      <c r="AD691" s="29"/>
      <c r="AE691" s="11"/>
      <c r="AF691" s="29"/>
      <c r="AG691" s="11"/>
      <c r="AH691" s="29"/>
      <c r="AI691" s="11"/>
      <c r="AJ691" s="29"/>
      <c r="AK691" s="29"/>
      <c r="AL691" s="29"/>
      <c r="AM691" s="11"/>
      <c r="AN691" s="29"/>
      <c r="AO691" s="29"/>
      <c r="AP691" s="6"/>
      <c r="AQ691" s="113">
        <f>IF(AND(I691="",K691="",AF691="",AL691="",AN691="",O691=""),"",IF(OR(I691="SIM",K691="SIM",AF691="SIM",AL691="SIM",AN691="Dados pessoais",AN691="Dados sensíveis",AN691="Dados pessoais e sensíveis",O691="Acima de 10.000 titulares por mês"),"SIM - Alta criticidade",IF((IF(I691="SIM",2,0)+IF(K691="SIM",2,0)+IF(AF691="SIM",2,0)+IF(OR(AN691="Dados pessoais",AN691="Dados sensíveis",AN691="Dados pessoais e sensíveis"),2,0)+IF(O691="De 1.001 a 10.000 titulares por mês",1,0)+IF(AA691="SIM",1,0)+IF(R691="SIM",1,0)+IF(AL691="SIM",1,0)+IF(AJ691="NÃO",1,0))&gt;=5,"SIM - Alta criticidade",IF((IF(I691="SIM",2,0)+IF(K691="SIM",2,0)+IF(AF691="SIM",2,0)+IF(OR(AN691="Dados pessoais",AN691="Dados sensíveis",AN691="Dados pessoais e sensíveis"),2,0)+IF(O691="De 1.001 a 10.000 titulares por mês",1,0)+IF(AA691="SIM",1,0)+IF(R691="SIM",1,0)+IF(AL691="SIM",1,0)+IF(AJ691="NÃO",1,0))&gt;=3,"Avaliação necessária","NÃO"))))</f>
      </c>
      <c r="AR691" s="11"/>
      <c r="AS691" s="113">
        <f>IF(AND(I691="",K691="",AF691="",AL691="",AN691="",O691=""),"",IF(OR(I691="SIM",K691="SIM",AF691="SIM",AL691="SIM",OR(AN691="Dados pessoais",AN691="Dados sensíveis",AN691="Dados pessoais e sensíveis"),O691="Acima de 10.000 titulares por mês",(IF(I691="SIM",2,0)+IF(K691="SIM",2,0)+IF(AF691="SIM",2,0)+IF(OR(AN691="Dados pessoais",AN691="Dados sensíveis",AN691="Dados pessoais e sensíveis"),2,0)+IF(O691="De 1.001 a 10.000 titulares por mês",1,0)+IF(AA691="SIM",1,0)+IF(R691="SIM",1,0)+IF(AL691="SIM",1,0)+IF(AJ691="NÃO",1,0))&gt;=3),"DPIA indicado ou em avaliação em razão de: " &amp; TRIM(IF(I691="SIM","tratamento de dados sensíveis; ","") &amp; IF(K691="SIM","utilização de dados de menores; ","") &amp; IF(AF691="SIM","transferência internacional de dados; ","") &amp; IF(AL691="SIM","utilização de inteligência artificial; ","") &amp; IF(OR(AN691="Dados pessoais",AN691="Dados sensíveis",AN691="Dados pessoais e sensíveis"),"dados inseridos em IA; ","") &amp; IF(O691="Acima de 10.000 titulares por mês","volume crítico de titulares; ","") &amp; IF(O691="De 1.001 a 10.000 titulares por mês","volume moderado de titulares; ","") &amp; IF(AA691="SIM","compartilhamento com terceiros; ","") &amp; IF(R691="SIM","compartilhamento com órgãos governamentais; ","") &amp; IF(AJ691="NÃO","ausência de controle de acesso por perfil; ","")),"DPIA não indicado: Processo de baixa criticidade."))</f>
      </c>
    </row>
    <row x14ac:dyDescent="0.25" r="692" customHeight="1" ht="15.75">
      <c r="A692" s="46"/>
      <c r="B692" s="6"/>
      <c r="C692" s="11"/>
      <c r="D692" s="11"/>
      <c r="E692" s="11"/>
      <c r="F692" s="29"/>
      <c r="G692" s="11"/>
      <c r="H692" s="11"/>
      <c r="I692" s="29"/>
      <c r="J692" s="11"/>
      <c r="K692" s="29"/>
      <c r="L692" s="11"/>
      <c r="M692" s="11"/>
      <c r="N692" s="11"/>
      <c r="O692" s="29"/>
      <c r="P692" s="29"/>
      <c r="Q692" s="11"/>
      <c r="R692" s="29"/>
      <c r="S692" s="11"/>
      <c r="T692" s="6"/>
      <c r="U692" s="29"/>
      <c r="V692" s="11"/>
      <c r="W692" s="11"/>
      <c r="X692" s="29"/>
      <c r="Y692" s="11"/>
      <c r="Z692" s="29"/>
      <c r="AA692" s="29"/>
      <c r="AB692" s="11"/>
      <c r="AC692" s="11"/>
      <c r="AD692" s="29"/>
      <c r="AE692" s="11"/>
      <c r="AF692" s="29"/>
      <c r="AG692" s="11"/>
      <c r="AH692" s="29"/>
      <c r="AI692" s="11"/>
      <c r="AJ692" s="29"/>
      <c r="AK692" s="29"/>
      <c r="AL692" s="29"/>
      <c r="AM692" s="11"/>
      <c r="AN692" s="29"/>
      <c r="AO692" s="29"/>
      <c r="AP692" s="6"/>
      <c r="AQ692" s="113">
        <f>IF(AND(I692="",K692="",AF692="",AL692="",AN692="",O692=""),"",IF(OR(I692="SIM",K692="SIM",AF692="SIM",AL692="SIM",AN692="Dados pessoais",AN692="Dados sensíveis",AN692="Dados pessoais e sensíveis",O692="Acima de 10.000 titulares por mês"),"SIM - Alta criticidade",IF((IF(I692="SIM",2,0)+IF(K692="SIM",2,0)+IF(AF692="SIM",2,0)+IF(OR(AN692="Dados pessoais",AN692="Dados sensíveis",AN692="Dados pessoais e sensíveis"),2,0)+IF(O692="De 1.001 a 10.000 titulares por mês",1,0)+IF(AA692="SIM",1,0)+IF(R692="SIM",1,0)+IF(AL692="SIM",1,0)+IF(AJ692="NÃO",1,0))&gt;=5,"SIM - Alta criticidade",IF((IF(I692="SIM",2,0)+IF(K692="SIM",2,0)+IF(AF692="SIM",2,0)+IF(OR(AN692="Dados pessoais",AN692="Dados sensíveis",AN692="Dados pessoais e sensíveis"),2,0)+IF(O692="De 1.001 a 10.000 titulares por mês",1,0)+IF(AA692="SIM",1,0)+IF(R692="SIM",1,0)+IF(AL692="SIM",1,0)+IF(AJ692="NÃO",1,0))&gt;=3,"Avaliação necessária","NÃO"))))</f>
      </c>
      <c r="AR692" s="11"/>
      <c r="AS692" s="113">
        <f>IF(AND(I692="",K692="",AF692="",AL692="",AN692="",O692=""),"",IF(OR(I692="SIM",K692="SIM",AF692="SIM",AL692="SIM",OR(AN692="Dados pessoais",AN692="Dados sensíveis",AN692="Dados pessoais e sensíveis"),O692="Acima de 10.000 titulares por mês",(IF(I692="SIM",2,0)+IF(K692="SIM",2,0)+IF(AF692="SIM",2,0)+IF(OR(AN692="Dados pessoais",AN692="Dados sensíveis",AN692="Dados pessoais e sensíveis"),2,0)+IF(O692="De 1.001 a 10.000 titulares por mês",1,0)+IF(AA692="SIM",1,0)+IF(R692="SIM",1,0)+IF(AL692="SIM",1,0)+IF(AJ692="NÃO",1,0))&gt;=3),"DPIA indicado ou em avaliação em razão de: " &amp; TRIM(IF(I692="SIM","tratamento de dados sensíveis; ","") &amp; IF(K692="SIM","utilização de dados de menores; ","") &amp; IF(AF692="SIM","transferência internacional de dados; ","") &amp; IF(AL692="SIM","utilização de inteligência artificial; ","") &amp; IF(OR(AN692="Dados pessoais",AN692="Dados sensíveis",AN692="Dados pessoais e sensíveis"),"dados inseridos em IA; ","") &amp; IF(O692="Acima de 10.000 titulares por mês","volume crítico de titulares; ","") &amp; IF(O692="De 1.001 a 10.000 titulares por mês","volume moderado de titulares; ","") &amp; IF(AA692="SIM","compartilhamento com terceiros; ","") &amp; IF(R692="SIM","compartilhamento com órgãos governamentais; ","") &amp; IF(AJ692="NÃO","ausência de controle de acesso por perfil; ","")),"DPIA não indicado: Processo de baixa criticidade."))</f>
      </c>
    </row>
    <row x14ac:dyDescent="0.25" r="693" customHeight="1" ht="15.75">
      <c r="A693" s="46"/>
      <c r="B693" s="6"/>
      <c r="C693" s="11"/>
      <c r="D693" s="11"/>
      <c r="E693" s="11"/>
      <c r="F693" s="29"/>
      <c r="G693" s="11"/>
      <c r="H693" s="11"/>
      <c r="I693" s="29"/>
      <c r="J693" s="11"/>
      <c r="K693" s="29"/>
      <c r="L693" s="11"/>
      <c r="M693" s="11"/>
      <c r="N693" s="11"/>
      <c r="O693" s="29"/>
      <c r="P693" s="29"/>
      <c r="Q693" s="11"/>
      <c r="R693" s="29"/>
      <c r="S693" s="11"/>
      <c r="T693" s="6"/>
      <c r="U693" s="29"/>
      <c r="V693" s="11"/>
      <c r="W693" s="11"/>
      <c r="X693" s="29"/>
      <c r="Y693" s="11"/>
      <c r="Z693" s="29"/>
      <c r="AA693" s="29"/>
      <c r="AB693" s="11"/>
      <c r="AC693" s="11"/>
      <c r="AD693" s="29"/>
      <c r="AE693" s="11"/>
      <c r="AF693" s="29"/>
      <c r="AG693" s="11"/>
      <c r="AH693" s="29"/>
      <c r="AI693" s="11"/>
      <c r="AJ693" s="29"/>
      <c r="AK693" s="29"/>
      <c r="AL693" s="29"/>
      <c r="AM693" s="11"/>
      <c r="AN693" s="29"/>
      <c r="AO693" s="29"/>
      <c r="AP693" s="6"/>
      <c r="AQ693" s="113">
        <f>IF(AND(I693="",K693="",AF693="",AL693="",AN693="",O693=""),"",IF(OR(I693="SIM",K693="SIM",AF693="SIM",AL693="SIM",AN693="Dados pessoais",AN693="Dados sensíveis",AN693="Dados pessoais e sensíveis",O693="Acima de 10.000 titulares por mês"),"SIM - Alta criticidade",IF((IF(I693="SIM",2,0)+IF(K693="SIM",2,0)+IF(AF693="SIM",2,0)+IF(OR(AN693="Dados pessoais",AN693="Dados sensíveis",AN693="Dados pessoais e sensíveis"),2,0)+IF(O693="De 1.001 a 10.000 titulares por mês",1,0)+IF(AA693="SIM",1,0)+IF(R693="SIM",1,0)+IF(AL693="SIM",1,0)+IF(AJ693="NÃO",1,0))&gt;=5,"SIM - Alta criticidade",IF((IF(I693="SIM",2,0)+IF(K693="SIM",2,0)+IF(AF693="SIM",2,0)+IF(OR(AN693="Dados pessoais",AN693="Dados sensíveis",AN693="Dados pessoais e sensíveis"),2,0)+IF(O693="De 1.001 a 10.000 titulares por mês",1,0)+IF(AA693="SIM",1,0)+IF(R693="SIM",1,0)+IF(AL693="SIM",1,0)+IF(AJ693="NÃO",1,0))&gt;=3,"Avaliação necessária","NÃO"))))</f>
      </c>
      <c r="AR693" s="11"/>
      <c r="AS693" s="113">
        <f>IF(AND(I693="",K693="",AF693="",AL693="",AN693="",O693=""),"",IF(OR(I693="SIM",K693="SIM",AF693="SIM",AL693="SIM",OR(AN693="Dados pessoais",AN693="Dados sensíveis",AN693="Dados pessoais e sensíveis"),O693="Acima de 10.000 titulares por mês",(IF(I693="SIM",2,0)+IF(K693="SIM",2,0)+IF(AF693="SIM",2,0)+IF(OR(AN693="Dados pessoais",AN693="Dados sensíveis",AN693="Dados pessoais e sensíveis"),2,0)+IF(O693="De 1.001 a 10.000 titulares por mês",1,0)+IF(AA693="SIM",1,0)+IF(R693="SIM",1,0)+IF(AL693="SIM",1,0)+IF(AJ693="NÃO",1,0))&gt;=3),"DPIA indicado ou em avaliação em razão de: " &amp; TRIM(IF(I693="SIM","tratamento de dados sensíveis; ","") &amp; IF(K693="SIM","utilização de dados de menores; ","") &amp; IF(AF693="SIM","transferência internacional de dados; ","") &amp; IF(AL693="SIM","utilização de inteligência artificial; ","") &amp; IF(OR(AN693="Dados pessoais",AN693="Dados sensíveis",AN693="Dados pessoais e sensíveis"),"dados inseridos em IA; ","") &amp; IF(O693="Acima de 10.000 titulares por mês","volume crítico de titulares; ","") &amp; IF(O693="De 1.001 a 10.000 titulares por mês","volume moderado de titulares; ","") &amp; IF(AA693="SIM","compartilhamento com terceiros; ","") &amp; IF(R693="SIM","compartilhamento com órgãos governamentais; ","") &amp; IF(AJ693="NÃO","ausência de controle de acesso por perfil; ","")),"DPIA não indicado: Processo de baixa criticidade."))</f>
      </c>
    </row>
    <row x14ac:dyDescent="0.25" r="694" customHeight="1" ht="15.75">
      <c r="A694" s="46"/>
      <c r="B694" s="6"/>
      <c r="C694" s="11"/>
      <c r="D694" s="11"/>
      <c r="E694" s="11"/>
      <c r="F694" s="29"/>
      <c r="G694" s="11"/>
      <c r="H694" s="11"/>
      <c r="I694" s="29"/>
      <c r="J694" s="11"/>
      <c r="K694" s="29"/>
      <c r="L694" s="11"/>
      <c r="M694" s="11"/>
      <c r="N694" s="11"/>
      <c r="O694" s="29"/>
      <c r="P694" s="29"/>
      <c r="Q694" s="11"/>
      <c r="R694" s="29"/>
      <c r="S694" s="11"/>
      <c r="T694" s="6"/>
      <c r="U694" s="29"/>
      <c r="V694" s="11"/>
      <c r="W694" s="11"/>
      <c r="X694" s="29"/>
      <c r="Y694" s="11"/>
      <c r="Z694" s="29"/>
      <c r="AA694" s="29"/>
      <c r="AB694" s="11"/>
      <c r="AC694" s="11"/>
      <c r="AD694" s="29"/>
      <c r="AE694" s="11"/>
      <c r="AF694" s="29"/>
      <c r="AG694" s="11"/>
      <c r="AH694" s="29"/>
      <c r="AI694" s="11"/>
      <c r="AJ694" s="29"/>
      <c r="AK694" s="29"/>
      <c r="AL694" s="29"/>
      <c r="AM694" s="11"/>
      <c r="AN694" s="29"/>
      <c r="AO694" s="29"/>
      <c r="AP694" s="6"/>
      <c r="AQ694" s="113">
        <f>IF(AND(I694="",K694="",AF694="",AL694="",AN694="",O694=""),"",IF(OR(I694="SIM",K694="SIM",AF694="SIM",AL694="SIM",AN694="Dados pessoais",AN694="Dados sensíveis",AN694="Dados pessoais e sensíveis",O694="Acima de 10.000 titulares por mês"),"SIM - Alta criticidade",IF((IF(I694="SIM",2,0)+IF(K694="SIM",2,0)+IF(AF694="SIM",2,0)+IF(OR(AN694="Dados pessoais",AN694="Dados sensíveis",AN694="Dados pessoais e sensíveis"),2,0)+IF(O694="De 1.001 a 10.000 titulares por mês",1,0)+IF(AA694="SIM",1,0)+IF(R694="SIM",1,0)+IF(AL694="SIM",1,0)+IF(AJ694="NÃO",1,0))&gt;=5,"SIM - Alta criticidade",IF((IF(I694="SIM",2,0)+IF(K694="SIM",2,0)+IF(AF694="SIM",2,0)+IF(OR(AN694="Dados pessoais",AN694="Dados sensíveis",AN694="Dados pessoais e sensíveis"),2,0)+IF(O694="De 1.001 a 10.000 titulares por mês",1,0)+IF(AA694="SIM",1,0)+IF(R694="SIM",1,0)+IF(AL694="SIM",1,0)+IF(AJ694="NÃO",1,0))&gt;=3,"Avaliação necessária","NÃO"))))</f>
      </c>
      <c r="AR694" s="11"/>
      <c r="AS694" s="113">
        <f>IF(AND(I694="",K694="",AF694="",AL694="",AN694="",O694=""),"",IF(OR(I694="SIM",K694="SIM",AF694="SIM",AL694="SIM",OR(AN694="Dados pessoais",AN694="Dados sensíveis",AN694="Dados pessoais e sensíveis"),O694="Acima de 10.000 titulares por mês",(IF(I694="SIM",2,0)+IF(K694="SIM",2,0)+IF(AF694="SIM",2,0)+IF(OR(AN694="Dados pessoais",AN694="Dados sensíveis",AN694="Dados pessoais e sensíveis"),2,0)+IF(O694="De 1.001 a 10.000 titulares por mês",1,0)+IF(AA694="SIM",1,0)+IF(R694="SIM",1,0)+IF(AL694="SIM",1,0)+IF(AJ694="NÃO",1,0))&gt;=3),"DPIA indicado ou em avaliação em razão de: " &amp; TRIM(IF(I694="SIM","tratamento de dados sensíveis; ","") &amp; IF(K694="SIM","utilização de dados de menores; ","") &amp; IF(AF694="SIM","transferência internacional de dados; ","") &amp; IF(AL694="SIM","utilização de inteligência artificial; ","") &amp; IF(OR(AN694="Dados pessoais",AN694="Dados sensíveis",AN694="Dados pessoais e sensíveis"),"dados inseridos em IA; ","") &amp; IF(O694="Acima de 10.000 titulares por mês","volume crítico de titulares; ","") &amp; IF(O694="De 1.001 a 10.000 titulares por mês","volume moderado de titulares; ","") &amp; IF(AA694="SIM","compartilhamento com terceiros; ","") &amp; IF(R694="SIM","compartilhamento com órgãos governamentais; ","") &amp; IF(AJ694="NÃO","ausência de controle de acesso por perfil; ","")),"DPIA não indicado: Processo de baixa criticidade."))</f>
      </c>
    </row>
    <row x14ac:dyDescent="0.25" r="695" customHeight="1" ht="15.75">
      <c r="A695" s="46"/>
      <c r="B695" s="6"/>
      <c r="C695" s="11"/>
      <c r="D695" s="11"/>
      <c r="E695" s="11"/>
      <c r="F695" s="29"/>
      <c r="G695" s="11"/>
      <c r="H695" s="11"/>
      <c r="I695" s="29"/>
      <c r="J695" s="11"/>
      <c r="K695" s="29"/>
      <c r="L695" s="11"/>
      <c r="M695" s="11"/>
      <c r="N695" s="11"/>
      <c r="O695" s="29"/>
      <c r="P695" s="29"/>
      <c r="Q695" s="11"/>
      <c r="R695" s="29"/>
      <c r="S695" s="11"/>
      <c r="T695" s="6"/>
      <c r="U695" s="29"/>
      <c r="V695" s="11"/>
      <c r="W695" s="11"/>
      <c r="X695" s="29"/>
      <c r="Y695" s="11"/>
      <c r="Z695" s="29"/>
      <c r="AA695" s="29"/>
      <c r="AB695" s="11"/>
      <c r="AC695" s="11"/>
      <c r="AD695" s="29"/>
      <c r="AE695" s="11"/>
      <c r="AF695" s="29"/>
      <c r="AG695" s="11"/>
      <c r="AH695" s="29"/>
      <c r="AI695" s="11"/>
      <c r="AJ695" s="29"/>
      <c r="AK695" s="29"/>
      <c r="AL695" s="29"/>
      <c r="AM695" s="11"/>
      <c r="AN695" s="29"/>
      <c r="AO695" s="29"/>
      <c r="AP695" s="6"/>
      <c r="AQ695" s="113">
        <f>IF(AND(I695="",K695="",AF695="",AL695="",AN695="",O695=""),"",IF(OR(I695="SIM",K695="SIM",AF695="SIM",AL695="SIM",AN695="Dados pessoais",AN695="Dados sensíveis",AN695="Dados pessoais e sensíveis",O695="Acima de 10.000 titulares por mês"),"SIM - Alta criticidade",IF((IF(I695="SIM",2,0)+IF(K695="SIM",2,0)+IF(AF695="SIM",2,0)+IF(OR(AN695="Dados pessoais",AN695="Dados sensíveis",AN695="Dados pessoais e sensíveis"),2,0)+IF(O695="De 1.001 a 10.000 titulares por mês",1,0)+IF(AA695="SIM",1,0)+IF(R695="SIM",1,0)+IF(AL695="SIM",1,0)+IF(AJ695="NÃO",1,0))&gt;=5,"SIM - Alta criticidade",IF((IF(I695="SIM",2,0)+IF(K695="SIM",2,0)+IF(AF695="SIM",2,0)+IF(OR(AN695="Dados pessoais",AN695="Dados sensíveis",AN695="Dados pessoais e sensíveis"),2,0)+IF(O695="De 1.001 a 10.000 titulares por mês",1,0)+IF(AA695="SIM",1,0)+IF(R695="SIM",1,0)+IF(AL695="SIM",1,0)+IF(AJ695="NÃO",1,0))&gt;=3,"Avaliação necessária","NÃO"))))</f>
      </c>
      <c r="AR695" s="11"/>
      <c r="AS695" s="113">
        <f>IF(AND(I695="",K695="",AF695="",AL695="",AN695="",O695=""),"",IF(OR(I695="SIM",K695="SIM",AF695="SIM",AL695="SIM",OR(AN695="Dados pessoais",AN695="Dados sensíveis",AN695="Dados pessoais e sensíveis"),O695="Acima de 10.000 titulares por mês",(IF(I695="SIM",2,0)+IF(K695="SIM",2,0)+IF(AF695="SIM",2,0)+IF(OR(AN695="Dados pessoais",AN695="Dados sensíveis",AN695="Dados pessoais e sensíveis"),2,0)+IF(O695="De 1.001 a 10.000 titulares por mês",1,0)+IF(AA695="SIM",1,0)+IF(R695="SIM",1,0)+IF(AL695="SIM",1,0)+IF(AJ695="NÃO",1,0))&gt;=3),"DPIA indicado ou em avaliação em razão de: " &amp; TRIM(IF(I695="SIM","tratamento de dados sensíveis; ","") &amp; IF(K695="SIM","utilização de dados de menores; ","") &amp; IF(AF695="SIM","transferência internacional de dados; ","") &amp; IF(AL695="SIM","utilização de inteligência artificial; ","") &amp; IF(OR(AN695="Dados pessoais",AN695="Dados sensíveis",AN695="Dados pessoais e sensíveis"),"dados inseridos em IA; ","") &amp; IF(O695="Acima de 10.000 titulares por mês","volume crítico de titulares; ","") &amp; IF(O695="De 1.001 a 10.000 titulares por mês","volume moderado de titulares; ","") &amp; IF(AA695="SIM","compartilhamento com terceiros; ","") &amp; IF(R695="SIM","compartilhamento com órgãos governamentais; ","") &amp; IF(AJ695="NÃO","ausência de controle de acesso por perfil; ","")),"DPIA não indicado: Processo de baixa criticidade."))</f>
      </c>
    </row>
    <row x14ac:dyDescent="0.25" r="696" customHeight="1" ht="15.75">
      <c r="A696" s="46"/>
      <c r="B696" s="6"/>
      <c r="C696" s="11"/>
      <c r="D696" s="11"/>
      <c r="E696" s="11"/>
      <c r="F696" s="29"/>
      <c r="G696" s="11"/>
      <c r="H696" s="11"/>
      <c r="I696" s="29"/>
      <c r="J696" s="11"/>
      <c r="K696" s="29"/>
      <c r="L696" s="11"/>
      <c r="M696" s="11"/>
      <c r="N696" s="11"/>
      <c r="O696" s="29"/>
      <c r="P696" s="29"/>
      <c r="Q696" s="11"/>
      <c r="R696" s="29"/>
      <c r="S696" s="11"/>
      <c r="T696" s="6"/>
      <c r="U696" s="29"/>
      <c r="V696" s="11"/>
      <c r="W696" s="11"/>
      <c r="X696" s="29"/>
      <c r="Y696" s="11"/>
      <c r="Z696" s="29"/>
      <c r="AA696" s="29"/>
      <c r="AB696" s="11"/>
      <c r="AC696" s="11"/>
      <c r="AD696" s="29"/>
      <c r="AE696" s="11"/>
      <c r="AF696" s="29"/>
      <c r="AG696" s="11"/>
      <c r="AH696" s="29"/>
      <c r="AI696" s="11"/>
      <c r="AJ696" s="29"/>
      <c r="AK696" s="29"/>
      <c r="AL696" s="29"/>
      <c r="AM696" s="11"/>
      <c r="AN696" s="29"/>
      <c r="AO696" s="29"/>
      <c r="AP696" s="6"/>
      <c r="AQ696" s="113">
        <f>IF(AND(I696="",K696="",AF696="",AL696="",AN696="",O696=""),"",IF(OR(I696="SIM",K696="SIM",AF696="SIM",AL696="SIM",AN696="Dados pessoais",AN696="Dados sensíveis",AN696="Dados pessoais e sensíveis",O696="Acima de 10.000 titulares por mês"),"SIM - Alta criticidade",IF((IF(I696="SIM",2,0)+IF(K696="SIM",2,0)+IF(AF696="SIM",2,0)+IF(OR(AN696="Dados pessoais",AN696="Dados sensíveis",AN696="Dados pessoais e sensíveis"),2,0)+IF(O696="De 1.001 a 10.000 titulares por mês",1,0)+IF(AA696="SIM",1,0)+IF(R696="SIM",1,0)+IF(AL696="SIM",1,0)+IF(AJ696="NÃO",1,0))&gt;=5,"SIM - Alta criticidade",IF((IF(I696="SIM",2,0)+IF(K696="SIM",2,0)+IF(AF696="SIM",2,0)+IF(OR(AN696="Dados pessoais",AN696="Dados sensíveis",AN696="Dados pessoais e sensíveis"),2,0)+IF(O696="De 1.001 a 10.000 titulares por mês",1,0)+IF(AA696="SIM",1,0)+IF(R696="SIM",1,0)+IF(AL696="SIM",1,0)+IF(AJ696="NÃO",1,0))&gt;=3,"Avaliação necessária","NÃO"))))</f>
      </c>
      <c r="AR696" s="11"/>
      <c r="AS696" s="113">
        <f>IF(AND(I696="",K696="",AF696="",AL696="",AN696="",O696=""),"",IF(OR(I696="SIM",K696="SIM",AF696="SIM",AL696="SIM",OR(AN696="Dados pessoais",AN696="Dados sensíveis",AN696="Dados pessoais e sensíveis"),O696="Acima de 10.000 titulares por mês",(IF(I696="SIM",2,0)+IF(K696="SIM",2,0)+IF(AF696="SIM",2,0)+IF(OR(AN696="Dados pessoais",AN696="Dados sensíveis",AN696="Dados pessoais e sensíveis"),2,0)+IF(O696="De 1.001 a 10.000 titulares por mês",1,0)+IF(AA696="SIM",1,0)+IF(R696="SIM",1,0)+IF(AL696="SIM",1,0)+IF(AJ696="NÃO",1,0))&gt;=3),"DPIA indicado ou em avaliação em razão de: " &amp; TRIM(IF(I696="SIM","tratamento de dados sensíveis; ","") &amp; IF(K696="SIM","utilização de dados de menores; ","") &amp; IF(AF696="SIM","transferência internacional de dados; ","") &amp; IF(AL696="SIM","utilização de inteligência artificial; ","") &amp; IF(OR(AN696="Dados pessoais",AN696="Dados sensíveis",AN696="Dados pessoais e sensíveis"),"dados inseridos em IA; ","") &amp; IF(O696="Acima de 10.000 titulares por mês","volume crítico de titulares; ","") &amp; IF(O696="De 1.001 a 10.000 titulares por mês","volume moderado de titulares; ","") &amp; IF(AA696="SIM","compartilhamento com terceiros; ","") &amp; IF(R696="SIM","compartilhamento com órgãos governamentais; ","") &amp; IF(AJ696="NÃO","ausência de controle de acesso por perfil; ","")),"DPIA não indicado: Processo de baixa criticidade."))</f>
      </c>
    </row>
    <row x14ac:dyDescent="0.25" r="697" customHeight="1" ht="15.75">
      <c r="A697" s="46"/>
      <c r="B697" s="6"/>
      <c r="C697" s="11"/>
      <c r="D697" s="11"/>
      <c r="E697" s="11"/>
      <c r="F697" s="29"/>
      <c r="G697" s="11"/>
      <c r="H697" s="11"/>
      <c r="I697" s="29"/>
      <c r="J697" s="11"/>
      <c r="K697" s="29"/>
      <c r="L697" s="11"/>
      <c r="M697" s="11"/>
      <c r="N697" s="11"/>
      <c r="O697" s="29"/>
      <c r="P697" s="29"/>
      <c r="Q697" s="11"/>
      <c r="R697" s="29"/>
      <c r="S697" s="11"/>
      <c r="T697" s="6"/>
      <c r="U697" s="29"/>
      <c r="V697" s="11"/>
      <c r="W697" s="11"/>
      <c r="X697" s="29"/>
      <c r="Y697" s="11"/>
      <c r="Z697" s="29"/>
      <c r="AA697" s="29"/>
      <c r="AB697" s="11"/>
      <c r="AC697" s="11"/>
      <c r="AD697" s="29"/>
      <c r="AE697" s="11"/>
      <c r="AF697" s="29"/>
      <c r="AG697" s="11"/>
      <c r="AH697" s="29"/>
      <c r="AI697" s="11"/>
      <c r="AJ697" s="29"/>
      <c r="AK697" s="29"/>
      <c r="AL697" s="29"/>
      <c r="AM697" s="11"/>
      <c r="AN697" s="29"/>
      <c r="AO697" s="29"/>
      <c r="AP697" s="6"/>
      <c r="AQ697" s="113">
        <f>IF(AND(I697="",K697="",AF697="",AL697="",AN697="",O697=""),"",IF(OR(I697="SIM",K697="SIM",AF697="SIM",AL697="SIM",AN697="Dados pessoais",AN697="Dados sensíveis",AN697="Dados pessoais e sensíveis",O697="Acima de 10.000 titulares por mês"),"SIM - Alta criticidade",IF((IF(I697="SIM",2,0)+IF(K697="SIM",2,0)+IF(AF697="SIM",2,0)+IF(OR(AN697="Dados pessoais",AN697="Dados sensíveis",AN697="Dados pessoais e sensíveis"),2,0)+IF(O697="De 1.001 a 10.000 titulares por mês",1,0)+IF(AA697="SIM",1,0)+IF(R697="SIM",1,0)+IF(AL697="SIM",1,0)+IF(AJ697="NÃO",1,0))&gt;=5,"SIM - Alta criticidade",IF((IF(I697="SIM",2,0)+IF(K697="SIM",2,0)+IF(AF697="SIM",2,0)+IF(OR(AN697="Dados pessoais",AN697="Dados sensíveis",AN697="Dados pessoais e sensíveis"),2,0)+IF(O697="De 1.001 a 10.000 titulares por mês",1,0)+IF(AA697="SIM",1,0)+IF(R697="SIM",1,0)+IF(AL697="SIM",1,0)+IF(AJ697="NÃO",1,0))&gt;=3,"Avaliação necessária","NÃO"))))</f>
      </c>
      <c r="AR697" s="11"/>
      <c r="AS697" s="113">
        <f>IF(AND(I697="",K697="",AF697="",AL697="",AN697="",O697=""),"",IF(OR(I697="SIM",K697="SIM",AF697="SIM",AL697="SIM",OR(AN697="Dados pessoais",AN697="Dados sensíveis",AN697="Dados pessoais e sensíveis"),O697="Acima de 10.000 titulares por mês",(IF(I697="SIM",2,0)+IF(K697="SIM",2,0)+IF(AF697="SIM",2,0)+IF(OR(AN697="Dados pessoais",AN697="Dados sensíveis",AN697="Dados pessoais e sensíveis"),2,0)+IF(O697="De 1.001 a 10.000 titulares por mês",1,0)+IF(AA697="SIM",1,0)+IF(R697="SIM",1,0)+IF(AL697="SIM",1,0)+IF(AJ697="NÃO",1,0))&gt;=3),"DPIA indicado ou em avaliação em razão de: " &amp; TRIM(IF(I697="SIM","tratamento de dados sensíveis; ","") &amp; IF(K697="SIM","utilização de dados de menores; ","") &amp; IF(AF697="SIM","transferência internacional de dados; ","") &amp; IF(AL697="SIM","utilização de inteligência artificial; ","") &amp; IF(OR(AN697="Dados pessoais",AN697="Dados sensíveis",AN697="Dados pessoais e sensíveis"),"dados inseridos em IA; ","") &amp; IF(O697="Acima de 10.000 titulares por mês","volume crítico de titulares; ","") &amp; IF(O697="De 1.001 a 10.000 titulares por mês","volume moderado de titulares; ","") &amp; IF(AA697="SIM","compartilhamento com terceiros; ","") &amp; IF(R697="SIM","compartilhamento com órgãos governamentais; ","") &amp; IF(AJ697="NÃO","ausência de controle de acesso por perfil; ","")),"DPIA não indicado: Processo de baixa criticidade."))</f>
      </c>
    </row>
    <row x14ac:dyDescent="0.25" r="698" customHeight="1" ht="15.75">
      <c r="A698" s="46"/>
      <c r="B698" s="6"/>
      <c r="C698" s="11"/>
      <c r="D698" s="11"/>
      <c r="E698" s="11"/>
      <c r="F698" s="29"/>
      <c r="G698" s="11"/>
      <c r="H698" s="11"/>
      <c r="I698" s="29"/>
      <c r="J698" s="11"/>
      <c r="K698" s="29"/>
      <c r="L698" s="11"/>
      <c r="M698" s="11"/>
      <c r="N698" s="11"/>
      <c r="O698" s="29"/>
      <c r="P698" s="29"/>
      <c r="Q698" s="11"/>
      <c r="R698" s="29"/>
      <c r="S698" s="11"/>
      <c r="T698" s="6"/>
      <c r="U698" s="29"/>
      <c r="V698" s="11"/>
      <c r="W698" s="11"/>
      <c r="X698" s="29"/>
      <c r="Y698" s="11"/>
      <c r="Z698" s="29"/>
      <c r="AA698" s="29"/>
      <c r="AB698" s="11"/>
      <c r="AC698" s="11"/>
      <c r="AD698" s="29"/>
      <c r="AE698" s="11"/>
      <c r="AF698" s="29"/>
      <c r="AG698" s="11"/>
      <c r="AH698" s="29"/>
      <c r="AI698" s="11"/>
      <c r="AJ698" s="29"/>
      <c r="AK698" s="29"/>
      <c r="AL698" s="29"/>
      <c r="AM698" s="11"/>
      <c r="AN698" s="29"/>
      <c r="AO698" s="29"/>
      <c r="AP698" s="6"/>
      <c r="AQ698" s="113">
        <f>IF(AND(I698="",K698="",AF698="",AL698="",AN698="",O698=""),"",IF(OR(I698="SIM",K698="SIM",AF698="SIM",AL698="SIM",AN698="Dados pessoais",AN698="Dados sensíveis",AN698="Dados pessoais e sensíveis",O698="Acima de 10.000 titulares por mês"),"SIM - Alta criticidade",IF((IF(I698="SIM",2,0)+IF(K698="SIM",2,0)+IF(AF698="SIM",2,0)+IF(OR(AN698="Dados pessoais",AN698="Dados sensíveis",AN698="Dados pessoais e sensíveis"),2,0)+IF(O698="De 1.001 a 10.000 titulares por mês",1,0)+IF(AA698="SIM",1,0)+IF(R698="SIM",1,0)+IF(AL698="SIM",1,0)+IF(AJ698="NÃO",1,0))&gt;=5,"SIM - Alta criticidade",IF((IF(I698="SIM",2,0)+IF(K698="SIM",2,0)+IF(AF698="SIM",2,0)+IF(OR(AN698="Dados pessoais",AN698="Dados sensíveis",AN698="Dados pessoais e sensíveis"),2,0)+IF(O698="De 1.001 a 10.000 titulares por mês",1,0)+IF(AA698="SIM",1,0)+IF(R698="SIM",1,0)+IF(AL698="SIM",1,0)+IF(AJ698="NÃO",1,0))&gt;=3,"Avaliação necessária","NÃO"))))</f>
      </c>
      <c r="AR698" s="11"/>
      <c r="AS698" s="113">
        <f>IF(AND(I698="",K698="",AF698="",AL698="",AN698="",O698=""),"",IF(OR(I698="SIM",K698="SIM",AF698="SIM",AL698="SIM",OR(AN698="Dados pessoais",AN698="Dados sensíveis",AN698="Dados pessoais e sensíveis"),O698="Acima de 10.000 titulares por mês",(IF(I698="SIM",2,0)+IF(K698="SIM",2,0)+IF(AF698="SIM",2,0)+IF(OR(AN698="Dados pessoais",AN698="Dados sensíveis",AN698="Dados pessoais e sensíveis"),2,0)+IF(O698="De 1.001 a 10.000 titulares por mês",1,0)+IF(AA698="SIM",1,0)+IF(R698="SIM",1,0)+IF(AL698="SIM",1,0)+IF(AJ698="NÃO",1,0))&gt;=3),"DPIA indicado ou em avaliação em razão de: " &amp; TRIM(IF(I698="SIM","tratamento de dados sensíveis; ","") &amp; IF(K698="SIM","utilização de dados de menores; ","") &amp; IF(AF698="SIM","transferência internacional de dados; ","") &amp; IF(AL698="SIM","utilização de inteligência artificial; ","") &amp; IF(OR(AN698="Dados pessoais",AN698="Dados sensíveis",AN698="Dados pessoais e sensíveis"),"dados inseridos em IA; ","") &amp; IF(O698="Acima de 10.000 titulares por mês","volume crítico de titulares; ","") &amp; IF(O698="De 1.001 a 10.000 titulares por mês","volume moderado de titulares; ","") &amp; IF(AA698="SIM","compartilhamento com terceiros; ","") &amp; IF(R698="SIM","compartilhamento com órgãos governamentais; ","") &amp; IF(AJ698="NÃO","ausência de controle de acesso por perfil; ","")),"DPIA não indicado: Processo de baixa criticidade."))</f>
      </c>
    </row>
    <row x14ac:dyDescent="0.25" r="699" customHeight="1" ht="15.75">
      <c r="A699" s="46"/>
      <c r="B699" s="6"/>
      <c r="C699" s="11"/>
      <c r="D699" s="11"/>
      <c r="E699" s="11"/>
      <c r="F699" s="29"/>
      <c r="G699" s="11"/>
      <c r="H699" s="11"/>
      <c r="I699" s="29"/>
      <c r="J699" s="11"/>
      <c r="K699" s="29"/>
      <c r="L699" s="11"/>
      <c r="M699" s="11"/>
      <c r="N699" s="11"/>
      <c r="O699" s="29"/>
      <c r="P699" s="29"/>
      <c r="Q699" s="11"/>
      <c r="R699" s="29"/>
      <c r="S699" s="11"/>
      <c r="T699" s="6"/>
      <c r="U699" s="29"/>
      <c r="V699" s="11"/>
      <c r="W699" s="11"/>
      <c r="X699" s="29"/>
      <c r="Y699" s="11"/>
      <c r="Z699" s="29"/>
      <c r="AA699" s="29"/>
      <c r="AB699" s="11"/>
      <c r="AC699" s="11"/>
      <c r="AD699" s="29"/>
      <c r="AE699" s="11"/>
      <c r="AF699" s="29"/>
      <c r="AG699" s="11"/>
      <c r="AH699" s="29"/>
      <c r="AI699" s="11"/>
      <c r="AJ699" s="29"/>
      <c r="AK699" s="29"/>
      <c r="AL699" s="29"/>
      <c r="AM699" s="11"/>
      <c r="AN699" s="29"/>
      <c r="AO699" s="29"/>
      <c r="AP699" s="6"/>
      <c r="AQ699" s="113">
        <f>IF(AND(I699="",K699="",AF699="",AL699="",AN699="",O699=""),"",IF(OR(I699="SIM",K699="SIM",AF699="SIM",AL699="SIM",AN699="Dados pessoais",AN699="Dados sensíveis",AN699="Dados pessoais e sensíveis",O699="Acima de 10.000 titulares por mês"),"SIM - Alta criticidade",IF((IF(I699="SIM",2,0)+IF(K699="SIM",2,0)+IF(AF699="SIM",2,0)+IF(OR(AN699="Dados pessoais",AN699="Dados sensíveis",AN699="Dados pessoais e sensíveis"),2,0)+IF(O699="De 1.001 a 10.000 titulares por mês",1,0)+IF(AA699="SIM",1,0)+IF(R699="SIM",1,0)+IF(AL699="SIM",1,0)+IF(AJ699="NÃO",1,0))&gt;=5,"SIM - Alta criticidade",IF((IF(I699="SIM",2,0)+IF(K699="SIM",2,0)+IF(AF699="SIM",2,0)+IF(OR(AN699="Dados pessoais",AN699="Dados sensíveis",AN699="Dados pessoais e sensíveis"),2,0)+IF(O699="De 1.001 a 10.000 titulares por mês",1,0)+IF(AA699="SIM",1,0)+IF(R699="SIM",1,0)+IF(AL699="SIM",1,0)+IF(AJ699="NÃO",1,0))&gt;=3,"Avaliação necessária","NÃO"))))</f>
      </c>
      <c r="AR699" s="11"/>
      <c r="AS699" s="113">
        <f>IF(AND(I699="",K699="",AF699="",AL699="",AN699="",O699=""),"",IF(OR(I699="SIM",K699="SIM",AF699="SIM",AL699="SIM",OR(AN699="Dados pessoais",AN699="Dados sensíveis",AN699="Dados pessoais e sensíveis"),O699="Acima de 10.000 titulares por mês",(IF(I699="SIM",2,0)+IF(K699="SIM",2,0)+IF(AF699="SIM",2,0)+IF(OR(AN699="Dados pessoais",AN699="Dados sensíveis",AN699="Dados pessoais e sensíveis"),2,0)+IF(O699="De 1.001 a 10.000 titulares por mês",1,0)+IF(AA699="SIM",1,0)+IF(R699="SIM",1,0)+IF(AL699="SIM",1,0)+IF(AJ699="NÃO",1,0))&gt;=3),"DPIA indicado ou em avaliação em razão de: " &amp; TRIM(IF(I699="SIM","tratamento de dados sensíveis; ","") &amp; IF(K699="SIM","utilização de dados de menores; ","") &amp; IF(AF699="SIM","transferência internacional de dados; ","") &amp; IF(AL699="SIM","utilização de inteligência artificial; ","") &amp; IF(OR(AN699="Dados pessoais",AN699="Dados sensíveis",AN699="Dados pessoais e sensíveis"),"dados inseridos em IA; ","") &amp; IF(O699="Acima de 10.000 titulares por mês","volume crítico de titulares; ","") &amp; IF(O699="De 1.001 a 10.000 titulares por mês","volume moderado de titulares; ","") &amp; IF(AA699="SIM","compartilhamento com terceiros; ","") &amp; IF(R699="SIM","compartilhamento com órgãos governamentais; ","") &amp; IF(AJ699="NÃO","ausência de controle de acesso por perfil; ","")),"DPIA não indicado: Processo de baixa criticidade."))</f>
      </c>
    </row>
    <row x14ac:dyDescent="0.25" r="700" customHeight="1" ht="15.75">
      <c r="A700" s="46"/>
      <c r="B700" s="6"/>
      <c r="C700" s="11"/>
      <c r="D700" s="11"/>
      <c r="E700" s="11"/>
      <c r="F700" s="29"/>
      <c r="G700" s="11"/>
      <c r="H700" s="11"/>
      <c r="I700" s="29"/>
      <c r="J700" s="11"/>
      <c r="K700" s="29"/>
      <c r="L700" s="11"/>
      <c r="M700" s="11"/>
      <c r="N700" s="11"/>
      <c r="O700" s="29"/>
      <c r="P700" s="29"/>
      <c r="Q700" s="11"/>
      <c r="R700" s="29"/>
      <c r="S700" s="11"/>
      <c r="T700" s="6"/>
      <c r="U700" s="29"/>
      <c r="V700" s="11"/>
      <c r="W700" s="11"/>
      <c r="X700" s="29"/>
      <c r="Y700" s="11"/>
      <c r="Z700" s="29"/>
      <c r="AA700" s="29"/>
      <c r="AB700" s="11"/>
      <c r="AC700" s="11"/>
      <c r="AD700" s="29"/>
      <c r="AE700" s="11"/>
      <c r="AF700" s="29"/>
      <c r="AG700" s="11"/>
      <c r="AH700" s="29"/>
      <c r="AI700" s="11"/>
      <c r="AJ700" s="29"/>
      <c r="AK700" s="29"/>
      <c r="AL700" s="29"/>
      <c r="AM700" s="11"/>
      <c r="AN700" s="29"/>
      <c r="AO700" s="29"/>
      <c r="AP700" s="6"/>
      <c r="AQ700" s="113">
        <f>IF(AND(I700="",K700="",AF700="",AL700="",AN700="",O700=""),"",IF(OR(I700="SIM",K700="SIM",AF700="SIM",AL700="SIM",AN700="Dados pessoais",AN700="Dados sensíveis",AN700="Dados pessoais e sensíveis",O700="Acima de 10.000 titulares por mês"),"SIM - Alta criticidade",IF((IF(I700="SIM",2,0)+IF(K700="SIM",2,0)+IF(AF700="SIM",2,0)+IF(OR(AN700="Dados pessoais",AN700="Dados sensíveis",AN700="Dados pessoais e sensíveis"),2,0)+IF(O700="De 1.001 a 10.000 titulares por mês",1,0)+IF(AA700="SIM",1,0)+IF(R700="SIM",1,0)+IF(AL700="SIM",1,0)+IF(AJ700="NÃO",1,0))&gt;=5,"SIM - Alta criticidade",IF((IF(I700="SIM",2,0)+IF(K700="SIM",2,0)+IF(AF700="SIM",2,0)+IF(OR(AN700="Dados pessoais",AN700="Dados sensíveis",AN700="Dados pessoais e sensíveis"),2,0)+IF(O700="De 1.001 a 10.000 titulares por mês",1,0)+IF(AA700="SIM",1,0)+IF(R700="SIM",1,0)+IF(AL700="SIM",1,0)+IF(AJ700="NÃO",1,0))&gt;=3,"Avaliação necessária","NÃO"))))</f>
      </c>
      <c r="AR700" s="11"/>
      <c r="AS700" s="113">
        <f>IF(AND(I700="",K700="",AF700="",AL700="",AN700="",O700=""),"",IF(OR(I700="SIM",K700="SIM",AF700="SIM",AL700="SIM",OR(AN700="Dados pessoais",AN700="Dados sensíveis",AN700="Dados pessoais e sensíveis"),O700="Acima de 10.000 titulares por mês",(IF(I700="SIM",2,0)+IF(K700="SIM",2,0)+IF(AF700="SIM",2,0)+IF(OR(AN700="Dados pessoais",AN700="Dados sensíveis",AN700="Dados pessoais e sensíveis"),2,0)+IF(O700="De 1.001 a 10.000 titulares por mês",1,0)+IF(AA700="SIM",1,0)+IF(R700="SIM",1,0)+IF(AL700="SIM",1,0)+IF(AJ700="NÃO",1,0))&gt;=3),"DPIA indicado ou em avaliação em razão de: " &amp; TRIM(IF(I700="SIM","tratamento de dados sensíveis; ","") &amp; IF(K700="SIM","utilização de dados de menores; ","") &amp; IF(AF700="SIM","transferência internacional de dados; ","") &amp; IF(AL700="SIM","utilização de inteligência artificial; ","") &amp; IF(OR(AN700="Dados pessoais",AN700="Dados sensíveis",AN700="Dados pessoais e sensíveis"),"dados inseridos em IA; ","") &amp; IF(O700="Acima de 10.000 titulares por mês","volume crítico de titulares; ","") &amp; IF(O700="De 1.001 a 10.000 titulares por mês","volume moderado de titulares; ","") &amp; IF(AA700="SIM","compartilhamento com terceiros; ","") &amp; IF(R700="SIM","compartilhamento com órgãos governamentais; ","") &amp; IF(AJ700="NÃO","ausência de controle de acesso por perfil; ","")),"DPIA não indicado: Processo de baixa criticidade."))</f>
      </c>
    </row>
    <row x14ac:dyDescent="0.25" r="701" customHeight="1" ht="15.75">
      <c r="A701" s="46"/>
      <c r="B701" s="6"/>
      <c r="C701" s="11"/>
      <c r="D701" s="11"/>
      <c r="E701" s="11"/>
      <c r="F701" s="29"/>
      <c r="G701" s="11"/>
      <c r="H701" s="11"/>
      <c r="I701" s="29"/>
      <c r="J701" s="11"/>
      <c r="K701" s="29"/>
      <c r="L701" s="11"/>
      <c r="M701" s="11"/>
      <c r="N701" s="11"/>
      <c r="O701" s="29"/>
      <c r="P701" s="29"/>
      <c r="Q701" s="11"/>
      <c r="R701" s="29"/>
      <c r="S701" s="11"/>
      <c r="T701" s="6"/>
      <c r="U701" s="29"/>
      <c r="V701" s="11"/>
      <c r="W701" s="11"/>
      <c r="X701" s="29"/>
      <c r="Y701" s="11"/>
      <c r="Z701" s="29"/>
      <c r="AA701" s="29"/>
      <c r="AB701" s="11"/>
      <c r="AC701" s="11"/>
      <c r="AD701" s="29"/>
      <c r="AE701" s="11"/>
      <c r="AF701" s="29"/>
      <c r="AG701" s="11"/>
      <c r="AH701" s="29"/>
      <c r="AI701" s="11"/>
      <c r="AJ701" s="29"/>
      <c r="AK701" s="29"/>
      <c r="AL701" s="29"/>
      <c r="AM701" s="11"/>
      <c r="AN701" s="29"/>
      <c r="AO701" s="29"/>
      <c r="AP701" s="6"/>
      <c r="AQ701" s="113">
        <f>IF(AND(I701="",K701="",AF701="",AL701="",AN701="",O701=""),"",IF(OR(I701="SIM",K701="SIM",AF701="SIM",AL701="SIM",AN701="Dados pessoais",AN701="Dados sensíveis",AN701="Dados pessoais e sensíveis",O701="Acima de 10.000 titulares por mês"),"SIM - Alta criticidade",IF((IF(I701="SIM",2,0)+IF(K701="SIM",2,0)+IF(AF701="SIM",2,0)+IF(OR(AN701="Dados pessoais",AN701="Dados sensíveis",AN701="Dados pessoais e sensíveis"),2,0)+IF(O701="De 1.001 a 10.000 titulares por mês",1,0)+IF(AA701="SIM",1,0)+IF(R701="SIM",1,0)+IF(AL701="SIM",1,0)+IF(AJ701="NÃO",1,0))&gt;=5,"SIM - Alta criticidade",IF((IF(I701="SIM",2,0)+IF(K701="SIM",2,0)+IF(AF701="SIM",2,0)+IF(OR(AN701="Dados pessoais",AN701="Dados sensíveis",AN701="Dados pessoais e sensíveis"),2,0)+IF(O701="De 1.001 a 10.000 titulares por mês",1,0)+IF(AA701="SIM",1,0)+IF(R701="SIM",1,0)+IF(AL701="SIM",1,0)+IF(AJ701="NÃO",1,0))&gt;=3,"Avaliação necessária","NÃO"))))</f>
      </c>
      <c r="AR701" s="11"/>
      <c r="AS701" s="113">
        <f>IF(AND(I701="",K701="",AF701="",AL701="",AN701="",O701=""),"",IF(OR(I701="SIM",K701="SIM",AF701="SIM",AL701="SIM",OR(AN701="Dados pessoais",AN701="Dados sensíveis",AN701="Dados pessoais e sensíveis"),O701="Acima de 10.000 titulares por mês",(IF(I701="SIM",2,0)+IF(K701="SIM",2,0)+IF(AF701="SIM",2,0)+IF(OR(AN701="Dados pessoais",AN701="Dados sensíveis",AN701="Dados pessoais e sensíveis"),2,0)+IF(O701="De 1.001 a 10.000 titulares por mês",1,0)+IF(AA701="SIM",1,0)+IF(R701="SIM",1,0)+IF(AL701="SIM",1,0)+IF(AJ701="NÃO",1,0))&gt;=3),"DPIA indicado ou em avaliação em razão de: " &amp; TRIM(IF(I701="SIM","tratamento de dados sensíveis; ","") &amp; IF(K701="SIM","utilização de dados de menores; ","") &amp; IF(AF701="SIM","transferência internacional de dados; ","") &amp; IF(AL701="SIM","utilização de inteligência artificial; ","") &amp; IF(OR(AN701="Dados pessoais",AN701="Dados sensíveis",AN701="Dados pessoais e sensíveis"),"dados inseridos em IA; ","") &amp; IF(O701="Acima de 10.000 titulares por mês","volume crítico de titulares; ","") &amp; IF(O701="De 1.001 a 10.000 titulares por mês","volume moderado de titulares; ","") &amp; IF(AA701="SIM","compartilhamento com terceiros; ","") &amp; IF(R701="SIM","compartilhamento com órgãos governamentais; ","") &amp; IF(AJ701="NÃO","ausência de controle de acesso por perfil; ","")),"DPIA não indicado: Processo de baixa criticidade."))</f>
      </c>
    </row>
    <row x14ac:dyDescent="0.25" r="702" customHeight="1" ht="15.75">
      <c r="A702" s="46"/>
      <c r="B702" s="6"/>
      <c r="C702" s="11"/>
      <c r="D702" s="11"/>
      <c r="E702" s="11"/>
      <c r="F702" s="29"/>
      <c r="G702" s="11"/>
      <c r="H702" s="11"/>
      <c r="I702" s="29"/>
      <c r="J702" s="11"/>
      <c r="K702" s="29"/>
      <c r="L702" s="11"/>
      <c r="M702" s="11"/>
      <c r="N702" s="11"/>
      <c r="O702" s="29"/>
      <c r="P702" s="29"/>
      <c r="Q702" s="11"/>
      <c r="R702" s="29"/>
      <c r="S702" s="11"/>
      <c r="T702" s="6"/>
      <c r="U702" s="29"/>
      <c r="V702" s="11"/>
      <c r="W702" s="11"/>
      <c r="X702" s="29"/>
      <c r="Y702" s="11"/>
      <c r="Z702" s="29"/>
      <c r="AA702" s="29"/>
      <c r="AB702" s="11"/>
      <c r="AC702" s="11"/>
      <c r="AD702" s="29"/>
      <c r="AE702" s="11"/>
      <c r="AF702" s="29"/>
      <c r="AG702" s="11"/>
      <c r="AH702" s="29"/>
      <c r="AI702" s="11"/>
      <c r="AJ702" s="29"/>
      <c r="AK702" s="29"/>
      <c r="AL702" s="29"/>
      <c r="AM702" s="11"/>
      <c r="AN702" s="29"/>
      <c r="AO702" s="29"/>
      <c r="AP702" s="6"/>
      <c r="AQ702" s="113">
        <f>IF(AND(I702="",K702="",AF702="",AL702="",AN702="",O702=""),"",IF(OR(I702="SIM",K702="SIM",AF702="SIM",AL702="SIM",AN702="Dados pessoais",AN702="Dados sensíveis",AN702="Dados pessoais e sensíveis",O702="Acima de 10.000 titulares por mês"),"SIM - Alta criticidade",IF((IF(I702="SIM",2,0)+IF(K702="SIM",2,0)+IF(AF702="SIM",2,0)+IF(OR(AN702="Dados pessoais",AN702="Dados sensíveis",AN702="Dados pessoais e sensíveis"),2,0)+IF(O702="De 1.001 a 10.000 titulares por mês",1,0)+IF(AA702="SIM",1,0)+IF(R702="SIM",1,0)+IF(AL702="SIM",1,0)+IF(AJ702="NÃO",1,0))&gt;=5,"SIM - Alta criticidade",IF((IF(I702="SIM",2,0)+IF(K702="SIM",2,0)+IF(AF702="SIM",2,0)+IF(OR(AN702="Dados pessoais",AN702="Dados sensíveis",AN702="Dados pessoais e sensíveis"),2,0)+IF(O702="De 1.001 a 10.000 titulares por mês",1,0)+IF(AA702="SIM",1,0)+IF(R702="SIM",1,0)+IF(AL702="SIM",1,0)+IF(AJ702="NÃO",1,0))&gt;=3,"Avaliação necessária","NÃO"))))</f>
      </c>
      <c r="AR702" s="11"/>
      <c r="AS702" s="113">
        <f>IF(AND(I702="",K702="",AF702="",AL702="",AN702="",O702=""),"",IF(OR(I702="SIM",K702="SIM",AF702="SIM",AL702="SIM",OR(AN702="Dados pessoais",AN702="Dados sensíveis",AN702="Dados pessoais e sensíveis"),O702="Acima de 10.000 titulares por mês",(IF(I702="SIM",2,0)+IF(K702="SIM",2,0)+IF(AF702="SIM",2,0)+IF(OR(AN702="Dados pessoais",AN702="Dados sensíveis",AN702="Dados pessoais e sensíveis"),2,0)+IF(O702="De 1.001 a 10.000 titulares por mês",1,0)+IF(AA702="SIM",1,0)+IF(R702="SIM",1,0)+IF(AL702="SIM",1,0)+IF(AJ702="NÃO",1,0))&gt;=3),"DPIA indicado ou em avaliação em razão de: " &amp; TRIM(IF(I702="SIM","tratamento de dados sensíveis; ","") &amp; IF(K702="SIM","utilização de dados de menores; ","") &amp; IF(AF702="SIM","transferência internacional de dados; ","") &amp; IF(AL702="SIM","utilização de inteligência artificial; ","") &amp; IF(OR(AN702="Dados pessoais",AN702="Dados sensíveis",AN702="Dados pessoais e sensíveis"),"dados inseridos em IA; ","") &amp; IF(O702="Acima de 10.000 titulares por mês","volume crítico de titulares; ","") &amp; IF(O702="De 1.001 a 10.000 titulares por mês","volume moderado de titulares; ","") &amp; IF(AA702="SIM","compartilhamento com terceiros; ","") &amp; IF(R702="SIM","compartilhamento com órgãos governamentais; ","") &amp; IF(AJ702="NÃO","ausência de controle de acesso por perfil; ","")),"DPIA não indicado: Processo de baixa criticidade."))</f>
      </c>
    </row>
    <row x14ac:dyDescent="0.25" r="703" customHeight="1" ht="15.75">
      <c r="A703" s="46"/>
      <c r="B703" s="6"/>
      <c r="C703" s="11"/>
      <c r="D703" s="11"/>
      <c r="E703" s="11"/>
      <c r="F703" s="29"/>
      <c r="G703" s="11"/>
      <c r="H703" s="11"/>
      <c r="I703" s="29"/>
      <c r="J703" s="11"/>
      <c r="K703" s="29"/>
      <c r="L703" s="11"/>
      <c r="M703" s="11"/>
      <c r="N703" s="11"/>
      <c r="O703" s="29"/>
      <c r="P703" s="29"/>
      <c r="Q703" s="11"/>
      <c r="R703" s="29"/>
      <c r="S703" s="11"/>
      <c r="T703" s="6"/>
      <c r="U703" s="29"/>
      <c r="V703" s="11"/>
      <c r="W703" s="11"/>
      <c r="X703" s="29"/>
      <c r="Y703" s="11"/>
      <c r="Z703" s="29"/>
      <c r="AA703" s="29"/>
      <c r="AB703" s="11"/>
      <c r="AC703" s="11"/>
      <c r="AD703" s="29"/>
      <c r="AE703" s="11"/>
      <c r="AF703" s="29"/>
      <c r="AG703" s="11"/>
      <c r="AH703" s="29"/>
      <c r="AI703" s="11"/>
      <c r="AJ703" s="29"/>
      <c r="AK703" s="29"/>
      <c r="AL703" s="29"/>
      <c r="AM703" s="11"/>
      <c r="AN703" s="29"/>
      <c r="AO703" s="29"/>
      <c r="AP703" s="6"/>
      <c r="AQ703" s="113">
        <f>IF(AND(I703="",K703="",AF703="",AL703="",AN703="",O703=""),"",IF(OR(I703="SIM",K703="SIM",AF703="SIM",AL703="SIM",AN703="Dados pessoais",AN703="Dados sensíveis",AN703="Dados pessoais e sensíveis",O703="Acima de 10.000 titulares por mês"),"SIM - Alta criticidade",IF((IF(I703="SIM",2,0)+IF(K703="SIM",2,0)+IF(AF703="SIM",2,0)+IF(OR(AN703="Dados pessoais",AN703="Dados sensíveis",AN703="Dados pessoais e sensíveis"),2,0)+IF(O703="De 1.001 a 10.000 titulares por mês",1,0)+IF(AA703="SIM",1,0)+IF(R703="SIM",1,0)+IF(AL703="SIM",1,0)+IF(AJ703="NÃO",1,0))&gt;=5,"SIM - Alta criticidade",IF((IF(I703="SIM",2,0)+IF(K703="SIM",2,0)+IF(AF703="SIM",2,0)+IF(OR(AN703="Dados pessoais",AN703="Dados sensíveis",AN703="Dados pessoais e sensíveis"),2,0)+IF(O703="De 1.001 a 10.000 titulares por mês",1,0)+IF(AA703="SIM",1,0)+IF(R703="SIM",1,0)+IF(AL703="SIM",1,0)+IF(AJ703="NÃO",1,0))&gt;=3,"Avaliação necessária","NÃO"))))</f>
      </c>
      <c r="AR703" s="11"/>
      <c r="AS703" s="113">
        <f>IF(AND(I703="",K703="",AF703="",AL703="",AN703="",O703=""),"",IF(OR(I703="SIM",K703="SIM",AF703="SIM",AL703="SIM",OR(AN703="Dados pessoais",AN703="Dados sensíveis",AN703="Dados pessoais e sensíveis"),O703="Acima de 10.000 titulares por mês",(IF(I703="SIM",2,0)+IF(K703="SIM",2,0)+IF(AF703="SIM",2,0)+IF(OR(AN703="Dados pessoais",AN703="Dados sensíveis",AN703="Dados pessoais e sensíveis"),2,0)+IF(O703="De 1.001 a 10.000 titulares por mês",1,0)+IF(AA703="SIM",1,0)+IF(R703="SIM",1,0)+IF(AL703="SIM",1,0)+IF(AJ703="NÃO",1,0))&gt;=3),"DPIA indicado ou em avaliação em razão de: " &amp; TRIM(IF(I703="SIM","tratamento de dados sensíveis; ","") &amp; IF(K703="SIM","utilização de dados de menores; ","") &amp; IF(AF703="SIM","transferência internacional de dados; ","") &amp; IF(AL703="SIM","utilização de inteligência artificial; ","") &amp; IF(OR(AN703="Dados pessoais",AN703="Dados sensíveis",AN703="Dados pessoais e sensíveis"),"dados inseridos em IA; ","") &amp; IF(O703="Acima de 10.000 titulares por mês","volume crítico de titulares; ","") &amp; IF(O703="De 1.001 a 10.000 titulares por mês","volume moderado de titulares; ","") &amp; IF(AA703="SIM","compartilhamento com terceiros; ","") &amp; IF(R703="SIM","compartilhamento com órgãos governamentais; ","") &amp; IF(AJ703="NÃO","ausência de controle de acesso por perfil; ","")),"DPIA não indicado: Processo de baixa criticidade."))</f>
      </c>
    </row>
    <row x14ac:dyDescent="0.25" r="704" customHeight="1" ht="15.75">
      <c r="A704" s="46"/>
      <c r="B704" s="6"/>
      <c r="C704" s="11"/>
      <c r="D704" s="11"/>
      <c r="E704" s="11"/>
      <c r="F704" s="29"/>
      <c r="G704" s="11"/>
      <c r="H704" s="11"/>
      <c r="I704" s="29"/>
      <c r="J704" s="11"/>
      <c r="K704" s="29"/>
      <c r="L704" s="11"/>
      <c r="M704" s="11"/>
      <c r="N704" s="11"/>
      <c r="O704" s="29"/>
      <c r="P704" s="29"/>
      <c r="Q704" s="11"/>
      <c r="R704" s="29"/>
      <c r="S704" s="11"/>
      <c r="T704" s="6"/>
      <c r="U704" s="29"/>
      <c r="V704" s="11"/>
      <c r="W704" s="11"/>
      <c r="X704" s="29"/>
      <c r="Y704" s="11"/>
      <c r="Z704" s="29"/>
      <c r="AA704" s="29"/>
      <c r="AB704" s="11"/>
      <c r="AC704" s="11"/>
      <c r="AD704" s="29"/>
      <c r="AE704" s="11"/>
      <c r="AF704" s="29"/>
      <c r="AG704" s="11"/>
      <c r="AH704" s="29"/>
      <c r="AI704" s="11"/>
      <c r="AJ704" s="29"/>
      <c r="AK704" s="29"/>
      <c r="AL704" s="29"/>
      <c r="AM704" s="11"/>
      <c r="AN704" s="29"/>
      <c r="AO704" s="29"/>
      <c r="AP704" s="6"/>
      <c r="AQ704" s="113">
        <f>IF(AND(I704="",K704="",AF704="",AL704="",AN704="",O704=""),"",IF(OR(I704="SIM",K704="SIM",AF704="SIM",AL704="SIM",AN704="Dados pessoais",AN704="Dados sensíveis",AN704="Dados pessoais e sensíveis",O704="Acima de 10.000 titulares por mês"),"SIM - Alta criticidade",IF((IF(I704="SIM",2,0)+IF(K704="SIM",2,0)+IF(AF704="SIM",2,0)+IF(OR(AN704="Dados pessoais",AN704="Dados sensíveis",AN704="Dados pessoais e sensíveis"),2,0)+IF(O704="De 1.001 a 10.000 titulares por mês",1,0)+IF(AA704="SIM",1,0)+IF(R704="SIM",1,0)+IF(AL704="SIM",1,0)+IF(AJ704="NÃO",1,0))&gt;=5,"SIM - Alta criticidade",IF((IF(I704="SIM",2,0)+IF(K704="SIM",2,0)+IF(AF704="SIM",2,0)+IF(OR(AN704="Dados pessoais",AN704="Dados sensíveis",AN704="Dados pessoais e sensíveis"),2,0)+IF(O704="De 1.001 a 10.000 titulares por mês",1,0)+IF(AA704="SIM",1,0)+IF(R704="SIM",1,0)+IF(AL704="SIM",1,0)+IF(AJ704="NÃO",1,0))&gt;=3,"Avaliação necessária","NÃO"))))</f>
      </c>
      <c r="AR704" s="11"/>
      <c r="AS704" s="113">
        <f>IF(AND(I704="",K704="",AF704="",AL704="",AN704="",O704=""),"",IF(OR(I704="SIM",K704="SIM",AF704="SIM",AL704="SIM",OR(AN704="Dados pessoais",AN704="Dados sensíveis",AN704="Dados pessoais e sensíveis"),O704="Acima de 10.000 titulares por mês",(IF(I704="SIM",2,0)+IF(K704="SIM",2,0)+IF(AF704="SIM",2,0)+IF(OR(AN704="Dados pessoais",AN704="Dados sensíveis",AN704="Dados pessoais e sensíveis"),2,0)+IF(O704="De 1.001 a 10.000 titulares por mês",1,0)+IF(AA704="SIM",1,0)+IF(R704="SIM",1,0)+IF(AL704="SIM",1,0)+IF(AJ704="NÃO",1,0))&gt;=3),"DPIA indicado ou em avaliação em razão de: " &amp; TRIM(IF(I704="SIM","tratamento de dados sensíveis; ","") &amp; IF(K704="SIM","utilização de dados de menores; ","") &amp; IF(AF704="SIM","transferência internacional de dados; ","") &amp; IF(AL704="SIM","utilização de inteligência artificial; ","") &amp; IF(OR(AN704="Dados pessoais",AN704="Dados sensíveis",AN704="Dados pessoais e sensíveis"),"dados inseridos em IA; ","") &amp; IF(O704="Acima de 10.000 titulares por mês","volume crítico de titulares; ","") &amp; IF(O704="De 1.001 a 10.000 titulares por mês","volume moderado de titulares; ","") &amp; IF(AA704="SIM","compartilhamento com terceiros; ","") &amp; IF(R704="SIM","compartilhamento com órgãos governamentais; ","") &amp; IF(AJ704="NÃO","ausência de controle de acesso por perfil; ","")),"DPIA não indicado: Processo de baixa criticidade."))</f>
      </c>
    </row>
    <row x14ac:dyDescent="0.25" r="705" customHeight="1" ht="15.75">
      <c r="A705" s="46"/>
      <c r="B705" s="6"/>
      <c r="C705" s="11"/>
      <c r="D705" s="11"/>
      <c r="E705" s="11"/>
      <c r="F705" s="29"/>
      <c r="G705" s="11"/>
      <c r="H705" s="11"/>
      <c r="I705" s="29"/>
      <c r="J705" s="11"/>
      <c r="K705" s="29"/>
      <c r="L705" s="11"/>
      <c r="M705" s="11"/>
      <c r="N705" s="11"/>
      <c r="O705" s="29"/>
      <c r="P705" s="29"/>
      <c r="Q705" s="11"/>
      <c r="R705" s="29"/>
      <c r="S705" s="11"/>
      <c r="T705" s="6"/>
      <c r="U705" s="29"/>
      <c r="V705" s="11"/>
      <c r="W705" s="11"/>
      <c r="X705" s="29"/>
      <c r="Y705" s="11"/>
      <c r="Z705" s="29"/>
      <c r="AA705" s="29"/>
      <c r="AB705" s="11"/>
      <c r="AC705" s="11"/>
      <c r="AD705" s="29"/>
      <c r="AE705" s="11"/>
      <c r="AF705" s="29"/>
      <c r="AG705" s="11"/>
      <c r="AH705" s="29"/>
      <c r="AI705" s="11"/>
      <c r="AJ705" s="29"/>
      <c r="AK705" s="29"/>
      <c r="AL705" s="29"/>
      <c r="AM705" s="11"/>
      <c r="AN705" s="29"/>
      <c r="AO705" s="29"/>
      <c r="AP705" s="6"/>
      <c r="AQ705" s="113">
        <f>IF(AND(I705="",K705="",AF705="",AL705="",AN705="",O705=""),"",IF(OR(I705="SIM",K705="SIM",AF705="SIM",AL705="SIM",AN705="Dados pessoais",AN705="Dados sensíveis",AN705="Dados pessoais e sensíveis",O705="Acima de 10.000 titulares por mês"),"SIM - Alta criticidade",IF((IF(I705="SIM",2,0)+IF(K705="SIM",2,0)+IF(AF705="SIM",2,0)+IF(OR(AN705="Dados pessoais",AN705="Dados sensíveis",AN705="Dados pessoais e sensíveis"),2,0)+IF(O705="De 1.001 a 10.000 titulares por mês",1,0)+IF(AA705="SIM",1,0)+IF(R705="SIM",1,0)+IF(AL705="SIM",1,0)+IF(AJ705="NÃO",1,0))&gt;=5,"SIM - Alta criticidade",IF((IF(I705="SIM",2,0)+IF(K705="SIM",2,0)+IF(AF705="SIM",2,0)+IF(OR(AN705="Dados pessoais",AN705="Dados sensíveis",AN705="Dados pessoais e sensíveis"),2,0)+IF(O705="De 1.001 a 10.000 titulares por mês",1,0)+IF(AA705="SIM",1,0)+IF(R705="SIM",1,0)+IF(AL705="SIM",1,0)+IF(AJ705="NÃO",1,0))&gt;=3,"Avaliação necessária","NÃO"))))</f>
      </c>
      <c r="AR705" s="11"/>
      <c r="AS705" s="113">
        <f>IF(AND(I705="",K705="",AF705="",AL705="",AN705="",O705=""),"",IF(OR(I705="SIM",K705="SIM",AF705="SIM",AL705="SIM",OR(AN705="Dados pessoais",AN705="Dados sensíveis",AN705="Dados pessoais e sensíveis"),O705="Acima de 10.000 titulares por mês",(IF(I705="SIM",2,0)+IF(K705="SIM",2,0)+IF(AF705="SIM",2,0)+IF(OR(AN705="Dados pessoais",AN705="Dados sensíveis",AN705="Dados pessoais e sensíveis"),2,0)+IF(O705="De 1.001 a 10.000 titulares por mês",1,0)+IF(AA705="SIM",1,0)+IF(R705="SIM",1,0)+IF(AL705="SIM",1,0)+IF(AJ705="NÃO",1,0))&gt;=3),"DPIA indicado ou em avaliação em razão de: " &amp; TRIM(IF(I705="SIM","tratamento de dados sensíveis; ","") &amp; IF(K705="SIM","utilização de dados de menores; ","") &amp; IF(AF705="SIM","transferência internacional de dados; ","") &amp; IF(AL705="SIM","utilização de inteligência artificial; ","") &amp; IF(OR(AN705="Dados pessoais",AN705="Dados sensíveis",AN705="Dados pessoais e sensíveis"),"dados inseridos em IA; ","") &amp; IF(O705="Acima de 10.000 titulares por mês","volume crítico de titulares; ","") &amp; IF(O705="De 1.001 a 10.000 titulares por mês","volume moderado de titulares; ","") &amp; IF(AA705="SIM","compartilhamento com terceiros; ","") &amp; IF(R705="SIM","compartilhamento com órgãos governamentais; ","") &amp; IF(AJ705="NÃO","ausência de controle de acesso por perfil; ","")),"DPIA não indicado: Processo de baixa criticidade."))</f>
      </c>
    </row>
    <row x14ac:dyDescent="0.25" r="706" customHeight="1" ht="15.75">
      <c r="A706" s="46"/>
      <c r="B706" s="6"/>
      <c r="C706" s="11"/>
      <c r="D706" s="11"/>
      <c r="E706" s="11"/>
      <c r="F706" s="29"/>
      <c r="G706" s="11"/>
      <c r="H706" s="11"/>
      <c r="I706" s="29"/>
      <c r="J706" s="11"/>
      <c r="K706" s="29"/>
      <c r="L706" s="11"/>
      <c r="M706" s="11"/>
      <c r="N706" s="11"/>
      <c r="O706" s="29"/>
      <c r="P706" s="29"/>
      <c r="Q706" s="11"/>
      <c r="R706" s="29"/>
      <c r="S706" s="11"/>
      <c r="T706" s="6"/>
      <c r="U706" s="29"/>
      <c r="V706" s="11"/>
      <c r="W706" s="11"/>
      <c r="X706" s="29"/>
      <c r="Y706" s="11"/>
      <c r="Z706" s="29"/>
      <c r="AA706" s="29"/>
      <c r="AB706" s="11"/>
      <c r="AC706" s="11"/>
      <c r="AD706" s="29"/>
      <c r="AE706" s="11"/>
      <c r="AF706" s="29"/>
      <c r="AG706" s="11"/>
      <c r="AH706" s="29"/>
      <c r="AI706" s="11"/>
      <c r="AJ706" s="29"/>
      <c r="AK706" s="29"/>
      <c r="AL706" s="29"/>
      <c r="AM706" s="11"/>
      <c r="AN706" s="29"/>
      <c r="AO706" s="29"/>
      <c r="AP706" s="6"/>
      <c r="AQ706" s="113">
        <f>IF(AND(I706="",K706="",AF706="",AL706="",AN706="",O706=""),"",IF(OR(I706="SIM",K706="SIM",AF706="SIM",AL706="SIM",AN706="Dados pessoais",AN706="Dados sensíveis",AN706="Dados pessoais e sensíveis",O706="Acima de 10.000 titulares por mês"),"SIM - Alta criticidade",IF((IF(I706="SIM",2,0)+IF(K706="SIM",2,0)+IF(AF706="SIM",2,0)+IF(OR(AN706="Dados pessoais",AN706="Dados sensíveis",AN706="Dados pessoais e sensíveis"),2,0)+IF(O706="De 1.001 a 10.000 titulares por mês",1,0)+IF(AA706="SIM",1,0)+IF(R706="SIM",1,0)+IF(AL706="SIM",1,0)+IF(AJ706="NÃO",1,0))&gt;=5,"SIM - Alta criticidade",IF((IF(I706="SIM",2,0)+IF(K706="SIM",2,0)+IF(AF706="SIM",2,0)+IF(OR(AN706="Dados pessoais",AN706="Dados sensíveis",AN706="Dados pessoais e sensíveis"),2,0)+IF(O706="De 1.001 a 10.000 titulares por mês",1,0)+IF(AA706="SIM",1,0)+IF(R706="SIM",1,0)+IF(AL706="SIM",1,0)+IF(AJ706="NÃO",1,0))&gt;=3,"Avaliação necessária","NÃO"))))</f>
      </c>
      <c r="AR706" s="11"/>
      <c r="AS706" s="113">
        <f>IF(AND(I706="",K706="",AF706="",AL706="",AN706="",O706=""),"",IF(OR(I706="SIM",K706="SIM",AF706="SIM",AL706="SIM",OR(AN706="Dados pessoais",AN706="Dados sensíveis",AN706="Dados pessoais e sensíveis"),O706="Acima de 10.000 titulares por mês",(IF(I706="SIM",2,0)+IF(K706="SIM",2,0)+IF(AF706="SIM",2,0)+IF(OR(AN706="Dados pessoais",AN706="Dados sensíveis",AN706="Dados pessoais e sensíveis"),2,0)+IF(O706="De 1.001 a 10.000 titulares por mês",1,0)+IF(AA706="SIM",1,0)+IF(R706="SIM",1,0)+IF(AL706="SIM",1,0)+IF(AJ706="NÃO",1,0))&gt;=3),"DPIA indicado ou em avaliação em razão de: " &amp; TRIM(IF(I706="SIM","tratamento de dados sensíveis; ","") &amp; IF(K706="SIM","utilização de dados de menores; ","") &amp; IF(AF706="SIM","transferência internacional de dados; ","") &amp; IF(AL706="SIM","utilização de inteligência artificial; ","") &amp; IF(OR(AN706="Dados pessoais",AN706="Dados sensíveis",AN706="Dados pessoais e sensíveis"),"dados inseridos em IA; ","") &amp; IF(O706="Acima de 10.000 titulares por mês","volume crítico de titulares; ","") &amp; IF(O706="De 1.001 a 10.000 titulares por mês","volume moderado de titulares; ","") &amp; IF(AA706="SIM","compartilhamento com terceiros; ","") &amp; IF(R706="SIM","compartilhamento com órgãos governamentais; ","") &amp; IF(AJ706="NÃO","ausência de controle de acesso por perfil; ","")),"DPIA não indicado: Processo de baixa criticidade."))</f>
      </c>
    </row>
    <row x14ac:dyDescent="0.25" r="707" customHeight="1" ht="15.75">
      <c r="A707" s="46"/>
      <c r="B707" s="6"/>
      <c r="C707" s="11"/>
      <c r="D707" s="11"/>
      <c r="E707" s="11"/>
      <c r="F707" s="29"/>
      <c r="G707" s="11"/>
      <c r="H707" s="11"/>
      <c r="I707" s="29"/>
      <c r="J707" s="11"/>
      <c r="K707" s="29"/>
      <c r="L707" s="11"/>
      <c r="M707" s="11"/>
      <c r="N707" s="11"/>
      <c r="O707" s="29"/>
      <c r="P707" s="29"/>
      <c r="Q707" s="11"/>
      <c r="R707" s="29"/>
      <c r="S707" s="11"/>
      <c r="T707" s="6"/>
      <c r="U707" s="29"/>
      <c r="V707" s="11"/>
      <c r="W707" s="11"/>
      <c r="X707" s="29"/>
      <c r="Y707" s="11"/>
      <c r="Z707" s="29"/>
      <c r="AA707" s="29"/>
      <c r="AB707" s="11"/>
      <c r="AC707" s="11"/>
      <c r="AD707" s="29"/>
      <c r="AE707" s="11"/>
      <c r="AF707" s="29"/>
      <c r="AG707" s="11"/>
      <c r="AH707" s="29"/>
      <c r="AI707" s="11"/>
      <c r="AJ707" s="29"/>
      <c r="AK707" s="29"/>
      <c r="AL707" s="29"/>
      <c r="AM707" s="11"/>
      <c r="AN707" s="29"/>
      <c r="AO707" s="29"/>
      <c r="AP707" s="6"/>
      <c r="AQ707" s="113">
        <f>IF(AND(I707="",K707="",AF707="",AL707="",AN707="",O707=""),"",IF(OR(I707="SIM",K707="SIM",AF707="SIM",AL707="SIM",AN707="Dados pessoais",AN707="Dados sensíveis",AN707="Dados pessoais e sensíveis",O707="Acima de 10.000 titulares por mês"),"SIM - Alta criticidade",IF((IF(I707="SIM",2,0)+IF(K707="SIM",2,0)+IF(AF707="SIM",2,0)+IF(OR(AN707="Dados pessoais",AN707="Dados sensíveis",AN707="Dados pessoais e sensíveis"),2,0)+IF(O707="De 1.001 a 10.000 titulares por mês",1,0)+IF(AA707="SIM",1,0)+IF(R707="SIM",1,0)+IF(AL707="SIM",1,0)+IF(AJ707="NÃO",1,0))&gt;=5,"SIM - Alta criticidade",IF((IF(I707="SIM",2,0)+IF(K707="SIM",2,0)+IF(AF707="SIM",2,0)+IF(OR(AN707="Dados pessoais",AN707="Dados sensíveis",AN707="Dados pessoais e sensíveis"),2,0)+IF(O707="De 1.001 a 10.000 titulares por mês",1,0)+IF(AA707="SIM",1,0)+IF(R707="SIM",1,0)+IF(AL707="SIM",1,0)+IF(AJ707="NÃO",1,0))&gt;=3,"Avaliação necessária","NÃO"))))</f>
      </c>
      <c r="AR707" s="11"/>
      <c r="AS707" s="113">
        <f>IF(AND(I707="",K707="",AF707="",AL707="",AN707="",O707=""),"",IF(OR(I707="SIM",K707="SIM",AF707="SIM",AL707="SIM",OR(AN707="Dados pessoais",AN707="Dados sensíveis",AN707="Dados pessoais e sensíveis"),O707="Acima de 10.000 titulares por mês",(IF(I707="SIM",2,0)+IF(K707="SIM",2,0)+IF(AF707="SIM",2,0)+IF(OR(AN707="Dados pessoais",AN707="Dados sensíveis",AN707="Dados pessoais e sensíveis"),2,0)+IF(O707="De 1.001 a 10.000 titulares por mês",1,0)+IF(AA707="SIM",1,0)+IF(R707="SIM",1,0)+IF(AL707="SIM",1,0)+IF(AJ707="NÃO",1,0))&gt;=3),"DPIA indicado ou em avaliação em razão de: " &amp; TRIM(IF(I707="SIM","tratamento de dados sensíveis; ","") &amp; IF(K707="SIM","utilização de dados de menores; ","") &amp; IF(AF707="SIM","transferência internacional de dados; ","") &amp; IF(AL707="SIM","utilização de inteligência artificial; ","") &amp; IF(OR(AN707="Dados pessoais",AN707="Dados sensíveis",AN707="Dados pessoais e sensíveis"),"dados inseridos em IA; ","") &amp; IF(O707="Acima de 10.000 titulares por mês","volume crítico de titulares; ","") &amp; IF(O707="De 1.001 a 10.000 titulares por mês","volume moderado de titulares; ","") &amp; IF(AA707="SIM","compartilhamento com terceiros; ","") &amp; IF(R707="SIM","compartilhamento com órgãos governamentais; ","") &amp; IF(AJ707="NÃO","ausência de controle de acesso por perfil; ","")),"DPIA não indicado: Processo de baixa criticidade."))</f>
      </c>
    </row>
    <row x14ac:dyDescent="0.25" r="708" customHeight="1" ht="15.75">
      <c r="A708" s="46"/>
      <c r="B708" s="6"/>
      <c r="C708" s="11"/>
      <c r="D708" s="11"/>
      <c r="E708" s="11"/>
      <c r="F708" s="29"/>
      <c r="G708" s="11"/>
      <c r="H708" s="11"/>
      <c r="I708" s="29"/>
      <c r="J708" s="11"/>
      <c r="K708" s="29"/>
      <c r="L708" s="11"/>
      <c r="M708" s="11"/>
      <c r="N708" s="11"/>
      <c r="O708" s="29"/>
      <c r="P708" s="29"/>
      <c r="Q708" s="11"/>
      <c r="R708" s="29"/>
      <c r="S708" s="11"/>
      <c r="T708" s="6"/>
      <c r="U708" s="29"/>
      <c r="V708" s="11"/>
      <c r="W708" s="11"/>
      <c r="X708" s="29"/>
      <c r="Y708" s="11"/>
      <c r="Z708" s="29"/>
      <c r="AA708" s="29"/>
      <c r="AB708" s="11"/>
      <c r="AC708" s="11"/>
      <c r="AD708" s="29"/>
      <c r="AE708" s="11"/>
      <c r="AF708" s="29"/>
      <c r="AG708" s="11"/>
      <c r="AH708" s="29"/>
      <c r="AI708" s="11"/>
      <c r="AJ708" s="29"/>
      <c r="AK708" s="29"/>
      <c r="AL708" s="29"/>
      <c r="AM708" s="11"/>
      <c r="AN708" s="29"/>
      <c r="AO708" s="29"/>
      <c r="AP708" s="6"/>
      <c r="AQ708" s="113">
        <f>IF(AND(I708="",K708="",AF708="",AL708="",AN708="",O708=""),"",IF(OR(I708="SIM",K708="SIM",AF708="SIM",AL708="SIM",AN708="Dados pessoais",AN708="Dados sensíveis",AN708="Dados pessoais e sensíveis",O708="Acima de 10.000 titulares por mês"),"SIM - Alta criticidade",IF((IF(I708="SIM",2,0)+IF(K708="SIM",2,0)+IF(AF708="SIM",2,0)+IF(OR(AN708="Dados pessoais",AN708="Dados sensíveis",AN708="Dados pessoais e sensíveis"),2,0)+IF(O708="De 1.001 a 10.000 titulares por mês",1,0)+IF(AA708="SIM",1,0)+IF(R708="SIM",1,0)+IF(AL708="SIM",1,0)+IF(AJ708="NÃO",1,0))&gt;=5,"SIM - Alta criticidade",IF((IF(I708="SIM",2,0)+IF(K708="SIM",2,0)+IF(AF708="SIM",2,0)+IF(OR(AN708="Dados pessoais",AN708="Dados sensíveis",AN708="Dados pessoais e sensíveis"),2,0)+IF(O708="De 1.001 a 10.000 titulares por mês",1,0)+IF(AA708="SIM",1,0)+IF(R708="SIM",1,0)+IF(AL708="SIM",1,0)+IF(AJ708="NÃO",1,0))&gt;=3,"Avaliação necessária","NÃO"))))</f>
      </c>
      <c r="AR708" s="11"/>
      <c r="AS708" s="113">
        <f>IF(AND(I708="",K708="",AF708="",AL708="",AN708="",O708=""),"",IF(OR(I708="SIM",K708="SIM",AF708="SIM",AL708="SIM",OR(AN708="Dados pessoais",AN708="Dados sensíveis",AN708="Dados pessoais e sensíveis"),O708="Acima de 10.000 titulares por mês",(IF(I708="SIM",2,0)+IF(K708="SIM",2,0)+IF(AF708="SIM",2,0)+IF(OR(AN708="Dados pessoais",AN708="Dados sensíveis",AN708="Dados pessoais e sensíveis"),2,0)+IF(O708="De 1.001 a 10.000 titulares por mês",1,0)+IF(AA708="SIM",1,0)+IF(R708="SIM",1,0)+IF(AL708="SIM",1,0)+IF(AJ708="NÃO",1,0))&gt;=3),"DPIA indicado ou em avaliação em razão de: " &amp; TRIM(IF(I708="SIM","tratamento de dados sensíveis; ","") &amp; IF(K708="SIM","utilização de dados de menores; ","") &amp; IF(AF708="SIM","transferência internacional de dados; ","") &amp; IF(AL708="SIM","utilização de inteligência artificial; ","") &amp; IF(OR(AN708="Dados pessoais",AN708="Dados sensíveis",AN708="Dados pessoais e sensíveis"),"dados inseridos em IA; ","") &amp; IF(O708="Acima de 10.000 titulares por mês","volume crítico de titulares; ","") &amp; IF(O708="De 1.001 a 10.000 titulares por mês","volume moderado de titulares; ","") &amp; IF(AA708="SIM","compartilhamento com terceiros; ","") &amp; IF(R708="SIM","compartilhamento com órgãos governamentais; ","") &amp; IF(AJ708="NÃO","ausência de controle de acesso por perfil; ","")),"DPIA não indicado: Processo de baixa criticidade."))</f>
      </c>
    </row>
    <row x14ac:dyDescent="0.25" r="709" customHeight="1" ht="15.75">
      <c r="A709" s="46"/>
      <c r="B709" s="6"/>
      <c r="C709" s="11"/>
      <c r="D709" s="11"/>
      <c r="E709" s="11"/>
      <c r="F709" s="29"/>
      <c r="G709" s="11"/>
      <c r="H709" s="11"/>
      <c r="I709" s="29"/>
      <c r="J709" s="11"/>
      <c r="K709" s="29"/>
      <c r="L709" s="11"/>
      <c r="M709" s="11"/>
      <c r="N709" s="11"/>
      <c r="O709" s="29"/>
      <c r="P709" s="29"/>
      <c r="Q709" s="11"/>
      <c r="R709" s="29"/>
      <c r="S709" s="11"/>
      <c r="T709" s="6"/>
      <c r="U709" s="29"/>
      <c r="V709" s="11"/>
      <c r="W709" s="11"/>
      <c r="X709" s="29"/>
      <c r="Y709" s="11"/>
      <c r="Z709" s="29"/>
      <c r="AA709" s="29"/>
      <c r="AB709" s="11"/>
      <c r="AC709" s="11"/>
      <c r="AD709" s="29"/>
      <c r="AE709" s="11"/>
      <c r="AF709" s="29"/>
      <c r="AG709" s="11"/>
      <c r="AH709" s="29"/>
      <c r="AI709" s="11"/>
      <c r="AJ709" s="29"/>
      <c r="AK709" s="29"/>
      <c r="AL709" s="29"/>
      <c r="AM709" s="11"/>
      <c r="AN709" s="29"/>
      <c r="AO709" s="29"/>
      <c r="AP709" s="6"/>
      <c r="AQ709" s="113">
        <f>IF(AND(I709="",K709="",AF709="",AL709="",AN709="",O709=""),"",IF(OR(I709="SIM",K709="SIM",AF709="SIM",AL709="SIM",AN709="Dados pessoais",AN709="Dados sensíveis",AN709="Dados pessoais e sensíveis",O709="Acima de 10.000 titulares por mês"),"SIM - Alta criticidade",IF((IF(I709="SIM",2,0)+IF(K709="SIM",2,0)+IF(AF709="SIM",2,0)+IF(OR(AN709="Dados pessoais",AN709="Dados sensíveis",AN709="Dados pessoais e sensíveis"),2,0)+IF(O709="De 1.001 a 10.000 titulares por mês",1,0)+IF(AA709="SIM",1,0)+IF(R709="SIM",1,0)+IF(AL709="SIM",1,0)+IF(AJ709="NÃO",1,0))&gt;=5,"SIM - Alta criticidade",IF((IF(I709="SIM",2,0)+IF(K709="SIM",2,0)+IF(AF709="SIM",2,0)+IF(OR(AN709="Dados pessoais",AN709="Dados sensíveis",AN709="Dados pessoais e sensíveis"),2,0)+IF(O709="De 1.001 a 10.000 titulares por mês",1,0)+IF(AA709="SIM",1,0)+IF(R709="SIM",1,0)+IF(AL709="SIM",1,0)+IF(AJ709="NÃO",1,0))&gt;=3,"Avaliação necessária","NÃO"))))</f>
      </c>
      <c r="AR709" s="11"/>
      <c r="AS709" s="113">
        <f>IF(AND(I709="",K709="",AF709="",AL709="",AN709="",O709=""),"",IF(OR(I709="SIM",K709="SIM",AF709="SIM",AL709="SIM",OR(AN709="Dados pessoais",AN709="Dados sensíveis",AN709="Dados pessoais e sensíveis"),O709="Acima de 10.000 titulares por mês",(IF(I709="SIM",2,0)+IF(K709="SIM",2,0)+IF(AF709="SIM",2,0)+IF(OR(AN709="Dados pessoais",AN709="Dados sensíveis",AN709="Dados pessoais e sensíveis"),2,0)+IF(O709="De 1.001 a 10.000 titulares por mês",1,0)+IF(AA709="SIM",1,0)+IF(R709="SIM",1,0)+IF(AL709="SIM",1,0)+IF(AJ709="NÃO",1,0))&gt;=3),"DPIA indicado ou em avaliação em razão de: " &amp; TRIM(IF(I709="SIM","tratamento de dados sensíveis; ","") &amp; IF(K709="SIM","utilização de dados de menores; ","") &amp; IF(AF709="SIM","transferência internacional de dados; ","") &amp; IF(AL709="SIM","utilização de inteligência artificial; ","") &amp; IF(OR(AN709="Dados pessoais",AN709="Dados sensíveis",AN709="Dados pessoais e sensíveis"),"dados inseridos em IA; ","") &amp; IF(O709="Acima de 10.000 titulares por mês","volume crítico de titulares; ","") &amp; IF(O709="De 1.001 a 10.000 titulares por mês","volume moderado de titulares; ","") &amp; IF(AA709="SIM","compartilhamento com terceiros; ","") &amp; IF(R709="SIM","compartilhamento com órgãos governamentais; ","") &amp; IF(AJ709="NÃO","ausência de controle de acesso por perfil; ","")),"DPIA não indicado: Processo de baixa criticidade."))</f>
      </c>
    </row>
    <row x14ac:dyDescent="0.25" r="710" customHeight="1" ht="15.75">
      <c r="A710" s="46"/>
      <c r="B710" s="6"/>
      <c r="C710" s="11"/>
      <c r="D710" s="11"/>
      <c r="E710" s="11"/>
      <c r="F710" s="29"/>
      <c r="G710" s="11"/>
      <c r="H710" s="11"/>
      <c r="I710" s="29"/>
      <c r="J710" s="11"/>
      <c r="K710" s="29"/>
      <c r="L710" s="11"/>
      <c r="M710" s="11"/>
      <c r="N710" s="11"/>
      <c r="O710" s="29"/>
      <c r="P710" s="29"/>
      <c r="Q710" s="11"/>
      <c r="R710" s="29"/>
      <c r="S710" s="11"/>
      <c r="T710" s="6"/>
      <c r="U710" s="29"/>
      <c r="V710" s="11"/>
      <c r="W710" s="11"/>
      <c r="X710" s="29"/>
      <c r="Y710" s="11"/>
      <c r="Z710" s="29"/>
      <c r="AA710" s="29"/>
      <c r="AB710" s="11"/>
      <c r="AC710" s="11"/>
      <c r="AD710" s="29"/>
      <c r="AE710" s="11"/>
      <c r="AF710" s="29"/>
      <c r="AG710" s="11"/>
      <c r="AH710" s="29"/>
      <c r="AI710" s="11"/>
      <c r="AJ710" s="29"/>
      <c r="AK710" s="29"/>
      <c r="AL710" s="29"/>
      <c r="AM710" s="11"/>
      <c r="AN710" s="29"/>
      <c r="AO710" s="29"/>
      <c r="AP710" s="6"/>
      <c r="AQ710" s="113">
        <f>IF(AND(I710="",K710="",AF710="",AL710="",AN710="",O710=""),"",IF(OR(I710="SIM",K710="SIM",AF710="SIM",AL710="SIM",AN710="Dados pessoais",AN710="Dados sensíveis",AN710="Dados pessoais e sensíveis",O710="Acima de 10.000 titulares por mês"),"SIM - Alta criticidade",IF((IF(I710="SIM",2,0)+IF(K710="SIM",2,0)+IF(AF710="SIM",2,0)+IF(OR(AN710="Dados pessoais",AN710="Dados sensíveis",AN710="Dados pessoais e sensíveis"),2,0)+IF(O710="De 1.001 a 10.000 titulares por mês",1,0)+IF(AA710="SIM",1,0)+IF(R710="SIM",1,0)+IF(AL710="SIM",1,0)+IF(AJ710="NÃO",1,0))&gt;=5,"SIM - Alta criticidade",IF((IF(I710="SIM",2,0)+IF(K710="SIM",2,0)+IF(AF710="SIM",2,0)+IF(OR(AN710="Dados pessoais",AN710="Dados sensíveis",AN710="Dados pessoais e sensíveis"),2,0)+IF(O710="De 1.001 a 10.000 titulares por mês",1,0)+IF(AA710="SIM",1,0)+IF(R710="SIM",1,0)+IF(AL710="SIM",1,0)+IF(AJ710="NÃO",1,0))&gt;=3,"Avaliação necessária","NÃO"))))</f>
      </c>
      <c r="AR710" s="11"/>
      <c r="AS710" s="113">
        <f>IF(AND(I710="",K710="",AF710="",AL710="",AN710="",O710=""),"",IF(OR(I710="SIM",K710="SIM",AF710="SIM",AL710="SIM",OR(AN710="Dados pessoais",AN710="Dados sensíveis",AN710="Dados pessoais e sensíveis"),O710="Acima de 10.000 titulares por mês",(IF(I710="SIM",2,0)+IF(K710="SIM",2,0)+IF(AF710="SIM",2,0)+IF(OR(AN710="Dados pessoais",AN710="Dados sensíveis",AN710="Dados pessoais e sensíveis"),2,0)+IF(O710="De 1.001 a 10.000 titulares por mês",1,0)+IF(AA710="SIM",1,0)+IF(R710="SIM",1,0)+IF(AL710="SIM",1,0)+IF(AJ710="NÃO",1,0))&gt;=3),"DPIA indicado ou em avaliação em razão de: " &amp; TRIM(IF(I710="SIM","tratamento de dados sensíveis; ","") &amp; IF(K710="SIM","utilização de dados de menores; ","") &amp; IF(AF710="SIM","transferência internacional de dados; ","") &amp; IF(AL710="SIM","utilização de inteligência artificial; ","") &amp; IF(OR(AN710="Dados pessoais",AN710="Dados sensíveis",AN710="Dados pessoais e sensíveis"),"dados inseridos em IA; ","") &amp; IF(O710="Acima de 10.000 titulares por mês","volume crítico de titulares; ","") &amp; IF(O710="De 1.001 a 10.000 titulares por mês","volume moderado de titulares; ","") &amp; IF(AA710="SIM","compartilhamento com terceiros; ","") &amp; IF(R710="SIM","compartilhamento com órgãos governamentais; ","") &amp; IF(AJ710="NÃO","ausência de controle de acesso por perfil; ","")),"DPIA não indicado: Processo de baixa criticidade."))</f>
      </c>
    </row>
    <row x14ac:dyDescent="0.25" r="711" customHeight="1" ht="15.75">
      <c r="A711" s="46"/>
      <c r="B711" s="6"/>
      <c r="C711" s="11"/>
      <c r="D711" s="11"/>
      <c r="E711" s="11"/>
      <c r="F711" s="29"/>
      <c r="G711" s="11"/>
      <c r="H711" s="11"/>
      <c r="I711" s="29"/>
      <c r="J711" s="11"/>
      <c r="K711" s="29"/>
      <c r="L711" s="11"/>
      <c r="M711" s="11"/>
      <c r="N711" s="11"/>
      <c r="O711" s="29"/>
      <c r="P711" s="29"/>
      <c r="Q711" s="11"/>
      <c r="R711" s="29"/>
      <c r="S711" s="11"/>
      <c r="T711" s="6"/>
      <c r="U711" s="29"/>
      <c r="V711" s="11"/>
      <c r="W711" s="11"/>
      <c r="X711" s="29"/>
      <c r="Y711" s="11"/>
      <c r="Z711" s="29"/>
      <c r="AA711" s="29"/>
      <c r="AB711" s="11"/>
      <c r="AC711" s="11"/>
      <c r="AD711" s="29"/>
      <c r="AE711" s="11"/>
      <c r="AF711" s="29"/>
      <c r="AG711" s="11"/>
      <c r="AH711" s="29"/>
      <c r="AI711" s="11"/>
      <c r="AJ711" s="29"/>
      <c r="AK711" s="29"/>
      <c r="AL711" s="29"/>
      <c r="AM711" s="11"/>
      <c r="AN711" s="29"/>
      <c r="AO711" s="29"/>
      <c r="AP711" s="6"/>
      <c r="AQ711" s="113">
        <f>IF(AND(I711="",K711="",AF711="",AL711="",AN711="",O711=""),"",IF(OR(I711="SIM",K711="SIM",AF711="SIM",AL711="SIM",AN711="Dados pessoais",AN711="Dados sensíveis",AN711="Dados pessoais e sensíveis",O711="Acima de 10.000 titulares por mês"),"SIM - Alta criticidade",IF((IF(I711="SIM",2,0)+IF(K711="SIM",2,0)+IF(AF711="SIM",2,0)+IF(OR(AN711="Dados pessoais",AN711="Dados sensíveis",AN711="Dados pessoais e sensíveis"),2,0)+IF(O711="De 1.001 a 10.000 titulares por mês",1,0)+IF(AA711="SIM",1,0)+IF(R711="SIM",1,0)+IF(AL711="SIM",1,0)+IF(AJ711="NÃO",1,0))&gt;=5,"SIM - Alta criticidade",IF((IF(I711="SIM",2,0)+IF(K711="SIM",2,0)+IF(AF711="SIM",2,0)+IF(OR(AN711="Dados pessoais",AN711="Dados sensíveis",AN711="Dados pessoais e sensíveis"),2,0)+IF(O711="De 1.001 a 10.000 titulares por mês",1,0)+IF(AA711="SIM",1,0)+IF(R711="SIM",1,0)+IF(AL711="SIM",1,0)+IF(AJ711="NÃO",1,0))&gt;=3,"Avaliação necessária","NÃO"))))</f>
      </c>
      <c r="AR711" s="11"/>
      <c r="AS711" s="113">
        <f>IF(AND(I711="",K711="",AF711="",AL711="",AN711="",O711=""),"",IF(OR(I711="SIM",K711="SIM",AF711="SIM",AL711="SIM",OR(AN711="Dados pessoais",AN711="Dados sensíveis",AN711="Dados pessoais e sensíveis"),O711="Acima de 10.000 titulares por mês",(IF(I711="SIM",2,0)+IF(K711="SIM",2,0)+IF(AF711="SIM",2,0)+IF(OR(AN711="Dados pessoais",AN711="Dados sensíveis",AN711="Dados pessoais e sensíveis"),2,0)+IF(O711="De 1.001 a 10.000 titulares por mês",1,0)+IF(AA711="SIM",1,0)+IF(R711="SIM",1,0)+IF(AL711="SIM",1,0)+IF(AJ711="NÃO",1,0))&gt;=3),"DPIA indicado ou em avaliação em razão de: " &amp; TRIM(IF(I711="SIM","tratamento de dados sensíveis; ","") &amp; IF(K711="SIM","utilização de dados de menores; ","") &amp; IF(AF711="SIM","transferência internacional de dados; ","") &amp; IF(AL711="SIM","utilização de inteligência artificial; ","") &amp; IF(OR(AN711="Dados pessoais",AN711="Dados sensíveis",AN711="Dados pessoais e sensíveis"),"dados inseridos em IA; ","") &amp; IF(O711="Acima de 10.000 titulares por mês","volume crítico de titulares; ","") &amp; IF(O711="De 1.001 a 10.000 titulares por mês","volume moderado de titulares; ","") &amp; IF(AA711="SIM","compartilhamento com terceiros; ","") &amp; IF(R711="SIM","compartilhamento com órgãos governamentais; ","") &amp; IF(AJ711="NÃO","ausência de controle de acesso por perfil; ","")),"DPIA não indicado: Processo de baixa criticidade."))</f>
      </c>
    </row>
    <row x14ac:dyDescent="0.25" r="712" customHeight="1" ht="15.75">
      <c r="A712" s="46"/>
      <c r="B712" s="6"/>
      <c r="C712" s="11"/>
      <c r="D712" s="11"/>
      <c r="E712" s="11"/>
      <c r="F712" s="29"/>
      <c r="G712" s="11"/>
      <c r="H712" s="11"/>
      <c r="I712" s="29"/>
      <c r="J712" s="11"/>
      <c r="K712" s="29"/>
      <c r="L712" s="11"/>
      <c r="M712" s="11"/>
      <c r="N712" s="11"/>
      <c r="O712" s="29"/>
      <c r="P712" s="29"/>
      <c r="Q712" s="11"/>
      <c r="R712" s="29"/>
      <c r="S712" s="11"/>
      <c r="T712" s="6"/>
      <c r="U712" s="29"/>
      <c r="V712" s="11"/>
      <c r="W712" s="11"/>
      <c r="X712" s="29"/>
      <c r="Y712" s="11"/>
      <c r="Z712" s="29"/>
      <c r="AA712" s="29"/>
      <c r="AB712" s="11"/>
      <c r="AC712" s="11"/>
      <c r="AD712" s="29"/>
      <c r="AE712" s="11"/>
      <c r="AF712" s="29"/>
      <c r="AG712" s="11"/>
      <c r="AH712" s="29"/>
      <c r="AI712" s="11"/>
      <c r="AJ712" s="29"/>
      <c r="AK712" s="29"/>
      <c r="AL712" s="29"/>
      <c r="AM712" s="11"/>
      <c r="AN712" s="29"/>
      <c r="AO712" s="29"/>
      <c r="AP712" s="6"/>
      <c r="AQ712" s="113">
        <f>IF(AND(I712="",K712="",AF712="",AL712="",AN712="",O712=""),"",IF(OR(I712="SIM",K712="SIM",AF712="SIM",AL712="SIM",AN712="Dados pessoais",AN712="Dados sensíveis",AN712="Dados pessoais e sensíveis",O712="Acima de 10.000 titulares por mês"),"SIM - Alta criticidade",IF((IF(I712="SIM",2,0)+IF(K712="SIM",2,0)+IF(AF712="SIM",2,0)+IF(OR(AN712="Dados pessoais",AN712="Dados sensíveis",AN712="Dados pessoais e sensíveis"),2,0)+IF(O712="De 1.001 a 10.000 titulares por mês",1,0)+IF(AA712="SIM",1,0)+IF(R712="SIM",1,0)+IF(AL712="SIM",1,0)+IF(AJ712="NÃO",1,0))&gt;=5,"SIM - Alta criticidade",IF((IF(I712="SIM",2,0)+IF(K712="SIM",2,0)+IF(AF712="SIM",2,0)+IF(OR(AN712="Dados pessoais",AN712="Dados sensíveis",AN712="Dados pessoais e sensíveis"),2,0)+IF(O712="De 1.001 a 10.000 titulares por mês",1,0)+IF(AA712="SIM",1,0)+IF(R712="SIM",1,0)+IF(AL712="SIM",1,0)+IF(AJ712="NÃO",1,0))&gt;=3,"Avaliação necessária","NÃO"))))</f>
      </c>
      <c r="AR712" s="11"/>
      <c r="AS712" s="113">
        <f>IF(AND(I712="",K712="",AF712="",AL712="",AN712="",O712=""),"",IF(OR(I712="SIM",K712="SIM",AF712="SIM",AL712="SIM",OR(AN712="Dados pessoais",AN712="Dados sensíveis",AN712="Dados pessoais e sensíveis"),O712="Acima de 10.000 titulares por mês",(IF(I712="SIM",2,0)+IF(K712="SIM",2,0)+IF(AF712="SIM",2,0)+IF(OR(AN712="Dados pessoais",AN712="Dados sensíveis",AN712="Dados pessoais e sensíveis"),2,0)+IF(O712="De 1.001 a 10.000 titulares por mês",1,0)+IF(AA712="SIM",1,0)+IF(R712="SIM",1,0)+IF(AL712="SIM",1,0)+IF(AJ712="NÃO",1,0))&gt;=3),"DPIA indicado ou em avaliação em razão de: " &amp; TRIM(IF(I712="SIM","tratamento de dados sensíveis; ","") &amp; IF(K712="SIM","utilização de dados de menores; ","") &amp; IF(AF712="SIM","transferência internacional de dados; ","") &amp; IF(AL712="SIM","utilização de inteligência artificial; ","") &amp; IF(OR(AN712="Dados pessoais",AN712="Dados sensíveis",AN712="Dados pessoais e sensíveis"),"dados inseridos em IA; ","") &amp; IF(O712="Acima de 10.000 titulares por mês","volume crítico de titulares; ","") &amp; IF(O712="De 1.001 a 10.000 titulares por mês","volume moderado de titulares; ","") &amp; IF(AA712="SIM","compartilhamento com terceiros; ","") &amp; IF(R712="SIM","compartilhamento com órgãos governamentais; ","") &amp; IF(AJ712="NÃO","ausência de controle de acesso por perfil; ","")),"DPIA não indicado: Processo de baixa criticidade."))</f>
      </c>
    </row>
    <row x14ac:dyDescent="0.25" r="713" customHeight="1" ht="15.75">
      <c r="A713" s="46"/>
      <c r="B713" s="6"/>
      <c r="C713" s="11"/>
      <c r="D713" s="11"/>
      <c r="E713" s="11"/>
      <c r="F713" s="29"/>
      <c r="G713" s="11"/>
      <c r="H713" s="11"/>
      <c r="I713" s="29"/>
      <c r="J713" s="11"/>
      <c r="K713" s="29"/>
      <c r="L713" s="11"/>
      <c r="M713" s="11"/>
      <c r="N713" s="11"/>
      <c r="O713" s="29"/>
      <c r="P713" s="29"/>
      <c r="Q713" s="11"/>
      <c r="R713" s="29"/>
      <c r="S713" s="11"/>
      <c r="T713" s="6"/>
      <c r="U713" s="29"/>
      <c r="V713" s="11"/>
      <c r="W713" s="11"/>
      <c r="X713" s="29"/>
      <c r="Y713" s="11"/>
      <c r="Z713" s="29"/>
      <c r="AA713" s="29"/>
      <c r="AB713" s="11"/>
      <c r="AC713" s="11"/>
      <c r="AD713" s="29"/>
      <c r="AE713" s="11"/>
      <c r="AF713" s="29"/>
      <c r="AG713" s="11"/>
      <c r="AH713" s="29"/>
      <c r="AI713" s="11"/>
      <c r="AJ713" s="29"/>
      <c r="AK713" s="29"/>
      <c r="AL713" s="29"/>
      <c r="AM713" s="11"/>
      <c r="AN713" s="29"/>
      <c r="AO713" s="29"/>
      <c r="AP713" s="6"/>
      <c r="AQ713" s="113">
        <f>IF(AND(I713="",K713="",AF713="",AL713="",AN713="",O713=""),"",IF(OR(I713="SIM",K713="SIM",AF713="SIM",AL713="SIM",AN713="Dados pessoais",AN713="Dados sensíveis",AN713="Dados pessoais e sensíveis",O713="Acima de 10.000 titulares por mês"),"SIM - Alta criticidade",IF((IF(I713="SIM",2,0)+IF(K713="SIM",2,0)+IF(AF713="SIM",2,0)+IF(OR(AN713="Dados pessoais",AN713="Dados sensíveis",AN713="Dados pessoais e sensíveis"),2,0)+IF(O713="De 1.001 a 10.000 titulares por mês",1,0)+IF(AA713="SIM",1,0)+IF(R713="SIM",1,0)+IF(AL713="SIM",1,0)+IF(AJ713="NÃO",1,0))&gt;=5,"SIM - Alta criticidade",IF((IF(I713="SIM",2,0)+IF(K713="SIM",2,0)+IF(AF713="SIM",2,0)+IF(OR(AN713="Dados pessoais",AN713="Dados sensíveis",AN713="Dados pessoais e sensíveis"),2,0)+IF(O713="De 1.001 a 10.000 titulares por mês",1,0)+IF(AA713="SIM",1,0)+IF(R713="SIM",1,0)+IF(AL713="SIM",1,0)+IF(AJ713="NÃO",1,0))&gt;=3,"Avaliação necessária","NÃO"))))</f>
      </c>
      <c r="AR713" s="11"/>
      <c r="AS713" s="113">
        <f>IF(AND(I713="",K713="",AF713="",AL713="",AN713="",O713=""),"",IF(OR(I713="SIM",K713="SIM",AF713="SIM",AL713="SIM",OR(AN713="Dados pessoais",AN713="Dados sensíveis",AN713="Dados pessoais e sensíveis"),O713="Acima de 10.000 titulares por mês",(IF(I713="SIM",2,0)+IF(K713="SIM",2,0)+IF(AF713="SIM",2,0)+IF(OR(AN713="Dados pessoais",AN713="Dados sensíveis",AN713="Dados pessoais e sensíveis"),2,0)+IF(O713="De 1.001 a 10.000 titulares por mês",1,0)+IF(AA713="SIM",1,0)+IF(R713="SIM",1,0)+IF(AL713="SIM",1,0)+IF(AJ713="NÃO",1,0))&gt;=3),"DPIA indicado ou em avaliação em razão de: " &amp; TRIM(IF(I713="SIM","tratamento de dados sensíveis; ","") &amp; IF(K713="SIM","utilização de dados de menores; ","") &amp; IF(AF713="SIM","transferência internacional de dados; ","") &amp; IF(AL713="SIM","utilização de inteligência artificial; ","") &amp; IF(OR(AN713="Dados pessoais",AN713="Dados sensíveis",AN713="Dados pessoais e sensíveis"),"dados inseridos em IA; ","") &amp; IF(O713="Acima de 10.000 titulares por mês","volume crítico de titulares; ","") &amp; IF(O713="De 1.001 a 10.000 titulares por mês","volume moderado de titulares; ","") &amp; IF(AA713="SIM","compartilhamento com terceiros; ","") &amp; IF(R713="SIM","compartilhamento com órgãos governamentais; ","") &amp; IF(AJ713="NÃO","ausência de controle de acesso por perfil; ","")),"DPIA não indicado: Processo de baixa criticidade."))</f>
      </c>
    </row>
    <row x14ac:dyDescent="0.25" r="714" customHeight="1" ht="15.75">
      <c r="A714" s="46"/>
      <c r="B714" s="6"/>
      <c r="C714" s="11"/>
      <c r="D714" s="11"/>
      <c r="E714" s="11"/>
      <c r="F714" s="29"/>
      <c r="G714" s="11"/>
      <c r="H714" s="11"/>
      <c r="I714" s="29"/>
      <c r="J714" s="11"/>
      <c r="K714" s="29"/>
      <c r="L714" s="11"/>
      <c r="M714" s="11"/>
      <c r="N714" s="11"/>
      <c r="O714" s="29"/>
      <c r="P714" s="29"/>
      <c r="Q714" s="11"/>
      <c r="R714" s="29"/>
      <c r="S714" s="11"/>
      <c r="T714" s="6"/>
      <c r="U714" s="29"/>
      <c r="V714" s="11"/>
      <c r="W714" s="11"/>
      <c r="X714" s="29"/>
      <c r="Y714" s="11"/>
      <c r="Z714" s="29"/>
      <c r="AA714" s="29"/>
      <c r="AB714" s="11"/>
      <c r="AC714" s="11"/>
      <c r="AD714" s="29"/>
      <c r="AE714" s="11"/>
      <c r="AF714" s="29"/>
      <c r="AG714" s="11"/>
      <c r="AH714" s="29"/>
      <c r="AI714" s="11"/>
      <c r="AJ714" s="29"/>
      <c r="AK714" s="29"/>
      <c r="AL714" s="29"/>
      <c r="AM714" s="11"/>
      <c r="AN714" s="29"/>
      <c r="AO714" s="29"/>
      <c r="AP714" s="6"/>
      <c r="AQ714" s="113">
        <f>IF(AND(I714="",K714="",AF714="",AL714="",AN714="",O714=""),"",IF(OR(I714="SIM",K714="SIM",AF714="SIM",AL714="SIM",AN714="Dados pessoais",AN714="Dados sensíveis",AN714="Dados pessoais e sensíveis",O714="Acima de 10.000 titulares por mês"),"SIM - Alta criticidade",IF((IF(I714="SIM",2,0)+IF(K714="SIM",2,0)+IF(AF714="SIM",2,0)+IF(OR(AN714="Dados pessoais",AN714="Dados sensíveis",AN714="Dados pessoais e sensíveis"),2,0)+IF(O714="De 1.001 a 10.000 titulares por mês",1,0)+IF(AA714="SIM",1,0)+IF(R714="SIM",1,0)+IF(AL714="SIM",1,0)+IF(AJ714="NÃO",1,0))&gt;=5,"SIM - Alta criticidade",IF((IF(I714="SIM",2,0)+IF(K714="SIM",2,0)+IF(AF714="SIM",2,0)+IF(OR(AN714="Dados pessoais",AN714="Dados sensíveis",AN714="Dados pessoais e sensíveis"),2,0)+IF(O714="De 1.001 a 10.000 titulares por mês",1,0)+IF(AA714="SIM",1,0)+IF(R714="SIM",1,0)+IF(AL714="SIM",1,0)+IF(AJ714="NÃO",1,0))&gt;=3,"Avaliação necessária","NÃO"))))</f>
      </c>
      <c r="AR714" s="11"/>
      <c r="AS714" s="113">
        <f>IF(AND(I714="",K714="",AF714="",AL714="",AN714="",O714=""),"",IF(OR(I714="SIM",K714="SIM",AF714="SIM",AL714="SIM",OR(AN714="Dados pessoais",AN714="Dados sensíveis",AN714="Dados pessoais e sensíveis"),O714="Acima de 10.000 titulares por mês",(IF(I714="SIM",2,0)+IF(K714="SIM",2,0)+IF(AF714="SIM",2,0)+IF(OR(AN714="Dados pessoais",AN714="Dados sensíveis",AN714="Dados pessoais e sensíveis"),2,0)+IF(O714="De 1.001 a 10.000 titulares por mês",1,0)+IF(AA714="SIM",1,0)+IF(R714="SIM",1,0)+IF(AL714="SIM",1,0)+IF(AJ714="NÃO",1,0))&gt;=3),"DPIA indicado ou em avaliação em razão de: " &amp; TRIM(IF(I714="SIM","tratamento de dados sensíveis; ","") &amp; IF(K714="SIM","utilização de dados de menores; ","") &amp; IF(AF714="SIM","transferência internacional de dados; ","") &amp; IF(AL714="SIM","utilização de inteligência artificial; ","") &amp; IF(OR(AN714="Dados pessoais",AN714="Dados sensíveis",AN714="Dados pessoais e sensíveis"),"dados inseridos em IA; ","") &amp; IF(O714="Acima de 10.000 titulares por mês","volume crítico de titulares; ","") &amp; IF(O714="De 1.001 a 10.000 titulares por mês","volume moderado de titulares; ","") &amp; IF(AA714="SIM","compartilhamento com terceiros; ","") &amp; IF(R714="SIM","compartilhamento com órgãos governamentais; ","") &amp; IF(AJ714="NÃO","ausência de controle de acesso por perfil; ","")),"DPIA não indicado: Processo de baixa criticidade."))</f>
      </c>
    </row>
    <row x14ac:dyDescent="0.25" r="715" customHeight="1" ht="15.75">
      <c r="A715" s="46"/>
      <c r="B715" s="6"/>
      <c r="C715" s="11"/>
      <c r="D715" s="11"/>
      <c r="E715" s="11"/>
      <c r="F715" s="29"/>
      <c r="G715" s="11"/>
      <c r="H715" s="11"/>
      <c r="I715" s="29"/>
      <c r="J715" s="11"/>
      <c r="K715" s="29"/>
      <c r="L715" s="11"/>
      <c r="M715" s="11"/>
      <c r="N715" s="11"/>
      <c r="O715" s="29"/>
      <c r="P715" s="29"/>
      <c r="Q715" s="11"/>
      <c r="R715" s="29"/>
      <c r="S715" s="11"/>
      <c r="T715" s="6"/>
      <c r="U715" s="29"/>
      <c r="V715" s="11"/>
      <c r="W715" s="11"/>
      <c r="X715" s="29"/>
      <c r="Y715" s="11"/>
      <c r="Z715" s="29"/>
      <c r="AA715" s="29"/>
      <c r="AB715" s="11"/>
      <c r="AC715" s="11"/>
      <c r="AD715" s="29"/>
      <c r="AE715" s="11"/>
      <c r="AF715" s="29"/>
      <c r="AG715" s="11"/>
      <c r="AH715" s="29"/>
      <c r="AI715" s="11"/>
      <c r="AJ715" s="29"/>
      <c r="AK715" s="29"/>
      <c r="AL715" s="29"/>
      <c r="AM715" s="11"/>
      <c r="AN715" s="29"/>
      <c r="AO715" s="29"/>
      <c r="AP715" s="6"/>
      <c r="AQ715" s="113">
        <f>IF(AND(I715="",K715="",AF715="",AL715="",AN715="",O715=""),"",IF(OR(I715="SIM",K715="SIM",AF715="SIM",AL715="SIM",AN715="Dados pessoais",AN715="Dados sensíveis",AN715="Dados pessoais e sensíveis",O715="Acima de 10.000 titulares por mês"),"SIM - Alta criticidade",IF((IF(I715="SIM",2,0)+IF(K715="SIM",2,0)+IF(AF715="SIM",2,0)+IF(OR(AN715="Dados pessoais",AN715="Dados sensíveis",AN715="Dados pessoais e sensíveis"),2,0)+IF(O715="De 1.001 a 10.000 titulares por mês",1,0)+IF(AA715="SIM",1,0)+IF(R715="SIM",1,0)+IF(AL715="SIM",1,0)+IF(AJ715="NÃO",1,0))&gt;=5,"SIM - Alta criticidade",IF((IF(I715="SIM",2,0)+IF(K715="SIM",2,0)+IF(AF715="SIM",2,0)+IF(OR(AN715="Dados pessoais",AN715="Dados sensíveis",AN715="Dados pessoais e sensíveis"),2,0)+IF(O715="De 1.001 a 10.000 titulares por mês",1,0)+IF(AA715="SIM",1,0)+IF(R715="SIM",1,0)+IF(AL715="SIM",1,0)+IF(AJ715="NÃO",1,0))&gt;=3,"Avaliação necessária","NÃO"))))</f>
      </c>
      <c r="AR715" s="11"/>
      <c r="AS715" s="113">
        <f>IF(AND(I715="",K715="",AF715="",AL715="",AN715="",O715=""),"",IF(OR(I715="SIM",K715="SIM",AF715="SIM",AL715="SIM",OR(AN715="Dados pessoais",AN715="Dados sensíveis",AN715="Dados pessoais e sensíveis"),O715="Acima de 10.000 titulares por mês",(IF(I715="SIM",2,0)+IF(K715="SIM",2,0)+IF(AF715="SIM",2,0)+IF(OR(AN715="Dados pessoais",AN715="Dados sensíveis",AN715="Dados pessoais e sensíveis"),2,0)+IF(O715="De 1.001 a 10.000 titulares por mês",1,0)+IF(AA715="SIM",1,0)+IF(R715="SIM",1,0)+IF(AL715="SIM",1,0)+IF(AJ715="NÃO",1,0))&gt;=3),"DPIA indicado ou em avaliação em razão de: " &amp; TRIM(IF(I715="SIM","tratamento de dados sensíveis; ","") &amp; IF(K715="SIM","utilização de dados de menores; ","") &amp; IF(AF715="SIM","transferência internacional de dados; ","") &amp; IF(AL715="SIM","utilização de inteligência artificial; ","") &amp; IF(OR(AN715="Dados pessoais",AN715="Dados sensíveis",AN715="Dados pessoais e sensíveis"),"dados inseridos em IA; ","") &amp; IF(O715="Acima de 10.000 titulares por mês","volume crítico de titulares; ","") &amp; IF(O715="De 1.001 a 10.000 titulares por mês","volume moderado de titulares; ","") &amp; IF(AA715="SIM","compartilhamento com terceiros; ","") &amp; IF(R715="SIM","compartilhamento com órgãos governamentais; ","") &amp; IF(AJ715="NÃO","ausência de controle de acesso por perfil; ","")),"DPIA não indicado: Processo de baixa criticidade."))</f>
      </c>
    </row>
    <row x14ac:dyDescent="0.25" r="716" customHeight="1" ht="15.75">
      <c r="A716" s="46"/>
      <c r="B716" s="6"/>
      <c r="C716" s="11"/>
      <c r="D716" s="11"/>
      <c r="E716" s="11"/>
      <c r="F716" s="29"/>
      <c r="G716" s="11"/>
      <c r="H716" s="11"/>
      <c r="I716" s="29"/>
      <c r="J716" s="11"/>
      <c r="K716" s="29"/>
      <c r="L716" s="11"/>
      <c r="M716" s="11"/>
      <c r="N716" s="11"/>
      <c r="O716" s="29"/>
      <c r="P716" s="29"/>
      <c r="Q716" s="11"/>
      <c r="R716" s="29"/>
      <c r="S716" s="11"/>
      <c r="T716" s="6"/>
      <c r="U716" s="29"/>
      <c r="V716" s="11"/>
      <c r="W716" s="11"/>
      <c r="X716" s="29"/>
      <c r="Y716" s="11"/>
      <c r="Z716" s="29"/>
      <c r="AA716" s="29"/>
      <c r="AB716" s="11"/>
      <c r="AC716" s="11"/>
      <c r="AD716" s="29"/>
      <c r="AE716" s="11"/>
      <c r="AF716" s="29"/>
      <c r="AG716" s="11"/>
      <c r="AH716" s="29"/>
      <c r="AI716" s="11"/>
      <c r="AJ716" s="29"/>
      <c r="AK716" s="29"/>
      <c r="AL716" s="29"/>
      <c r="AM716" s="11"/>
      <c r="AN716" s="29"/>
      <c r="AO716" s="29"/>
      <c r="AP716" s="6"/>
      <c r="AQ716" s="113">
        <f>IF(AND(I716="",K716="",AF716="",AL716="",AN716="",O716=""),"",IF(OR(I716="SIM",K716="SIM",AF716="SIM",AL716="SIM",AN716="Dados pessoais",AN716="Dados sensíveis",AN716="Dados pessoais e sensíveis",O716="Acima de 10.000 titulares por mês"),"SIM - Alta criticidade",IF((IF(I716="SIM",2,0)+IF(K716="SIM",2,0)+IF(AF716="SIM",2,0)+IF(OR(AN716="Dados pessoais",AN716="Dados sensíveis",AN716="Dados pessoais e sensíveis"),2,0)+IF(O716="De 1.001 a 10.000 titulares por mês",1,0)+IF(AA716="SIM",1,0)+IF(R716="SIM",1,0)+IF(AL716="SIM",1,0)+IF(AJ716="NÃO",1,0))&gt;=5,"SIM - Alta criticidade",IF((IF(I716="SIM",2,0)+IF(K716="SIM",2,0)+IF(AF716="SIM",2,0)+IF(OR(AN716="Dados pessoais",AN716="Dados sensíveis",AN716="Dados pessoais e sensíveis"),2,0)+IF(O716="De 1.001 a 10.000 titulares por mês",1,0)+IF(AA716="SIM",1,0)+IF(R716="SIM",1,0)+IF(AL716="SIM",1,0)+IF(AJ716="NÃO",1,0))&gt;=3,"Avaliação necessária","NÃO"))))</f>
      </c>
      <c r="AR716" s="11"/>
      <c r="AS716" s="113">
        <f>IF(AND(I716="",K716="",AF716="",AL716="",AN716="",O716=""),"",IF(OR(I716="SIM",K716="SIM",AF716="SIM",AL716="SIM",OR(AN716="Dados pessoais",AN716="Dados sensíveis",AN716="Dados pessoais e sensíveis"),O716="Acima de 10.000 titulares por mês",(IF(I716="SIM",2,0)+IF(K716="SIM",2,0)+IF(AF716="SIM",2,0)+IF(OR(AN716="Dados pessoais",AN716="Dados sensíveis",AN716="Dados pessoais e sensíveis"),2,0)+IF(O716="De 1.001 a 10.000 titulares por mês",1,0)+IF(AA716="SIM",1,0)+IF(R716="SIM",1,0)+IF(AL716="SIM",1,0)+IF(AJ716="NÃO",1,0))&gt;=3),"DPIA indicado ou em avaliação em razão de: " &amp; TRIM(IF(I716="SIM","tratamento de dados sensíveis; ","") &amp; IF(K716="SIM","utilização de dados de menores; ","") &amp; IF(AF716="SIM","transferência internacional de dados; ","") &amp; IF(AL716="SIM","utilização de inteligência artificial; ","") &amp; IF(OR(AN716="Dados pessoais",AN716="Dados sensíveis",AN716="Dados pessoais e sensíveis"),"dados inseridos em IA; ","") &amp; IF(O716="Acima de 10.000 titulares por mês","volume crítico de titulares; ","") &amp; IF(O716="De 1.001 a 10.000 titulares por mês","volume moderado de titulares; ","") &amp; IF(AA716="SIM","compartilhamento com terceiros; ","") &amp; IF(R716="SIM","compartilhamento com órgãos governamentais; ","") &amp; IF(AJ716="NÃO","ausência de controle de acesso por perfil; ","")),"DPIA não indicado: Processo de baixa criticidade."))</f>
      </c>
    </row>
    <row x14ac:dyDescent="0.25" r="717" customHeight="1" ht="15.75">
      <c r="A717" s="46"/>
      <c r="B717" s="6"/>
      <c r="C717" s="11"/>
      <c r="D717" s="11"/>
      <c r="E717" s="11"/>
      <c r="F717" s="29"/>
      <c r="G717" s="11"/>
      <c r="H717" s="11"/>
      <c r="I717" s="29"/>
      <c r="J717" s="11"/>
      <c r="K717" s="29"/>
      <c r="L717" s="11"/>
      <c r="M717" s="11"/>
      <c r="N717" s="11"/>
      <c r="O717" s="29"/>
      <c r="P717" s="29"/>
      <c r="Q717" s="11"/>
      <c r="R717" s="29"/>
      <c r="S717" s="11"/>
      <c r="T717" s="6"/>
      <c r="U717" s="29"/>
      <c r="V717" s="11"/>
      <c r="W717" s="11"/>
      <c r="X717" s="29"/>
      <c r="Y717" s="11"/>
      <c r="Z717" s="29"/>
      <c r="AA717" s="29"/>
      <c r="AB717" s="11"/>
      <c r="AC717" s="11"/>
      <c r="AD717" s="29"/>
      <c r="AE717" s="11"/>
      <c r="AF717" s="29"/>
      <c r="AG717" s="11"/>
      <c r="AH717" s="29"/>
      <c r="AI717" s="11"/>
      <c r="AJ717" s="29"/>
      <c r="AK717" s="29"/>
      <c r="AL717" s="29"/>
      <c r="AM717" s="11"/>
      <c r="AN717" s="29"/>
      <c r="AO717" s="29"/>
      <c r="AP717" s="6"/>
      <c r="AQ717" s="113">
        <f>IF(AND(I717="",K717="",AF717="",AL717="",AN717="",O717=""),"",IF(OR(I717="SIM",K717="SIM",AF717="SIM",AL717="SIM",AN717="Dados pessoais",AN717="Dados sensíveis",AN717="Dados pessoais e sensíveis",O717="Acima de 10.000 titulares por mês"),"SIM - Alta criticidade",IF((IF(I717="SIM",2,0)+IF(K717="SIM",2,0)+IF(AF717="SIM",2,0)+IF(OR(AN717="Dados pessoais",AN717="Dados sensíveis",AN717="Dados pessoais e sensíveis"),2,0)+IF(O717="De 1.001 a 10.000 titulares por mês",1,0)+IF(AA717="SIM",1,0)+IF(R717="SIM",1,0)+IF(AL717="SIM",1,0)+IF(AJ717="NÃO",1,0))&gt;=5,"SIM - Alta criticidade",IF((IF(I717="SIM",2,0)+IF(K717="SIM",2,0)+IF(AF717="SIM",2,0)+IF(OR(AN717="Dados pessoais",AN717="Dados sensíveis",AN717="Dados pessoais e sensíveis"),2,0)+IF(O717="De 1.001 a 10.000 titulares por mês",1,0)+IF(AA717="SIM",1,0)+IF(R717="SIM",1,0)+IF(AL717="SIM",1,0)+IF(AJ717="NÃO",1,0))&gt;=3,"Avaliação necessária","NÃO"))))</f>
      </c>
      <c r="AR717" s="11"/>
      <c r="AS717" s="113">
        <f>IF(AND(I717="",K717="",AF717="",AL717="",AN717="",O717=""),"",IF(OR(I717="SIM",K717="SIM",AF717="SIM",AL717="SIM",OR(AN717="Dados pessoais",AN717="Dados sensíveis",AN717="Dados pessoais e sensíveis"),O717="Acima de 10.000 titulares por mês",(IF(I717="SIM",2,0)+IF(K717="SIM",2,0)+IF(AF717="SIM",2,0)+IF(OR(AN717="Dados pessoais",AN717="Dados sensíveis",AN717="Dados pessoais e sensíveis"),2,0)+IF(O717="De 1.001 a 10.000 titulares por mês",1,0)+IF(AA717="SIM",1,0)+IF(R717="SIM",1,0)+IF(AL717="SIM",1,0)+IF(AJ717="NÃO",1,0))&gt;=3),"DPIA indicado ou em avaliação em razão de: " &amp; TRIM(IF(I717="SIM","tratamento de dados sensíveis; ","") &amp; IF(K717="SIM","utilização de dados de menores; ","") &amp; IF(AF717="SIM","transferência internacional de dados; ","") &amp; IF(AL717="SIM","utilização de inteligência artificial; ","") &amp; IF(OR(AN717="Dados pessoais",AN717="Dados sensíveis",AN717="Dados pessoais e sensíveis"),"dados inseridos em IA; ","") &amp; IF(O717="Acima de 10.000 titulares por mês","volume crítico de titulares; ","") &amp; IF(O717="De 1.001 a 10.000 titulares por mês","volume moderado de titulares; ","") &amp; IF(AA717="SIM","compartilhamento com terceiros; ","") &amp; IF(R717="SIM","compartilhamento com órgãos governamentais; ","") &amp; IF(AJ717="NÃO","ausência de controle de acesso por perfil; ","")),"DPIA não indicado: Processo de baixa criticidade."))</f>
      </c>
    </row>
    <row x14ac:dyDescent="0.25" r="718" customHeight="1" ht="15.75">
      <c r="A718" s="46"/>
      <c r="B718" s="6"/>
      <c r="C718" s="11"/>
      <c r="D718" s="11"/>
      <c r="E718" s="11"/>
      <c r="F718" s="29"/>
      <c r="G718" s="11"/>
      <c r="H718" s="11"/>
      <c r="I718" s="29"/>
      <c r="J718" s="11"/>
      <c r="K718" s="29"/>
      <c r="L718" s="11"/>
      <c r="M718" s="11"/>
      <c r="N718" s="11"/>
      <c r="O718" s="29"/>
      <c r="P718" s="29"/>
      <c r="Q718" s="11"/>
      <c r="R718" s="29"/>
      <c r="S718" s="11"/>
      <c r="T718" s="6"/>
      <c r="U718" s="29"/>
      <c r="V718" s="11"/>
      <c r="W718" s="11"/>
      <c r="X718" s="29"/>
      <c r="Y718" s="11"/>
      <c r="Z718" s="29"/>
      <c r="AA718" s="29"/>
      <c r="AB718" s="11"/>
      <c r="AC718" s="11"/>
      <c r="AD718" s="29"/>
      <c r="AE718" s="11"/>
      <c r="AF718" s="29"/>
      <c r="AG718" s="11"/>
      <c r="AH718" s="29"/>
      <c r="AI718" s="11"/>
      <c r="AJ718" s="29"/>
      <c r="AK718" s="29"/>
      <c r="AL718" s="29"/>
      <c r="AM718" s="11"/>
      <c r="AN718" s="29"/>
      <c r="AO718" s="29"/>
      <c r="AP718" s="6"/>
      <c r="AQ718" s="113">
        <f>IF(AND(I718="",K718="",AF718="",AL718="",AN718="",O718=""),"",IF(OR(I718="SIM",K718="SIM",AF718="SIM",AL718="SIM",AN718="Dados pessoais",AN718="Dados sensíveis",AN718="Dados pessoais e sensíveis",O718="Acima de 10.000 titulares por mês"),"SIM - Alta criticidade",IF((IF(I718="SIM",2,0)+IF(K718="SIM",2,0)+IF(AF718="SIM",2,0)+IF(OR(AN718="Dados pessoais",AN718="Dados sensíveis",AN718="Dados pessoais e sensíveis"),2,0)+IF(O718="De 1.001 a 10.000 titulares por mês",1,0)+IF(AA718="SIM",1,0)+IF(R718="SIM",1,0)+IF(AL718="SIM",1,0)+IF(AJ718="NÃO",1,0))&gt;=5,"SIM - Alta criticidade",IF((IF(I718="SIM",2,0)+IF(K718="SIM",2,0)+IF(AF718="SIM",2,0)+IF(OR(AN718="Dados pessoais",AN718="Dados sensíveis",AN718="Dados pessoais e sensíveis"),2,0)+IF(O718="De 1.001 a 10.000 titulares por mês",1,0)+IF(AA718="SIM",1,0)+IF(R718="SIM",1,0)+IF(AL718="SIM",1,0)+IF(AJ718="NÃO",1,0))&gt;=3,"Avaliação necessária","NÃO"))))</f>
      </c>
      <c r="AR718" s="11"/>
      <c r="AS718" s="113">
        <f>IF(AND(I718="",K718="",AF718="",AL718="",AN718="",O718=""),"",IF(OR(I718="SIM",K718="SIM",AF718="SIM",AL718="SIM",OR(AN718="Dados pessoais",AN718="Dados sensíveis",AN718="Dados pessoais e sensíveis"),O718="Acima de 10.000 titulares por mês",(IF(I718="SIM",2,0)+IF(K718="SIM",2,0)+IF(AF718="SIM",2,0)+IF(OR(AN718="Dados pessoais",AN718="Dados sensíveis",AN718="Dados pessoais e sensíveis"),2,0)+IF(O718="De 1.001 a 10.000 titulares por mês",1,0)+IF(AA718="SIM",1,0)+IF(R718="SIM",1,0)+IF(AL718="SIM",1,0)+IF(AJ718="NÃO",1,0))&gt;=3),"DPIA indicado ou em avaliação em razão de: " &amp; TRIM(IF(I718="SIM","tratamento de dados sensíveis; ","") &amp; IF(K718="SIM","utilização de dados de menores; ","") &amp; IF(AF718="SIM","transferência internacional de dados; ","") &amp; IF(AL718="SIM","utilização de inteligência artificial; ","") &amp; IF(OR(AN718="Dados pessoais",AN718="Dados sensíveis",AN718="Dados pessoais e sensíveis"),"dados inseridos em IA; ","") &amp; IF(O718="Acima de 10.000 titulares por mês","volume crítico de titulares; ","") &amp; IF(O718="De 1.001 a 10.000 titulares por mês","volume moderado de titulares; ","") &amp; IF(AA718="SIM","compartilhamento com terceiros; ","") &amp; IF(R718="SIM","compartilhamento com órgãos governamentais; ","") &amp; IF(AJ718="NÃO","ausência de controle de acesso por perfil; ","")),"DPIA não indicado: Processo de baixa criticidade."))</f>
      </c>
    </row>
    <row x14ac:dyDescent="0.25" r="719" customHeight="1" ht="15.75">
      <c r="A719" s="46"/>
      <c r="B719" s="6"/>
      <c r="C719" s="11"/>
      <c r="D719" s="11"/>
      <c r="E719" s="11"/>
      <c r="F719" s="29"/>
      <c r="G719" s="11"/>
      <c r="H719" s="11"/>
      <c r="I719" s="29"/>
      <c r="J719" s="11"/>
      <c r="K719" s="29"/>
      <c r="L719" s="11"/>
      <c r="M719" s="11"/>
      <c r="N719" s="11"/>
      <c r="O719" s="29"/>
      <c r="P719" s="29"/>
      <c r="Q719" s="11"/>
      <c r="R719" s="29"/>
      <c r="S719" s="11"/>
      <c r="T719" s="6"/>
      <c r="U719" s="29"/>
      <c r="V719" s="11"/>
      <c r="W719" s="11"/>
      <c r="X719" s="29"/>
      <c r="Y719" s="11"/>
      <c r="Z719" s="29"/>
      <c r="AA719" s="29"/>
      <c r="AB719" s="11"/>
      <c r="AC719" s="11"/>
      <c r="AD719" s="29"/>
      <c r="AE719" s="11"/>
      <c r="AF719" s="29"/>
      <c r="AG719" s="11"/>
      <c r="AH719" s="29"/>
      <c r="AI719" s="11"/>
      <c r="AJ719" s="29"/>
      <c r="AK719" s="29"/>
      <c r="AL719" s="29"/>
      <c r="AM719" s="11"/>
      <c r="AN719" s="29"/>
      <c r="AO719" s="29"/>
      <c r="AP719" s="6"/>
      <c r="AQ719" s="113">
        <f>IF(AND(I719="",K719="",AF719="",AL719="",AN719="",O719=""),"",IF(OR(I719="SIM",K719="SIM",AF719="SIM",AL719="SIM",AN719="Dados pessoais",AN719="Dados sensíveis",AN719="Dados pessoais e sensíveis",O719="Acima de 10.000 titulares por mês"),"SIM - Alta criticidade",IF((IF(I719="SIM",2,0)+IF(K719="SIM",2,0)+IF(AF719="SIM",2,0)+IF(OR(AN719="Dados pessoais",AN719="Dados sensíveis",AN719="Dados pessoais e sensíveis"),2,0)+IF(O719="De 1.001 a 10.000 titulares por mês",1,0)+IF(AA719="SIM",1,0)+IF(R719="SIM",1,0)+IF(AL719="SIM",1,0)+IF(AJ719="NÃO",1,0))&gt;=5,"SIM - Alta criticidade",IF((IF(I719="SIM",2,0)+IF(K719="SIM",2,0)+IF(AF719="SIM",2,0)+IF(OR(AN719="Dados pessoais",AN719="Dados sensíveis",AN719="Dados pessoais e sensíveis"),2,0)+IF(O719="De 1.001 a 10.000 titulares por mês",1,0)+IF(AA719="SIM",1,0)+IF(R719="SIM",1,0)+IF(AL719="SIM",1,0)+IF(AJ719="NÃO",1,0))&gt;=3,"Avaliação necessária","NÃO"))))</f>
      </c>
      <c r="AR719" s="11"/>
      <c r="AS719" s="113">
        <f>IF(AND(I719="",K719="",AF719="",AL719="",AN719="",O719=""),"",IF(OR(I719="SIM",K719="SIM",AF719="SIM",AL719="SIM",OR(AN719="Dados pessoais",AN719="Dados sensíveis",AN719="Dados pessoais e sensíveis"),O719="Acima de 10.000 titulares por mês",(IF(I719="SIM",2,0)+IF(K719="SIM",2,0)+IF(AF719="SIM",2,0)+IF(OR(AN719="Dados pessoais",AN719="Dados sensíveis",AN719="Dados pessoais e sensíveis"),2,0)+IF(O719="De 1.001 a 10.000 titulares por mês",1,0)+IF(AA719="SIM",1,0)+IF(R719="SIM",1,0)+IF(AL719="SIM",1,0)+IF(AJ719="NÃO",1,0))&gt;=3),"DPIA indicado ou em avaliação em razão de: " &amp; TRIM(IF(I719="SIM","tratamento de dados sensíveis; ","") &amp; IF(K719="SIM","utilização de dados de menores; ","") &amp; IF(AF719="SIM","transferência internacional de dados; ","") &amp; IF(AL719="SIM","utilização de inteligência artificial; ","") &amp; IF(OR(AN719="Dados pessoais",AN719="Dados sensíveis",AN719="Dados pessoais e sensíveis"),"dados inseridos em IA; ","") &amp; IF(O719="Acima de 10.000 titulares por mês","volume crítico de titulares; ","") &amp; IF(O719="De 1.001 a 10.000 titulares por mês","volume moderado de titulares; ","") &amp; IF(AA719="SIM","compartilhamento com terceiros; ","") &amp; IF(R719="SIM","compartilhamento com órgãos governamentais; ","") &amp; IF(AJ719="NÃO","ausência de controle de acesso por perfil; ","")),"DPIA não indicado: Processo de baixa criticidade."))</f>
      </c>
    </row>
    <row x14ac:dyDescent="0.25" r="720" customHeight="1" ht="15.75">
      <c r="A720" s="46"/>
      <c r="B720" s="6"/>
      <c r="C720" s="11"/>
      <c r="D720" s="11"/>
      <c r="E720" s="11"/>
      <c r="F720" s="29"/>
      <c r="G720" s="11"/>
      <c r="H720" s="11"/>
      <c r="I720" s="29"/>
      <c r="J720" s="11"/>
      <c r="K720" s="29"/>
      <c r="L720" s="11"/>
      <c r="M720" s="11"/>
      <c r="N720" s="11"/>
      <c r="O720" s="29"/>
      <c r="P720" s="29"/>
      <c r="Q720" s="11"/>
      <c r="R720" s="29"/>
      <c r="S720" s="11"/>
      <c r="T720" s="6"/>
      <c r="U720" s="29"/>
      <c r="V720" s="11"/>
      <c r="W720" s="11"/>
      <c r="X720" s="29"/>
      <c r="Y720" s="11"/>
      <c r="Z720" s="29"/>
      <c r="AA720" s="29"/>
      <c r="AB720" s="11"/>
      <c r="AC720" s="11"/>
      <c r="AD720" s="29"/>
      <c r="AE720" s="11"/>
      <c r="AF720" s="29"/>
      <c r="AG720" s="11"/>
      <c r="AH720" s="29"/>
      <c r="AI720" s="11"/>
      <c r="AJ720" s="29"/>
      <c r="AK720" s="29"/>
      <c r="AL720" s="29"/>
      <c r="AM720" s="11"/>
      <c r="AN720" s="29"/>
      <c r="AO720" s="29"/>
      <c r="AP720" s="6"/>
      <c r="AQ720" s="113">
        <f>IF(AND(I720="",K720="",AF720="",AL720="",AN720="",O720=""),"",IF(OR(I720="SIM",K720="SIM",AF720="SIM",AL720="SIM",AN720="Dados pessoais",AN720="Dados sensíveis",AN720="Dados pessoais e sensíveis",O720="Acima de 10.000 titulares por mês"),"SIM - Alta criticidade",IF((IF(I720="SIM",2,0)+IF(K720="SIM",2,0)+IF(AF720="SIM",2,0)+IF(OR(AN720="Dados pessoais",AN720="Dados sensíveis",AN720="Dados pessoais e sensíveis"),2,0)+IF(O720="De 1.001 a 10.000 titulares por mês",1,0)+IF(AA720="SIM",1,0)+IF(R720="SIM",1,0)+IF(AL720="SIM",1,0)+IF(AJ720="NÃO",1,0))&gt;=5,"SIM - Alta criticidade",IF((IF(I720="SIM",2,0)+IF(K720="SIM",2,0)+IF(AF720="SIM",2,0)+IF(OR(AN720="Dados pessoais",AN720="Dados sensíveis",AN720="Dados pessoais e sensíveis"),2,0)+IF(O720="De 1.001 a 10.000 titulares por mês",1,0)+IF(AA720="SIM",1,0)+IF(R720="SIM",1,0)+IF(AL720="SIM",1,0)+IF(AJ720="NÃO",1,0))&gt;=3,"Avaliação necessária","NÃO"))))</f>
      </c>
      <c r="AR720" s="11"/>
      <c r="AS720" s="113">
        <f>IF(AND(I720="",K720="",AF720="",AL720="",AN720="",O720=""),"",IF(OR(I720="SIM",K720="SIM",AF720="SIM",AL720="SIM",OR(AN720="Dados pessoais",AN720="Dados sensíveis",AN720="Dados pessoais e sensíveis"),O720="Acima de 10.000 titulares por mês",(IF(I720="SIM",2,0)+IF(K720="SIM",2,0)+IF(AF720="SIM",2,0)+IF(OR(AN720="Dados pessoais",AN720="Dados sensíveis",AN720="Dados pessoais e sensíveis"),2,0)+IF(O720="De 1.001 a 10.000 titulares por mês",1,0)+IF(AA720="SIM",1,0)+IF(R720="SIM",1,0)+IF(AL720="SIM",1,0)+IF(AJ720="NÃO",1,0))&gt;=3),"DPIA indicado ou em avaliação em razão de: " &amp; TRIM(IF(I720="SIM","tratamento de dados sensíveis; ","") &amp; IF(K720="SIM","utilização de dados de menores; ","") &amp; IF(AF720="SIM","transferência internacional de dados; ","") &amp; IF(AL720="SIM","utilização de inteligência artificial; ","") &amp; IF(OR(AN720="Dados pessoais",AN720="Dados sensíveis",AN720="Dados pessoais e sensíveis"),"dados inseridos em IA; ","") &amp; IF(O720="Acima de 10.000 titulares por mês","volume crítico de titulares; ","") &amp; IF(O720="De 1.001 a 10.000 titulares por mês","volume moderado de titulares; ","") &amp; IF(AA720="SIM","compartilhamento com terceiros; ","") &amp; IF(R720="SIM","compartilhamento com órgãos governamentais; ","") &amp; IF(AJ720="NÃO","ausência de controle de acesso por perfil; ","")),"DPIA não indicado: Processo de baixa criticidade."))</f>
      </c>
    </row>
    <row x14ac:dyDescent="0.25" r="721" customHeight="1" ht="15.75">
      <c r="A721" s="46"/>
      <c r="B721" s="6"/>
      <c r="C721" s="11"/>
      <c r="D721" s="11"/>
      <c r="E721" s="11"/>
      <c r="F721" s="29"/>
      <c r="G721" s="11"/>
      <c r="H721" s="11"/>
      <c r="I721" s="29"/>
      <c r="J721" s="11"/>
      <c r="K721" s="29"/>
      <c r="L721" s="11"/>
      <c r="M721" s="11"/>
      <c r="N721" s="11"/>
      <c r="O721" s="29"/>
      <c r="P721" s="29"/>
      <c r="Q721" s="11"/>
      <c r="R721" s="29"/>
      <c r="S721" s="11"/>
      <c r="T721" s="6"/>
      <c r="U721" s="29"/>
      <c r="V721" s="11"/>
      <c r="W721" s="11"/>
      <c r="X721" s="29"/>
      <c r="Y721" s="11"/>
      <c r="Z721" s="29"/>
      <c r="AA721" s="29"/>
      <c r="AB721" s="11"/>
      <c r="AC721" s="11"/>
      <c r="AD721" s="29"/>
      <c r="AE721" s="11"/>
      <c r="AF721" s="29"/>
      <c r="AG721" s="11"/>
      <c r="AH721" s="29"/>
      <c r="AI721" s="11"/>
      <c r="AJ721" s="29"/>
      <c r="AK721" s="29"/>
      <c r="AL721" s="29"/>
      <c r="AM721" s="11"/>
      <c r="AN721" s="29"/>
      <c r="AO721" s="29"/>
      <c r="AP721" s="6"/>
      <c r="AQ721" s="113">
        <f>IF(AND(I721="",K721="",AF721="",AL721="",AN721="",O721=""),"",IF(OR(I721="SIM",K721="SIM",AF721="SIM",AL721="SIM",AN721="Dados pessoais",AN721="Dados sensíveis",AN721="Dados pessoais e sensíveis",O721="Acima de 10.000 titulares por mês"),"SIM - Alta criticidade",IF((IF(I721="SIM",2,0)+IF(K721="SIM",2,0)+IF(AF721="SIM",2,0)+IF(OR(AN721="Dados pessoais",AN721="Dados sensíveis",AN721="Dados pessoais e sensíveis"),2,0)+IF(O721="De 1.001 a 10.000 titulares por mês",1,0)+IF(AA721="SIM",1,0)+IF(R721="SIM",1,0)+IF(AL721="SIM",1,0)+IF(AJ721="NÃO",1,0))&gt;=5,"SIM - Alta criticidade",IF((IF(I721="SIM",2,0)+IF(K721="SIM",2,0)+IF(AF721="SIM",2,0)+IF(OR(AN721="Dados pessoais",AN721="Dados sensíveis",AN721="Dados pessoais e sensíveis"),2,0)+IF(O721="De 1.001 a 10.000 titulares por mês",1,0)+IF(AA721="SIM",1,0)+IF(R721="SIM",1,0)+IF(AL721="SIM",1,0)+IF(AJ721="NÃO",1,0))&gt;=3,"Avaliação necessária","NÃO"))))</f>
      </c>
      <c r="AR721" s="11"/>
      <c r="AS721" s="113">
        <f>IF(AND(I721="",K721="",AF721="",AL721="",AN721="",O721=""),"",IF(OR(I721="SIM",K721="SIM",AF721="SIM",AL721="SIM",OR(AN721="Dados pessoais",AN721="Dados sensíveis",AN721="Dados pessoais e sensíveis"),O721="Acima de 10.000 titulares por mês",(IF(I721="SIM",2,0)+IF(K721="SIM",2,0)+IF(AF721="SIM",2,0)+IF(OR(AN721="Dados pessoais",AN721="Dados sensíveis",AN721="Dados pessoais e sensíveis"),2,0)+IF(O721="De 1.001 a 10.000 titulares por mês",1,0)+IF(AA721="SIM",1,0)+IF(R721="SIM",1,0)+IF(AL721="SIM",1,0)+IF(AJ721="NÃO",1,0))&gt;=3),"DPIA indicado ou em avaliação em razão de: " &amp; TRIM(IF(I721="SIM","tratamento de dados sensíveis; ","") &amp; IF(K721="SIM","utilização de dados de menores; ","") &amp; IF(AF721="SIM","transferência internacional de dados; ","") &amp; IF(AL721="SIM","utilização de inteligência artificial; ","") &amp; IF(OR(AN721="Dados pessoais",AN721="Dados sensíveis",AN721="Dados pessoais e sensíveis"),"dados inseridos em IA; ","") &amp; IF(O721="Acima de 10.000 titulares por mês","volume crítico de titulares; ","") &amp; IF(O721="De 1.001 a 10.000 titulares por mês","volume moderado de titulares; ","") &amp; IF(AA721="SIM","compartilhamento com terceiros; ","") &amp; IF(R721="SIM","compartilhamento com órgãos governamentais; ","") &amp; IF(AJ721="NÃO","ausência de controle de acesso por perfil; ","")),"DPIA não indicado: Processo de baixa criticidade."))</f>
      </c>
    </row>
    <row x14ac:dyDescent="0.25" r="722" customHeight="1" ht="15.75">
      <c r="A722" s="46"/>
      <c r="B722" s="6"/>
      <c r="C722" s="11"/>
      <c r="D722" s="11"/>
      <c r="E722" s="11"/>
      <c r="F722" s="29"/>
      <c r="G722" s="11"/>
      <c r="H722" s="11"/>
      <c r="I722" s="29"/>
      <c r="J722" s="11"/>
      <c r="K722" s="29"/>
      <c r="L722" s="11"/>
      <c r="M722" s="11"/>
      <c r="N722" s="11"/>
      <c r="O722" s="29"/>
      <c r="P722" s="29"/>
      <c r="Q722" s="11"/>
      <c r="R722" s="29"/>
      <c r="S722" s="11"/>
      <c r="T722" s="6"/>
      <c r="U722" s="29"/>
      <c r="V722" s="11"/>
      <c r="W722" s="11"/>
      <c r="X722" s="29"/>
      <c r="Y722" s="11"/>
      <c r="Z722" s="29"/>
      <c r="AA722" s="29"/>
      <c r="AB722" s="11"/>
      <c r="AC722" s="11"/>
      <c r="AD722" s="29"/>
      <c r="AE722" s="11"/>
      <c r="AF722" s="29"/>
      <c r="AG722" s="11"/>
      <c r="AH722" s="29"/>
      <c r="AI722" s="11"/>
      <c r="AJ722" s="29"/>
      <c r="AK722" s="29"/>
      <c r="AL722" s="29"/>
      <c r="AM722" s="11"/>
      <c r="AN722" s="29"/>
      <c r="AO722" s="29"/>
      <c r="AP722" s="6"/>
      <c r="AQ722" s="113">
        <f>IF(AND(I722="",K722="",AF722="",AL722="",AN722="",O722=""),"",IF(OR(I722="SIM",K722="SIM",AF722="SIM",AL722="SIM",AN722="Dados pessoais",AN722="Dados sensíveis",AN722="Dados pessoais e sensíveis",O722="Acima de 10.000 titulares por mês"),"SIM - Alta criticidade",IF((IF(I722="SIM",2,0)+IF(K722="SIM",2,0)+IF(AF722="SIM",2,0)+IF(OR(AN722="Dados pessoais",AN722="Dados sensíveis",AN722="Dados pessoais e sensíveis"),2,0)+IF(O722="De 1.001 a 10.000 titulares por mês",1,0)+IF(AA722="SIM",1,0)+IF(R722="SIM",1,0)+IF(AL722="SIM",1,0)+IF(AJ722="NÃO",1,0))&gt;=5,"SIM - Alta criticidade",IF((IF(I722="SIM",2,0)+IF(K722="SIM",2,0)+IF(AF722="SIM",2,0)+IF(OR(AN722="Dados pessoais",AN722="Dados sensíveis",AN722="Dados pessoais e sensíveis"),2,0)+IF(O722="De 1.001 a 10.000 titulares por mês",1,0)+IF(AA722="SIM",1,0)+IF(R722="SIM",1,0)+IF(AL722="SIM",1,0)+IF(AJ722="NÃO",1,0))&gt;=3,"Avaliação necessária","NÃO"))))</f>
      </c>
      <c r="AR722" s="11"/>
      <c r="AS722" s="113">
        <f>IF(AND(I722="",K722="",AF722="",AL722="",AN722="",O722=""),"",IF(OR(I722="SIM",K722="SIM",AF722="SIM",AL722="SIM",OR(AN722="Dados pessoais",AN722="Dados sensíveis",AN722="Dados pessoais e sensíveis"),O722="Acima de 10.000 titulares por mês",(IF(I722="SIM",2,0)+IF(K722="SIM",2,0)+IF(AF722="SIM",2,0)+IF(OR(AN722="Dados pessoais",AN722="Dados sensíveis",AN722="Dados pessoais e sensíveis"),2,0)+IF(O722="De 1.001 a 10.000 titulares por mês",1,0)+IF(AA722="SIM",1,0)+IF(R722="SIM",1,0)+IF(AL722="SIM",1,0)+IF(AJ722="NÃO",1,0))&gt;=3),"DPIA indicado ou em avaliação em razão de: " &amp; TRIM(IF(I722="SIM","tratamento de dados sensíveis; ","") &amp; IF(K722="SIM","utilização de dados de menores; ","") &amp; IF(AF722="SIM","transferência internacional de dados; ","") &amp; IF(AL722="SIM","utilização de inteligência artificial; ","") &amp; IF(OR(AN722="Dados pessoais",AN722="Dados sensíveis",AN722="Dados pessoais e sensíveis"),"dados inseridos em IA; ","") &amp; IF(O722="Acima de 10.000 titulares por mês","volume crítico de titulares; ","") &amp; IF(O722="De 1.001 a 10.000 titulares por mês","volume moderado de titulares; ","") &amp; IF(AA722="SIM","compartilhamento com terceiros; ","") &amp; IF(R722="SIM","compartilhamento com órgãos governamentais; ","") &amp; IF(AJ722="NÃO","ausência de controle de acesso por perfil; ","")),"DPIA não indicado: Processo de baixa criticidade."))</f>
      </c>
    </row>
    <row x14ac:dyDescent="0.25" r="723" customHeight="1" ht="15.75">
      <c r="A723" s="46"/>
      <c r="B723" s="6"/>
      <c r="C723" s="11"/>
      <c r="D723" s="11"/>
      <c r="E723" s="11"/>
      <c r="F723" s="29"/>
      <c r="G723" s="11"/>
      <c r="H723" s="11"/>
      <c r="I723" s="29"/>
      <c r="J723" s="11"/>
      <c r="K723" s="29"/>
      <c r="L723" s="11"/>
      <c r="M723" s="11"/>
      <c r="N723" s="11"/>
      <c r="O723" s="29"/>
      <c r="P723" s="29"/>
      <c r="Q723" s="11"/>
      <c r="R723" s="29"/>
      <c r="S723" s="11"/>
      <c r="T723" s="6"/>
      <c r="U723" s="29"/>
      <c r="V723" s="11"/>
      <c r="W723" s="11"/>
      <c r="X723" s="29"/>
      <c r="Y723" s="11"/>
      <c r="Z723" s="29"/>
      <c r="AA723" s="29"/>
      <c r="AB723" s="11"/>
      <c r="AC723" s="11"/>
      <c r="AD723" s="29"/>
      <c r="AE723" s="11"/>
      <c r="AF723" s="29"/>
      <c r="AG723" s="11"/>
      <c r="AH723" s="29"/>
      <c r="AI723" s="11"/>
      <c r="AJ723" s="29"/>
      <c r="AK723" s="29"/>
      <c r="AL723" s="29"/>
      <c r="AM723" s="11"/>
      <c r="AN723" s="29"/>
      <c r="AO723" s="29"/>
      <c r="AP723" s="6"/>
      <c r="AQ723" s="113">
        <f>IF(AND(I723="",K723="",AF723="",AL723="",AN723="",O723=""),"",IF(OR(I723="SIM",K723="SIM",AF723="SIM",AL723="SIM",AN723="Dados pessoais",AN723="Dados sensíveis",AN723="Dados pessoais e sensíveis",O723="Acima de 10.000 titulares por mês"),"SIM - Alta criticidade",IF((IF(I723="SIM",2,0)+IF(K723="SIM",2,0)+IF(AF723="SIM",2,0)+IF(OR(AN723="Dados pessoais",AN723="Dados sensíveis",AN723="Dados pessoais e sensíveis"),2,0)+IF(O723="De 1.001 a 10.000 titulares por mês",1,0)+IF(AA723="SIM",1,0)+IF(R723="SIM",1,0)+IF(AL723="SIM",1,0)+IF(AJ723="NÃO",1,0))&gt;=5,"SIM - Alta criticidade",IF((IF(I723="SIM",2,0)+IF(K723="SIM",2,0)+IF(AF723="SIM",2,0)+IF(OR(AN723="Dados pessoais",AN723="Dados sensíveis",AN723="Dados pessoais e sensíveis"),2,0)+IF(O723="De 1.001 a 10.000 titulares por mês",1,0)+IF(AA723="SIM",1,0)+IF(R723="SIM",1,0)+IF(AL723="SIM",1,0)+IF(AJ723="NÃO",1,0))&gt;=3,"Avaliação necessária","NÃO"))))</f>
      </c>
      <c r="AR723" s="11"/>
      <c r="AS723" s="113">
        <f>IF(AND(I723="",K723="",AF723="",AL723="",AN723="",O723=""),"",IF(OR(I723="SIM",K723="SIM",AF723="SIM",AL723="SIM",OR(AN723="Dados pessoais",AN723="Dados sensíveis",AN723="Dados pessoais e sensíveis"),O723="Acima de 10.000 titulares por mês",(IF(I723="SIM",2,0)+IF(K723="SIM",2,0)+IF(AF723="SIM",2,0)+IF(OR(AN723="Dados pessoais",AN723="Dados sensíveis",AN723="Dados pessoais e sensíveis"),2,0)+IF(O723="De 1.001 a 10.000 titulares por mês",1,0)+IF(AA723="SIM",1,0)+IF(R723="SIM",1,0)+IF(AL723="SIM",1,0)+IF(AJ723="NÃO",1,0))&gt;=3),"DPIA indicado ou em avaliação em razão de: " &amp; TRIM(IF(I723="SIM","tratamento de dados sensíveis; ","") &amp; IF(K723="SIM","utilização de dados de menores; ","") &amp; IF(AF723="SIM","transferência internacional de dados; ","") &amp; IF(AL723="SIM","utilização de inteligência artificial; ","") &amp; IF(OR(AN723="Dados pessoais",AN723="Dados sensíveis",AN723="Dados pessoais e sensíveis"),"dados inseridos em IA; ","") &amp; IF(O723="Acima de 10.000 titulares por mês","volume crítico de titulares; ","") &amp; IF(O723="De 1.001 a 10.000 titulares por mês","volume moderado de titulares; ","") &amp; IF(AA723="SIM","compartilhamento com terceiros; ","") &amp; IF(R723="SIM","compartilhamento com órgãos governamentais; ","") &amp; IF(AJ723="NÃO","ausência de controle de acesso por perfil; ","")),"DPIA não indicado: Processo de baixa criticidade."))</f>
      </c>
    </row>
    <row x14ac:dyDescent="0.25" r="724" customHeight="1" ht="15.75">
      <c r="A724" s="46"/>
      <c r="B724" s="6"/>
      <c r="C724" s="11"/>
      <c r="D724" s="11"/>
      <c r="E724" s="11"/>
      <c r="F724" s="29"/>
      <c r="G724" s="11"/>
      <c r="H724" s="11"/>
      <c r="I724" s="29"/>
      <c r="J724" s="11"/>
      <c r="K724" s="29"/>
      <c r="L724" s="11"/>
      <c r="M724" s="11"/>
      <c r="N724" s="11"/>
      <c r="O724" s="29"/>
      <c r="P724" s="29"/>
      <c r="Q724" s="11"/>
      <c r="R724" s="29"/>
      <c r="S724" s="11"/>
      <c r="T724" s="6"/>
      <c r="U724" s="29"/>
      <c r="V724" s="11"/>
      <c r="W724" s="11"/>
      <c r="X724" s="29"/>
      <c r="Y724" s="11"/>
      <c r="Z724" s="29"/>
      <c r="AA724" s="29"/>
      <c r="AB724" s="11"/>
      <c r="AC724" s="11"/>
      <c r="AD724" s="29"/>
      <c r="AE724" s="11"/>
      <c r="AF724" s="29"/>
      <c r="AG724" s="11"/>
      <c r="AH724" s="29"/>
      <c r="AI724" s="11"/>
      <c r="AJ724" s="29"/>
      <c r="AK724" s="29"/>
      <c r="AL724" s="29"/>
      <c r="AM724" s="11"/>
      <c r="AN724" s="29"/>
      <c r="AO724" s="29"/>
      <c r="AP724" s="6"/>
      <c r="AQ724" s="113">
        <f>IF(AND(I724="",K724="",AF724="",AL724="",AN724="",O724=""),"",IF(OR(I724="SIM",K724="SIM",AF724="SIM",AL724="SIM",AN724="Dados pessoais",AN724="Dados sensíveis",AN724="Dados pessoais e sensíveis",O724="Acima de 10.000 titulares por mês"),"SIM - Alta criticidade",IF((IF(I724="SIM",2,0)+IF(K724="SIM",2,0)+IF(AF724="SIM",2,0)+IF(OR(AN724="Dados pessoais",AN724="Dados sensíveis",AN724="Dados pessoais e sensíveis"),2,0)+IF(O724="De 1.001 a 10.000 titulares por mês",1,0)+IF(AA724="SIM",1,0)+IF(R724="SIM",1,0)+IF(AL724="SIM",1,0)+IF(AJ724="NÃO",1,0))&gt;=5,"SIM - Alta criticidade",IF((IF(I724="SIM",2,0)+IF(K724="SIM",2,0)+IF(AF724="SIM",2,0)+IF(OR(AN724="Dados pessoais",AN724="Dados sensíveis",AN724="Dados pessoais e sensíveis"),2,0)+IF(O724="De 1.001 a 10.000 titulares por mês",1,0)+IF(AA724="SIM",1,0)+IF(R724="SIM",1,0)+IF(AL724="SIM",1,0)+IF(AJ724="NÃO",1,0))&gt;=3,"Avaliação necessária","NÃO"))))</f>
      </c>
      <c r="AR724" s="11"/>
      <c r="AS724" s="113">
        <f>IF(AND(I724="",K724="",AF724="",AL724="",AN724="",O724=""),"",IF(OR(I724="SIM",K724="SIM",AF724="SIM",AL724="SIM",OR(AN724="Dados pessoais",AN724="Dados sensíveis",AN724="Dados pessoais e sensíveis"),O724="Acima de 10.000 titulares por mês",(IF(I724="SIM",2,0)+IF(K724="SIM",2,0)+IF(AF724="SIM",2,0)+IF(OR(AN724="Dados pessoais",AN724="Dados sensíveis",AN724="Dados pessoais e sensíveis"),2,0)+IF(O724="De 1.001 a 10.000 titulares por mês",1,0)+IF(AA724="SIM",1,0)+IF(R724="SIM",1,0)+IF(AL724="SIM",1,0)+IF(AJ724="NÃO",1,0))&gt;=3),"DPIA indicado ou em avaliação em razão de: " &amp; TRIM(IF(I724="SIM","tratamento de dados sensíveis; ","") &amp; IF(K724="SIM","utilização de dados de menores; ","") &amp; IF(AF724="SIM","transferência internacional de dados; ","") &amp; IF(AL724="SIM","utilização de inteligência artificial; ","") &amp; IF(OR(AN724="Dados pessoais",AN724="Dados sensíveis",AN724="Dados pessoais e sensíveis"),"dados inseridos em IA; ","") &amp; IF(O724="Acima de 10.000 titulares por mês","volume crítico de titulares; ","") &amp; IF(O724="De 1.001 a 10.000 titulares por mês","volume moderado de titulares; ","") &amp; IF(AA724="SIM","compartilhamento com terceiros; ","") &amp; IF(R724="SIM","compartilhamento com órgãos governamentais; ","") &amp; IF(AJ724="NÃO","ausência de controle de acesso por perfil; ","")),"DPIA não indicado: Processo de baixa criticidade."))</f>
      </c>
    </row>
    <row x14ac:dyDescent="0.25" r="725" customHeight="1" ht="15.75">
      <c r="A725" s="46"/>
      <c r="B725" s="6"/>
      <c r="C725" s="11"/>
      <c r="D725" s="11"/>
      <c r="E725" s="11"/>
      <c r="F725" s="29"/>
      <c r="G725" s="11"/>
      <c r="H725" s="11"/>
      <c r="I725" s="29"/>
      <c r="J725" s="11"/>
      <c r="K725" s="29"/>
      <c r="L725" s="11"/>
      <c r="M725" s="11"/>
      <c r="N725" s="11"/>
      <c r="O725" s="29"/>
      <c r="P725" s="29"/>
      <c r="Q725" s="11"/>
      <c r="R725" s="29"/>
      <c r="S725" s="11"/>
      <c r="T725" s="6"/>
      <c r="U725" s="29"/>
      <c r="V725" s="11"/>
      <c r="W725" s="11"/>
      <c r="X725" s="29"/>
      <c r="Y725" s="11"/>
      <c r="Z725" s="29"/>
      <c r="AA725" s="29"/>
      <c r="AB725" s="11"/>
      <c r="AC725" s="11"/>
      <c r="AD725" s="29"/>
      <c r="AE725" s="11"/>
      <c r="AF725" s="29"/>
      <c r="AG725" s="11"/>
      <c r="AH725" s="29"/>
      <c r="AI725" s="11"/>
      <c r="AJ725" s="29"/>
      <c r="AK725" s="29"/>
      <c r="AL725" s="29"/>
      <c r="AM725" s="11"/>
      <c r="AN725" s="29"/>
      <c r="AO725" s="29"/>
      <c r="AP725" s="6"/>
      <c r="AQ725" s="113">
        <f>IF(AND(I725="",K725="",AF725="",AL725="",AN725="",O725=""),"",IF(OR(I725="SIM",K725="SIM",AF725="SIM",AL725="SIM",AN725="Dados pessoais",AN725="Dados sensíveis",AN725="Dados pessoais e sensíveis",O725="Acima de 10.000 titulares por mês"),"SIM - Alta criticidade",IF((IF(I725="SIM",2,0)+IF(K725="SIM",2,0)+IF(AF725="SIM",2,0)+IF(OR(AN725="Dados pessoais",AN725="Dados sensíveis",AN725="Dados pessoais e sensíveis"),2,0)+IF(O725="De 1.001 a 10.000 titulares por mês",1,0)+IF(AA725="SIM",1,0)+IF(R725="SIM",1,0)+IF(AL725="SIM",1,0)+IF(AJ725="NÃO",1,0))&gt;=5,"SIM - Alta criticidade",IF((IF(I725="SIM",2,0)+IF(K725="SIM",2,0)+IF(AF725="SIM",2,0)+IF(OR(AN725="Dados pessoais",AN725="Dados sensíveis",AN725="Dados pessoais e sensíveis"),2,0)+IF(O725="De 1.001 a 10.000 titulares por mês",1,0)+IF(AA725="SIM",1,0)+IF(R725="SIM",1,0)+IF(AL725="SIM",1,0)+IF(AJ725="NÃO",1,0))&gt;=3,"Avaliação necessária","NÃO"))))</f>
      </c>
      <c r="AR725" s="11"/>
      <c r="AS725" s="113">
        <f>IF(AND(I725="",K725="",AF725="",AL725="",AN725="",O725=""),"",IF(OR(I725="SIM",K725="SIM",AF725="SIM",AL725="SIM",OR(AN725="Dados pessoais",AN725="Dados sensíveis",AN725="Dados pessoais e sensíveis"),O725="Acima de 10.000 titulares por mês",(IF(I725="SIM",2,0)+IF(K725="SIM",2,0)+IF(AF725="SIM",2,0)+IF(OR(AN725="Dados pessoais",AN725="Dados sensíveis",AN725="Dados pessoais e sensíveis"),2,0)+IF(O725="De 1.001 a 10.000 titulares por mês",1,0)+IF(AA725="SIM",1,0)+IF(R725="SIM",1,0)+IF(AL725="SIM",1,0)+IF(AJ725="NÃO",1,0))&gt;=3),"DPIA indicado ou em avaliação em razão de: " &amp; TRIM(IF(I725="SIM","tratamento de dados sensíveis; ","") &amp; IF(K725="SIM","utilização de dados de menores; ","") &amp; IF(AF725="SIM","transferência internacional de dados; ","") &amp; IF(AL725="SIM","utilização de inteligência artificial; ","") &amp; IF(OR(AN725="Dados pessoais",AN725="Dados sensíveis",AN725="Dados pessoais e sensíveis"),"dados inseridos em IA; ","") &amp; IF(O725="Acima de 10.000 titulares por mês","volume crítico de titulares; ","") &amp; IF(O725="De 1.001 a 10.000 titulares por mês","volume moderado de titulares; ","") &amp; IF(AA725="SIM","compartilhamento com terceiros; ","") &amp; IF(R725="SIM","compartilhamento com órgãos governamentais; ","") &amp; IF(AJ725="NÃO","ausência de controle de acesso por perfil; ","")),"DPIA não indicado: Processo de baixa criticidade."))</f>
      </c>
    </row>
    <row x14ac:dyDescent="0.25" r="726" customHeight="1" ht="15.75">
      <c r="A726" s="46"/>
      <c r="B726" s="6"/>
      <c r="C726" s="11"/>
      <c r="D726" s="11"/>
      <c r="E726" s="11"/>
      <c r="F726" s="29"/>
      <c r="G726" s="11"/>
      <c r="H726" s="11"/>
      <c r="I726" s="29"/>
      <c r="J726" s="11"/>
      <c r="K726" s="29"/>
      <c r="L726" s="11"/>
      <c r="M726" s="11"/>
      <c r="N726" s="11"/>
      <c r="O726" s="29"/>
      <c r="P726" s="29"/>
      <c r="Q726" s="11"/>
      <c r="R726" s="29"/>
      <c r="S726" s="11"/>
      <c r="T726" s="6"/>
      <c r="U726" s="29"/>
      <c r="V726" s="11"/>
      <c r="W726" s="11"/>
      <c r="X726" s="29"/>
      <c r="Y726" s="11"/>
      <c r="Z726" s="29"/>
      <c r="AA726" s="29"/>
      <c r="AB726" s="11"/>
      <c r="AC726" s="11"/>
      <c r="AD726" s="29"/>
      <c r="AE726" s="11"/>
      <c r="AF726" s="29"/>
      <c r="AG726" s="11"/>
      <c r="AH726" s="29"/>
      <c r="AI726" s="11"/>
      <c r="AJ726" s="29"/>
      <c r="AK726" s="29"/>
      <c r="AL726" s="29"/>
      <c r="AM726" s="11"/>
      <c r="AN726" s="29"/>
      <c r="AO726" s="29"/>
      <c r="AP726" s="6"/>
      <c r="AQ726" s="113">
        <f>IF(AND(I726="",K726="",AF726="",AL726="",AN726="",O726=""),"",IF(OR(I726="SIM",K726="SIM",AF726="SIM",AL726="SIM",AN726="Dados pessoais",AN726="Dados sensíveis",AN726="Dados pessoais e sensíveis",O726="Acima de 10.000 titulares por mês"),"SIM - Alta criticidade",IF((IF(I726="SIM",2,0)+IF(K726="SIM",2,0)+IF(AF726="SIM",2,0)+IF(OR(AN726="Dados pessoais",AN726="Dados sensíveis",AN726="Dados pessoais e sensíveis"),2,0)+IF(O726="De 1.001 a 10.000 titulares por mês",1,0)+IF(AA726="SIM",1,0)+IF(R726="SIM",1,0)+IF(AL726="SIM",1,0)+IF(AJ726="NÃO",1,0))&gt;=5,"SIM - Alta criticidade",IF((IF(I726="SIM",2,0)+IF(K726="SIM",2,0)+IF(AF726="SIM",2,0)+IF(OR(AN726="Dados pessoais",AN726="Dados sensíveis",AN726="Dados pessoais e sensíveis"),2,0)+IF(O726="De 1.001 a 10.000 titulares por mês",1,0)+IF(AA726="SIM",1,0)+IF(R726="SIM",1,0)+IF(AL726="SIM",1,0)+IF(AJ726="NÃO",1,0))&gt;=3,"Avaliação necessária","NÃO"))))</f>
      </c>
      <c r="AR726" s="11"/>
      <c r="AS726" s="113">
        <f>IF(AND(I726="",K726="",AF726="",AL726="",AN726="",O726=""),"",IF(OR(I726="SIM",K726="SIM",AF726="SIM",AL726="SIM",OR(AN726="Dados pessoais",AN726="Dados sensíveis",AN726="Dados pessoais e sensíveis"),O726="Acima de 10.000 titulares por mês",(IF(I726="SIM",2,0)+IF(K726="SIM",2,0)+IF(AF726="SIM",2,0)+IF(OR(AN726="Dados pessoais",AN726="Dados sensíveis",AN726="Dados pessoais e sensíveis"),2,0)+IF(O726="De 1.001 a 10.000 titulares por mês",1,0)+IF(AA726="SIM",1,0)+IF(R726="SIM",1,0)+IF(AL726="SIM",1,0)+IF(AJ726="NÃO",1,0))&gt;=3),"DPIA indicado ou em avaliação em razão de: " &amp; TRIM(IF(I726="SIM","tratamento de dados sensíveis; ","") &amp; IF(K726="SIM","utilização de dados de menores; ","") &amp; IF(AF726="SIM","transferência internacional de dados; ","") &amp; IF(AL726="SIM","utilização de inteligência artificial; ","") &amp; IF(OR(AN726="Dados pessoais",AN726="Dados sensíveis",AN726="Dados pessoais e sensíveis"),"dados inseridos em IA; ","") &amp; IF(O726="Acima de 10.000 titulares por mês","volume crítico de titulares; ","") &amp; IF(O726="De 1.001 a 10.000 titulares por mês","volume moderado de titulares; ","") &amp; IF(AA726="SIM","compartilhamento com terceiros; ","") &amp; IF(R726="SIM","compartilhamento com órgãos governamentais; ","") &amp; IF(AJ726="NÃO","ausência de controle de acesso por perfil; ","")),"DPIA não indicado: Processo de baixa criticidade."))</f>
      </c>
    </row>
    <row x14ac:dyDescent="0.25" r="727" customHeight="1" ht="15.75">
      <c r="A727" s="46"/>
      <c r="B727" s="6"/>
      <c r="C727" s="11"/>
      <c r="D727" s="11"/>
      <c r="E727" s="11"/>
      <c r="F727" s="29"/>
      <c r="G727" s="11"/>
      <c r="H727" s="11"/>
      <c r="I727" s="29"/>
      <c r="J727" s="11"/>
      <c r="K727" s="29"/>
      <c r="L727" s="11"/>
      <c r="M727" s="11"/>
      <c r="N727" s="11"/>
      <c r="O727" s="29"/>
      <c r="P727" s="29"/>
      <c r="Q727" s="11"/>
      <c r="R727" s="29"/>
      <c r="S727" s="11"/>
      <c r="T727" s="6"/>
      <c r="U727" s="29"/>
      <c r="V727" s="11"/>
      <c r="W727" s="11"/>
      <c r="X727" s="29"/>
      <c r="Y727" s="11"/>
      <c r="Z727" s="29"/>
      <c r="AA727" s="29"/>
      <c r="AB727" s="11"/>
      <c r="AC727" s="11"/>
      <c r="AD727" s="29"/>
      <c r="AE727" s="11"/>
      <c r="AF727" s="29"/>
      <c r="AG727" s="11"/>
      <c r="AH727" s="29"/>
      <c r="AI727" s="11"/>
      <c r="AJ727" s="29"/>
      <c r="AK727" s="29"/>
      <c r="AL727" s="29"/>
      <c r="AM727" s="11"/>
      <c r="AN727" s="29"/>
      <c r="AO727" s="29"/>
      <c r="AP727" s="6"/>
      <c r="AQ727" s="113">
        <f>IF(AND(I727="",K727="",AF727="",AL727="",AN727="",O727=""),"",IF(OR(I727="SIM",K727="SIM",AF727="SIM",AL727="SIM",AN727="Dados pessoais",AN727="Dados sensíveis",AN727="Dados pessoais e sensíveis",O727="Acima de 10.000 titulares por mês"),"SIM - Alta criticidade",IF((IF(I727="SIM",2,0)+IF(K727="SIM",2,0)+IF(AF727="SIM",2,0)+IF(OR(AN727="Dados pessoais",AN727="Dados sensíveis",AN727="Dados pessoais e sensíveis"),2,0)+IF(O727="De 1.001 a 10.000 titulares por mês",1,0)+IF(AA727="SIM",1,0)+IF(R727="SIM",1,0)+IF(AL727="SIM",1,0)+IF(AJ727="NÃO",1,0))&gt;=5,"SIM - Alta criticidade",IF((IF(I727="SIM",2,0)+IF(K727="SIM",2,0)+IF(AF727="SIM",2,0)+IF(OR(AN727="Dados pessoais",AN727="Dados sensíveis",AN727="Dados pessoais e sensíveis"),2,0)+IF(O727="De 1.001 a 10.000 titulares por mês",1,0)+IF(AA727="SIM",1,0)+IF(R727="SIM",1,0)+IF(AL727="SIM",1,0)+IF(AJ727="NÃO",1,0))&gt;=3,"Avaliação necessária","NÃO"))))</f>
      </c>
      <c r="AR727" s="11"/>
      <c r="AS727" s="113">
        <f>IF(AND(I727="",K727="",AF727="",AL727="",AN727="",O727=""),"",IF(OR(I727="SIM",K727="SIM",AF727="SIM",AL727="SIM",OR(AN727="Dados pessoais",AN727="Dados sensíveis",AN727="Dados pessoais e sensíveis"),O727="Acima de 10.000 titulares por mês",(IF(I727="SIM",2,0)+IF(K727="SIM",2,0)+IF(AF727="SIM",2,0)+IF(OR(AN727="Dados pessoais",AN727="Dados sensíveis",AN727="Dados pessoais e sensíveis"),2,0)+IF(O727="De 1.001 a 10.000 titulares por mês",1,0)+IF(AA727="SIM",1,0)+IF(R727="SIM",1,0)+IF(AL727="SIM",1,0)+IF(AJ727="NÃO",1,0))&gt;=3),"DPIA indicado ou em avaliação em razão de: " &amp; TRIM(IF(I727="SIM","tratamento de dados sensíveis; ","") &amp; IF(K727="SIM","utilização de dados de menores; ","") &amp; IF(AF727="SIM","transferência internacional de dados; ","") &amp; IF(AL727="SIM","utilização de inteligência artificial; ","") &amp; IF(OR(AN727="Dados pessoais",AN727="Dados sensíveis",AN727="Dados pessoais e sensíveis"),"dados inseridos em IA; ","") &amp; IF(O727="Acima de 10.000 titulares por mês","volume crítico de titulares; ","") &amp; IF(O727="De 1.001 a 10.000 titulares por mês","volume moderado de titulares; ","") &amp; IF(AA727="SIM","compartilhamento com terceiros; ","") &amp; IF(R727="SIM","compartilhamento com órgãos governamentais; ","") &amp; IF(AJ727="NÃO","ausência de controle de acesso por perfil; ","")),"DPIA não indicado: Processo de baixa criticidade."))</f>
      </c>
    </row>
    <row x14ac:dyDescent="0.25" r="728" customHeight="1" ht="15.75">
      <c r="A728" s="46"/>
      <c r="B728" s="6"/>
      <c r="C728" s="11"/>
      <c r="D728" s="11"/>
      <c r="E728" s="11"/>
      <c r="F728" s="29"/>
      <c r="G728" s="11"/>
      <c r="H728" s="11"/>
      <c r="I728" s="29"/>
      <c r="J728" s="11"/>
      <c r="K728" s="29"/>
      <c r="L728" s="11"/>
      <c r="M728" s="11"/>
      <c r="N728" s="11"/>
      <c r="O728" s="29"/>
      <c r="P728" s="29"/>
      <c r="Q728" s="11"/>
      <c r="R728" s="29"/>
      <c r="S728" s="11"/>
      <c r="T728" s="6"/>
      <c r="U728" s="29"/>
      <c r="V728" s="11"/>
      <c r="W728" s="11"/>
      <c r="X728" s="29"/>
      <c r="Y728" s="11"/>
      <c r="Z728" s="29"/>
      <c r="AA728" s="29"/>
      <c r="AB728" s="11"/>
      <c r="AC728" s="11"/>
      <c r="AD728" s="29"/>
      <c r="AE728" s="11"/>
      <c r="AF728" s="29"/>
      <c r="AG728" s="11"/>
      <c r="AH728" s="29"/>
      <c r="AI728" s="11"/>
      <c r="AJ728" s="29"/>
      <c r="AK728" s="29"/>
      <c r="AL728" s="29"/>
      <c r="AM728" s="11"/>
      <c r="AN728" s="29"/>
      <c r="AO728" s="29"/>
      <c r="AP728" s="6"/>
      <c r="AQ728" s="113">
        <f>IF(AND(I728="",K728="",AF728="",AL728="",AN728="",O728=""),"",IF(OR(I728="SIM",K728="SIM",AF728="SIM",AL728="SIM",AN728="Dados pessoais",AN728="Dados sensíveis",AN728="Dados pessoais e sensíveis",O728="Acima de 10.000 titulares por mês"),"SIM - Alta criticidade",IF((IF(I728="SIM",2,0)+IF(K728="SIM",2,0)+IF(AF728="SIM",2,0)+IF(OR(AN728="Dados pessoais",AN728="Dados sensíveis",AN728="Dados pessoais e sensíveis"),2,0)+IF(O728="De 1.001 a 10.000 titulares por mês",1,0)+IF(AA728="SIM",1,0)+IF(R728="SIM",1,0)+IF(AL728="SIM",1,0)+IF(AJ728="NÃO",1,0))&gt;=5,"SIM - Alta criticidade",IF((IF(I728="SIM",2,0)+IF(K728="SIM",2,0)+IF(AF728="SIM",2,0)+IF(OR(AN728="Dados pessoais",AN728="Dados sensíveis",AN728="Dados pessoais e sensíveis"),2,0)+IF(O728="De 1.001 a 10.000 titulares por mês",1,0)+IF(AA728="SIM",1,0)+IF(R728="SIM",1,0)+IF(AL728="SIM",1,0)+IF(AJ728="NÃO",1,0))&gt;=3,"Avaliação necessária","NÃO"))))</f>
      </c>
      <c r="AR728" s="11"/>
      <c r="AS728" s="113">
        <f>IF(AND(I728="",K728="",AF728="",AL728="",AN728="",O728=""),"",IF(OR(I728="SIM",K728="SIM",AF728="SIM",AL728="SIM",OR(AN728="Dados pessoais",AN728="Dados sensíveis",AN728="Dados pessoais e sensíveis"),O728="Acima de 10.000 titulares por mês",(IF(I728="SIM",2,0)+IF(K728="SIM",2,0)+IF(AF728="SIM",2,0)+IF(OR(AN728="Dados pessoais",AN728="Dados sensíveis",AN728="Dados pessoais e sensíveis"),2,0)+IF(O728="De 1.001 a 10.000 titulares por mês",1,0)+IF(AA728="SIM",1,0)+IF(R728="SIM",1,0)+IF(AL728="SIM",1,0)+IF(AJ728="NÃO",1,0))&gt;=3),"DPIA indicado ou em avaliação em razão de: " &amp; TRIM(IF(I728="SIM","tratamento de dados sensíveis; ","") &amp; IF(K728="SIM","utilização de dados de menores; ","") &amp; IF(AF728="SIM","transferência internacional de dados; ","") &amp; IF(AL728="SIM","utilização de inteligência artificial; ","") &amp; IF(OR(AN728="Dados pessoais",AN728="Dados sensíveis",AN728="Dados pessoais e sensíveis"),"dados inseridos em IA; ","") &amp; IF(O728="Acima de 10.000 titulares por mês","volume crítico de titulares; ","") &amp; IF(O728="De 1.001 a 10.000 titulares por mês","volume moderado de titulares; ","") &amp; IF(AA728="SIM","compartilhamento com terceiros; ","") &amp; IF(R728="SIM","compartilhamento com órgãos governamentais; ","") &amp; IF(AJ728="NÃO","ausência de controle de acesso por perfil; ","")),"DPIA não indicado: Processo de baixa criticidade."))</f>
      </c>
    </row>
    <row x14ac:dyDescent="0.25" r="729" customHeight="1" ht="15.75">
      <c r="A729" s="46"/>
      <c r="B729" s="6"/>
      <c r="C729" s="11"/>
      <c r="D729" s="11"/>
      <c r="E729" s="11"/>
      <c r="F729" s="29"/>
      <c r="G729" s="11"/>
      <c r="H729" s="11"/>
      <c r="I729" s="29"/>
      <c r="J729" s="11"/>
      <c r="K729" s="29"/>
      <c r="L729" s="11"/>
      <c r="M729" s="11"/>
      <c r="N729" s="11"/>
      <c r="O729" s="29"/>
      <c r="P729" s="29"/>
      <c r="Q729" s="11"/>
      <c r="R729" s="29"/>
      <c r="S729" s="11"/>
      <c r="T729" s="6"/>
      <c r="U729" s="29"/>
      <c r="V729" s="11"/>
      <c r="W729" s="11"/>
      <c r="X729" s="29"/>
      <c r="Y729" s="11"/>
      <c r="Z729" s="29"/>
      <c r="AA729" s="29"/>
      <c r="AB729" s="11"/>
      <c r="AC729" s="11"/>
      <c r="AD729" s="29"/>
      <c r="AE729" s="11"/>
      <c r="AF729" s="29"/>
      <c r="AG729" s="11"/>
      <c r="AH729" s="29"/>
      <c r="AI729" s="11"/>
      <c r="AJ729" s="29"/>
      <c r="AK729" s="29"/>
      <c r="AL729" s="29"/>
      <c r="AM729" s="11"/>
      <c r="AN729" s="29"/>
      <c r="AO729" s="29"/>
      <c r="AP729" s="6"/>
      <c r="AQ729" s="113">
        <f>IF(AND(I729="",K729="",AF729="",AL729="",AN729="",O729=""),"",IF(OR(I729="SIM",K729="SIM",AF729="SIM",AL729="SIM",AN729="Dados pessoais",AN729="Dados sensíveis",AN729="Dados pessoais e sensíveis",O729="Acima de 10.000 titulares por mês"),"SIM - Alta criticidade",IF((IF(I729="SIM",2,0)+IF(K729="SIM",2,0)+IF(AF729="SIM",2,0)+IF(OR(AN729="Dados pessoais",AN729="Dados sensíveis",AN729="Dados pessoais e sensíveis"),2,0)+IF(O729="De 1.001 a 10.000 titulares por mês",1,0)+IF(AA729="SIM",1,0)+IF(R729="SIM",1,0)+IF(AL729="SIM",1,0)+IF(AJ729="NÃO",1,0))&gt;=5,"SIM - Alta criticidade",IF((IF(I729="SIM",2,0)+IF(K729="SIM",2,0)+IF(AF729="SIM",2,0)+IF(OR(AN729="Dados pessoais",AN729="Dados sensíveis",AN729="Dados pessoais e sensíveis"),2,0)+IF(O729="De 1.001 a 10.000 titulares por mês",1,0)+IF(AA729="SIM",1,0)+IF(R729="SIM",1,0)+IF(AL729="SIM",1,0)+IF(AJ729="NÃO",1,0))&gt;=3,"Avaliação necessária","NÃO"))))</f>
      </c>
      <c r="AR729" s="11"/>
      <c r="AS729" s="113">
        <f>IF(AND(I729="",K729="",AF729="",AL729="",AN729="",O729=""),"",IF(OR(I729="SIM",K729="SIM",AF729="SIM",AL729="SIM",OR(AN729="Dados pessoais",AN729="Dados sensíveis",AN729="Dados pessoais e sensíveis"),O729="Acima de 10.000 titulares por mês",(IF(I729="SIM",2,0)+IF(K729="SIM",2,0)+IF(AF729="SIM",2,0)+IF(OR(AN729="Dados pessoais",AN729="Dados sensíveis",AN729="Dados pessoais e sensíveis"),2,0)+IF(O729="De 1.001 a 10.000 titulares por mês",1,0)+IF(AA729="SIM",1,0)+IF(R729="SIM",1,0)+IF(AL729="SIM",1,0)+IF(AJ729="NÃO",1,0))&gt;=3),"DPIA indicado ou em avaliação em razão de: " &amp; TRIM(IF(I729="SIM","tratamento de dados sensíveis; ","") &amp; IF(K729="SIM","utilização de dados de menores; ","") &amp; IF(AF729="SIM","transferência internacional de dados; ","") &amp; IF(AL729="SIM","utilização de inteligência artificial; ","") &amp; IF(OR(AN729="Dados pessoais",AN729="Dados sensíveis",AN729="Dados pessoais e sensíveis"),"dados inseridos em IA; ","") &amp; IF(O729="Acima de 10.000 titulares por mês","volume crítico de titulares; ","") &amp; IF(O729="De 1.001 a 10.000 titulares por mês","volume moderado de titulares; ","") &amp; IF(AA729="SIM","compartilhamento com terceiros; ","") &amp; IF(R729="SIM","compartilhamento com órgãos governamentais; ","") &amp; IF(AJ729="NÃO","ausência de controle de acesso por perfil; ","")),"DPIA não indicado: Processo de baixa criticidade."))</f>
      </c>
    </row>
    <row x14ac:dyDescent="0.25" r="730" customHeight="1" ht="15.75">
      <c r="A730" s="46"/>
      <c r="B730" s="6"/>
      <c r="C730" s="11"/>
      <c r="D730" s="11"/>
      <c r="E730" s="11"/>
      <c r="F730" s="29"/>
      <c r="G730" s="11"/>
      <c r="H730" s="11"/>
      <c r="I730" s="29"/>
      <c r="J730" s="11"/>
      <c r="K730" s="29"/>
      <c r="L730" s="11"/>
      <c r="M730" s="11"/>
      <c r="N730" s="11"/>
      <c r="O730" s="29"/>
      <c r="P730" s="29"/>
      <c r="Q730" s="11"/>
      <c r="R730" s="29"/>
      <c r="S730" s="11"/>
      <c r="T730" s="6"/>
      <c r="U730" s="29"/>
      <c r="V730" s="11"/>
      <c r="W730" s="11"/>
      <c r="X730" s="29"/>
      <c r="Y730" s="11"/>
      <c r="Z730" s="29"/>
      <c r="AA730" s="29"/>
      <c r="AB730" s="11"/>
      <c r="AC730" s="11"/>
      <c r="AD730" s="29"/>
      <c r="AE730" s="11"/>
      <c r="AF730" s="29"/>
      <c r="AG730" s="11"/>
      <c r="AH730" s="29"/>
      <c r="AI730" s="11"/>
      <c r="AJ730" s="29"/>
      <c r="AK730" s="29"/>
      <c r="AL730" s="29"/>
      <c r="AM730" s="11"/>
      <c r="AN730" s="29"/>
      <c r="AO730" s="29"/>
      <c r="AP730" s="6"/>
      <c r="AQ730" s="113">
        <f>IF(AND(I730="",K730="",AF730="",AL730="",AN730="",O730=""),"",IF(OR(I730="SIM",K730="SIM",AF730="SIM",AL730="SIM",AN730="Dados pessoais",AN730="Dados sensíveis",AN730="Dados pessoais e sensíveis",O730="Acima de 10.000 titulares por mês"),"SIM - Alta criticidade",IF((IF(I730="SIM",2,0)+IF(K730="SIM",2,0)+IF(AF730="SIM",2,0)+IF(OR(AN730="Dados pessoais",AN730="Dados sensíveis",AN730="Dados pessoais e sensíveis"),2,0)+IF(O730="De 1.001 a 10.000 titulares por mês",1,0)+IF(AA730="SIM",1,0)+IF(R730="SIM",1,0)+IF(AL730="SIM",1,0)+IF(AJ730="NÃO",1,0))&gt;=5,"SIM - Alta criticidade",IF((IF(I730="SIM",2,0)+IF(K730="SIM",2,0)+IF(AF730="SIM",2,0)+IF(OR(AN730="Dados pessoais",AN730="Dados sensíveis",AN730="Dados pessoais e sensíveis"),2,0)+IF(O730="De 1.001 a 10.000 titulares por mês",1,0)+IF(AA730="SIM",1,0)+IF(R730="SIM",1,0)+IF(AL730="SIM",1,0)+IF(AJ730="NÃO",1,0))&gt;=3,"Avaliação necessária","NÃO"))))</f>
      </c>
      <c r="AR730" s="11"/>
      <c r="AS730" s="113">
        <f>IF(AND(I730="",K730="",AF730="",AL730="",AN730="",O730=""),"",IF(OR(I730="SIM",K730="SIM",AF730="SIM",AL730="SIM",OR(AN730="Dados pessoais",AN730="Dados sensíveis",AN730="Dados pessoais e sensíveis"),O730="Acima de 10.000 titulares por mês",(IF(I730="SIM",2,0)+IF(K730="SIM",2,0)+IF(AF730="SIM",2,0)+IF(OR(AN730="Dados pessoais",AN730="Dados sensíveis",AN730="Dados pessoais e sensíveis"),2,0)+IF(O730="De 1.001 a 10.000 titulares por mês",1,0)+IF(AA730="SIM",1,0)+IF(R730="SIM",1,0)+IF(AL730="SIM",1,0)+IF(AJ730="NÃO",1,0))&gt;=3),"DPIA indicado ou em avaliação em razão de: " &amp; TRIM(IF(I730="SIM","tratamento de dados sensíveis; ","") &amp; IF(K730="SIM","utilização de dados de menores; ","") &amp; IF(AF730="SIM","transferência internacional de dados; ","") &amp; IF(AL730="SIM","utilização de inteligência artificial; ","") &amp; IF(OR(AN730="Dados pessoais",AN730="Dados sensíveis",AN730="Dados pessoais e sensíveis"),"dados inseridos em IA; ","") &amp; IF(O730="Acima de 10.000 titulares por mês","volume crítico de titulares; ","") &amp; IF(O730="De 1.001 a 10.000 titulares por mês","volume moderado de titulares; ","") &amp; IF(AA730="SIM","compartilhamento com terceiros; ","") &amp; IF(R730="SIM","compartilhamento com órgãos governamentais; ","") &amp; IF(AJ730="NÃO","ausência de controle de acesso por perfil; ","")),"DPIA não indicado: Processo de baixa criticidade."))</f>
      </c>
    </row>
    <row x14ac:dyDescent="0.25" r="731" customHeight="1" ht="15.75">
      <c r="A731" s="46"/>
      <c r="B731" s="6"/>
      <c r="C731" s="11"/>
      <c r="D731" s="11"/>
      <c r="E731" s="11"/>
      <c r="F731" s="29"/>
      <c r="G731" s="11"/>
      <c r="H731" s="11"/>
      <c r="I731" s="29"/>
      <c r="J731" s="11"/>
      <c r="K731" s="29"/>
      <c r="L731" s="11"/>
      <c r="M731" s="11"/>
      <c r="N731" s="11"/>
      <c r="O731" s="29"/>
      <c r="P731" s="29"/>
      <c r="Q731" s="11"/>
      <c r="R731" s="29"/>
      <c r="S731" s="11"/>
      <c r="T731" s="6"/>
      <c r="U731" s="29"/>
      <c r="V731" s="11"/>
      <c r="W731" s="11"/>
      <c r="X731" s="29"/>
      <c r="Y731" s="11"/>
      <c r="Z731" s="29"/>
      <c r="AA731" s="29"/>
      <c r="AB731" s="11"/>
      <c r="AC731" s="11"/>
      <c r="AD731" s="29"/>
      <c r="AE731" s="11"/>
      <c r="AF731" s="29"/>
      <c r="AG731" s="11"/>
      <c r="AH731" s="29"/>
      <c r="AI731" s="11"/>
      <c r="AJ731" s="29"/>
      <c r="AK731" s="29"/>
      <c r="AL731" s="29"/>
      <c r="AM731" s="11"/>
      <c r="AN731" s="29"/>
      <c r="AO731" s="29"/>
      <c r="AP731" s="6"/>
      <c r="AQ731" s="113">
        <f>IF(AND(I731="",K731="",AF731="",AL731="",AN731="",O731=""),"",IF(OR(I731="SIM",K731="SIM",AF731="SIM",AL731="SIM",AN731="Dados pessoais",AN731="Dados sensíveis",AN731="Dados pessoais e sensíveis",O731="Acima de 10.000 titulares por mês"),"SIM - Alta criticidade",IF((IF(I731="SIM",2,0)+IF(K731="SIM",2,0)+IF(AF731="SIM",2,0)+IF(OR(AN731="Dados pessoais",AN731="Dados sensíveis",AN731="Dados pessoais e sensíveis"),2,0)+IF(O731="De 1.001 a 10.000 titulares por mês",1,0)+IF(AA731="SIM",1,0)+IF(R731="SIM",1,0)+IF(AL731="SIM",1,0)+IF(AJ731="NÃO",1,0))&gt;=5,"SIM - Alta criticidade",IF((IF(I731="SIM",2,0)+IF(K731="SIM",2,0)+IF(AF731="SIM",2,0)+IF(OR(AN731="Dados pessoais",AN731="Dados sensíveis",AN731="Dados pessoais e sensíveis"),2,0)+IF(O731="De 1.001 a 10.000 titulares por mês",1,0)+IF(AA731="SIM",1,0)+IF(R731="SIM",1,0)+IF(AL731="SIM",1,0)+IF(AJ731="NÃO",1,0))&gt;=3,"Avaliação necessária","NÃO"))))</f>
      </c>
      <c r="AR731" s="11"/>
      <c r="AS731" s="113">
        <f>IF(AND(I731="",K731="",AF731="",AL731="",AN731="",O731=""),"",IF(OR(I731="SIM",K731="SIM",AF731="SIM",AL731="SIM",OR(AN731="Dados pessoais",AN731="Dados sensíveis",AN731="Dados pessoais e sensíveis"),O731="Acima de 10.000 titulares por mês",(IF(I731="SIM",2,0)+IF(K731="SIM",2,0)+IF(AF731="SIM",2,0)+IF(OR(AN731="Dados pessoais",AN731="Dados sensíveis",AN731="Dados pessoais e sensíveis"),2,0)+IF(O731="De 1.001 a 10.000 titulares por mês",1,0)+IF(AA731="SIM",1,0)+IF(R731="SIM",1,0)+IF(AL731="SIM",1,0)+IF(AJ731="NÃO",1,0))&gt;=3),"DPIA indicado ou em avaliação em razão de: " &amp; TRIM(IF(I731="SIM","tratamento de dados sensíveis; ","") &amp; IF(K731="SIM","utilização de dados de menores; ","") &amp; IF(AF731="SIM","transferência internacional de dados; ","") &amp; IF(AL731="SIM","utilização de inteligência artificial; ","") &amp; IF(OR(AN731="Dados pessoais",AN731="Dados sensíveis",AN731="Dados pessoais e sensíveis"),"dados inseridos em IA; ","") &amp; IF(O731="Acima de 10.000 titulares por mês","volume crítico de titulares; ","") &amp; IF(O731="De 1.001 a 10.000 titulares por mês","volume moderado de titulares; ","") &amp; IF(AA731="SIM","compartilhamento com terceiros; ","") &amp; IF(R731="SIM","compartilhamento com órgãos governamentais; ","") &amp; IF(AJ731="NÃO","ausência de controle de acesso por perfil; ","")),"DPIA não indicado: Processo de baixa criticidade."))</f>
      </c>
    </row>
    <row x14ac:dyDescent="0.25" r="732" customHeight="1" ht="15.75">
      <c r="A732" s="46"/>
      <c r="B732" s="6"/>
      <c r="C732" s="11"/>
      <c r="D732" s="11"/>
      <c r="E732" s="11"/>
      <c r="F732" s="29"/>
      <c r="G732" s="11"/>
      <c r="H732" s="11"/>
      <c r="I732" s="29"/>
      <c r="J732" s="11"/>
      <c r="K732" s="29"/>
      <c r="L732" s="11"/>
      <c r="M732" s="11"/>
      <c r="N732" s="11"/>
      <c r="O732" s="29"/>
      <c r="P732" s="29"/>
      <c r="Q732" s="11"/>
      <c r="R732" s="29"/>
      <c r="S732" s="11"/>
      <c r="T732" s="6"/>
      <c r="U732" s="29"/>
      <c r="V732" s="11"/>
      <c r="W732" s="11"/>
      <c r="X732" s="29"/>
      <c r="Y732" s="11"/>
      <c r="Z732" s="29"/>
      <c r="AA732" s="29"/>
      <c r="AB732" s="11"/>
      <c r="AC732" s="11"/>
      <c r="AD732" s="29"/>
      <c r="AE732" s="11"/>
      <c r="AF732" s="29"/>
      <c r="AG732" s="11"/>
      <c r="AH732" s="29"/>
      <c r="AI732" s="11"/>
      <c r="AJ732" s="29"/>
      <c r="AK732" s="29"/>
      <c r="AL732" s="29"/>
      <c r="AM732" s="11"/>
      <c r="AN732" s="29"/>
      <c r="AO732" s="29"/>
      <c r="AP732" s="6"/>
      <c r="AQ732" s="113">
        <f>IF(AND(I732="",K732="",AF732="",AL732="",AN732="",O732=""),"",IF(OR(I732="SIM",K732="SIM",AF732="SIM",AL732="SIM",AN732="Dados pessoais",AN732="Dados sensíveis",AN732="Dados pessoais e sensíveis",O732="Acima de 10.000 titulares por mês"),"SIM - Alta criticidade",IF((IF(I732="SIM",2,0)+IF(K732="SIM",2,0)+IF(AF732="SIM",2,0)+IF(OR(AN732="Dados pessoais",AN732="Dados sensíveis",AN732="Dados pessoais e sensíveis"),2,0)+IF(O732="De 1.001 a 10.000 titulares por mês",1,0)+IF(AA732="SIM",1,0)+IF(R732="SIM",1,0)+IF(AL732="SIM",1,0)+IF(AJ732="NÃO",1,0))&gt;=5,"SIM - Alta criticidade",IF((IF(I732="SIM",2,0)+IF(K732="SIM",2,0)+IF(AF732="SIM",2,0)+IF(OR(AN732="Dados pessoais",AN732="Dados sensíveis",AN732="Dados pessoais e sensíveis"),2,0)+IF(O732="De 1.001 a 10.000 titulares por mês",1,0)+IF(AA732="SIM",1,0)+IF(R732="SIM",1,0)+IF(AL732="SIM",1,0)+IF(AJ732="NÃO",1,0))&gt;=3,"Avaliação necessária","NÃO"))))</f>
      </c>
      <c r="AR732" s="11"/>
      <c r="AS732" s="113">
        <f>IF(AND(I732="",K732="",AF732="",AL732="",AN732="",O732=""),"",IF(OR(I732="SIM",K732="SIM",AF732="SIM",AL732="SIM",OR(AN732="Dados pessoais",AN732="Dados sensíveis",AN732="Dados pessoais e sensíveis"),O732="Acima de 10.000 titulares por mês",(IF(I732="SIM",2,0)+IF(K732="SIM",2,0)+IF(AF732="SIM",2,0)+IF(OR(AN732="Dados pessoais",AN732="Dados sensíveis",AN732="Dados pessoais e sensíveis"),2,0)+IF(O732="De 1.001 a 10.000 titulares por mês",1,0)+IF(AA732="SIM",1,0)+IF(R732="SIM",1,0)+IF(AL732="SIM",1,0)+IF(AJ732="NÃO",1,0))&gt;=3),"DPIA indicado ou em avaliação em razão de: " &amp; TRIM(IF(I732="SIM","tratamento de dados sensíveis; ","") &amp; IF(K732="SIM","utilização de dados de menores; ","") &amp; IF(AF732="SIM","transferência internacional de dados; ","") &amp; IF(AL732="SIM","utilização de inteligência artificial; ","") &amp; IF(OR(AN732="Dados pessoais",AN732="Dados sensíveis",AN732="Dados pessoais e sensíveis"),"dados inseridos em IA; ","") &amp; IF(O732="Acima de 10.000 titulares por mês","volume crítico de titulares; ","") &amp; IF(O732="De 1.001 a 10.000 titulares por mês","volume moderado de titulares; ","") &amp; IF(AA732="SIM","compartilhamento com terceiros; ","") &amp; IF(R732="SIM","compartilhamento com órgãos governamentais; ","") &amp; IF(AJ732="NÃO","ausência de controle de acesso por perfil; ","")),"DPIA não indicado: Processo de baixa criticidade."))</f>
      </c>
    </row>
    <row x14ac:dyDescent="0.25" r="733" customHeight="1" ht="15.75">
      <c r="A733" s="46"/>
      <c r="B733" s="6"/>
      <c r="C733" s="11"/>
      <c r="D733" s="11"/>
      <c r="E733" s="11"/>
      <c r="F733" s="29"/>
      <c r="G733" s="11"/>
      <c r="H733" s="11"/>
      <c r="I733" s="29"/>
      <c r="J733" s="11"/>
      <c r="K733" s="29"/>
      <c r="L733" s="11"/>
      <c r="M733" s="11"/>
      <c r="N733" s="11"/>
      <c r="O733" s="29"/>
      <c r="P733" s="29"/>
      <c r="Q733" s="11"/>
      <c r="R733" s="29"/>
      <c r="S733" s="11"/>
      <c r="T733" s="6"/>
      <c r="U733" s="29"/>
      <c r="V733" s="11"/>
      <c r="W733" s="11"/>
      <c r="X733" s="29"/>
      <c r="Y733" s="11"/>
      <c r="Z733" s="29"/>
      <c r="AA733" s="29"/>
      <c r="AB733" s="11"/>
      <c r="AC733" s="11"/>
      <c r="AD733" s="29"/>
      <c r="AE733" s="11"/>
      <c r="AF733" s="29"/>
      <c r="AG733" s="11"/>
      <c r="AH733" s="29"/>
      <c r="AI733" s="11"/>
      <c r="AJ733" s="29"/>
      <c r="AK733" s="29"/>
      <c r="AL733" s="29"/>
      <c r="AM733" s="11"/>
      <c r="AN733" s="29"/>
      <c r="AO733" s="29"/>
      <c r="AP733" s="6"/>
      <c r="AQ733" s="113">
        <f>IF(AND(I733="",K733="",AF733="",AL733="",AN733="",O733=""),"",IF(OR(I733="SIM",K733="SIM",AF733="SIM",AL733="SIM",AN733="Dados pessoais",AN733="Dados sensíveis",AN733="Dados pessoais e sensíveis",O733="Acima de 10.000 titulares por mês"),"SIM - Alta criticidade",IF((IF(I733="SIM",2,0)+IF(K733="SIM",2,0)+IF(AF733="SIM",2,0)+IF(OR(AN733="Dados pessoais",AN733="Dados sensíveis",AN733="Dados pessoais e sensíveis"),2,0)+IF(O733="De 1.001 a 10.000 titulares por mês",1,0)+IF(AA733="SIM",1,0)+IF(R733="SIM",1,0)+IF(AL733="SIM",1,0)+IF(AJ733="NÃO",1,0))&gt;=5,"SIM - Alta criticidade",IF((IF(I733="SIM",2,0)+IF(K733="SIM",2,0)+IF(AF733="SIM",2,0)+IF(OR(AN733="Dados pessoais",AN733="Dados sensíveis",AN733="Dados pessoais e sensíveis"),2,0)+IF(O733="De 1.001 a 10.000 titulares por mês",1,0)+IF(AA733="SIM",1,0)+IF(R733="SIM",1,0)+IF(AL733="SIM",1,0)+IF(AJ733="NÃO",1,0))&gt;=3,"Avaliação necessária","NÃO"))))</f>
      </c>
      <c r="AR733" s="11"/>
      <c r="AS733" s="113">
        <f>IF(AND(I733="",K733="",AF733="",AL733="",AN733="",O733=""),"",IF(OR(I733="SIM",K733="SIM",AF733="SIM",AL733="SIM",OR(AN733="Dados pessoais",AN733="Dados sensíveis",AN733="Dados pessoais e sensíveis"),O733="Acima de 10.000 titulares por mês",(IF(I733="SIM",2,0)+IF(K733="SIM",2,0)+IF(AF733="SIM",2,0)+IF(OR(AN733="Dados pessoais",AN733="Dados sensíveis",AN733="Dados pessoais e sensíveis"),2,0)+IF(O733="De 1.001 a 10.000 titulares por mês",1,0)+IF(AA733="SIM",1,0)+IF(R733="SIM",1,0)+IF(AL733="SIM",1,0)+IF(AJ733="NÃO",1,0))&gt;=3),"DPIA indicado ou em avaliação em razão de: " &amp; TRIM(IF(I733="SIM","tratamento de dados sensíveis; ","") &amp; IF(K733="SIM","utilização de dados de menores; ","") &amp; IF(AF733="SIM","transferência internacional de dados; ","") &amp; IF(AL733="SIM","utilização de inteligência artificial; ","") &amp; IF(OR(AN733="Dados pessoais",AN733="Dados sensíveis",AN733="Dados pessoais e sensíveis"),"dados inseridos em IA; ","") &amp; IF(O733="Acima de 10.000 titulares por mês","volume crítico de titulares; ","") &amp; IF(O733="De 1.001 a 10.000 titulares por mês","volume moderado de titulares; ","") &amp; IF(AA733="SIM","compartilhamento com terceiros; ","") &amp; IF(R733="SIM","compartilhamento com órgãos governamentais; ","") &amp; IF(AJ733="NÃO","ausência de controle de acesso por perfil; ","")),"DPIA não indicado: Processo de baixa criticidade."))</f>
      </c>
    </row>
    <row x14ac:dyDescent="0.25" r="734" customHeight="1" ht="15.75">
      <c r="A734" s="46"/>
      <c r="B734" s="6"/>
      <c r="C734" s="11"/>
      <c r="D734" s="11"/>
      <c r="E734" s="11"/>
      <c r="F734" s="29"/>
      <c r="G734" s="11"/>
      <c r="H734" s="11"/>
      <c r="I734" s="29"/>
      <c r="J734" s="11"/>
      <c r="K734" s="29"/>
      <c r="L734" s="11"/>
      <c r="M734" s="11"/>
      <c r="N734" s="11"/>
      <c r="O734" s="29"/>
      <c r="P734" s="29"/>
      <c r="Q734" s="11"/>
      <c r="R734" s="29"/>
      <c r="S734" s="11"/>
      <c r="T734" s="6"/>
      <c r="U734" s="29"/>
      <c r="V734" s="11"/>
      <c r="W734" s="11"/>
      <c r="X734" s="29"/>
      <c r="Y734" s="11"/>
      <c r="Z734" s="29"/>
      <c r="AA734" s="29"/>
      <c r="AB734" s="11"/>
      <c r="AC734" s="11"/>
      <c r="AD734" s="29"/>
      <c r="AE734" s="11"/>
      <c r="AF734" s="29"/>
      <c r="AG734" s="11"/>
      <c r="AH734" s="29"/>
      <c r="AI734" s="11"/>
      <c r="AJ734" s="29"/>
      <c r="AK734" s="29"/>
      <c r="AL734" s="29"/>
      <c r="AM734" s="11"/>
      <c r="AN734" s="29"/>
      <c r="AO734" s="29"/>
      <c r="AP734" s="6"/>
      <c r="AQ734" s="113">
        <f>IF(AND(I734="",K734="",AF734="",AL734="",AN734="",O734=""),"",IF(OR(I734="SIM",K734="SIM",AF734="SIM",AL734="SIM",AN734="Dados pessoais",AN734="Dados sensíveis",AN734="Dados pessoais e sensíveis",O734="Acima de 10.000 titulares por mês"),"SIM - Alta criticidade",IF((IF(I734="SIM",2,0)+IF(K734="SIM",2,0)+IF(AF734="SIM",2,0)+IF(OR(AN734="Dados pessoais",AN734="Dados sensíveis",AN734="Dados pessoais e sensíveis"),2,0)+IF(O734="De 1.001 a 10.000 titulares por mês",1,0)+IF(AA734="SIM",1,0)+IF(R734="SIM",1,0)+IF(AL734="SIM",1,0)+IF(AJ734="NÃO",1,0))&gt;=5,"SIM - Alta criticidade",IF((IF(I734="SIM",2,0)+IF(K734="SIM",2,0)+IF(AF734="SIM",2,0)+IF(OR(AN734="Dados pessoais",AN734="Dados sensíveis",AN734="Dados pessoais e sensíveis"),2,0)+IF(O734="De 1.001 a 10.000 titulares por mês",1,0)+IF(AA734="SIM",1,0)+IF(R734="SIM",1,0)+IF(AL734="SIM",1,0)+IF(AJ734="NÃO",1,0))&gt;=3,"Avaliação necessária","NÃO"))))</f>
      </c>
      <c r="AR734" s="11"/>
      <c r="AS734" s="113">
        <f>IF(AND(I734="",K734="",AF734="",AL734="",AN734="",O734=""),"",IF(OR(I734="SIM",K734="SIM",AF734="SIM",AL734="SIM",OR(AN734="Dados pessoais",AN734="Dados sensíveis",AN734="Dados pessoais e sensíveis"),O734="Acima de 10.000 titulares por mês",(IF(I734="SIM",2,0)+IF(K734="SIM",2,0)+IF(AF734="SIM",2,0)+IF(OR(AN734="Dados pessoais",AN734="Dados sensíveis",AN734="Dados pessoais e sensíveis"),2,0)+IF(O734="De 1.001 a 10.000 titulares por mês",1,0)+IF(AA734="SIM",1,0)+IF(R734="SIM",1,0)+IF(AL734="SIM",1,0)+IF(AJ734="NÃO",1,0))&gt;=3),"DPIA indicado ou em avaliação em razão de: " &amp; TRIM(IF(I734="SIM","tratamento de dados sensíveis; ","") &amp; IF(K734="SIM","utilização de dados de menores; ","") &amp; IF(AF734="SIM","transferência internacional de dados; ","") &amp; IF(AL734="SIM","utilização de inteligência artificial; ","") &amp; IF(OR(AN734="Dados pessoais",AN734="Dados sensíveis",AN734="Dados pessoais e sensíveis"),"dados inseridos em IA; ","") &amp; IF(O734="Acima de 10.000 titulares por mês","volume crítico de titulares; ","") &amp; IF(O734="De 1.001 a 10.000 titulares por mês","volume moderado de titulares; ","") &amp; IF(AA734="SIM","compartilhamento com terceiros; ","") &amp; IF(R734="SIM","compartilhamento com órgãos governamentais; ","") &amp; IF(AJ734="NÃO","ausência de controle de acesso por perfil; ","")),"DPIA não indicado: Processo de baixa criticidade."))</f>
      </c>
    </row>
    <row x14ac:dyDescent="0.25" r="735" customHeight="1" ht="15.75">
      <c r="A735" s="46"/>
      <c r="B735" s="6"/>
      <c r="C735" s="11"/>
      <c r="D735" s="11"/>
      <c r="E735" s="11"/>
      <c r="F735" s="29"/>
      <c r="G735" s="11"/>
      <c r="H735" s="11"/>
      <c r="I735" s="29"/>
      <c r="J735" s="11"/>
      <c r="K735" s="29"/>
      <c r="L735" s="11"/>
      <c r="M735" s="11"/>
      <c r="N735" s="11"/>
      <c r="O735" s="29"/>
      <c r="P735" s="29"/>
      <c r="Q735" s="11"/>
      <c r="R735" s="29"/>
      <c r="S735" s="11"/>
      <c r="T735" s="6"/>
      <c r="U735" s="29"/>
      <c r="V735" s="11"/>
      <c r="W735" s="11"/>
      <c r="X735" s="29"/>
      <c r="Y735" s="11"/>
      <c r="Z735" s="29"/>
      <c r="AA735" s="29"/>
      <c r="AB735" s="11"/>
      <c r="AC735" s="11"/>
      <c r="AD735" s="29"/>
      <c r="AE735" s="11"/>
      <c r="AF735" s="29"/>
      <c r="AG735" s="11"/>
      <c r="AH735" s="29"/>
      <c r="AI735" s="11"/>
      <c r="AJ735" s="29"/>
      <c r="AK735" s="29"/>
      <c r="AL735" s="29"/>
      <c r="AM735" s="11"/>
      <c r="AN735" s="29"/>
      <c r="AO735" s="29"/>
      <c r="AP735" s="6"/>
      <c r="AQ735" s="113">
        <f>IF(AND(I735="",K735="",AF735="",AL735="",AN735="",O735=""),"",IF(OR(I735="SIM",K735="SIM",AF735="SIM",AL735="SIM",AN735="Dados pessoais",AN735="Dados sensíveis",AN735="Dados pessoais e sensíveis",O735="Acima de 10.000 titulares por mês"),"SIM - Alta criticidade",IF((IF(I735="SIM",2,0)+IF(K735="SIM",2,0)+IF(AF735="SIM",2,0)+IF(OR(AN735="Dados pessoais",AN735="Dados sensíveis",AN735="Dados pessoais e sensíveis"),2,0)+IF(O735="De 1.001 a 10.000 titulares por mês",1,0)+IF(AA735="SIM",1,0)+IF(R735="SIM",1,0)+IF(AL735="SIM",1,0)+IF(AJ735="NÃO",1,0))&gt;=5,"SIM - Alta criticidade",IF((IF(I735="SIM",2,0)+IF(K735="SIM",2,0)+IF(AF735="SIM",2,0)+IF(OR(AN735="Dados pessoais",AN735="Dados sensíveis",AN735="Dados pessoais e sensíveis"),2,0)+IF(O735="De 1.001 a 10.000 titulares por mês",1,0)+IF(AA735="SIM",1,0)+IF(R735="SIM",1,0)+IF(AL735="SIM",1,0)+IF(AJ735="NÃO",1,0))&gt;=3,"Avaliação necessária","NÃO"))))</f>
      </c>
      <c r="AR735" s="11"/>
      <c r="AS735" s="113">
        <f>IF(AND(I735="",K735="",AF735="",AL735="",AN735="",O735=""),"",IF(OR(I735="SIM",K735="SIM",AF735="SIM",AL735="SIM",OR(AN735="Dados pessoais",AN735="Dados sensíveis",AN735="Dados pessoais e sensíveis"),O735="Acima de 10.000 titulares por mês",(IF(I735="SIM",2,0)+IF(K735="SIM",2,0)+IF(AF735="SIM",2,0)+IF(OR(AN735="Dados pessoais",AN735="Dados sensíveis",AN735="Dados pessoais e sensíveis"),2,0)+IF(O735="De 1.001 a 10.000 titulares por mês",1,0)+IF(AA735="SIM",1,0)+IF(R735="SIM",1,0)+IF(AL735="SIM",1,0)+IF(AJ735="NÃO",1,0))&gt;=3),"DPIA indicado ou em avaliação em razão de: " &amp; TRIM(IF(I735="SIM","tratamento de dados sensíveis; ","") &amp; IF(K735="SIM","utilização de dados de menores; ","") &amp; IF(AF735="SIM","transferência internacional de dados; ","") &amp; IF(AL735="SIM","utilização de inteligência artificial; ","") &amp; IF(OR(AN735="Dados pessoais",AN735="Dados sensíveis",AN735="Dados pessoais e sensíveis"),"dados inseridos em IA; ","") &amp; IF(O735="Acima de 10.000 titulares por mês","volume crítico de titulares; ","") &amp; IF(O735="De 1.001 a 10.000 titulares por mês","volume moderado de titulares; ","") &amp; IF(AA735="SIM","compartilhamento com terceiros; ","") &amp; IF(R735="SIM","compartilhamento com órgãos governamentais; ","") &amp; IF(AJ735="NÃO","ausência de controle de acesso por perfil; ","")),"DPIA não indicado: Processo de baixa criticidade."))</f>
      </c>
    </row>
    <row x14ac:dyDescent="0.25" r="736" customHeight="1" ht="15.75">
      <c r="A736" s="46"/>
      <c r="B736" s="6"/>
      <c r="C736" s="11"/>
      <c r="D736" s="11"/>
      <c r="E736" s="11"/>
      <c r="F736" s="29"/>
      <c r="G736" s="11"/>
      <c r="H736" s="11"/>
      <c r="I736" s="29"/>
      <c r="J736" s="11"/>
      <c r="K736" s="29"/>
      <c r="L736" s="11"/>
      <c r="M736" s="11"/>
      <c r="N736" s="11"/>
      <c r="O736" s="29"/>
      <c r="P736" s="29"/>
      <c r="Q736" s="11"/>
      <c r="R736" s="29"/>
      <c r="S736" s="11"/>
      <c r="T736" s="6"/>
      <c r="U736" s="29"/>
      <c r="V736" s="11"/>
      <c r="W736" s="11"/>
      <c r="X736" s="29"/>
      <c r="Y736" s="11"/>
      <c r="Z736" s="29"/>
      <c r="AA736" s="29"/>
      <c r="AB736" s="11"/>
      <c r="AC736" s="11"/>
      <c r="AD736" s="29"/>
      <c r="AE736" s="11"/>
      <c r="AF736" s="29"/>
      <c r="AG736" s="11"/>
      <c r="AH736" s="29"/>
      <c r="AI736" s="11"/>
      <c r="AJ736" s="29"/>
      <c r="AK736" s="29"/>
      <c r="AL736" s="29"/>
      <c r="AM736" s="11"/>
      <c r="AN736" s="29"/>
      <c r="AO736" s="29"/>
      <c r="AP736" s="6"/>
      <c r="AQ736" s="113">
        <f>IF(AND(I736="",K736="",AF736="",AL736="",AN736="",O736=""),"",IF(OR(I736="SIM",K736="SIM",AF736="SIM",AL736="SIM",AN736="Dados pessoais",AN736="Dados sensíveis",AN736="Dados pessoais e sensíveis",O736="Acima de 10.000 titulares por mês"),"SIM - Alta criticidade",IF((IF(I736="SIM",2,0)+IF(K736="SIM",2,0)+IF(AF736="SIM",2,0)+IF(OR(AN736="Dados pessoais",AN736="Dados sensíveis",AN736="Dados pessoais e sensíveis"),2,0)+IF(O736="De 1.001 a 10.000 titulares por mês",1,0)+IF(AA736="SIM",1,0)+IF(R736="SIM",1,0)+IF(AL736="SIM",1,0)+IF(AJ736="NÃO",1,0))&gt;=5,"SIM - Alta criticidade",IF((IF(I736="SIM",2,0)+IF(K736="SIM",2,0)+IF(AF736="SIM",2,0)+IF(OR(AN736="Dados pessoais",AN736="Dados sensíveis",AN736="Dados pessoais e sensíveis"),2,0)+IF(O736="De 1.001 a 10.000 titulares por mês",1,0)+IF(AA736="SIM",1,0)+IF(R736="SIM",1,0)+IF(AL736="SIM",1,0)+IF(AJ736="NÃO",1,0))&gt;=3,"Avaliação necessária","NÃO"))))</f>
      </c>
      <c r="AR736" s="11"/>
      <c r="AS736" s="113">
        <f>IF(AND(I736="",K736="",AF736="",AL736="",AN736="",O736=""),"",IF(OR(I736="SIM",K736="SIM",AF736="SIM",AL736="SIM",OR(AN736="Dados pessoais",AN736="Dados sensíveis",AN736="Dados pessoais e sensíveis"),O736="Acima de 10.000 titulares por mês",(IF(I736="SIM",2,0)+IF(K736="SIM",2,0)+IF(AF736="SIM",2,0)+IF(OR(AN736="Dados pessoais",AN736="Dados sensíveis",AN736="Dados pessoais e sensíveis"),2,0)+IF(O736="De 1.001 a 10.000 titulares por mês",1,0)+IF(AA736="SIM",1,0)+IF(R736="SIM",1,0)+IF(AL736="SIM",1,0)+IF(AJ736="NÃO",1,0))&gt;=3),"DPIA indicado ou em avaliação em razão de: " &amp; TRIM(IF(I736="SIM","tratamento de dados sensíveis; ","") &amp; IF(K736="SIM","utilização de dados de menores; ","") &amp; IF(AF736="SIM","transferência internacional de dados; ","") &amp; IF(AL736="SIM","utilização de inteligência artificial; ","") &amp; IF(OR(AN736="Dados pessoais",AN736="Dados sensíveis",AN736="Dados pessoais e sensíveis"),"dados inseridos em IA; ","") &amp; IF(O736="Acima de 10.000 titulares por mês","volume crítico de titulares; ","") &amp; IF(O736="De 1.001 a 10.000 titulares por mês","volume moderado de titulares; ","") &amp; IF(AA736="SIM","compartilhamento com terceiros; ","") &amp; IF(R736="SIM","compartilhamento com órgãos governamentais; ","") &amp; IF(AJ736="NÃO","ausência de controle de acesso por perfil; ","")),"DPIA não indicado: Processo de baixa criticidade."))</f>
      </c>
    </row>
    <row x14ac:dyDescent="0.25" r="737" customHeight="1" ht="15.75">
      <c r="A737" s="46"/>
      <c r="B737" s="6"/>
      <c r="C737" s="11"/>
      <c r="D737" s="11"/>
      <c r="E737" s="11"/>
      <c r="F737" s="29"/>
      <c r="G737" s="11"/>
      <c r="H737" s="11"/>
      <c r="I737" s="29"/>
      <c r="J737" s="11"/>
      <c r="K737" s="29"/>
      <c r="L737" s="11"/>
      <c r="M737" s="11"/>
      <c r="N737" s="11"/>
      <c r="O737" s="29"/>
      <c r="P737" s="29"/>
      <c r="Q737" s="11"/>
      <c r="R737" s="29"/>
      <c r="S737" s="11"/>
      <c r="T737" s="6"/>
      <c r="U737" s="29"/>
      <c r="V737" s="11"/>
      <c r="W737" s="11"/>
      <c r="X737" s="29"/>
      <c r="Y737" s="11"/>
      <c r="Z737" s="29"/>
      <c r="AA737" s="29"/>
      <c r="AB737" s="11"/>
      <c r="AC737" s="11"/>
      <c r="AD737" s="29"/>
      <c r="AE737" s="11"/>
      <c r="AF737" s="29"/>
      <c r="AG737" s="11"/>
      <c r="AH737" s="29"/>
      <c r="AI737" s="11"/>
      <c r="AJ737" s="29"/>
      <c r="AK737" s="29"/>
      <c r="AL737" s="29"/>
      <c r="AM737" s="11"/>
      <c r="AN737" s="29"/>
      <c r="AO737" s="29"/>
      <c r="AP737" s="6"/>
      <c r="AQ737" s="113">
        <f>IF(AND(I737="",K737="",AF737="",AL737="",AN737="",O737=""),"",IF(OR(I737="SIM",K737="SIM",AF737="SIM",AL737="SIM",AN737="Dados pessoais",AN737="Dados sensíveis",AN737="Dados pessoais e sensíveis",O737="Acima de 10.000 titulares por mês"),"SIM - Alta criticidade",IF((IF(I737="SIM",2,0)+IF(K737="SIM",2,0)+IF(AF737="SIM",2,0)+IF(OR(AN737="Dados pessoais",AN737="Dados sensíveis",AN737="Dados pessoais e sensíveis"),2,0)+IF(O737="De 1.001 a 10.000 titulares por mês",1,0)+IF(AA737="SIM",1,0)+IF(R737="SIM",1,0)+IF(AL737="SIM",1,0)+IF(AJ737="NÃO",1,0))&gt;=5,"SIM - Alta criticidade",IF((IF(I737="SIM",2,0)+IF(K737="SIM",2,0)+IF(AF737="SIM",2,0)+IF(OR(AN737="Dados pessoais",AN737="Dados sensíveis",AN737="Dados pessoais e sensíveis"),2,0)+IF(O737="De 1.001 a 10.000 titulares por mês",1,0)+IF(AA737="SIM",1,0)+IF(R737="SIM",1,0)+IF(AL737="SIM",1,0)+IF(AJ737="NÃO",1,0))&gt;=3,"Avaliação necessária","NÃO"))))</f>
      </c>
      <c r="AR737" s="11"/>
      <c r="AS737" s="113">
        <f>IF(AND(I737="",K737="",AF737="",AL737="",AN737="",O737=""),"",IF(OR(I737="SIM",K737="SIM",AF737="SIM",AL737="SIM",OR(AN737="Dados pessoais",AN737="Dados sensíveis",AN737="Dados pessoais e sensíveis"),O737="Acima de 10.000 titulares por mês",(IF(I737="SIM",2,0)+IF(K737="SIM",2,0)+IF(AF737="SIM",2,0)+IF(OR(AN737="Dados pessoais",AN737="Dados sensíveis",AN737="Dados pessoais e sensíveis"),2,0)+IF(O737="De 1.001 a 10.000 titulares por mês",1,0)+IF(AA737="SIM",1,0)+IF(R737="SIM",1,0)+IF(AL737="SIM",1,0)+IF(AJ737="NÃO",1,0))&gt;=3),"DPIA indicado ou em avaliação em razão de: " &amp; TRIM(IF(I737="SIM","tratamento de dados sensíveis; ","") &amp; IF(K737="SIM","utilização de dados de menores; ","") &amp; IF(AF737="SIM","transferência internacional de dados; ","") &amp; IF(AL737="SIM","utilização de inteligência artificial; ","") &amp; IF(OR(AN737="Dados pessoais",AN737="Dados sensíveis",AN737="Dados pessoais e sensíveis"),"dados inseridos em IA; ","") &amp; IF(O737="Acima de 10.000 titulares por mês","volume crítico de titulares; ","") &amp; IF(O737="De 1.001 a 10.000 titulares por mês","volume moderado de titulares; ","") &amp; IF(AA737="SIM","compartilhamento com terceiros; ","") &amp; IF(R737="SIM","compartilhamento com órgãos governamentais; ","") &amp; IF(AJ737="NÃO","ausência de controle de acesso por perfil; ","")),"DPIA não indicado: Processo de baixa criticidade."))</f>
      </c>
    </row>
    <row x14ac:dyDescent="0.25" r="738" customHeight="1" ht="15.75">
      <c r="A738" s="46"/>
      <c r="B738" s="6"/>
      <c r="C738" s="11"/>
      <c r="D738" s="11"/>
      <c r="E738" s="11"/>
      <c r="F738" s="29"/>
      <c r="G738" s="11"/>
      <c r="H738" s="11"/>
      <c r="I738" s="29"/>
      <c r="J738" s="11"/>
      <c r="K738" s="29"/>
      <c r="L738" s="11"/>
      <c r="M738" s="11"/>
      <c r="N738" s="11"/>
      <c r="O738" s="29"/>
      <c r="P738" s="29"/>
      <c r="Q738" s="11"/>
      <c r="R738" s="29"/>
      <c r="S738" s="11"/>
      <c r="T738" s="6"/>
      <c r="U738" s="29"/>
      <c r="V738" s="11"/>
      <c r="W738" s="11"/>
      <c r="X738" s="29"/>
      <c r="Y738" s="11"/>
      <c r="Z738" s="29"/>
      <c r="AA738" s="29"/>
      <c r="AB738" s="11"/>
      <c r="AC738" s="11"/>
      <c r="AD738" s="29"/>
      <c r="AE738" s="11"/>
      <c r="AF738" s="29"/>
      <c r="AG738" s="11"/>
      <c r="AH738" s="29"/>
      <c r="AI738" s="11"/>
      <c r="AJ738" s="29"/>
      <c r="AK738" s="29"/>
      <c r="AL738" s="29"/>
      <c r="AM738" s="11"/>
      <c r="AN738" s="29"/>
      <c r="AO738" s="29"/>
      <c r="AP738" s="6"/>
      <c r="AQ738" s="113">
        <f>IF(AND(I738="",K738="",AF738="",AL738="",AN738="",O738=""),"",IF(OR(I738="SIM",K738="SIM",AF738="SIM",AL738="SIM",AN738="Dados pessoais",AN738="Dados sensíveis",AN738="Dados pessoais e sensíveis",O738="Acima de 10.000 titulares por mês"),"SIM - Alta criticidade",IF((IF(I738="SIM",2,0)+IF(K738="SIM",2,0)+IF(AF738="SIM",2,0)+IF(OR(AN738="Dados pessoais",AN738="Dados sensíveis",AN738="Dados pessoais e sensíveis"),2,0)+IF(O738="De 1.001 a 10.000 titulares por mês",1,0)+IF(AA738="SIM",1,0)+IF(R738="SIM",1,0)+IF(AL738="SIM",1,0)+IF(AJ738="NÃO",1,0))&gt;=5,"SIM - Alta criticidade",IF((IF(I738="SIM",2,0)+IF(K738="SIM",2,0)+IF(AF738="SIM",2,0)+IF(OR(AN738="Dados pessoais",AN738="Dados sensíveis",AN738="Dados pessoais e sensíveis"),2,0)+IF(O738="De 1.001 a 10.000 titulares por mês",1,0)+IF(AA738="SIM",1,0)+IF(R738="SIM",1,0)+IF(AL738="SIM",1,0)+IF(AJ738="NÃO",1,0))&gt;=3,"Avaliação necessária","NÃO"))))</f>
      </c>
      <c r="AR738" s="11"/>
      <c r="AS738" s="113">
        <f>IF(AND(I738="",K738="",AF738="",AL738="",AN738="",O738=""),"",IF(OR(I738="SIM",K738="SIM",AF738="SIM",AL738="SIM",OR(AN738="Dados pessoais",AN738="Dados sensíveis",AN738="Dados pessoais e sensíveis"),O738="Acima de 10.000 titulares por mês",(IF(I738="SIM",2,0)+IF(K738="SIM",2,0)+IF(AF738="SIM",2,0)+IF(OR(AN738="Dados pessoais",AN738="Dados sensíveis",AN738="Dados pessoais e sensíveis"),2,0)+IF(O738="De 1.001 a 10.000 titulares por mês",1,0)+IF(AA738="SIM",1,0)+IF(R738="SIM",1,0)+IF(AL738="SIM",1,0)+IF(AJ738="NÃO",1,0))&gt;=3),"DPIA indicado ou em avaliação em razão de: " &amp; TRIM(IF(I738="SIM","tratamento de dados sensíveis; ","") &amp; IF(K738="SIM","utilização de dados de menores; ","") &amp; IF(AF738="SIM","transferência internacional de dados; ","") &amp; IF(AL738="SIM","utilização de inteligência artificial; ","") &amp; IF(OR(AN738="Dados pessoais",AN738="Dados sensíveis",AN738="Dados pessoais e sensíveis"),"dados inseridos em IA; ","") &amp; IF(O738="Acima de 10.000 titulares por mês","volume crítico de titulares; ","") &amp; IF(O738="De 1.001 a 10.000 titulares por mês","volume moderado de titulares; ","") &amp; IF(AA738="SIM","compartilhamento com terceiros; ","") &amp; IF(R738="SIM","compartilhamento com órgãos governamentais; ","") &amp; IF(AJ738="NÃO","ausência de controle de acesso por perfil; ","")),"DPIA não indicado: Processo de baixa criticidade."))</f>
      </c>
    </row>
    <row x14ac:dyDescent="0.25" r="739" customHeight="1" ht="15.75">
      <c r="A739" s="46"/>
      <c r="B739" s="6"/>
      <c r="C739" s="11"/>
      <c r="D739" s="11"/>
      <c r="E739" s="11"/>
      <c r="F739" s="29"/>
      <c r="G739" s="11"/>
      <c r="H739" s="11"/>
      <c r="I739" s="29"/>
      <c r="J739" s="11"/>
      <c r="K739" s="29"/>
      <c r="L739" s="11"/>
      <c r="M739" s="11"/>
      <c r="N739" s="11"/>
      <c r="O739" s="29"/>
      <c r="P739" s="29"/>
      <c r="Q739" s="11"/>
      <c r="R739" s="29"/>
      <c r="S739" s="11"/>
      <c r="T739" s="6"/>
      <c r="U739" s="29"/>
      <c r="V739" s="11"/>
      <c r="W739" s="11"/>
      <c r="X739" s="29"/>
      <c r="Y739" s="11"/>
      <c r="Z739" s="29"/>
      <c r="AA739" s="29"/>
      <c r="AB739" s="11"/>
      <c r="AC739" s="11"/>
      <c r="AD739" s="29"/>
      <c r="AE739" s="11"/>
      <c r="AF739" s="29"/>
      <c r="AG739" s="11"/>
      <c r="AH739" s="29"/>
      <c r="AI739" s="11"/>
      <c r="AJ739" s="29"/>
      <c r="AK739" s="29"/>
      <c r="AL739" s="29"/>
      <c r="AM739" s="11"/>
      <c r="AN739" s="29"/>
      <c r="AO739" s="29"/>
      <c r="AP739" s="6"/>
      <c r="AQ739" s="113">
        <f>IF(AND(I739="",K739="",AF739="",AL739="",AN739="",O739=""),"",IF(OR(I739="SIM",K739="SIM",AF739="SIM",AL739="SIM",AN739="Dados pessoais",AN739="Dados sensíveis",AN739="Dados pessoais e sensíveis",O739="Acima de 10.000 titulares por mês"),"SIM - Alta criticidade",IF((IF(I739="SIM",2,0)+IF(K739="SIM",2,0)+IF(AF739="SIM",2,0)+IF(OR(AN739="Dados pessoais",AN739="Dados sensíveis",AN739="Dados pessoais e sensíveis"),2,0)+IF(O739="De 1.001 a 10.000 titulares por mês",1,0)+IF(AA739="SIM",1,0)+IF(R739="SIM",1,0)+IF(AL739="SIM",1,0)+IF(AJ739="NÃO",1,0))&gt;=5,"SIM - Alta criticidade",IF((IF(I739="SIM",2,0)+IF(K739="SIM",2,0)+IF(AF739="SIM",2,0)+IF(OR(AN739="Dados pessoais",AN739="Dados sensíveis",AN739="Dados pessoais e sensíveis"),2,0)+IF(O739="De 1.001 a 10.000 titulares por mês",1,0)+IF(AA739="SIM",1,0)+IF(R739="SIM",1,0)+IF(AL739="SIM",1,0)+IF(AJ739="NÃO",1,0))&gt;=3,"Avaliação necessária","NÃO"))))</f>
      </c>
      <c r="AR739" s="11"/>
      <c r="AS739" s="113">
        <f>IF(AND(I739="",K739="",AF739="",AL739="",AN739="",O739=""),"",IF(OR(I739="SIM",K739="SIM",AF739="SIM",AL739="SIM",OR(AN739="Dados pessoais",AN739="Dados sensíveis",AN739="Dados pessoais e sensíveis"),O739="Acima de 10.000 titulares por mês",(IF(I739="SIM",2,0)+IF(K739="SIM",2,0)+IF(AF739="SIM",2,0)+IF(OR(AN739="Dados pessoais",AN739="Dados sensíveis",AN739="Dados pessoais e sensíveis"),2,0)+IF(O739="De 1.001 a 10.000 titulares por mês",1,0)+IF(AA739="SIM",1,0)+IF(R739="SIM",1,0)+IF(AL739="SIM",1,0)+IF(AJ739="NÃO",1,0))&gt;=3),"DPIA indicado ou em avaliação em razão de: " &amp; TRIM(IF(I739="SIM","tratamento de dados sensíveis; ","") &amp; IF(K739="SIM","utilização de dados de menores; ","") &amp; IF(AF739="SIM","transferência internacional de dados; ","") &amp; IF(AL739="SIM","utilização de inteligência artificial; ","") &amp; IF(OR(AN739="Dados pessoais",AN739="Dados sensíveis",AN739="Dados pessoais e sensíveis"),"dados inseridos em IA; ","") &amp; IF(O739="Acima de 10.000 titulares por mês","volume crítico de titulares; ","") &amp; IF(O739="De 1.001 a 10.000 titulares por mês","volume moderado de titulares; ","") &amp; IF(AA739="SIM","compartilhamento com terceiros; ","") &amp; IF(R739="SIM","compartilhamento com órgãos governamentais; ","") &amp; IF(AJ739="NÃO","ausência de controle de acesso por perfil; ","")),"DPIA não indicado: Processo de baixa criticidade."))</f>
      </c>
    </row>
    <row x14ac:dyDescent="0.25" r="740" customHeight="1" ht="15.75">
      <c r="A740" s="46"/>
      <c r="B740" s="6"/>
      <c r="C740" s="11"/>
      <c r="D740" s="11"/>
      <c r="E740" s="11"/>
      <c r="F740" s="29"/>
      <c r="G740" s="11"/>
      <c r="H740" s="11"/>
      <c r="I740" s="29"/>
      <c r="J740" s="11"/>
      <c r="K740" s="29"/>
      <c r="L740" s="11"/>
      <c r="M740" s="11"/>
      <c r="N740" s="11"/>
      <c r="O740" s="29"/>
      <c r="P740" s="29"/>
      <c r="Q740" s="11"/>
      <c r="R740" s="29"/>
      <c r="S740" s="11"/>
      <c r="T740" s="6"/>
      <c r="U740" s="29"/>
      <c r="V740" s="11"/>
      <c r="W740" s="11"/>
      <c r="X740" s="29"/>
      <c r="Y740" s="11"/>
      <c r="Z740" s="29"/>
      <c r="AA740" s="29"/>
      <c r="AB740" s="11"/>
      <c r="AC740" s="11"/>
      <c r="AD740" s="29"/>
      <c r="AE740" s="11"/>
      <c r="AF740" s="29"/>
      <c r="AG740" s="11"/>
      <c r="AH740" s="29"/>
      <c r="AI740" s="11"/>
      <c r="AJ740" s="29"/>
      <c r="AK740" s="29"/>
      <c r="AL740" s="29"/>
      <c r="AM740" s="11"/>
      <c r="AN740" s="29"/>
      <c r="AO740" s="29"/>
      <c r="AP740" s="6"/>
      <c r="AQ740" s="113">
        <f>IF(AND(I740="",K740="",AF740="",AL740="",AN740="",O740=""),"",IF(OR(I740="SIM",K740="SIM",AF740="SIM",AL740="SIM",AN740="Dados pessoais",AN740="Dados sensíveis",AN740="Dados pessoais e sensíveis",O740="Acima de 10.000 titulares por mês"),"SIM - Alta criticidade",IF((IF(I740="SIM",2,0)+IF(K740="SIM",2,0)+IF(AF740="SIM",2,0)+IF(OR(AN740="Dados pessoais",AN740="Dados sensíveis",AN740="Dados pessoais e sensíveis"),2,0)+IF(O740="De 1.001 a 10.000 titulares por mês",1,0)+IF(AA740="SIM",1,0)+IF(R740="SIM",1,0)+IF(AL740="SIM",1,0)+IF(AJ740="NÃO",1,0))&gt;=5,"SIM - Alta criticidade",IF((IF(I740="SIM",2,0)+IF(K740="SIM",2,0)+IF(AF740="SIM",2,0)+IF(OR(AN740="Dados pessoais",AN740="Dados sensíveis",AN740="Dados pessoais e sensíveis"),2,0)+IF(O740="De 1.001 a 10.000 titulares por mês",1,0)+IF(AA740="SIM",1,0)+IF(R740="SIM",1,0)+IF(AL740="SIM",1,0)+IF(AJ740="NÃO",1,0))&gt;=3,"Avaliação necessária","NÃO"))))</f>
      </c>
      <c r="AR740" s="11"/>
      <c r="AS740" s="113">
        <f>IF(AND(I740="",K740="",AF740="",AL740="",AN740="",O740=""),"",IF(OR(I740="SIM",K740="SIM",AF740="SIM",AL740="SIM",OR(AN740="Dados pessoais",AN740="Dados sensíveis",AN740="Dados pessoais e sensíveis"),O740="Acima de 10.000 titulares por mês",(IF(I740="SIM",2,0)+IF(K740="SIM",2,0)+IF(AF740="SIM",2,0)+IF(OR(AN740="Dados pessoais",AN740="Dados sensíveis",AN740="Dados pessoais e sensíveis"),2,0)+IF(O740="De 1.001 a 10.000 titulares por mês",1,0)+IF(AA740="SIM",1,0)+IF(R740="SIM",1,0)+IF(AL740="SIM",1,0)+IF(AJ740="NÃO",1,0))&gt;=3),"DPIA indicado ou em avaliação em razão de: " &amp; TRIM(IF(I740="SIM","tratamento de dados sensíveis; ","") &amp; IF(K740="SIM","utilização de dados de menores; ","") &amp; IF(AF740="SIM","transferência internacional de dados; ","") &amp; IF(AL740="SIM","utilização de inteligência artificial; ","") &amp; IF(OR(AN740="Dados pessoais",AN740="Dados sensíveis",AN740="Dados pessoais e sensíveis"),"dados inseridos em IA; ","") &amp; IF(O740="Acima de 10.000 titulares por mês","volume crítico de titulares; ","") &amp; IF(O740="De 1.001 a 10.000 titulares por mês","volume moderado de titulares; ","") &amp; IF(AA740="SIM","compartilhamento com terceiros; ","") &amp; IF(R740="SIM","compartilhamento com órgãos governamentais; ","") &amp; IF(AJ740="NÃO","ausência de controle de acesso por perfil; ","")),"DPIA não indicado: Processo de baixa criticidade."))</f>
      </c>
    </row>
    <row x14ac:dyDescent="0.25" r="741" customHeight="1" ht="15.75">
      <c r="A741" s="46"/>
      <c r="B741" s="6"/>
      <c r="C741" s="11"/>
      <c r="D741" s="11"/>
      <c r="E741" s="11"/>
      <c r="F741" s="29"/>
      <c r="G741" s="11"/>
      <c r="H741" s="11"/>
      <c r="I741" s="29"/>
      <c r="J741" s="11"/>
      <c r="K741" s="29"/>
      <c r="L741" s="11"/>
      <c r="M741" s="11"/>
      <c r="N741" s="11"/>
      <c r="O741" s="29"/>
      <c r="P741" s="29"/>
      <c r="Q741" s="11"/>
      <c r="R741" s="29"/>
      <c r="S741" s="11"/>
      <c r="T741" s="6"/>
      <c r="U741" s="29"/>
      <c r="V741" s="11"/>
      <c r="W741" s="11"/>
      <c r="X741" s="29"/>
      <c r="Y741" s="11"/>
      <c r="Z741" s="29"/>
      <c r="AA741" s="29"/>
      <c r="AB741" s="11"/>
      <c r="AC741" s="11"/>
      <c r="AD741" s="29"/>
      <c r="AE741" s="11"/>
      <c r="AF741" s="29"/>
      <c r="AG741" s="11"/>
      <c r="AH741" s="29"/>
      <c r="AI741" s="11"/>
      <c r="AJ741" s="29"/>
      <c r="AK741" s="29"/>
      <c r="AL741" s="29"/>
      <c r="AM741" s="11"/>
      <c r="AN741" s="29"/>
      <c r="AO741" s="29"/>
      <c r="AP741" s="6"/>
      <c r="AQ741" s="113">
        <f>IF(AND(I741="",K741="",AF741="",AL741="",AN741="",O741=""),"",IF(OR(I741="SIM",K741="SIM",AF741="SIM",AL741="SIM",AN741="Dados pessoais",AN741="Dados sensíveis",AN741="Dados pessoais e sensíveis",O741="Acima de 10.000 titulares por mês"),"SIM - Alta criticidade",IF((IF(I741="SIM",2,0)+IF(K741="SIM",2,0)+IF(AF741="SIM",2,0)+IF(OR(AN741="Dados pessoais",AN741="Dados sensíveis",AN741="Dados pessoais e sensíveis"),2,0)+IF(O741="De 1.001 a 10.000 titulares por mês",1,0)+IF(AA741="SIM",1,0)+IF(R741="SIM",1,0)+IF(AL741="SIM",1,0)+IF(AJ741="NÃO",1,0))&gt;=5,"SIM - Alta criticidade",IF((IF(I741="SIM",2,0)+IF(K741="SIM",2,0)+IF(AF741="SIM",2,0)+IF(OR(AN741="Dados pessoais",AN741="Dados sensíveis",AN741="Dados pessoais e sensíveis"),2,0)+IF(O741="De 1.001 a 10.000 titulares por mês",1,0)+IF(AA741="SIM",1,0)+IF(R741="SIM",1,0)+IF(AL741="SIM",1,0)+IF(AJ741="NÃO",1,0))&gt;=3,"Avaliação necessária","NÃO"))))</f>
      </c>
      <c r="AR741" s="11"/>
      <c r="AS741" s="113">
        <f>IF(AND(I741="",K741="",AF741="",AL741="",AN741="",O741=""),"",IF(OR(I741="SIM",K741="SIM",AF741="SIM",AL741="SIM",OR(AN741="Dados pessoais",AN741="Dados sensíveis",AN741="Dados pessoais e sensíveis"),O741="Acima de 10.000 titulares por mês",(IF(I741="SIM",2,0)+IF(K741="SIM",2,0)+IF(AF741="SIM",2,0)+IF(OR(AN741="Dados pessoais",AN741="Dados sensíveis",AN741="Dados pessoais e sensíveis"),2,0)+IF(O741="De 1.001 a 10.000 titulares por mês",1,0)+IF(AA741="SIM",1,0)+IF(R741="SIM",1,0)+IF(AL741="SIM",1,0)+IF(AJ741="NÃO",1,0))&gt;=3),"DPIA indicado ou em avaliação em razão de: " &amp; TRIM(IF(I741="SIM","tratamento de dados sensíveis; ","") &amp; IF(K741="SIM","utilização de dados de menores; ","") &amp; IF(AF741="SIM","transferência internacional de dados; ","") &amp; IF(AL741="SIM","utilização de inteligência artificial; ","") &amp; IF(OR(AN741="Dados pessoais",AN741="Dados sensíveis",AN741="Dados pessoais e sensíveis"),"dados inseridos em IA; ","") &amp; IF(O741="Acima de 10.000 titulares por mês","volume crítico de titulares; ","") &amp; IF(O741="De 1.001 a 10.000 titulares por mês","volume moderado de titulares; ","") &amp; IF(AA741="SIM","compartilhamento com terceiros; ","") &amp; IF(R741="SIM","compartilhamento com órgãos governamentais; ","") &amp; IF(AJ741="NÃO","ausência de controle de acesso por perfil; ","")),"DPIA não indicado: Processo de baixa criticidade."))</f>
      </c>
    </row>
    <row x14ac:dyDescent="0.25" r="742" customHeight="1" ht="15.75">
      <c r="A742" s="46"/>
      <c r="B742" s="6"/>
      <c r="C742" s="11"/>
      <c r="D742" s="11"/>
      <c r="E742" s="11"/>
      <c r="F742" s="29"/>
      <c r="G742" s="11"/>
      <c r="H742" s="11"/>
      <c r="I742" s="29"/>
      <c r="J742" s="11"/>
      <c r="K742" s="29"/>
      <c r="L742" s="11"/>
      <c r="M742" s="11"/>
      <c r="N742" s="11"/>
      <c r="O742" s="29"/>
      <c r="P742" s="29"/>
      <c r="Q742" s="11"/>
      <c r="R742" s="29"/>
      <c r="S742" s="11"/>
      <c r="T742" s="6"/>
      <c r="U742" s="29"/>
      <c r="V742" s="11"/>
      <c r="W742" s="11"/>
      <c r="X742" s="29"/>
      <c r="Y742" s="11"/>
      <c r="Z742" s="29"/>
      <c r="AA742" s="29"/>
      <c r="AB742" s="11"/>
      <c r="AC742" s="11"/>
      <c r="AD742" s="29"/>
      <c r="AE742" s="11"/>
      <c r="AF742" s="29"/>
      <c r="AG742" s="11"/>
      <c r="AH742" s="29"/>
      <c r="AI742" s="11"/>
      <c r="AJ742" s="29"/>
      <c r="AK742" s="29"/>
      <c r="AL742" s="29"/>
      <c r="AM742" s="11"/>
      <c r="AN742" s="29"/>
      <c r="AO742" s="29"/>
      <c r="AP742" s="6"/>
      <c r="AQ742" s="113">
        <f>IF(AND(I742="",K742="",AF742="",AL742="",AN742="",O742=""),"",IF(OR(I742="SIM",K742="SIM",AF742="SIM",AL742="SIM",AN742="Dados pessoais",AN742="Dados sensíveis",AN742="Dados pessoais e sensíveis",O742="Acima de 10.000 titulares por mês"),"SIM - Alta criticidade",IF((IF(I742="SIM",2,0)+IF(K742="SIM",2,0)+IF(AF742="SIM",2,0)+IF(OR(AN742="Dados pessoais",AN742="Dados sensíveis",AN742="Dados pessoais e sensíveis"),2,0)+IF(O742="De 1.001 a 10.000 titulares por mês",1,0)+IF(AA742="SIM",1,0)+IF(R742="SIM",1,0)+IF(AL742="SIM",1,0)+IF(AJ742="NÃO",1,0))&gt;=5,"SIM - Alta criticidade",IF((IF(I742="SIM",2,0)+IF(K742="SIM",2,0)+IF(AF742="SIM",2,0)+IF(OR(AN742="Dados pessoais",AN742="Dados sensíveis",AN742="Dados pessoais e sensíveis"),2,0)+IF(O742="De 1.001 a 10.000 titulares por mês",1,0)+IF(AA742="SIM",1,0)+IF(R742="SIM",1,0)+IF(AL742="SIM",1,0)+IF(AJ742="NÃO",1,0))&gt;=3,"Avaliação necessária","NÃO"))))</f>
      </c>
      <c r="AR742" s="11"/>
      <c r="AS742" s="113">
        <f>IF(AND(I742="",K742="",AF742="",AL742="",AN742="",O742=""),"",IF(OR(I742="SIM",K742="SIM",AF742="SIM",AL742="SIM",OR(AN742="Dados pessoais",AN742="Dados sensíveis",AN742="Dados pessoais e sensíveis"),O742="Acima de 10.000 titulares por mês",(IF(I742="SIM",2,0)+IF(K742="SIM",2,0)+IF(AF742="SIM",2,0)+IF(OR(AN742="Dados pessoais",AN742="Dados sensíveis",AN742="Dados pessoais e sensíveis"),2,0)+IF(O742="De 1.001 a 10.000 titulares por mês",1,0)+IF(AA742="SIM",1,0)+IF(R742="SIM",1,0)+IF(AL742="SIM",1,0)+IF(AJ742="NÃO",1,0))&gt;=3),"DPIA indicado ou em avaliação em razão de: " &amp; TRIM(IF(I742="SIM","tratamento de dados sensíveis; ","") &amp; IF(K742="SIM","utilização de dados de menores; ","") &amp; IF(AF742="SIM","transferência internacional de dados; ","") &amp; IF(AL742="SIM","utilização de inteligência artificial; ","") &amp; IF(OR(AN742="Dados pessoais",AN742="Dados sensíveis",AN742="Dados pessoais e sensíveis"),"dados inseridos em IA; ","") &amp; IF(O742="Acima de 10.000 titulares por mês","volume crítico de titulares; ","") &amp; IF(O742="De 1.001 a 10.000 titulares por mês","volume moderado de titulares; ","") &amp; IF(AA742="SIM","compartilhamento com terceiros; ","") &amp; IF(R742="SIM","compartilhamento com órgãos governamentais; ","") &amp; IF(AJ742="NÃO","ausência de controle de acesso por perfil; ","")),"DPIA não indicado: Processo de baixa criticidade."))</f>
      </c>
    </row>
    <row x14ac:dyDescent="0.25" r="743" customHeight="1" ht="15.75">
      <c r="A743" s="46"/>
      <c r="B743" s="6"/>
      <c r="C743" s="11"/>
      <c r="D743" s="11"/>
      <c r="E743" s="11"/>
      <c r="F743" s="29"/>
      <c r="G743" s="11"/>
      <c r="H743" s="11"/>
      <c r="I743" s="29"/>
      <c r="J743" s="11"/>
      <c r="K743" s="29"/>
      <c r="L743" s="11"/>
      <c r="M743" s="11"/>
      <c r="N743" s="11"/>
      <c r="O743" s="29"/>
      <c r="P743" s="29"/>
      <c r="Q743" s="11"/>
      <c r="R743" s="29"/>
      <c r="S743" s="11"/>
      <c r="T743" s="6"/>
      <c r="U743" s="29"/>
      <c r="V743" s="11"/>
      <c r="W743" s="11"/>
      <c r="X743" s="29"/>
      <c r="Y743" s="11"/>
      <c r="Z743" s="29"/>
      <c r="AA743" s="29"/>
      <c r="AB743" s="11"/>
      <c r="AC743" s="11"/>
      <c r="AD743" s="29"/>
      <c r="AE743" s="11"/>
      <c r="AF743" s="29"/>
      <c r="AG743" s="11"/>
      <c r="AH743" s="29"/>
      <c r="AI743" s="11"/>
      <c r="AJ743" s="29"/>
      <c r="AK743" s="29"/>
      <c r="AL743" s="29"/>
      <c r="AM743" s="11"/>
      <c r="AN743" s="29"/>
      <c r="AO743" s="29"/>
      <c r="AP743" s="6"/>
      <c r="AQ743" s="113">
        <f>IF(AND(I743="",K743="",AF743="",AL743="",AN743="",O743=""),"",IF(OR(I743="SIM",K743="SIM",AF743="SIM",AL743="SIM",AN743="Dados pessoais",AN743="Dados sensíveis",AN743="Dados pessoais e sensíveis",O743="Acima de 10.000 titulares por mês"),"SIM - Alta criticidade",IF((IF(I743="SIM",2,0)+IF(K743="SIM",2,0)+IF(AF743="SIM",2,0)+IF(OR(AN743="Dados pessoais",AN743="Dados sensíveis",AN743="Dados pessoais e sensíveis"),2,0)+IF(O743="De 1.001 a 10.000 titulares por mês",1,0)+IF(AA743="SIM",1,0)+IF(R743="SIM",1,0)+IF(AL743="SIM",1,0)+IF(AJ743="NÃO",1,0))&gt;=5,"SIM - Alta criticidade",IF((IF(I743="SIM",2,0)+IF(K743="SIM",2,0)+IF(AF743="SIM",2,0)+IF(OR(AN743="Dados pessoais",AN743="Dados sensíveis",AN743="Dados pessoais e sensíveis"),2,0)+IF(O743="De 1.001 a 10.000 titulares por mês",1,0)+IF(AA743="SIM",1,0)+IF(R743="SIM",1,0)+IF(AL743="SIM",1,0)+IF(AJ743="NÃO",1,0))&gt;=3,"Avaliação necessária","NÃO"))))</f>
      </c>
      <c r="AR743" s="11"/>
      <c r="AS743" s="113">
        <f>IF(AND(I743="",K743="",AF743="",AL743="",AN743="",O743=""),"",IF(OR(I743="SIM",K743="SIM",AF743="SIM",AL743="SIM",OR(AN743="Dados pessoais",AN743="Dados sensíveis",AN743="Dados pessoais e sensíveis"),O743="Acima de 10.000 titulares por mês",(IF(I743="SIM",2,0)+IF(K743="SIM",2,0)+IF(AF743="SIM",2,0)+IF(OR(AN743="Dados pessoais",AN743="Dados sensíveis",AN743="Dados pessoais e sensíveis"),2,0)+IF(O743="De 1.001 a 10.000 titulares por mês",1,0)+IF(AA743="SIM",1,0)+IF(R743="SIM",1,0)+IF(AL743="SIM",1,0)+IF(AJ743="NÃO",1,0))&gt;=3),"DPIA indicado ou em avaliação em razão de: " &amp; TRIM(IF(I743="SIM","tratamento de dados sensíveis; ","") &amp; IF(K743="SIM","utilização de dados de menores; ","") &amp; IF(AF743="SIM","transferência internacional de dados; ","") &amp; IF(AL743="SIM","utilização de inteligência artificial; ","") &amp; IF(OR(AN743="Dados pessoais",AN743="Dados sensíveis",AN743="Dados pessoais e sensíveis"),"dados inseridos em IA; ","") &amp; IF(O743="Acima de 10.000 titulares por mês","volume crítico de titulares; ","") &amp; IF(O743="De 1.001 a 10.000 titulares por mês","volume moderado de titulares; ","") &amp; IF(AA743="SIM","compartilhamento com terceiros; ","") &amp; IF(R743="SIM","compartilhamento com órgãos governamentais; ","") &amp; IF(AJ743="NÃO","ausência de controle de acesso por perfil; ","")),"DPIA não indicado: Processo de baixa criticidade."))</f>
      </c>
    </row>
    <row x14ac:dyDescent="0.25" r="744" customHeight="1" ht="15.75">
      <c r="A744" s="46"/>
      <c r="B744" s="6"/>
      <c r="C744" s="11"/>
      <c r="D744" s="11"/>
      <c r="E744" s="11"/>
      <c r="F744" s="29"/>
      <c r="G744" s="11"/>
      <c r="H744" s="11"/>
      <c r="I744" s="29"/>
      <c r="J744" s="11"/>
      <c r="K744" s="29"/>
      <c r="L744" s="11"/>
      <c r="M744" s="11"/>
      <c r="N744" s="11"/>
      <c r="O744" s="29"/>
      <c r="P744" s="29"/>
      <c r="Q744" s="11"/>
      <c r="R744" s="29"/>
      <c r="S744" s="11"/>
      <c r="T744" s="6"/>
      <c r="U744" s="29"/>
      <c r="V744" s="11"/>
      <c r="W744" s="11"/>
      <c r="X744" s="29"/>
      <c r="Y744" s="11"/>
      <c r="Z744" s="29"/>
      <c r="AA744" s="29"/>
      <c r="AB744" s="11"/>
      <c r="AC744" s="11"/>
      <c r="AD744" s="29"/>
      <c r="AE744" s="11"/>
      <c r="AF744" s="29"/>
      <c r="AG744" s="11"/>
      <c r="AH744" s="29"/>
      <c r="AI744" s="11"/>
      <c r="AJ744" s="29"/>
      <c r="AK744" s="29"/>
      <c r="AL744" s="29"/>
      <c r="AM744" s="11"/>
      <c r="AN744" s="29"/>
      <c r="AO744" s="29"/>
      <c r="AP744" s="6"/>
      <c r="AQ744" s="113">
        <f>IF(AND(I744="",K744="",AF744="",AL744="",AN744="",O744=""),"",IF(OR(I744="SIM",K744="SIM",AF744="SIM",AL744="SIM",AN744="Dados pessoais",AN744="Dados sensíveis",AN744="Dados pessoais e sensíveis",O744="Acima de 10.000 titulares por mês"),"SIM - Alta criticidade",IF((IF(I744="SIM",2,0)+IF(K744="SIM",2,0)+IF(AF744="SIM",2,0)+IF(OR(AN744="Dados pessoais",AN744="Dados sensíveis",AN744="Dados pessoais e sensíveis"),2,0)+IF(O744="De 1.001 a 10.000 titulares por mês",1,0)+IF(AA744="SIM",1,0)+IF(R744="SIM",1,0)+IF(AL744="SIM",1,0)+IF(AJ744="NÃO",1,0))&gt;=5,"SIM - Alta criticidade",IF((IF(I744="SIM",2,0)+IF(K744="SIM",2,0)+IF(AF744="SIM",2,0)+IF(OR(AN744="Dados pessoais",AN744="Dados sensíveis",AN744="Dados pessoais e sensíveis"),2,0)+IF(O744="De 1.001 a 10.000 titulares por mês",1,0)+IF(AA744="SIM",1,0)+IF(R744="SIM",1,0)+IF(AL744="SIM",1,0)+IF(AJ744="NÃO",1,0))&gt;=3,"Avaliação necessária","NÃO"))))</f>
      </c>
      <c r="AR744" s="11"/>
      <c r="AS744" s="113">
        <f>IF(AND(I744="",K744="",AF744="",AL744="",AN744="",O744=""),"",IF(OR(I744="SIM",K744="SIM",AF744="SIM",AL744="SIM",OR(AN744="Dados pessoais",AN744="Dados sensíveis",AN744="Dados pessoais e sensíveis"),O744="Acima de 10.000 titulares por mês",(IF(I744="SIM",2,0)+IF(K744="SIM",2,0)+IF(AF744="SIM",2,0)+IF(OR(AN744="Dados pessoais",AN744="Dados sensíveis",AN744="Dados pessoais e sensíveis"),2,0)+IF(O744="De 1.001 a 10.000 titulares por mês",1,0)+IF(AA744="SIM",1,0)+IF(R744="SIM",1,0)+IF(AL744="SIM",1,0)+IF(AJ744="NÃO",1,0))&gt;=3),"DPIA indicado ou em avaliação em razão de: " &amp; TRIM(IF(I744="SIM","tratamento de dados sensíveis; ","") &amp; IF(K744="SIM","utilização de dados de menores; ","") &amp; IF(AF744="SIM","transferência internacional de dados; ","") &amp; IF(AL744="SIM","utilização de inteligência artificial; ","") &amp; IF(OR(AN744="Dados pessoais",AN744="Dados sensíveis",AN744="Dados pessoais e sensíveis"),"dados inseridos em IA; ","") &amp; IF(O744="Acima de 10.000 titulares por mês","volume crítico de titulares; ","") &amp; IF(O744="De 1.001 a 10.000 titulares por mês","volume moderado de titulares; ","") &amp; IF(AA744="SIM","compartilhamento com terceiros; ","") &amp; IF(R744="SIM","compartilhamento com órgãos governamentais; ","") &amp; IF(AJ744="NÃO","ausência de controle de acesso por perfil; ","")),"DPIA não indicado: Processo de baixa criticidade."))</f>
      </c>
    </row>
    <row x14ac:dyDescent="0.25" r="745" customHeight="1" ht="15.75">
      <c r="A745" s="46"/>
      <c r="B745" s="6"/>
      <c r="C745" s="11"/>
      <c r="D745" s="11"/>
      <c r="E745" s="11"/>
      <c r="F745" s="29"/>
      <c r="G745" s="11"/>
      <c r="H745" s="11"/>
      <c r="I745" s="29"/>
      <c r="J745" s="11"/>
      <c r="K745" s="29"/>
      <c r="L745" s="11"/>
      <c r="M745" s="11"/>
      <c r="N745" s="11"/>
      <c r="O745" s="29"/>
      <c r="P745" s="29"/>
      <c r="Q745" s="11"/>
      <c r="R745" s="29"/>
      <c r="S745" s="11"/>
      <c r="T745" s="6"/>
      <c r="U745" s="29"/>
      <c r="V745" s="11"/>
      <c r="W745" s="11"/>
      <c r="X745" s="29"/>
      <c r="Y745" s="11"/>
      <c r="Z745" s="29"/>
      <c r="AA745" s="29"/>
      <c r="AB745" s="11"/>
      <c r="AC745" s="11"/>
      <c r="AD745" s="29"/>
      <c r="AE745" s="11"/>
      <c r="AF745" s="29"/>
      <c r="AG745" s="11"/>
      <c r="AH745" s="29"/>
      <c r="AI745" s="11"/>
      <c r="AJ745" s="29"/>
      <c r="AK745" s="29"/>
      <c r="AL745" s="29"/>
      <c r="AM745" s="11"/>
      <c r="AN745" s="29"/>
      <c r="AO745" s="29"/>
      <c r="AP745" s="6"/>
      <c r="AQ745" s="113">
        <f>IF(AND(I745="",K745="",AF745="",AL745="",AN745="",O745=""),"",IF(OR(I745="SIM",K745="SIM",AF745="SIM",AL745="SIM",AN745="Dados pessoais",AN745="Dados sensíveis",AN745="Dados pessoais e sensíveis",O745="Acima de 10.000 titulares por mês"),"SIM - Alta criticidade",IF((IF(I745="SIM",2,0)+IF(K745="SIM",2,0)+IF(AF745="SIM",2,0)+IF(OR(AN745="Dados pessoais",AN745="Dados sensíveis",AN745="Dados pessoais e sensíveis"),2,0)+IF(O745="De 1.001 a 10.000 titulares por mês",1,0)+IF(AA745="SIM",1,0)+IF(R745="SIM",1,0)+IF(AL745="SIM",1,0)+IF(AJ745="NÃO",1,0))&gt;=5,"SIM - Alta criticidade",IF((IF(I745="SIM",2,0)+IF(K745="SIM",2,0)+IF(AF745="SIM",2,0)+IF(OR(AN745="Dados pessoais",AN745="Dados sensíveis",AN745="Dados pessoais e sensíveis"),2,0)+IF(O745="De 1.001 a 10.000 titulares por mês",1,0)+IF(AA745="SIM",1,0)+IF(R745="SIM",1,0)+IF(AL745="SIM",1,0)+IF(AJ745="NÃO",1,0))&gt;=3,"Avaliação necessária","NÃO"))))</f>
      </c>
      <c r="AR745" s="11"/>
      <c r="AS745" s="113">
        <f>IF(AND(I745="",K745="",AF745="",AL745="",AN745="",O745=""),"",IF(OR(I745="SIM",K745="SIM",AF745="SIM",AL745="SIM",OR(AN745="Dados pessoais",AN745="Dados sensíveis",AN745="Dados pessoais e sensíveis"),O745="Acima de 10.000 titulares por mês",(IF(I745="SIM",2,0)+IF(K745="SIM",2,0)+IF(AF745="SIM",2,0)+IF(OR(AN745="Dados pessoais",AN745="Dados sensíveis",AN745="Dados pessoais e sensíveis"),2,0)+IF(O745="De 1.001 a 10.000 titulares por mês",1,0)+IF(AA745="SIM",1,0)+IF(R745="SIM",1,0)+IF(AL745="SIM",1,0)+IF(AJ745="NÃO",1,0))&gt;=3),"DPIA indicado ou em avaliação em razão de: " &amp; TRIM(IF(I745="SIM","tratamento de dados sensíveis; ","") &amp; IF(K745="SIM","utilização de dados de menores; ","") &amp; IF(AF745="SIM","transferência internacional de dados; ","") &amp; IF(AL745="SIM","utilização de inteligência artificial; ","") &amp; IF(OR(AN745="Dados pessoais",AN745="Dados sensíveis",AN745="Dados pessoais e sensíveis"),"dados inseridos em IA; ","") &amp; IF(O745="Acima de 10.000 titulares por mês","volume crítico de titulares; ","") &amp; IF(O745="De 1.001 a 10.000 titulares por mês","volume moderado de titulares; ","") &amp; IF(AA745="SIM","compartilhamento com terceiros; ","") &amp; IF(R745="SIM","compartilhamento com órgãos governamentais; ","") &amp; IF(AJ745="NÃO","ausência de controle de acesso por perfil; ","")),"DPIA não indicado: Processo de baixa criticidade."))</f>
      </c>
    </row>
    <row x14ac:dyDescent="0.25" r="746" customHeight="1" ht="15.75">
      <c r="A746" s="46"/>
      <c r="B746" s="6"/>
      <c r="C746" s="11"/>
      <c r="D746" s="11"/>
      <c r="E746" s="11"/>
      <c r="F746" s="29"/>
      <c r="G746" s="11"/>
      <c r="H746" s="11"/>
      <c r="I746" s="29"/>
      <c r="J746" s="11"/>
      <c r="K746" s="29"/>
      <c r="L746" s="11"/>
      <c r="M746" s="11"/>
      <c r="N746" s="11"/>
      <c r="O746" s="29"/>
      <c r="P746" s="29"/>
      <c r="Q746" s="11"/>
      <c r="R746" s="29"/>
      <c r="S746" s="11"/>
      <c r="T746" s="6"/>
      <c r="U746" s="29"/>
      <c r="V746" s="11"/>
      <c r="W746" s="11"/>
      <c r="X746" s="29"/>
      <c r="Y746" s="11"/>
      <c r="Z746" s="29"/>
      <c r="AA746" s="29"/>
      <c r="AB746" s="11"/>
      <c r="AC746" s="11"/>
      <c r="AD746" s="29"/>
      <c r="AE746" s="11"/>
      <c r="AF746" s="29"/>
      <c r="AG746" s="11"/>
      <c r="AH746" s="29"/>
      <c r="AI746" s="11"/>
      <c r="AJ746" s="29"/>
      <c r="AK746" s="29"/>
      <c r="AL746" s="29"/>
      <c r="AM746" s="11"/>
      <c r="AN746" s="29"/>
      <c r="AO746" s="29"/>
      <c r="AP746" s="6"/>
      <c r="AQ746" s="113">
        <f>IF(AND(I746="",K746="",AF746="",AL746="",AN746="",O746=""),"",IF(OR(I746="SIM",K746="SIM",AF746="SIM",AL746="SIM",AN746="Dados pessoais",AN746="Dados sensíveis",AN746="Dados pessoais e sensíveis",O746="Acima de 10.000 titulares por mês"),"SIM - Alta criticidade",IF((IF(I746="SIM",2,0)+IF(K746="SIM",2,0)+IF(AF746="SIM",2,0)+IF(OR(AN746="Dados pessoais",AN746="Dados sensíveis",AN746="Dados pessoais e sensíveis"),2,0)+IF(O746="De 1.001 a 10.000 titulares por mês",1,0)+IF(AA746="SIM",1,0)+IF(R746="SIM",1,0)+IF(AL746="SIM",1,0)+IF(AJ746="NÃO",1,0))&gt;=5,"SIM - Alta criticidade",IF((IF(I746="SIM",2,0)+IF(K746="SIM",2,0)+IF(AF746="SIM",2,0)+IF(OR(AN746="Dados pessoais",AN746="Dados sensíveis",AN746="Dados pessoais e sensíveis"),2,0)+IF(O746="De 1.001 a 10.000 titulares por mês",1,0)+IF(AA746="SIM",1,0)+IF(R746="SIM",1,0)+IF(AL746="SIM",1,0)+IF(AJ746="NÃO",1,0))&gt;=3,"Avaliação necessária","NÃO"))))</f>
      </c>
      <c r="AR746" s="11"/>
      <c r="AS746" s="113">
        <f>IF(AND(I746="",K746="",AF746="",AL746="",AN746="",O746=""),"",IF(OR(I746="SIM",K746="SIM",AF746="SIM",AL746="SIM",OR(AN746="Dados pessoais",AN746="Dados sensíveis",AN746="Dados pessoais e sensíveis"),O746="Acima de 10.000 titulares por mês",(IF(I746="SIM",2,0)+IF(K746="SIM",2,0)+IF(AF746="SIM",2,0)+IF(OR(AN746="Dados pessoais",AN746="Dados sensíveis",AN746="Dados pessoais e sensíveis"),2,0)+IF(O746="De 1.001 a 10.000 titulares por mês",1,0)+IF(AA746="SIM",1,0)+IF(R746="SIM",1,0)+IF(AL746="SIM",1,0)+IF(AJ746="NÃO",1,0))&gt;=3),"DPIA indicado ou em avaliação em razão de: " &amp; TRIM(IF(I746="SIM","tratamento de dados sensíveis; ","") &amp; IF(K746="SIM","utilização de dados de menores; ","") &amp; IF(AF746="SIM","transferência internacional de dados; ","") &amp; IF(AL746="SIM","utilização de inteligência artificial; ","") &amp; IF(OR(AN746="Dados pessoais",AN746="Dados sensíveis",AN746="Dados pessoais e sensíveis"),"dados inseridos em IA; ","") &amp; IF(O746="Acima de 10.000 titulares por mês","volume crítico de titulares; ","") &amp; IF(O746="De 1.001 a 10.000 titulares por mês","volume moderado de titulares; ","") &amp; IF(AA746="SIM","compartilhamento com terceiros; ","") &amp; IF(R746="SIM","compartilhamento com órgãos governamentais; ","") &amp; IF(AJ746="NÃO","ausência de controle de acesso por perfil; ","")),"DPIA não indicado: Processo de baixa criticidade."))</f>
      </c>
    </row>
    <row x14ac:dyDescent="0.25" r="747" customHeight="1" ht="15.75">
      <c r="A747" s="46"/>
      <c r="B747" s="6"/>
      <c r="C747" s="11"/>
      <c r="D747" s="11"/>
      <c r="E747" s="11"/>
      <c r="F747" s="29"/>
      <c r="G747" s="11"/>
      <c r="H747" s="11"/>
      <c r="I747" s="29"/>
      <c r="J747" s="11"/>
      <c r="K747" s="29"/>
      <c r="L747" s="11"/>
      <c r="M747" s="11"/>
      <c r="N747" s="11"/>
      <c r="O747" s="29"/>
      <c r="P747" s="29"/>
      <c r="Q747" s="11"/>
      <c r="R747" s="29"/>
      <c r="S747" s="11"/>
      <c r="T747" s="6"/>
      <c r="U747" s="29"/>
      <c r="V747" s="11"/>
      <c r="W747" s="11"/>
      <c r="X747" s="29"/>
      <c r="Y747" s="11"/>
      <c r="Z747" s="29"/>
      <c r="AA747" s="29"/>
      <c r="AB747" s="11"/>
      <c r="AC747" s="11"/>
      <c r="AD747" s="29"/>
      <c r="AE747" s="11"/>
      <c r="AF747" s="29"/>
      <c r="AG747" s="11"/>
      <c r="AH747" s="29"/>
      <c r="AI747" s="11"/>
      <c r="AJ747" s="29"/>
      <c r="AK747" s="29"/>
      <c r="AL747" s="29"/>
      <c r="AM747" s="11"/>
      <c r="AN747" s="29"/>
      <c r="AO747" s="29"/>
      <c r="AP747" s="6"/>
      <c r="AQ747" s="113">
        <f>IF(AND(I747="",K747="",AF747="",AL747="",AN747="",O747=""),"",IF(OR(I747="SIM",K747="SIM",AF747="SIM",AL747="SIM",AN747="Dados pessoais",AN747="Dados sensíveis",AN747="Dados pessoais e sensíveis",O747="Acima de 10.000 titulares por mês"),"SIM - Alta criticidade",IF((IF(I747="SIM",2,0)+IF(K747="SIM",2,0)+IF(AF747="SIM",2,0)+IF(OR(AN747="Dados pessoais",AN747="Dados sensíveis",AN747="Dados pessoais e sensíveis"),2,0)+IF(O747="De 1.001 a 10.000 titulares por mês",1,0)+IF(AA747="SIM",1,0)+IF(R747="SIM",1,0)+IF(AL747="SIM",1,0)+IF(AJ747="NÃO",1,0))&gt;=5,"SIM - Alta criticidade",IF((IF(I747="SIM",2,0)+IF(K747="SIM",2,0)+IF(AF747="SIM",2,0)+IF(OR(AN747="Dados pessoais",AN747="Dados sensíveis",AN747="Dados pessoais e sensíveis"),2,0)+IF(O747="De 1.001 a 10.000 titulares por mês",1,0)+IF(AA747="SIM",1,0)+IF(R747="SIM",1,0)+IF(AL747="SIM",1,0)+IF(AJ747="NÃO",1,0))&gt;=3,"Avaliação necessária","NÃO"))))</f>
      </c>
      <c r="AR747" s="11"/>
      <c r="AS747" s="113">
        <f>IF(AND(I747="",K747="",AF747="",AL747="",AN747="",O747=""),"",IF(OR(I747="SIM",K747="SIM",AF747="SIM",AL747="SIM",OR(AN747="Dados pessoais",AN747="Dados sensíveis",AN747="Dados pessoais e sensíveis"),O747="Acima de 10.000 titulares por mês",(IF(I747="SIM",2,0)+IF(K747="SIM",2,0)+IF(AF747="SIM",2,0)+IF(OR(AN747="Dados pessoais",AN747="Dados sensíveis",AN747="Dados pessoais e sensíveis"),2,0)+IF(O747="De 1.001 a 10.000 titulares por mês",1,0)+IF(AA747="SIM",1,0)+IF(R747="SIM",1,0)+IF(AL747="SIM",1,0)+IF(AJ747="NÃO",1,0))&gt;=3),"DPIA indicado ou em avaliação em razão de: " &amp; TRIM(IF(I747="SIM","tratamento de dados sensíveis; ","") &amp; IF(K747="SIM","utilização de dados de menores; ","") &amp; IF(AF747="SIM","transferência internacional de dados; ","") &amp; IF(AL747="SIM","utilização de inteligência artificial; ","") &amp; IF(OR(AN747="Dados pessoais",AN747="Dados sensíveis",AN747="Dados pessoais e sensíveis"),"dados inseridos em IA; ","") &amp; IF(O747="Acima de 10.000 titulares por mês","volume crítico de titulares; ","") &amp; IF(O747="De 1.001 a 10.000 titulares por mês","volume moderado de titulares; ","") &amp; IF(AA747="SIM","compartilhamento com terceiros; ","") &amp; IF(R747="SIM","compartilhamento com órgãos governamentais; ","") &amp; IF(AJ747="NÃO","ausência de controle de acesso por perfil; ","")),"DPIA não indicado: Processo de baixa criticidade."))</f>
      </c>
    </row>
    <row x14ac:dyDescent="0.25" r="748" customHeight="1" ht="15.75">
      <c r="A748" s="46"/>
      <c r="B748" s="6"/>
      <c r="C748" s="11"/>
      <c r="D748" s="11"/>
      <c r="E748" s="11"/>
      <c r="F748" s="29"/>
      <c r="G748" s="11"/>
      <c r="H748" s="11"/>
      <c r="I748" s="29"/>
      <c r="J748" s="11"/>
      <c r="K748" s="29"/>
      <c r="L748" s="11"/>
      <c r="M748" s="11"/>
      <c r="N748" s="11"/>
      <c r="O748" s="29"/>
      <c r="P748" s="29"/>
      <c r="Q748" s="11"/>
      <c r="R748" s="29"/>
      <c r="S748" s="11"/>
      <c r="T748" s="6"/>
      <c r="U748" s="29"/>
      <c r="V748" s="11"/>
      <c r="W748" s="11"/>
      <c r="X748" s="29"/>
      <c r="Y748" s="11"/>
      <c r="Z748" s="29"/>
      <c r="AA748" s="29"/>
      <c r="AB748" s="11"/>
      <c r="AC748" s="11"/>
      <c r="AD748" s="29"/>
      <c r="AE748" s="11"/>
      <c r="AF748" s="29"/>
      <c r="AG748" s="11"/>
      <c r="AH748" s="29"/>
      <c r="AI748" s="11"/>
      <c r="AJ748" s="29"/>
      <c r="AK748" s="29"/>
      <c r="AL748" s="29"/>
      <c r="AM748" s="11"/>
      <c r="AN748" s="29"/>
      <c r="AO748" s="29"/>
      <c r="AP748" s="6"/>
      <c r="AQ748" s="113">
        <f>IF(AND(I748="",K748="",AF748="",AL748="",AN748="",O748=""),"",IF(OR(I748="SIM",K748="SIM",AF748="SIM",AL748="SIM",AN748="Dados pessoais",AN748="Dados sensíveis",AN748="Dados pessoais e sensíveis",O748="Acima de 10.000 titulares por mês"),"SIM - Alta criticidade",IF((IF(I748="SIM",2,0)+IF(K748="SIM",2,0)+IF(AF748="SIM",2,0)+IF(OR(AN748="Dados pessoais",AN748="Dados sensíveis",AN748="Dados pessoais e sensíveis"),2,0)+IF(O748="De 1.001 a 10.000 titulares por mês",1,0)+IF(AA748="SIM",1,0)+IF(R748="SIM",1,0)+IF(AL748="SIM",1,0)+IF(AJ748="NÃO",1,0))&gt;=5,"SIM - Alta criticidade",IF((IF(I748="SIM",2,0)+IF(K748="SIM",2,0)+IF(AF748="SIM",2,0)+IF(OR(AN748="Dados pessoais",AN748="Dados sensíveis",AN748="Dados pessoais e sensíveis"),2,0)+IF(O748="De 1.001 a 10.000 titulares por mês",1,0)+IF(AA748="SIM",1,0)+IF(R748="SIM",1,0)+IF(AL748="SIM",1,0)+IF(AJ748="NÃO",1,0))&gt;=3,"Avaliação necessária","NÃO"))))</f>
      </c>
      <c r="AR748" s="11"/>
      <c r="AS748" s="113">
        <f>IF(AND(I748="",K748="",AF748="",AL748="",AN748="",O748=""),"",IF(OR(I748="SIM",K748="SIM",AF748="SIM",AL748="SIM",OR(AN748="Dados pessoais",AN748="Dados sensíveis",AN748="Dados pessoais e sensíveis"),O748="Acima de 10.000 titulares por mês",(IF(I748="SIM",2,0)+IF(K748="SIM",2,0)+IF(AF748="SIM",2,0)+IF(OR(AN748="Dados pessoais",AN748="Dados sensíveis",AN748="Dados pessoais e sensíveis"),2,0)+IF(O748="De 1.001 a 10.000 titulares por mês",1,0)+IF(AA748="SIM",1,0)+IF(R748="SIM",1,0)+IF(AL748="SIM",1,0)+IF(AJ748="NÃO",1,0))&gt;=3),"DPIA indicado ou em avaliação em razão de: " &amp; TRIM(IF(I748="SIM","tratamento de dados sensíveis; ","") &amp; IF(K748="SIM","utilização de dados de menores; ","") &amp; IF(AF748="SIM","transferência internacional de dados; ","") &amp; IF(AL748="SIM","utilização de inteligência artificial; ","") &amp; IF(OR(AN748="Dados pessoais",AN748="Dados sensíveis",AN748="Dados pessoais e sensíveis"),"dados inseridos em IA; ","") &amp; IF(O748="Acima de 10.000 titulares por mês","volume crítico de titulares; ","") &amp; IF(O748="De 1.001 a 10.000 titulares por mês","volume moderado de titulares; ","") &amp; IF(AA748="SIM","compartilhamento com terceiros; ","") &amp; IF(R748="SIM","compartilhamento com órgãos governamentais; ","") &amp; IF(AJ748="NÃO","ausência de controle de acesso por perfil; ","")),"DPIA não indicado: Processo de baixa criticidade."))</f>
      </c>
    </row>
    <row x14ac:dyDescent="0.25" r="749" customHeight="1" ht="15.75">
      <c r="A749" s="46"/>
      <c r="B749" s="6"/>
      <c r="C749" s="11"/>
      <c r="D749" s="11"/>
      <c r="E749" s="11"/>
      <c r="F749" s="29"/>
      <c r="G749" s="11"/>
      <c r="H749" s="11"/>
      <c r="I749" s="29"/>
      <c r="J749" s="11"/>
      <c r="K749" s="29"/>
      <c r="L749" s="11"/>
      <c r="M749" s="11"/>
      <c r="N749" s="11"/>
      <c r="O749" s="29"/>
      <c r="P749" s="29"/>
      <c r="Q749" s="11"/>
      <c r="R749" s="29"/>
      <c r="S749" s="11"/>
      <c r="T749" s="6"/>
      <c r="U749" s="29"/>
      <c r="V749" s="11"/>
      <c r="W749" s="11"/>
      <c r="X749" s="29"/>
      <c r="Y749" s="11"/>
      <c r="Z749" s="29"/>
      <c r="AA749" s="29"/>
      <c r="AB749" s="11"/>
      <c r="AC749" s="11"/>
      <c r="AD749" s="29"/>
      <c r="AE749" s="11"/>
      <c r="AF749" s="29"/>
      <c r="AG749" s="11"/>
      <c r="AH749" s="29"/>
      <c r="AI749" s="11"/>
      <c r="AJ749" s="29"/>
      <c r="AK749" s="29"/>
      <c r="AL749" s="29"/>
      <c r="AM749" s="11"/>
      <c r="AN749" s="29"/>
      <c r="AO749" s="29"/>
      <c r="AP749" s="6"/>
      <c r="AQ749" s="113">
        <f>IF(AND(I749="",K749="",AF749="",AL749="",AN749="",O749=""),"",IF(OR(I749="SIM",K749="SIM",AF749="SIM",AL749="SIM",AN749="Dados pessoais",AN749="Dados sensíveis",AN749="Dados pessoais e sensíveis",O749="Acima de 10.000 titulares por mês"),"SIM - Alta criticidade",IF((IF(I749="SIM",2,0)+IF(K749="SIM",2,0)+IF(AF749="SIM",2,0)+IF(OR(AN749="Dados pessoais",AN749="Dados sensíveis",AN749="Dados pessoais e sensíveis"),2,0)+IF(O749="De 1.001 a 10.000 titulares por mês",1,0)+IF(AA749="SIM",1,0)+IF(R749="SIM",1,0)+IF(AL749="SIM",1,0)+IF(AJ749="NÃO",1,0))&gt;=5,"SIM - Alta criticidade",IF((IF(I749="SIM",2,0)+IF(K749="SIM",2,0)+IF(AF749="SIM",2,0)+IF(OR(AN749="Dados pessoais",AN749="Dados sensíveis",AN749="Dados pessoais e sensíveis"),2,0)+IF(O749="De 1.001 a 10.000 titulares por mês",1,0)+IF(AA749="SIM",1,0)+IF(R749="SIM",1,0)+IF(AL749="SIM",1,0)+IF(AJ749="NÃO",1,0))&gt;=3,"Avaliação necessária","NÃO"))))</f>
      </c>
      <c r="AR749" s="11"/>
      <c r="AS749" s="113">
        <f>IF(AND(I749="",K749="",AF749="",AL749="",AN749="",O749=""),"",IF(OR(I749="SIM",K749="SIM",AF749="SIM",AL749="SIM",OR(AN749="Dados pessoais",AN749="Dados sensíveis",AN749="Dados pessoais e sensíveis"),O749="Acima de 10.000 titulares por mês",(IF(I749="SIM",2,0)+IF(K749="SIM",2,0)+IF(AF749="SIM",2,0)+IF(OR(AN749="Dados pessoais",AN749="Dados sensíveis",AN749="Dados pessoais e sensíveis"),2,0)+IF(O749="De 1.001 a 10.000 titulares por mês",1,0)+IF(AA749="SIM",1,0)+IF(R749="SIM",1,0)+IF(AL749="SIM",1,0)+IF(AJ749="NÃO",1,0))&gt;=3),"DPIA indicado ou em avaliação em razão de: " &amp; TRIM(IF(I749="SIM","tratamento de dados sensíveis; ","") &amp; IF(K749="SIM","utilização de dados de menores; ","") &amp; IF(AF749="SIM","transferência internacional de dados; ","") &amp; IF(AL749="SIM","utilização de inteligência artificial; ","") &amp; IF(OR(AN749="Dados pessoais",AN749="Dados sensíveis",AN749="Dados pessoais e sensíveis"),"dados inseridos em IA; ","") &amp; IF(O749="Acima de 10.000 titulares por mês","volume crítico de titulares; ","") &amp; IF(O749="De 1.001 a 10.000 titulares por mês","volume moderado de titulares; ","") &amp; IF(AA749="SIM","compartilhamento com terceiros; ","") &amp; IF(R749="SIM","compartilhamento com órgãos governamentais; ","") &amp; IF(AJ749="NÃO","ausência de controle de acesso por perfil; ","")),"DPIA não indicado: Processo de baixa criticidade."))</f>
      </c>
    </row>
    <row x14ac:dyDescent="0.25" r="750" customHeight="1" ht="15.75">
      <c r="A750" s="46"/>
      <c r="B750" s="6"/>
      <c r="C750" s="11"/>
      <c r="D750" s="11"/>
      <c r="E750" s="11"/>
      <c r="F750" s="29"/>
      <c r="G750" s="11"/>
      <c r="H750" s="11"/>
      <c r="I750" s="29"/>
      <c r="J750" s="11"/>
      <c r="K750" s="29"/>
      <c r="L750" s="11"/>
      <c r="M750" s="11"/>
      <c r="N750" s="11"/>
      <c r="O750" s="29"/>
      <c r="P750" s="29"/>
      <c r="Q750" s="11"/>
      <c r="R750" s="29"/>
      <c r="S750" s="11"/>
      <c r="T750" s="6"/>
      <c r="U750" s="29"/>
      <c r="V750" s="11"/>
      <c r="W750" s="11"/>
      <c r="X750" s="29"/>
      <c r="Y750" s="11"/>
      <c r="Z750" s="29"/>
      <c r="AA750" s="29"/>
      <c r="AB750" s="11"/>
      <c r="AC750" s="11"/>
      <c r="AD750" s="29"/>
      <c r="AE750" s="11"/>
      <c r="AF750" s="29"/>
      <c r="AG750" s="11"/>
      <c r="AH750" s="29"/>
      <c r="AI750" s="11"/>
      <c r="AJ750" s="29"/>
      <c r="AK750" s="29"/>
      <c r="AL750" s="29"/>
      <c r="AM750" s="11"/>
      <c r="AN750" s="29"/>
      <c r="AO750" s="29"/>
      <c r="AP750" s="6"/>
      <c r="AQ750" s="113">
        <f>IF(AND(I750="",K750="",AF750="",AL750="",AN750="",O750=""),"",IF(OR(I750="SIM",K750="SIM",AF750="SIM",AL750="SIM",AN750="Dados pessoais",AN750="Dados sensíveis",AN750="Dados pessoais e sensíveis",O750="Acima de 10.000 titulares por mês"),"SIM - Alta criticidade",IF((IF(I750="SIM",2,0)+IF(K750="SIM",2,0)+IF(AF750="SIM",2,0)+IF(OR(AN750="Dados pessoais",AN750="Dados sensíveis",AN750="Dados pessoais e sensíveis"),2,0)+IF(O750="De 1.001 a 10.000 titulares por mês",1,0)+IF(AA750="SIM",1,0)+IF(R750="SIM",1,0)+IF(AL750="SIM",1,0)+IF(AJ750="NÃO",1,0))&gt;=5,"SIM - Alta criticidade",IF((IF(I750="SIM",2,0)+IF(K750="SIM",2,0)+IF(AF750="SIM",2,0)+IF(OR(AN750="Dados pessoais",AN750="Dados sensíveis",AN750="Dados pessoais e sensíveis"),2,0)+IF(O750="De 1.001 a 10.000 titulares por mês",1,0)+IF(AA750="SIM",1,0)+IF(R750="SIM",1,0)+IF(AL750="SIM",1,0)+IF(AJ750="NÃO",1,0))&gt;=3,"Avaliação necessária","NÃO"))))</f>
      </c>
      <c r="AR750" s="11"/>
      <c r="AS750" s="113">
        <f>IF(AND(I750="",K750="",AF750="",AL750="",AN750="",O750=""),"",IF(OR(I750="SIM",K750="SIM",AF750="SIM",AL750="SIM",OR(AN750="Dados pessoais",AN750="Dados sensíveis",AN750="Dados pessoais e sensíveis"),O750="Acima de 10.000 titulares por mês",(IF(I750="SIM",2,0)+IF(K750="SIM",2,0)+IF(AF750="SIM",2,0)+IF(OR(AN750="Dados pessoais",AN750="Dados sensíveis",AN750="Dados pessoais e sensíveis"),2,0)+IF(O750="De 1.001 a 10.000 titulares por mês",1,0)+IF(AA750="SIM",1,0)+IF(R750="SIM",1,0)+IF(AL750="SIM",1,0)+IF(AJ750="NÃO",1,0))&gt;=3),"DPIA indicado ou em avaliação em razão de: " &amp; TRIM(IF(I750="SIM","tratamento de dados sensíveis; ","") &amp; IF(K750="SIM","utilização de dados de menores; ","") &amp; IF(AF750="SIM","transferência internacional de dados; ","") &amp; IF(AL750="SIM","utilização de inteligência artificial; ","") &amp; IF(OR(AN750="Dados pessoais",AN750="Dados sensíveis",AN750="Dados pessoais e sensíveis"),"dados inseridos em IA; ","") &amp; IF(O750="Acima de 10.000 titulares por mês","volume crítico de titulares; ","") &amp; IF(O750="De 1.001 a 10.000 titulares por mês","volume moderado de titulares; ","") &amp; IF(AA750="SIM","compartilhamento com terceiros; ","") &amp; IF(R750="SIM","compartilhamento com órgãos governamentais; ","") &amp; IF(AJ750="NÃO","ausência de controle de acesso por perfil; ","")),"DPIA não indicado: Processo de baixa criticidade."))</f>
      </c>
    </row>
    <row x14ac:dyDescent="0.25" r="751" customHeight="1" ht="15.75">
      <c r="A751" s="46"/>
      <c r="B751" s="6"/>
      <c r="C751" s="11"/>
      <c r="D751" s="11"/>
      <c r="E751" s="11"/>
      <c r="F751" s="29"/>
      <c r="G751" s="11"/>
      <c r="H751" s="11"/>
      <c r="I751" s="29"/>
      <c r="J751" s="11"/>
      <c r="K751" s="29"/>
      <c r="L751" s="11"/>
      <c r="M751" s="11"/>
      <c r="N751" s="11"/>
      <c r="O751" s="29"/>
      <c r="P751" s="29"/>
      <c r="Q751" s="11"/>
      <c r="R751" s="29"/>
      <c r="S751" s="11"/>
      <c r="T751" s="6"/>
      <c r="U751" s="29"/>
      <c r="V751" s="11"/>
      <c r="W751" s="11"/>
      <c r="X751" s="29"/>
      <c r="Y751" s="11"/>
      <c r="Z751" s="29"/>
      <c r="AA751" s="29"/>
      <c r="AB751" s="11"/>
      <c r="AC751" s="11"/>
      <c r="AD751" s="29"/>
      <c r="AE751" s="11"/>
      <c r="AF751" s="29"/>
      <c r="AG751" s="11"/>
      <c r="AH751" s="29"/>
      <c r="AI751" s="11"/>
      <c r="AJ751" s="29"/>
      <c r="AK751" s="29"/>
      <c r="AL751" s="29"/>
      <c r="AM751" s="11"/>
      <c r="AN751" s="29"/>
      <c r="AO751" s="29"/>
      <c r="AP751" s="6"/>
      <c r="AQ751" s="113">
        <f>IF(AND(I751="",K751="",AF751="",AL751="",AN751="",O751=""),"",IF(OR(I751="SIM",K751="SIM",AF751="SIM",AL751="SIM",AN751="Dados pessoais",AN751="Dados sensíveis",AN751="Dados pessoais e sensíveis",O751="Acima de 10.000 titulares por mês"),"SIM - Alta criticidade",IF((IF(I751="SIM",2,0)+IF(K751="SIM",2,0)+IF(AF751="SIM",2,0)+IF(OR(AN751="Dados pessoais",AN751="Dados sensíveis",AN751="Dados pessoais e sensíveis"),2,0)+IF(O751="De 1.001 a 10.000 titulares por mês",1,0)+IF(AA751="SIM",1,0)+IF(R751="SIM",1,0)+IF(AL751="SIM",1,0)+IF(AJ751="NÃO",1,0))&gt;=5,"SIM - Alta criticidade",IF((IF(I751="SIM",2,0)+IF(K751="SIM",2,0)+IF(AF751="SIM",2,0)+IF(OR(AN751="Dados pessoais",AN751="Dados sensíveis",AN751="Dados pessoais e sensíveis"),2,0)+IF(O751="De 1.001 a 10.000 titulares por mês",1,0)+IF(AA751="SIM",1,0)+IF(R751="SIM",1,0)+IF(AL751="SIM",1,0)+IF(AJ751="NÃO",1,0))&gt;=3,"Avaliação necessária","NÃO"))))</f>
      </c>
      <c r="AR751" s="11"/>
      <c r="AS751" s="113">
        <f>IF(AND(I751="",K751="",AF751="",AL751="",AN751="",O751=""),"",IF(OR(I751="SIM",K751="SIM",AF751="SIM",AL751="SIM",OR(AN751="Dados pessoais",AN751="Dados sensíveis",AN751="Dados pessoais e sensíveis"),O751="Acima de 10.000 titulares por mês",(IF(I751="SIM",2,0)+IF(K751="SIM",2,0)+IF(AF751="SIM",2,0)+IF(OR(AN751="Dados pessoais",AN751="Dados sensíveis",AN751="Dados pessoais e sensíveis"),2,0)+IF(O751="De 1.001 a 10.000 titulares por mês",1,0)+IF(AA751="SIM",1,0)+IF(R751="SIM",1,0)+IF(AL751="SIM",1,0)+IF(AJ751="NÃO",1,0))&gt;=3),"DPIA indicado ou em avaliação em razão de: " &amp; TRIM(IF(I751="SIM","tratamento de dados sensíveis; ","") &amp; IF(K751="SIM","utilização de dados de menores; ","") &amp; IF(AF751="SIM","transferência internacional de dados; ","") &amp; IF(AL751="SIM","utilização de inteligência artificial; ","") &amp; IF(OR(AN751="Dados pessoais",AN751="Dados sensíveis",AN751="Dados pessoais e sensíveis"),"dados inseridos em IA; ","") &amp; IF(O751="Acima de 10.000 titulares por mês","volume crítico de titulares; ","") &amp; IF(O751="De 1.001 a 10.000 titulares por mês","volume moderado de titulares; ","") &amp; IF(AA751="SIM","compartilhamento com terceiros; ","") &amp; IF(R751="SIM","compartilhamento com órgãos governamentais; ","") &amp; IF(AJ751="NÃO","ausência de controle de acesso por perfil; ","")),"DPIA não indicado: Processo de baixa criticidade."))</f>
      </c>
    </row>
    <row x14ac:dyDescent="0.25" r="752" customHeight="1" ht="15.75">
      <c r="A752" s="46"/>
      <c r="B752" s="6"/>
      <c r="C752" s="11"/>
      <c r="D752" s="11"/>
      <c r="E752" s="11"/>
      <c r="F752" s="29"/>
      <c r="G752" s="11"/>
      <c r="H752" s="11"/>
      <c r="I752" s="29"/>
      <c r="J752" s="11"/>
      <c r="K752" s="29"/>
      <c r="L752" s="11"/>
      <c r="M752" s="11"/>
      <c r="N752" s="11"/>
      <c r="O752" s="29"/>
      <c r="P752" s="29"/>
      <c r="Q752" s="11"/>
      <c r="R752" s="29"/>
      <c r="S752" s="11"/>
      <c r="T752" s="6"/>
      <c r="U752" s="29"/>
      <c r="V752" s="11"/>
      <c r="W752" s="11"/>
      <c r="X752" s="29"/>
      <c r="Y752" s="11"/>
      <c r="Z752" s="29"/>
      <c r="AA752" s="29"/>
      <c r="AB752" s="11"/>
      <c r="AC752" s="11"/>
      <c r="AD752" s="29"/>
      <c r="AE752" s="11"/>
      <c r="AF752" s="29"/>
      <c r="AG752" s="11"/>
      <c r="AH752" s="29"/>
      <c r="AI752" s="11"/>
      <c r="AJ752" s="29"/>
      <c r="AK752" s="29"/>
      <c r="AL752" s="29"/>
      <c r="AM752" s="11"/>
      <c r="AN752" s="29"/>
      <c r="AO752" s="29"/>
      <c r="AP752" s="6"/>
      <c r="AQ752" s="113">
        <f>IF(AND(I752="",K752="",AF752="",AL752="",AN752="",O752=""),"",IF(OR(I752="SIM",K752="SIM",AF752="SIM",AL752="SIM",AN752="Dados pessoais",AN752="Dados sensíveis",AN752="Dados pessoais e sensíveis",O752="Acima de 10.000 titulares por mês"),"SIM - Alta criticidade",IF((IF(I752="SIM",2,0)+IF(K752="SIM",2,0)+IF(AF752="SIM",2,0)+IF(OR(AN752="Dados pessoais",AN752="Dados sensíveis",AN752="Dados pessoais e sensíveis"),2,0)+IF(O752="De 1.001 a 10.000 titulares por mês",1,0)+IF(AA752="SIM",1,0)+IF(R752="SIM",1,0)+IF(AL752="SIM",1,0)+IF(AJ752="NÃO",1,0))&gt;=5,"SIM - Alta criticidade",IF((IF(I752="SIM",2,0)+IF(K752="SIM",2,0)+IF(AF752="SIM",2,0)+IF(OR(AN752="Dados pessoais",AN752="Dados sensíveis",AN752="Dados pessoais e sensíveis"),2,0)+IF(O752="De 1.001 a 10.000 titulares por mês",1,0)+IF(AA752="SIM",1,0)+IF(R752="SIM",1,0)+IF(AL752="SIM",1,0)+IF(AJ752="NÃO",1,0))&gt;=3,"Avaliação necessária","NÃO"))))</f>
      </c>
      <c r="AR752" s="11"/>
      <c r="AS752" s="113">
        <f>IF(AND(I752="",K752="",AF752="",AL752="",AN752="",O752=""),"",IF(OR(I752="SIM",K752="SIM",AF752="SIM",AL752="SIM",OR(AN752="Dados pessoais",AN752="Dados sensíveis",AN752="Dados pessoais e sensíveis"),O752="Acima de 10.000 titulares por mês",(IF(I752="SIM",2,0)+IF(K752="SIM",2,0)+IF(AF752="SIM",2,0)+IF(OR(AN752="Dados pessoais",AN752="Dados sensíveis",AN752="Dados pessoais e sensíveis"),2,0)+IF(O752="De 1.001 a 10.000 titulares por mês",1,0)+IF(AA752="SIM",1,0)+IF(R752="SIM",1,0)+IF(AL752="SIM",1,0)+IF(AJ752="NÃO",1,0))&gt;=3),"DPIA indicado ou em avaliação em razão de: " &amp; TRIM(IF(I752="SIM","tratamento de dados sensíveis; ","") &amp; IF(K752="SIM","utilização de dados de menores; ","") &amp; IF(AF752="SIM","transferência internacional de dados; ","") &amp; IF(AL752="SIM","utilização de inteligência artificial; ","") &amp; IF(OR(AN752="Dados pessoais",AN752="Dados sensíveis",AN752="Dados pessoais e sensíveis"),"dados inseridos em IA; ","") &amp; IF(O752="Acima de 10.000 titulares por mês","volume crítico de titulares; ","") &amp; IF(O752="De 1.001 a 10.000 titulares por mês","volume moderado de titulares; ","") &amp; IF(AA752="SIM","compartilhamento com terceiros; ","") &amp; IF(R752="SIM","compartilhamento com órgãos governamentais; ","") &amp; IF(AJ752="NÃO","ausência de controle de acesso por perfil; ","")),"DPIA não indicado: Processo de baixa criticidade."))</f>
      </c>
    </row>
    <row x14ac:dyDescent="0.25" r="753" customHeight="1" ht="15.75">
      <c r="A753" s="46"/>
      <c r="B753" s="6"/>
      <c r="C753" s="11"/>
      <c r="D753" s="11"/>
      <c r="E753" s="11"/>
      <c r="F753" s="29"/>
      <c r="G753" s="11"/>
      <c r="H753" s="11"/>
      <c r="I753" s="29"/>
      <c r="J753" s="11"/>
      <c r="K753" s="29"/>
      <c r="L753" s="11"/>
      <c r="M753" s="11"/>
      <c r="N753" s="11"/>
      <c r="O753" s="29"/>
      <c r="P753" s="29"/>
      <c r="Q753" s="11"/>
      <c r="R753" s="29"/>
      <c r="S753" s="11"/>
      <c r="T753" s="6"/>
      <c r="U753" s="29"/>
      <c r="V753" s="11"/>
      <c r="W753" s="11"/>
      <c r="X753" s="29"/>
      <c r="Y753" s="11"/>
      <c r="Z753" s="29"/>
      <c r="AA753" s="29"/>
      <c r="AB753" s="11"/>
      <c r="AC753" s="11"/>
      <c r="AD753" s="29"/>
      <c r="AE753" s="11"/>
      <c r="AF753" s="29"/>
      <c r="AG753" s="11"/>
      <c r="AH753" s="29"/>
      <c r="AI753" s="11"/>
      <c r="AJ753" s="29"/>
      <c r="AK753" s="29"/>
      <c r="AL753" s="29"/>
      <c r="AM753" s="11"/>
      <c r="AN753" s="29"/>
      <c r="AO753" s="29"/>
      <c r="AP753" s="6"/>
      <c r="AQ753" s="113">
        <f>IF(AND(I753="",K753="",AF753="",AL753="",AN753="",O753=""),"",IF(OR(I753="SIM",K753="SIM",AF753="SIM",AL753="SIM",AN753="Dados pessoais",AN753="Dados sensíveis",AN753="Dados pessoais e sensíveis",O753="Acima de 10.000 titulares por mês"),"SIM - Alta criticidade",IF((IF(I753="SIM",2,0)+IF(K753="SIM",2,0)+IF(AF753="SIM",2,0)+IF(OR(AN753="Dados pessoais",AN753="Dados sensíveis",AN753="Dados pessoais e sensíveis"),2,0)+IF(O753="De 1.001 a 10.000 titulares por mês",1,0)+IF(AA753="SIM",1,0)+IF(R753="SIM",1,0)+IF(AL753="SIM",1,0)+IF(AJ753="NÃO",1,0))&gt;=5,"SIM - Alta criticidade",IF((IF(I753="SIM",2,0)+IF(K753="SIM",2,0)+IF(AF753="SIM",2,0)+IF(OR(AN753="Dados pessoais",AN753="Dados sensíveis",AN753="Dados pessoais e sensíveis"),2,0)+IF(O753="De 1.001 a 10.000 titulares por mês",1,0)+IF(AA753="SIM",1,0)+IF(R753="SIM",1,0)+IF(AL753="SIM",1,0)+IF(AJ753="NÃO",1,0))&gt;=3,"Avaliação necessária","NÃO"))))</f>
      </c>
      <c r="AR753" s="11"/>
      <c r="AS753" s="113">
        <f>IF(AND(I753="",K753="",AF753="",AL753="",AN753="",O753=""),"",IF(OR(I753="SIM",K753="SIM",AF753="SIM",AL753="SIM",OR(AN753="Dados pessoais",AN753="Dados sensíveis",AN753="Dados pessoais e sensíveis"),O753="Acima de 10.000 titulares por mês",(IF(I753="SIM",2,0)+IF(K753="SIM",2,0)+IF(AF753="SIM",2,0)+IF(OR(AN753="Dados pessoais",AN753="Dados sensíveis",AN753="Dados pessoais e sensíveis"),2,0)+IF(O753="De 1.001 a 10.000 titulares por mês",1,0)+IF(AA753="SIM",1,0)+IF(R753="SIM",1,0)+IF(AL753="SIM",1,0)+IF(AJ753="NÃO",1,0))&gt;=3),"DPIA indicado ou em avaliação em razão de: " &amp; TRIM(IF(I753="SIM","tratamento de dados sensíveis; ","") &amp; IF(K753="SIM","utilização de dados de menores; ","") &amp; IF(AF753="SIM","transferência internacional de dados; ","") &amp; IF(AL753="SIM","utilização de inteligência artificial; ","") &amp; IF(OR(AN753="Dados pessoais",AN753="Dados sensíveis",AN753="Dados pessoais e sensíveis"),"dados inseridos em IA; ","") &amp; IF(O753="Acima de 10.000 titulares por mês","volume crítico de titulares; ","") &amp; IF(O753="De 1.001 a 10.000 titulares por mês","volume moderado de titulares; ","") &amp; IF(AA753="SIM","compartilhamento com terceiros; ","") &amp; IF(R753="SIM","compartilhamento com órgãos governamentais; ","") &amp; IF(AJ753="NÃO","ausência de controle de acesso por perfil; ","")),"DPIA não indicado: Processo de baixa criticidade."))</f>
      </c>
    </row>
    <row x14ac:dyDescent="0.25" r="754" customHeight="1" ht="15.75">
      <c r="A754" s="46"/>
      <c r="B754" s="6"/>
      <c r="C754" s="11"/>
      <c r="D754" s="11"/>
      <c r="E754" s="11"/>
      <c r="F754" s="29"/>
      <c r="G754" s="11"/>
      <c r="H754" s="11"/>
      <c r="I754" s="29"/>
      <c r="J754" s="11"/>
      <c r="K754" s="29"/>
      <c r="L754" s="11"/>
      <c r="M754" s="11"/>
      <c r="N754" s="11"/>
      <c r="O754" s="29"/>
      <c r="P754" s="29"/>
      <c r="Q754" s="11"/>
      <c r="R754" s="29"/>
      <c r="S754" s="11"/>
      <c r="T754" s="6"/>
      <c r="U754" s="29"/>
      <c r="V754" s="11"/>
      <c r="W754" s="11"/>
      <c r="X754" s="29"/>
      <c r="Y754" s="11"/>
      <c r="Z754" s="29"/>
      <c r="AA754" s="29"/>
      <c r="AB754" s="11"/>
      <c r="AC754" s="11"/>
      <c r="AD754" s="29"/>
      <c r="AE754" s="11"/>
      <c r="AF754" s="29"/>
      <c r="AG754" s="11"/>
      <c r="AH754" s="29"/>
      <c r="AI754" s="11"/>
      <c r="AJ754" s="29"/>
      <c r="AK754" s="29"/>
      <c r="AL754" s="29"/>
      <c r="AM754" s="11"/>
      <c r="AN754" s="29"/>
      <c r="AO754" s="29"/>
      <c r="AP754" s="6"/>
      <c r="AQ754" s="113">
        <f>IF(AND(I754="",K754="",AF754="",AL754="",AN754="",O754=""),"",IF(OR(I754="SIM",K754="SIM",AF754="SIM",AL754="SIM",AN754="Dados pessoais",AN754="Dados sensíveis",AN754="Dados pessoais e sensíveis",O754="Acima de 10.000 titulares por mês"),"SIM - Alta criticidade",IF((IF(I754="SIM",2,0)+IF(K754="SIM",2,0)+IF(AF754="SIM",2,0)+IF(OR(AN754="Dados pessoais",AN754="Dados sensíveis",AN754="Dados pessoais e sensíveis"),2,0)+IF(O754="De 1.001 a 10.000 titulares por mês",1,0)+IF(AA754="SIM",1,0)+IF(R754="SIM",1,0)+IF(AL754="SIM",1,0)+IF(AJ754="NÃO",1,0))&gt;=5,"SIM - Alta criticidade",IF((IF(I754="SIM",2,0)+IF(K754="SIM",2,0)+IF(AF754="SIM",2,0)+IF(OR(AN754="Dados pessoais",AN754="Dados sensíveis",AN754="Dados pessoais e sensíveis"),2,0)+IF(O754="De 1.001 a 10.000 titulares por mês",1,0)+IF(AA754="SIM",1,0)+IF(R754="SIM",1,0)+IF(AL754="SIM",1,0)+IF(AJ754="NÃO",1,0))&gt;=3,"Avaliação necessária","NÃO"))))</f>
      </c>
      <c r="AR754" s="11"/>
      <c r="AS754" s="113">
        <f>IF(AND(I754="",K754="",AF754="",AL754="",AN754="",O754=""),"",IF(OR(I754="SIM",K754="SIM",AF754="SIM",AL754="SIM",OR(AN754="Dados pessoais",AN754="Dados sensíveis",AN754="Dados pessoais e sensíveis"),O754="Acima de 10.000 titulares por mês",(IF(I754="SIM",2,0)+IF(K754="SIM",2,0)+IF(AF754="SIM",2,0)+IF(OR(AN754="Dados pessoais",AN754="Dados sensíveis",AN754="Dados pessoais e sensíveis"),2,0)+IF(O754="De 1.001 a 10.000 titulares por mês",1,0)+IF(AA754="SIM",1,0)+IF(R754="SIM",1,0)+IF(AL754="SIM",1,0)+IF(AJ754="NÃO",1,0))&gt;=3),"DPIA indicado ou em avaliação em razão de: " &amp; TRIM(IF(I754="SIM","tratamento de dados sensíveis; ","") &amp; IF(K754="SIM","utilização de dados de menores; ","") &amp; IF(AF754="SIM","transferência internacional de dados; ","") &amp; IF(AL754="SIM","utilização de inteligência artificial; ","") &amp; IF(OR(AN754="Dados pessoais",AN754="Dados sensíveis",AN754="Dados pessoais e sensíveis"),"dados inseridos em IA; ","") &amp; IF(O754="Acima de 10.000 titulares por mês","volume crítico de titulares; ","") &amp; IF(O754="De 1.001 a 10.000 titulares por mês","volume moderado de titulares; ","") &amp; IF(AA754="SIM","compartilhamento com terceiros; ","") &amp; IF(R754="SIM","compartilhamento com órgãos governamentais; ","") &amp; IF(AJ754="NÃO","ausência de controle de acesso por perfil; ","")),"DPIA não indicado: Processo de baixa criticidade."))</f>
      </c>
    </row>
    <row x14ac:dyDescent="0.25" r="755" customHeight="1" ht="15.75">
      <c r="A755" s="46"/>
      <c r="B755" s="6"/>
      <c r="C755" s="11"/>
      <c r="D755" s="11"/>
      <c r="E755" s="11"/>
      <c r="F755" s="29"/>
      <c r="G755" s="11"/>
      <c r="H755" s="11"/>
      <c r="I755" s="29"/>
      <c r="J755" s="11"/>
      <c r="K755" s="29"/>
      <c r="L755" s="11"/>
      <c r="M755" s="11"/>
      <c r="N755" s="11"/>
      <c r="O755" s="29"/>
      <c r="P755" s="29"/>
      <c r="Q755" s="11"/>
      <c r="R755" s="29"/>
      <c r="S755" s="11"/>
      <c r="T755" s="6"/>
      <c r="U755" s="29"/>
      <c r="V755" s="11"/>
      <c r="W755" s="11"/>
      <c r="X755" s="29"/>
      <c r="Y755" s="11"/>
      <c r="Z755" s="29"/>
      <c r="AA755" s="29"/>
      <c r="AB755" s="11"/>
      <c r="AC755" s="11"/>
      <c r="AD755" s="29"/>
      <c r="AE755" s="11"/>
      <c r="AF755" s="29"/>
      <c r="AG755" s="11"/>
      <c r="AH755" s="29"/>
      <c r="AI755" s="11"/>
      <c r="AJ755" s="29"/>
      <c r="AK755" s="29"/>
      <c r="AL755" s="29"/>
      <c r="AM755" s="11"/>
      <c r="AN755" s="29"/>
      <c r="AO755" s="29"/>
      <c r="AP755" s="6"/>
      <c r="AQ755" s="113">
        <f>IF(AND(I755="",K755="",AF755="",AL755="",AN755="",O755=""),"",IF(OR(I755="SIM",K755="SIM",AF755="SIM",AL755="SIM",AN755="Dados pessoais",AN755="Dados sensíveis",AN755="Dados pessoais e sensíveis",O755="Acima de 10.000 titulares por mês"),"SIM - Alta criticidade",IF((IF(I755="SIM",2,0)+IF(K755="SIM",2,0)+IF(AF755="SIM",2,0)+IF(OR(AN755="Dados pessoais",AN755="Dados sensíveis",AN755="Dados pessoais e sensíveis"),2,0)+IF(O755="De 1.001 a 10.000 titulares por mês",1,0)+IF(AA755="SIM",1,0)+IF(R755="SIM",1,0)+IF(AL755="SIM",1,0)+IF(AJ755="NÃO",1,0))&gt;=5,"SIM - Alta criticidade",IF((IF(I755="SIM",2,0)+IF(K755="SIM",2,0)+IF(AF755="SIM",2,0)+IF(OR(AN755="Dados pessoais",AN755="Dados sensíveis",AN755="Dados pessoais e sensíveis"),2,0)+IF(O755="De 1.001 a 10.000 titulares por mês",1,0)+IF(AA755="SIM",1,0)+IF(R755="SIM",1,0)+IF(AL755="SIM",1,0)+IF(AJ755="NÃO",1,0))&gt;=3,"Avaliação necessária","NÃO"))))</f>
      </c>
      <c r="AR755" s="11"/>
      <c r="AS755" s="113">
        <f>IF(AND(I755="",K755="",AF755="",AL755="",AN755="",O755=""),"",IF(OR(I755="SIM",K755="SIM",AF755="SIM",AL755="SIM",OR(AN755="Dados pessoais",AN755="Dados sensíveis",AN755="Dados pessoais e sensíveis"),O755="Acima de 10.000 titulares por mês",(IF(I755="SIM",2,0)+IF(K755="SIM",2,0)+IF(AF755="SIM",2,0)+IF(OR(AN755="Dados pessoais",AN755="Dados sensíveis",AN755="Dados pessoais e sensíveis"),2,0)+IF(O755="De 1.001 a 10.000 titulares por mês",1,0)+IF(AA755="SIM",1,0)+IF(R755="SIM",1,0)+IF(AL755="SIM",1,0)+IF(AJ755="NÃO",1,0))&gt;=3),"DPIA indicado ou em avaliação em razão de: " &amp; TRIM(IF(I755="SIM","tratamento de dados sensíveis; ","") &amp; IF(K755="SIM","utilização de dados de menores; ","") &amp; IF(AF755="SIM","transferência internacional de dados; ","") &amp; IF(AL755="SIM","utilização de inteligência artificial; ","") &amp; IF(OR(AN755="Dados pessoais",AN755="Dados sensíveis",AN755="Dados pessoais e sensíveis"),"dados inseridos em IA; ","") &amp; IF(O755="Acima de 10.000 titulares por mês","volume crítico de titulares; ","") &amp; IF(O755="De 1.001 a 10.000 titulares por mês","volume moderado de titulares; ","") &amp; IF(AA755="SIM","compartilhamento com terceiros; ","") &amp; IF(R755="SIM","compartilhamento com órgãos governamentais; ","") &amp; IF(AJ755="NÃO","ausência de controle de acesso por perfil; ","")),"DPIA não indicado: Processo de baixa criticidade."))</f>
      </c>
    </row>
    <row x14ac:dyDescent="0.25" r="756" customHeight="1" ht="15.75">
      <c r="A756" s="46"/>
      <c r="B756" s="6"/>
      <c r="C756" s="11"/>
      <c r="D756" s="11"/>
      <c r="E756" s="11"/>
      <c r="F756" s="29"/>
      <c r="G756" s="11"/>
      <c r="H756" s="11"/>
      <c r="I756" s="29"/>
      <c r="J756" s="11"/>
      <c r="K756" s="29"/>
      <c r="L756" s="11"/>
      <c r="M756" s="11"/>
      <c r="N756" s="11"/>
      <c r="O756" s="29"/>
      <c r="P756" s="29"/>
      <c r="Q756" s="11"/>
      <c r="R756" s="29"/>
      <c r="S756" s="11"/>
      <c r="T756" s="6"/>
      <c r="U756" s="29"/>
      <c r="V756" s="11"/>
      <c r="W756" s="11"/>
      <c r="X756" s="29"/>
      <c r="Y756" s="11"/>
      <c r="Z756" s="29"/>
      <c r="AA756" s="29"/>
      <c r="AB756" s="11"/>
      <c r="AC756" s="11"/>
      <c r="AD756" s="29"/>
      <c r="AE756" s="11"/>
      <c r="AF756" s="29"/>
      <c r="AG756" s="11"/>
      <c r="AH756" s="29"/>
      <c r="AI756" s="11"/>
      <c r="AJ756" s="29"/>
      <c r="AK756" s="29"/>
      <c r="AL756" s="29"/>
      <c r="AM756" s="11"/>
      <c r="AN756" s="29"/>
      <c r="AO756" s="29"/>
      <c r="AP756" s="6"/>
      <c r="AQ756" s="113">
        <f>IF(AND(I756="",K756="",AF756="",AL756="",AN756="",O756=""),"",IF(OR(I756="SIM",K756="SIM",AF756="SIM",AL756="SIM",AN756="Dados pessoais",AN756="Dados sensíveis",AN756="Dados pessoais e sensíveis",O756="Acima de 10.000 titulares por mês"),"SIM - Alta criticidade",IF((IF(I756="SIM",2,0)+IF(K756="SIM",2,0)+IF(AF756="SIM",2,0)+IF(OR(AN756="Dados pessoais",AN756="Dados sensíveis",AN756="Dados pessoais e sensíveis"),2,0)+IF(O756="De 1.001 a 10.000 titulares por mês",1,0)+IF(AA756="SIM",1,0)+IF(R756="SIM",1,0)+IF(AL756="SIM",1,0)+IF(AJ756="NÃO",1,0))&gt;=5,"SIM - Alta criticidade",IF((IF(I756="SIM",2,0)+IF(K756="SIM",2,0)+IF(AF756="SIM",2,0)+IF(OR(AN756="Dados pessoais",AN756="Dados sensíveis",AN756="Dados pessoais e sensíveis"),2,0)+IF(O756="De 1.001 a 10.000 titulares por mês",1,0)+IF(AA756="SIM",1,0)+IF(R756="SIM",1,0)+IF(AL756="SIM",1,0)+IF(AJ756="NÃO",1,0))&gt;=3,"Avaliação necessária","NÃO"))))</f>
      </c>
      <c r="AR756" s="11"/>
      <c r="AS756" s="113">
        <f>IF(AND(I756="",K756="",AF756="",AL756="",AN756="",O756=""),"",IF(OR(I756="SIM",K756="SIM",AF756="SIM",AL756="SIM",OR(AN756="Dados pessoais",AN756="Dados sensíveis",AN756="Dados pessoais e sensíveis"),O756="Acima de 10.000 titulares por mês",(IF(I756="SIM",2,0)+IF(K756="SIM",2,0)+IF(AF756="SIM",2,0)+IF(OR(AN756="Dados pessoais",AN756="Dados sensíveis",AN756="Dados pessoais e sensíveis"),2,0)+IF(O756="De 1.001 a 10.000 titulares por mês",1,0)+IF(AA756="SIM",1,0)+IF(R756="SIM",1,0)+IF(AL756="SIM",1,0)+IF(AJ756="NÃO",1,0))&gt;=3),"DPIA indicado ou em avaliação em razão de: " &amp; TRIM(IF(I756="SIM","tratamento de dados sensíveis; ","") &amp; IF(K756="SIM","utilização de dados de menores; ","") &amp; IF(AF756="SIM","transferência internacional de dados; ","") &amp; IF(AL756="SIM","utilização de inteligência artificial; ","") &amp; IF(OR(AN756="Dados pessoais",AN756="Dados sensíveis",AN756="Dados pessoais e sensíveis"),"dados inseridos em IA; ","") &amp; IF(O756="Acima de 10.000 titulares por mês","volume crítico de titulares; ","") &amp; IF(O756="De 1.001 a 10.000 titulares por mês","volume moderado de titulares; ","") &amp; IF(AA756="SIM","compartilhamento com terceiros; ","") &amp; IF(R756="SIM","compartilhamento com órgãos governamentais; ","") &amp; IF(AJ756="NÃO","ausência de controle de acesso por perfil; ","")),"DPIA não indicado: Processo de baixa criticidade."))</f>
      </c>
    </row>
    <row x14ac:dyDescent="0.25" r="757" customHeight="1" ht="15.75">
      <c r="A757" s="46"/>
      <c r="B757" s="6"/>
      <c r="C757" s="11"/>
      <c r="D757" s="11"/>
      <c r="E757" s="11"/>
      <c r="F757" s="29"/>
      <c r="G757" s="11"/>
      <c r="H757" s="11"/>
      <c r="I757" s="29"/>
      <c r="J757" s="11"/>
      <c r="K757" s="29"/>
      <c r="L757" s="11"/>
      <c r="M757" s="11"/>
      <c r="N757" s="11"/>
      <c r="O757" s="29"/>
      <c r="P757" s="29"/>
      <c r="Q757" s="11"/>
      <c r="R757" s="29"/>
      <c r="S757" s="11"/>
      <c r="T757" s="6"/>
      <c r="U757" s="29"/>
      <c r="V757" s="11"/>
      <c r="W757" s="11"/>
      <c r="X757" s="29"/>
      <c r="Y757" s="11"/>
      <c r="Z757" s="29"/>
      <c r="AA757" s="29"/>
      <c r="AB757" s="11"/>
      <c r="AC757" s="11"/>
      <c r="AD757" s="29"/>
      <c r="AE757" s="11"/>
      <c r="AF757" s="29"/>
      <c r="AG757" s="11"/>
      <c r="AH757" s="29"/>
      <c r="AI757" s="11"/>
      <c r="AJ757" s="29"/>
      <c r="AK757" s="29"/>
      <c r="AL757" s="29"/>
      <c r="AM757" s="11"/>
      <c r="AN757" s="29"/>
      <c r="AO757" s="29"/>
      <c r="AP757" s="6"/>
      <c r="AQ757" s="113">
        <f>IF(AND(I757="",K757="",AF757="",AL757="",AN757="",O757=""),"",IF(OR(I757="SIM",K757="SIM",AF757="SIM",AL757="SIM",AN757="Dados pessoais",AN757="Dados sensíveis",AN757="Dados pessoais e sensíveis",O757="Acima de 10.000 titulares por mês"),"SIM - Alta criticidade",IF((IF(I757="SIM",2,0)+IF(K757="SIM",2,0)+IF(AF757="SIM",2,0)+IF(OR(AN757="Dados pessoais",AN757="Dados sensíveis",AN757="Dados pessoais e sensíveis"),2,0)+IF(O757="De 1.001 a 10.000 titulares por mês",1,0)+IF(AA757="SIM",1,0)+IF(R757="SIM",1,0)+IF(AL757="SIM",1,0)+IF(AJ757="NÃO",1,0))&gt;=5,"SIM - Alta criticidade",IF((IF(I757="SIM",2,0)+IF(K757="SIM",2,0)+IF(AF757="SIM",2,0)+IF(OR(AN757="Dados pessoais",AN757="Dados sensíveis",AN757="Dados pessoais e sensíveis"),2,0)+IF(O757="De 1.001 a 10.000 titulares por mês",1,0)+IF(AA757="SIM",1,0)+IF(R757="SIM",1,0)+IF(AL757="SIM",1,0)+IF(AJ757="NÃO",1,0))&gt;=3,"Avaliação necessária","NÃO"))))</f>
      </c>
      <c r="AR757" s="11"/>
      <c r="AS757" s="113">
        <f>IF(AND(I757="",K757="",AF757="",AL757="",AN757="",O757=""),"",IF(OR(I757="SIM",K757="SIM",AF757="SIM",AL757="SIM",OR(AN757="Dados pessoais",AN757="Dados sensíveis",AN757="Dados pessoais e sensíveis"),O757="Acima de 10.000 titulares por mês",(IF(I757="SIM",2,0)+IF(K757="SIM",2,0)+IF(AF757="SIM",2,0)+IF(OR(AN757="Dados pessoais",AN757="Dados sensíveis",AN757="Dados pessoais e sensíveis"),2,0)+IF(O757="De 1.001 a 10.000 titulares por mês",1,0)+IF(AA757="SIM",1,0)+IF(R757="SIM",1,0)+IF(AL757="SIM",1,0)+IF(AJ757="NÃO",1,0))&gt;=3),"DPIA indicado ou em avaliação em razão de: " &amp; TRIM(IF(I757="SIM","tratamento de dados sensíveis; ","") &amp; IF(K757="SIM","utilização de dados de menores; ","") &amp; IF(AF757="SIM","transferência internacional de dados; ","") &amp; IF(AL757="SIM","utilização de inteligência artificial; ","") &amp; IF(OR(AN757="Dados pessoais",AN757="Dados sensíveis",AN757="Dados pessoais e sensíveis"),"dados inseridos em IA; ","") &amp; IF(O757="Acima de 10.000 titulares por mês","volume crítico de titulares; ","") &amp; IF(O757="De 1.001 a 10.000 titulares por mês","volume moderado de titulares; ","") &amp; IF(AA757="SIM","compartilhamento com terceiros; ","") &amp; IF(R757="SIM","compartilhamento com órgãos governamentais; ","") &amp; IF(AJ757="NÃO","ausência de controle de acesso por perfil; ","")),"DPIA não indicado: Processo de baixa criticidade."))</f>
      </c>
    </row>
    <row x14ac:dyDescent="0.25" r="758" customHeight="1" ht="15.75">
      <c r="A758" s="46"/>
      <c r="B758" s="6"/>
      <c r="C758" s="11"/>
      <c r="D758" s="11"/>
      <c r="E758" s="11"/>
      <c r="F758" s="29"/>
      <c r="G758" s="11"/>
      <c r="H758" s="11"/>
      <c r="I758" s="29"/>
      <c r="J758" s="11"/>
      <c r="K758" s="29"/>
      <c r="L758" s="11"/>
      <c r="M758" s="11"/>
      <c r="N758" s="11"/>
      <c r="O758" s="29"/>
      <c r="P758" s="29"/>
      <c r="Q758" s="11"/>
      <c r="R758" s="29"/>
      <c r="S758" s="11"/>
      <c r="T758" s="6"/>
      <c r="U758" s="29"/>
      <c r="V758" s="11"/>
      <c r="W758" s="11"/>
      <c r="X758" s="29"/>
      <c r="Y758" s="11"/>
      <c r="Z758" s="29"/>
      <c r="AA758" s="29"/>
      <c r="AB758" s="11"/>
      <c r="AC758" s="11"/>
      <c r="AD758" s="29"/>
      <c r="AE758" s="11"/>
      <c r="AF758" s="29"/>
      <c r="AG758" s="11"/>
      <c r="AH758" s="29"/>
      <c r="AI758" s="11"/>
      <c r="AJ758" s="29"/>
      <c r="AK758" s="29"/>
      <c r="AL758" s="29"/>
      <c r="AM758" s="11"/>
      <c r="AN758" s="29"/>
      <c r="AO758" s="29"/>
      <c r="AP758" s="6"/>
      <c r="AQ758" s="113">
        <f>IF(AND(I758="",K758="",AF758="",AL758="",AN758="",O758=""),"",IF(OR(I758="SIM",K758="SIM",AF758="SIM",AL758="SIM",AN758="Dados pessoais",AN758="Dados sensíveis",AN758="Dados pessoais e sensíveis",O758="Acima de 10.000 titulares por mês"),"SIM - Alta criticidade",IF((IF(I758="SIM",2,0)+IF(K758="SIM",2,0)+IF(AF758="SIM",2,0)+IF(OR(AN758="Dados pessoais",AN758="Dados sensíveis",AN758="Dados pessoais e sensíveis"),2,0)+IF(O758="De 1.001 a 10.000 titulares por mês",1,0)+IF(AA758="SIM",1,0)+IF(R758="SIM",1,0)+IF(AL758="SIM",1,0)+IF(AJ758="NÃO",1,0))&gt;=5,"SIM - Alta criticidade",IF((IF(I758="SIM",2,0)+IF(K758="SIM",2,0)+IF(AF758="SIM",2,0)+IF(OR(AN758="Dados pessoais",AN758="Dados sensíveis",AN758="Dados pessoais e sensíveis"),2,0)+IF(O758="De 1.001 a 10.000 titulares por mês",1,0)+IF(AA758="SIM",1,0)+IF(R758="SIM",1,0)+IF(AL758="SIM",1,0)+IF(AJ758="NÃO",1,0))&gt;=3,"Avaliação necessária","NÃO"))))</f>
      </c>
      <c r="AR758" s="11"/>
      <c r="AS758" s="113">
        <f>IF(AND(I758="",K758="",AF758="",AL758="",AN758="",O758=""),"",IF(OR(I758="SIM",K758="SIM",AF758="SIM",AL758="SIM",OR(AN758="Dados pessoais",AN758="Dados sensíveis",AN758="Dados pessoais e sensíveis"),O758="Acima de 10.000 titulares por mês",(IF(I758="SIM",2,0)+IF(K758="SIM",2,0)+IF(AF758="SIM",2,0)+IF(OR(AN758="Dados pessoais",AN758="Dados sensíveis",AN758="Dados pessoais e sensíveis"),2,0)+IF(O758="De 1.001 a 10.000 titulares por mês",1,0)+IF(AA758="SIM",1,0)+IF(R758="SIM",1,0)+IF(AL758="SIM",1,0)+IF(AJ758="NÃO",1,0))&gt;=3),"DPIA indicado ou em avaliação em razão de: " &amp; TRIM(IF(I758="SIM","tratamento de dados sensíveis; ","") &amp; IF(K758="SIM","utilização de dados de menores; ","") &amp; IF(AF758="SIM","transferência internacional de dados; ","") &amp; IF(AL758="SIM","utilização de inteligência artificial; ","") &amp; IF(OR(AN758="Dados pessoais",AN758="Dados sensíveis",AN758="Dados pessoais e sensíveis"),"dados inseridos em IA; ","") &amp; IF(O758="Acima de 10.000 titulares por mês","volume crítico de titulares; ","") &amp; IF(O758="De 1.001 a 10.000 titulares por mês","volume moderado de titulares; ","") &amp; IF(AA758="SIM","compartilhamento com terceiros; ","") &amp; IF(R758="SIM","compartilhamento com órgãos governamentais; ","") &amp; IF(AJ758="NÃO","ausência de controle de acesso por perfil; ","")),"DPIA não indicado: Processo de baixa criticidade."))</f>
      </c>
    </row>
    <row x14ac:dyDescent="0.25" r="759" customHeight="1" ht="15.75">
      <c r="A759" s="46"/>
      <c r="B759" s="6"/>
      <c r="C759" s="11"/>
      <c r="D759" s="11"/>
      <c r="E759" s="11"/>
      <c r="F759" s="29"/>
      <c r="G759" s="11"/>
      <c r="H759" s="11"/>
      <c r="I759" s="29"/>
      <c r="J759" s="11"/>
      <c r="K759" s="29"/>
      <c r="L759" s="11"/>
      <c r="M759" s="11"/>
      <c r="N759" s="11"/>
      <c r="O759" s="29"/>
      <c r="P759" s="29"/>
      <c r="Q759" s="11"/>
      <c r="R759" s="29"/>
      <c r="S759" s="11"/>
      <c r="T759" s="6"/>
      <c r="U759" s="29"/>
      <c r="V759" s="11"/>
      <c r="W759" s="11"/>
      <c r="X759" s="29"/>
      <c r="Y759" s="11"/>
      <c r="Z759" s="29"/>
      <c r="AA759" s="29"/>
      <c r="AB759" s="11"/>
      <c r="AC759" s="11"/>
      <c r="AD759" s="29"/>
      <c r="AE759" s="11"/>
      <c r="AF759" s="29"/>
      <c r="AG759" s="11"/>
      <c r="AH759" s="29"/>
      <c r="AI759" s="11"/>
      <c r="AJ759" s="29"/>
      <c r="AK759" s="29"/>
      <c r="AL759" s="29"/>
      <c r="AM759" s="11"/>
      <c r="AN759" s="29"/>
      <c r="AO759" s="29"/>
      <c r="AP759" s="6"/>
      <c r="AQ759" s="113">
        <f>IF(AND(I759="",K759="",AF759="",AL759="",AN759="",O759=""),"",IF(OR(I759="SIM",K759="SIM",AF759="SIM",AL759="SIM",AN759="Dados pessoais",AN759="Dados sensíveis",AN759="Dados pessoais e sensíveis",O759="Acima de 10.000 titulares por mês"),"SIM - Alta criticidade",IF((IF(I759="SIM",2,0)+IF(K759="SIM",2,0)+IF(AF759="SIM",2,0)+IF(OR(AN759="Dados pessoais",AN759="Dados sensíveis",AN759="Dados pessoais e sensíveis"),2,0)+IF(O759="De 1.001 a 10.000 titulares por mês",1,0)+IF(AA759="SIM",1,0)+IF(R759="SIM",1,0)+IF(AL759="SIM",1,0)+IF(AJ759="NÃO",1,0))&gt;=5,"SIM - Alta criticidade",IF((IF(I759="SIM",2,0)+IF(K759="SIM",2,0)+IF(AF759="SIM",2,0)+IF(OR(AN759="Dados pessoais",AN759="Dados sensíveis",AN759="Dados pessoais e sensíveis"),2,0)+IF(O759="De 1.001 a 10.000 titulares por mês",1,0)+IF(AA759="SIM",1,0)+IF(R759="SIM",1,0)+IF(AL759="SIM",1,0)+IF(AJ759="NÃO",1,0))&gt;=3,"Avaliação necessária","NÃO"))))</f>
      </c>
      <c r="AR759" s="11"/>
      <c r="AS759" s="113">
        <f>IF(AND(I759="",K759="",AF759="",AL759="",AN759="",O759=""),"",IF(OR(I759="SIM",K759="SIM",AF759="SIM",AL759="SIM",OR(AN759="Dados pessoais",AN759="Dados sensíveis",AN759="Dados pessoais e sensíveis"),O759="Acima de 10.000 titulares por mês",(IF(I759="SIM",2,0)+IF(K759="SIM",2,0)+IF(AF759="SIM",2,0)+IF(OR(AN759="Dados pessoais",AN759="Dados sensíveis",AN759="Dados pessoais e sensíveis"),2,0)+IF(O759="De 1.001 a 10.000 titulares por mês",1,0)+IF(AA759="SIM",1,0)+IF(R759="SIM",1,0)+IF(AL759="SIM",1,0)+IF(AJ759="NÃO",1,0))&gt;=3),"DPIA indicado ou em avaliação em razão de: " &amp; TRIM(IF(I759="SIM","tratamento de dados sensíveis; ","") &amp; IF(K759="SIM","utilização de dados de menores; ","") &amp; IF(AF759="SIM","transferência internacional de dados; ","") &amp; IF(AL759="SIM","utilização de inteligência artificial; ","") &amp; IF(OR(AN759="Dados pessoais",AN759="Dados sensíveis",AN759="Dados pessoais e sensíveis"),"dados inseridos em IA; ","") &amp; IF(O759="Acima de 10.000 titulares por mês","volume crítico de titulares; ","") &amp; IF(O759="De 1.001 a 10.000 titulares por mês","volume moderado de titulares; ","") &amp; IF(AA759="SIM","compartilhamento com terceiros; ","") &amp; IF(R759="SIM","compartilhamento com órgãos governamentais; ","") &amp; IF(AJ759="NÃO","ausência de controle de acesso por perfil; ","")),"DPIA não indicado: Processo de baixa criticidade."))</f>
      </c>
    </row>
    <row x14ac:dyDescent="0.25" r="760" customHeight="1" ht="15.75">
      <c r="A760" s="46"/>
      <c r="B760" s="6"/>
      <c r="C760" s="11"/>
      <c r="D760" s="11"/>
      <c r="E760" s="11"/>
      <c r="F760" s="29"/>
      <c r="G760" s="11"/>
      <c r="H760" s="11"/>
      <c r="I760" s="29"/>
      <c r="J760" s="11"/>
      <c r="K760" s="29"/>
      <c r="L760" s="11"/>
      <c r="M760" s="11"/>
      <c r="N760" s="11"/>
      <c r="O760" s="29"/>
      <c r="P760" s="29"/>
      <c r="Q760" s="11"/>
      <c r="R760" s="29"/>
      <c r="S760" s="11"/>
      <c r="T760" s="6"/>
      <c r="U760" s="29"/>
      <c r="V760" s="11"/>
      <c r="W760" s="11"/>
      <c r="X760" s="29"/>
      <c r="Y760" s="11"/>
      <c r="Z760" s="29"/>
      <c r="AA760" s="29"/>
      <c r="AB760" s="11"/>
      <c r="AC760" s="11"/>
      <c r="AD760" s="29"/>
      <c r="AE760" s="11"/>
      <c r="AF760" s="29"/>
      <c r="AG760" s="11"/>
      <c r="AH760" s="29"/>
      <c r="AI760" s="11"/>
      <c r="AJ760" s="29"/>
      <c r="AK760" s="29"/>
      <c r="AL760" s="29"/>
      <c r="AM760" s="11"/>
      <c r="AN760" s="29"/>
      <c r="AO760" s="29"/>
      <c r="AP760" s="6"/>
      <c r="AQ760" s="113">
        <f>IF(AND(I760="",K760="",AF760="",AL760="",AN760="",O760=""),"",IF(OR(I760="SIM",K760="SIM",AF760="SIM",AL760="SIM",AN760="Dados pessoais",AN760="Dados sensíveis",AN760="Dados pessoais e sensíveis",O760="Acima de 10.000 titulares por mês"),"SIM - Alta criticidade",IF((IF(I760="SIM",2,0)+IF(K760="SIM",2,0)+IF(AF760="SIM",2,0)+IF(OR(AN760="Dados pessoais",AN760="Dados sensíveis",AN760="Dados pessoais e sensíveis"),2,0)+IF(O760="De 1.001 a 10.000 titulares por mês",1,0)+IF(AA760="SIM",1,0)+IF(R760="SIM",1,0)+IF(AL760="SIM",1,0)+IF(AJ760="NÃO",1,0))&gt;=5,"SIM - Alta criticidade",IF((IF(I760="SIM",2,0)+IF(K760="SIM",2,0)+IF(AF760="SIM",2,0)+IF(OR(AN760="Dados pessoais",AN760="Dados sensíveis",AN760="Dados pessoais e sensíveis"),2,0)+IF(O760="De 1.001 a 10.000 titulares por mês",1,0)+IF(AA760="SIM",1,0)+IF(R760="SIM",1,0)+IF(AL760="SIM",1,0)+IF(AJ760="NÃO",1,0))&gt;=3,"Avaliação necessária","NÃO"))))</f>
      </c>
      <c r="AR760" s="11"/>
      <c r="AS760" s="113">
        <f>IF(AND(I760="",K760="",AF760="",AL760="",AN760="",O760=""),"",IF(OR(I760="SIM",K760="SIM",AF760="SIM",AL760="SIM",OR(AN760="Dados pessoais",AN760="Dados sensíveis",AN760="Dados pessoais e sensíveis"),O760="Acima de 10.000 titulares por mês",(IF(I760="SIM",2,0)+IF(K760="SIM",2,0)+IF(AF760="SIM",2,0)+IF(OR(AN760="Dados pessoais",AN760="Dados sensíveis",AN760="Dados pessoais e sensíveis"),2,0)+IF(O760="De 1.001 a 10.000 titulares por mês",1,0)+IF(AA760="SIM",1,0)+IF(R760="SIM",1,0)+IF(AL760="SIM",1,0)+IF(AJ760="NÃO",1,0))&gt;=3),"DPIA indicado ou em avaliação em razão de: " &amp; TRIM(IF(I760="SIM","tratamento de dados sensíveis; ","") &amp; IF(K760="SIM","utilização de dados de menores; ","") &amp; IF(AF760="SIM","transferência internacional de dados; ","") &amp; IF(AL760="SIM","utilização de inteligência artificial; ","") &amp; IF(OR(AN760="Dados pessoais",AN760="Dados sensíveis",AN760="Dados pessoais e sensíveis"),"dados inseridos em IA; ","") &amp; IF(O760="Acima de 10.000 titulares por mês","volume crítico de titulares; ","") &amp; IF(O760="De 1.001 a 10.000 titulares por mês","volume moderado de titulares; ","") &amp; IF(AA760="SIM","compartilhamento com terceiros; ","") &amp; IF(R760="SIM","compartilhamento com órgãos governamentais; ","") &amp; IF(AJ760="NÃO","ausência de controle de acesso por perfil; ","")),"DPIA não indicado: Processo de baixa criticidade."))</f>
      </c>
    </row>
    <row x14ac:dyDescent="0.25" r="761" customHeight="1" ht="15.75">
      <c r="A761" s="46"/>
      <c r="B761" s="6"/>
      <c r="C761" s="11"/>
      <c r="D761" s="11"/>
      <c r="E761" s="11"/>
      <c r="F761" s="29"/>
      <c r="G761" s="11"/>
      <c r="H761" s="11"/>
      <c r="I761" s="29"/>
      <c r="J761" s="11"/>
      <c r="K761" s="29"/>
      <c r="L761" s="11"/>
      <c r="M761" s="11"/>
      <c r="N761" s="11"/>
      <c r="O761" s="29"/>
      <c r="P761" s="29"/>
      <c r="Q761" s="11"/>
      <c r="R761" s="29"/>
      <c r="S761" s="11"/>
      <c r="T761" s="6"/>
      <c r="U761" s="29"/>
      <c r="V761" s="11"/>
      <c r="W761" s="11"/>
      <c r="X761" s="29"/>
      <c r="Y761" s="11"/>
      <c r="Z761" s="29"/>
      <c r="AA761" s="29"/>
      <c r="AB761" s="11"/>
      <c r="AC761" s="11"/>
      <c r="AD761" s="29"/>
      <c r="AE761" s="11"/>
      <c r="AF761" s="29"/>
      <c r="AG761" s="11"/>
      <c r="AH761" s="29"/>
      <c r="AI761" s="11"/>
      <c r="AJ761" s="29"/>
      <c r="AK761" s="29"/>
      <c r="AL761" s="29"/>
      <c r="AM761" s="11"/>
      <c r="AN761" s="29"/>
      <c r="AO761" s="29"/>
      <c r="AP761" s="6"/>
      <c r="AQ761" s="113">
        <f>IF(AND(I761="",K761="",AF761="",AL761="",AN761="",O761=""),"",IF(OR(I761="SIM",K761="SIM",AF761="SIM",AL761="SIM",AN761="Dados pessoais",AN761="Dados sensíveis",AN761="Dados pessoais e sensíveis",O761="Acima de 10.000 titulares por mês"),"SIM - Alta criticidade",IF((IF(I761="SIM",2,0)+IF(K761="SIM",2,0)+IF(AF761="SIM",2,0)+IF(OR(AN761="Dados pessoais",AN761="Dados sensíveis",AN761="Dados pessoais e sensíveis"),2,0)+IF(O761="De 1.001 a 10.000 titulares por mês",1,0)+IF(AA761="SIM",1,0)+IF(R761="SIM",1,0)+IF(AL761="SIM",1,0)+IF(AJ761="NÃO",1,0))&gt;=5,"SIM - Alta criticidade",IF((IF(I761="SIM",2,0)+IF(K761="SIM",2,0)+IF(AF761="SIM",2,0)+IF(OR(AN761="Dados pessoais",AN761="Dados sensíveis",AN761="Dados pessoais e sensíveis"),2,0)+IF(O761="De 1.001 a 10.000 titulares por mês",1,0)+IF(AA761="SIM",1,0)+IF(R761="SIM",1,0)+IF(AL761="SIM",1,0)+IF(AJ761="NÃO",1,0))&gt;=3,"Avaliação necessária","NÃO"))))</f>
      </c>
      <c r="AR761" s="11"/>
      <c r="AS761" s="113">
        <f>IF(AND(I761="",K761="",AF761="",AL761="",AN761="",O761=""),"",IF(OR(I761="SIM",K761="SIM",AF761="SIM",AL761="SIM",OR(AN761="Dados pessoais",AN761="Dados sensíveis",AN761="Dados pessoais e sensíveis"),O761="Acima de 10.000 titulares por mês",(IF(I761="SIM",2,0)+IF(K761="SIM",2,0)+IF(AF761="SIM",2,0)+IF(OR(AN761="Dados pessoais",AN761="Dados sensíveis",AN761="Dados pessoais e sensíveis"),2,0)+IF(O761="De 1.001 a 10.000 titulares por mês",1,0)+IF(AA761="SIM",1,0)+IF(R761="SIM",1,0)+IF(AL761="SIM",1,0)+IF(AJ761="NÃO",1,0))&gt;=3),"DPIA indicado ou em avaliação em razão de: " &amp; TRIM(IF(I761="SIM","tratamento de dados sensíveis; ","") &amp; IF(K761="SIM","utilização de dados de menores; ","") &amp; IF(AF761="SIM","transferência internacional de dados; ","") &amp; IF(AL761="SIM","utilização de inteligência artificial; ","") &amp; IF(OR(AN761="Dados pessoais",AN761="Dados sensíveis",AN761="Dados pessoais e sensíveis"),"dados inseridos em IA; ","") &amp; IF(O761="Acima de 10.000 titulares por mês","volume crítico de titulares; ","") &amp; IF(O761="De 1.001 a 10.000 titulares por mês","volume moderado de titulares; ","") &amp; IF(AA761="SIM","compartilhamento com terceiros; ","") &amp; IF(R761="SIM","compartilhamento com órgãos governamentais; ","") &amp; IF(AJ761="NÃO","ausência de controle de acesso por perfil; ","")),"DPIA não indicado: Processo de baixa criticidade."))</f>
      </c>
    </row>
    <row x14ac:dyDescent="0.25" r="762" customHeight="1" ht="15.75">
      <c r="A762" s="46"/>
      <c r="B762" s="6"/>
      <c r="C762" s="11"/>
      <c r="D762" s="11"/>
      <c r="E762" s="11"/>
      <c r="F762" s="29"/>
      <c r="G762" s="11"/>
      <c r="H762" s="11"/>
      <c r="I762" s="29"/>
      <c r="J762" s="11"/>
      <c r="K762" s="29"/>
      <c r="L762" s="11"/>
      <c r="M762" s="11"/>
      <c r="N762" s="11"/>
      <c r="O762" s="29"/>
      <c r="P762" s="29"/>
      <c r="Q762" s="11"/>
      <c r="R762" s="29"/>
      <c r="S762" s="11"/>
      <c r="T762" s="6"/>
      <c r="U762" s="29"/>
      <c r="V762" s="11"/>
      <c r="W762" s="11"/>
      <c r="X762" s="29"/>
      <c r="Y762" s="11"/>
      <c r="Z762" s="29"/>
      <c r="AA762" s="29"/>
      <c r="AB762" s="11"/>
      <c r="AC762" s="11"/>
      <c r="AD762" s="29"/>
      <c r="AE762" s="11"/>
      <c r="AF762" s="29"/>
      <c r="AG762" s="11"/>
      <c r="AH762" s="29"/>
      <c r="AI762" s="11"/>
      <c r="AJ762" s="29"/>
      <c r="AK762" s="29"/>
      <c r="AL762" s="29"/>
      <c r="AM762" s="11"/>
      <c r="AN762" s="29"/>
      <c r="AO762" s="29"/>
      <c r="AP762" s="6"/>
      <c r="AQ762" s="113">
        <f>IF(AND(I762="",K762="",AF762="",AL762="",AN762="",O762=""),"",IF(OR(I762="SIM",K762="SIM",AF762="SIM",AL762="SIM",AN762="Dados pessoais",AN762="Dados sensíveis",AN762="Dados pessoais e sensíveis",O762="Acima de 10.000 titulares por mês"),"SIM - Alta criticidade",IF((IF(I762="SIM",2,0)+IF(K762="SIM",2,0)+IF(AF762="SIM",2,0)+IF(OR(AN762="Dados pessoais",AN762="Dados sensíveis",AN762="Dados pessoais e sensíveis"),2,0)+IF(O762="De 1.001 a 10.000 titulares por mês",1,0)+IF(AA762="SIM",1,0)+IF(R762="SIM",1,0)+IF(AL762="SIM",1,0)+IF(AJ762="NÃO",1,0))&gt;=5,"SIM - Alta criticidade",IF((IF(I762="SIM",2,0)+IF(K762="SIM",2,0)+IF(AF762="SIM",2,0)+IF(OR(AN762="Dados pessoais",AN762="Dados sensíveis",AN762="Dados pessoais e sensíveis"),2,0)+IF(O762="De 1.001 a 10.000 titulares por mês",1,0)+IF(AA762="SIM",1,0)+IF(R762="SIM",1,0)+IF(AL762="SIM",1,0)+IF(AJ762="NÃO",1,0))&gt;=3,"Avaliação necessária","NÃO"))))</f>
      </c>
      <c r="AR762" s="11"/>
      <c r="AS762" s="113">
        <f>IF(AND(I762="",K762="",AF762="",AL762="",AN762="",O762=""),"",IF(OR(I762="SIM",K762="SIM",AF762="SIM",AL762="SIM",OR(AN762="Dados pessoais",AN762="Dados sensíveis",AN762="Dados pessoais e sensíveis"),O762="Acima de 10.000 titulares por mês",(IF(I762="SIM",2,0)+IF(K762="SIM",2,0)+IF(AF762="SIM",2,0)+IF(OR(AN762="Dados pessoais",AN762="Dados sensíveis",AN762="Dados pessoais e sensíveis"),2,0)+IF(O762="De 1.001 a 10.000 titulares por mês",1,0)+IF(AA762="SIM",1,0)+IF(R762="SIM",1,0)+IF(AL762="SIM",1,0)+IF(AJ762="NÃO",1,0))&gt;=3),"DPIA indicado ou em avaliação em razão de: " &amp; TRIM(IF(I762="SIM","tratamento de dados sensíveis; ","") &amp; IF(K762="SIM","utilização de dados de menores; ","") &amp; IF(AF762="SIM","transferência internacional de dados; ","") &amp; IF(AL762="SIM","utilização de inteligência artificial; ","") &amp; IF(OR(AN762="Dados pessoais",AN762="Dados sensíveis",AN762="Dados pessoais e sensíveis"),"dados inseridos em IA; ","") &amp; IF(O762="Acima de 10.000 titulares por mês","volume crítico de titulares; ","") &amp; IF(O762="De 1.001 a 10.000 titulares por mês","volume moderado de titulares; ","") &amp; IF(AA762="SIM","compartilhamento com terceiros; ","") &amp; IF(R762="SIM","compartilhamento com órgãos governamentais; ","") &amp; IF(AJ762="NÃO","ausência de controle de acesso por perfil; ","")),"DPIA não indicado: Processo de baixa criticidade."))</f>
      </c>
    </row>
    <row x14ac:dyDescent="0.25" r="763" customHeight="1" ht="15.75">
      <c r="A763" s="46"/>
      <c r="B763" s="6"/>
      <c r="C763" s="11"/>
      <c r="D763" s="11"/>
      <c r="E763" s="11"/>
      <c r="F763" s="29"/>
      <c r="G763" s="11"/>
      <c r="H763" s="11"/>
      <c r="I763" s="29"/>
      <c r="J763" s="11"/>
      <c r="K763" s="29"/>
      <c r="L763" s="11"/>
      <c r="M763" s="11"/>
      <c r="N763" s="11"/>
      <c r="O763" s="29"/>
      <c r="P763" s="29"/>
      <c r="Q763" s="11"/>
      <c r="R763" s="29"/>
      <c r="S763" s="11"/>
      <c r="T763" s="6"/>
      <c r="U763" s="29"/>
      <c r="V763" s="11"/>
      <c r="W763" s="11"/>
      <c r="X763" s="29"/>
      <c r="Y763" s="11"/>
      <c r="Z763" s="29"/>
      <c r="AA763" s="29"/>
      <c r="AB763" s="11"/>
      <c r="AC763" s="11"/>
      <c r="AD763" s="29"/>
      <c r="AE763" s="11"/>
      <c r="AF763" s="29"/>
      <c r="AG763" s="11"/>
      <c r="AH763" s="29"/>
      <c r="AI763" s="11"/>
      <c r="AJ763" s="29"/>
      <c r="AK763" s="29"/>
      <c r="AL763" s="29"/>
      <c r="AM763" s="11"/>
      <c r="AN763" s="29"/>
      <c r="AO763" s="29"/>
      <c r="AP763" s="6"/>
      <c r="AQ763" s="113">
        <f>IF(AND(I763="",K763="",AF763="",AL763="",AN763="",O763=""),"",IF(OR(I763="SIM",K763="SIM",AF763="SIM",AL763="SIM",AN763="Dados pessoais",AN763="Dados sensíveis",AN763="Dados pessoais e sensíveis",O763="Acima de 10.000 titulares por mês"),"SIM - Alta criticidade",IF((IF(I763="SIM",2,0)+IF(K763="SIM",2,0)+IF(AF763="SIM",2,0)+IF(OR(AN763="Dados pessoais",AN763="Dados sensíveis",AN763="Dados pessoais e sensíveis"),2,0)+IF(O763="De 1.001 a 10.000 titulares por mês",1,0)+IF(AA763="SIM",1,0)+IF(R763="SIM",1,0)+IF(AL763="SIM",1,0)+IF(AJ763="NÃO",1,0))&gt;=5,"SIM - Alta criticidade",IF((IF(I763="SIM",2,0)+IF(K763="SIM",2,0)+IF(AF763="SIM",2,0)+IF(OR(AN763="Dados pessoais",AN763="Dados sensíveis",AN763="Dados pessoais e sensíveis"),2,0)+IF(O763="De 1.001 a 10.000 titulares por mês",1,0)+IF(AA763="SIM",1,0)+IF(R763="SIM",1,0)+IF(AL763="SIM",1,0)+IF(AJ763="NÃO",1,0))&gt;=3,"Avaliação necessária","NÃO"))))</f>
      </c>
      <c r="AR763" s="11"/>
      <c r="AS763" s="113">
        <f>IF(AND(I763="",K763="",AF763="",AL763="",AN763="",O763=""),"",IF(OR(I763="SIM",K763="SIM",AF763="SIM",AL763="SIM",OR(AN763="Dados pessoais",AN763="Dados sensíveis",AN763="Dados pessoais e sensíveis"),O763="Acima de 10.000 titulares por mês",(IF(I763="SIM",2,0)+IF(K763="SIM",2,0)+IF(AF763="SIM",2,0)+IF(OR(AN763="Dados pessoais",AN763="Dados sensíveis",AN763="Dados pessoais e sensíveis"),2,0)+IF(O763="De 1.001 a 10.000 titulares por mês",1,0)+IF(AA763="SIM",1,0)+IF(R763="SIM",1,0)+IF(AL763="SIM",1,0)+IF(AJ763="NÃO",1,0))&gt;=3),"DPIA indicado ou em avaliação em razão de: " &amp; TRIM(IF(I763="SIM","tratamento de dados sensíveis; ","") &amp; IF(K763="SIM","utilização de dados de menores; ","") &amp; IF(AF763="SIM","transferência internacional de dados; ","") &amp; IF(AL763="SIM","utilização de inteligência artificial; ","") &amp; IF(OR(AN763="Dados pessoais",AN763="Dados sensíveis",AN763="Dados pessoais e sensíveis"),"dados inseridos em IA; ","") &amp; IF(O763="Acima de 10.000 titulares por mês","volume crítico de titulares; ","") &amp; IF(O763="De 1.001 a 10.000 titulares por mês","volume moderado de titulares; ","") &amp; IF(AA763="SIM","compartilhamento com terceiros; ","") &amp; IF(R763="SIM","compartilhamento com órgãos governamentais; ","") &amp; IF(AJ763="NÃO","ausência de controle de acesso por perfil; ","")),"DPIA não indicado: Processo de baixa criticidade."))</f>
      </c>
    </row>
    <row x14ac:dyDescent="0.25" r="764" customHeight="1" ht="15.75">
      <c r="A764" s="46"/>
      <c r="B764" s="6"/>
      <c r="C764" s="11"/>
      <c r="D764" s="11"/>
      <c r="E764" s="11"/>
      <c r="F764" s="29"/>
      <c r="G764" s="11"/>
      <c r="H764" s="11"/>
      <c r="I764" s="29"/>
      <c r="J764" s="11"/>
      <c r="K764" s="29"/>
      <c r="L764" s="11"/>
      <c r="M764" s="11"/>
      <c r="N764" s="11"/>
      <c r="O764" s="29"/>
      <c r="P764" s="29"/>
      <c r="Q764" s="11"/>
      <c r="R764" s="29"/>
      <c r="S764" s="11"/>
      <c r="T764" s="6"/>
      <c r="U764" s="29"/>
      <c r="V764" s="11"/>
      <c r="W764" s="11"/>
      <c r="X764" s="29"/>
      <c r="Y764" s="11"/>
      <c r="Z764" s="29"/>
      <c r="AA764" s="29"/>
      <c r="AB764" s="11"/>
      <c r="AC764" s="11"/>
      <c r="AD764" s="29"/>
      <c r="AE764" s="11"/>
      <c r="AF764" s="29"/>
      <c r="AG764" s="11"/>
      <c r="AH764" s="29"/>
      <c r="AI764" s="11"/>
      <c r="AJ764" s="29"/>
      <c r="AK764" s="29"/>
      <c r="AL764" s="29"/>
      <c r="AM764" s="11"/>
      <c r="AN764" s="29"/>
      <c r="AO764" s="29"/>
      <c r="AP764" s="6"/>
      <c r="AQ764" s="113">
        <f>IF(AND(I764="",K764="",AF764="",AL764="",AN764="",O764=""),"",IF(OR(I764="SIM",K764="SIM",AF764="SIM",AL764="SIM",AN764="Dados pessoais",AN764="Dados sensíveis",AN764="Dados pessoais e sensíveis",O764="Acima de 10.000 titulares por mês"),"SIM - Alta criticidade",IF((IF(I764="SIM",2,0)+IF(K764="SIM",2,0)+IF(AF764="SIM",2,0)+IF(OR(AN764="Dados pessoais",AN764="Dados sensíveis",AN764="Dados pessoais e sensíveis"),2,0)+IF(O764="De 1.001 a 10.000 titulares por mês",1,0)+IF(AA764="SIM",1,0)+IF(R764="SIM",1,0)+IF(AL764="SIM",1,0)+IF(AJ764="NÃO",1,0))&gt;=5,"SIM - Alta criticidade",IF((IF(I764="SIM",2,0)+IF(K764="SIM",2,0)+IF(AF764="SIM",2,0)+IF(OR(AN764="Dados pessoais",AN764="Dados sensíveis",AN764="Dados pessoais e sensíveis"),2,0)+IF(O764="De 1.001 a 10.000 titulares por mês",1,0)+IF(AA764="SIM",1,0)+IF(R764="SIM",1,0)+IF(AL764="SIM",1,0)+IF(AJ764="NÃO",1,0))&gt;=3,"Avaliação necessária","NÃO"))))</f>
      </c>
      <c r="AR764" s="11"/>
      <c r="AS764" s="113">
        <f>IF(AND(I764="",K764="",AF764="",AL764="",AN764="",O764=""),"",IF(OR(I764="SIM",K764="SIM",AF764="SIM",AL764="SIM",OR(AN764="Dados pessoais",AN764="Dados sensíveis",AN764="Dados pessoais e sensíveis"),O764="Acima de 10.000 titulares por mês",(IF(I764="SIM",2,0)+IF(K764="SIM",2,0)+IF(AF764="SIM",2,0)+IF(OR(AN764="Dados pessoais",AN764="Dados sensíveis",AN764="Dados pessoais e sensíveis"),2,0)+IF(O764="De 1.001 a 10.000 titulares por mês",1,0)+IF(AA764="SIM",1,0)+IF(R764="SIM",1,0)+IF(AL764="SIM",1,0)+IF(AJ764="NÃO",1,0))&gt;=3),"DPIA indicado ou em avaliação em razão de: " &amp; TRIM(IF(I764="SIM","tratamento de dados sensíveis; ","") &amp; IF(K764="SIM","utilização de dados de menores; ","") &amp; IF(AF764="SIM","transferência internacional de dados; ","") &amp; IF(AL764="SIM","utilização de inteligência artificial; ","") &amp; IF(OR(AN764="Dados pessoais",AN764="Dados sensíveis",AN764="Dados pessoais e sensíveis"),"dados inseridos em IA; ","") &amp; IF(O764="Acima de 10.000 titulares por mês","volume crítico de titulares; ","") &amp; IF(O764="De 1.001 a 10.000 titulares por mês","volume moderado de titulares; ","") &amp; IF(AA764="SIM","compartilhamento com terceiros; ","") &amp; IF(R764="SIM","compartilhamento com órgãos governamentais; ","") &amp; IF(AJ764="NÃO","ausência de controle de acesso por perfil; ","")),"DPIA não indicado: Processo de baixa criticidade."))</f>
      </c>
    </row>
    <row x14ac:dyDescent="0.25" r="765" customHeight="1" ht="15.75">
      <c r="A765" s="46"/>
      <c r="B765" s="6"/>
      <c r="C765" s="11"/>
      <c r="D765" s="11"/>
      <c r="E765" s="11"/>
      <c r="F765" s="29"/>
      <c r="G765" s="11"/>
      <c r="H765" s="11"/>
      <c r="I765" s="29"/>
      <c r="J765" s="11"/>
      <c r="K765" s="29"/>
      <c r="L765" s="11"/>
      <c r="M765" s="11"/>
      <c r="N765" s="11"/>
      <c r="O765" s="29"/>
      <c r="P765" s="29"/>
      <c r="Q765" s="11"/>
      <c r="R765" s="29"/>
      <c r="S765" s="11"/>
      <c r="T765" s="6"/>
      <c r="U765" s="29"/>
      <c r="V765" s="11"/>
      <c r="W765" s="11"/>
      <c r="X765" s="29"/>
      <c r="Y765" s="11"/>
      <c r="Z765" s="29"/>
      <c r="AA765" s="29"/>
      <c r="AB765" s="11"/>
      <c r="AC765" s="11"/>
      <c r="AD765" s="29"/>
      <c r="AE765" s="11"/>
      <c r="AF765" s="29"/>
      <c r="AG765" s="11"/>
      <c r="AH765" s="29"/>
      <c r="AI765" s="11"/>
      <c r="AJ765" s="29"/>
      <c r="AK765" s="29"/>
      <c r="AL765" s="29"/>
      <c r="AM765" s="11"/>
      <c r="AN765" s="29"/>
      <c r="AO765" s="29"/>
      <c r="AP765" s="6"/>
      <c r="AQ765" s="113">
        <f>IF(AND(I765="",K765="",AF765="",AL765="",AN765="",O765=""),"",IF(OR(I765="SIM",K765="SIM",AF765="SIM",AL765="SIM",AN765="Dados pessoais",AN765="Dados sensíveis",AN765="Dados pessoais e sensíveis",O765="Acima de 10.000 titulares por mês"),"SIM - Alta criticidade",IF((IF(I765="SIM",2,0)+IF(K765="SIM",2,0)+IF(AF765="SIM",2,0)+IF(OR(AN765="Dados pessoais",AN765="Dados sensíveis",AN765="Dados pessoais e sensíveis"),2,0)+IF(O765="De 1.001 a 10.000 titulares por mês",1,0)+IF(AA765="SIM",1,0)+IF(R765="SIM",1,0)+IF(AL765="SIM",1,0)+IF(AJ765="NÃO",1,0))&gt;=5,"SIM - Alta criticidade",IF((IF(I765="SIM",2,0)+IF(K765="SIM",2,0)+IF(AF765="SIM",2,0)+IF(OR(AN765="Dados pessoais",AN765="Dados sensíveis",AN765="Dados pessoais e sensíveis"),2,0)+IF(O765="De 1.001 a 10.000 titulares por mês",1,0)+IF(AA765="SIM",1,0)+IF(R765="SIM",1,0)+IF(AL765="SIM",1,0)+IF(AJ765="NÃO",1,0))&gt;=3,"Avaliação necessária","NÃO"))))</f>
      </c>
      <c r="AR765" s="11"/>
      <c r="AS765" s="113">
        <f>IF(AND(I765="",K765="",AF765="",AL765="",AN765="",O765=""),"",IF(OR(I765="SIM",K765="SIM",AF765="SIM",AL765="SIM",OR(AN765="Dados pessoais",AN765="Dados sensíveis",AN765="Dados pessoais e sensíveis"),O765="Acima de 10.000 titulares por mês",(IF(I765="SIM",2,0)+IF(K765="SIM",2,0)+IF(AF765="SIM",2,0)+IF(OR(AN765="Dados pessoais",AN765="Dados sensíveis",AN765="Dados pessoais e sensíveis"),2,0)+IF(O765="De 1.001 a 10.000 titulares por mês",1,0)+IF(AA765="SIM",1,0)+IF(R765="SIM",1,0)+IF(AL765="SIM",1,0)+IF(AJ765="NÃO",1,0))&gt;=3),"DPIA indicado ou em avaliação em razão de: " &amp; TRIM(IF(I765="SIM","tratamento de dados sensíveis; ","") &amp; IF(K765="SIM","utilização de dados de menores; ","") &amp; IF(AF765="SIM","transferência internacional de dados; ","") &amp; IF(AL765="SIM","utilização de inteligência artificial; ","") &amp; IF(OR(AN765="Dados pessoais",AN765="Dados sensíveis",AN765="Dados pessoais e sensíveis"),"dados inseridos em IA; ","") &amp; IF(O765="Acima de 10.000 titulares por mês","volume crítico de titulares; ","") &amp; IF(O765="De 1.001 a 10.000 titulares por mês","volume moderado de titulares; ","") &amp; IF(AA765="SIM","compartilhamento com terceiros; ","") &amp; IF(R765="SIM","compartilhamento com órgãos governamentais; ","") &amp; IF(AJ765="NÃO","ausência de controle de acesso por perfil; ","")),"DPIA não indicado: Processo de baixa criticidade."))</f>
      </c>
    </row>
    <row x14ac:dyDescent="0.25" r="766" customHeight="1" ht="15.75">
      <c r="A766" s="46"/>
      <c r="B766" s="6"/>
      <c r="C766" s="11"/>
      <c r="D766" s="11"/>
      <c r="E766" s="11"/>
      <c r="F766" s="29"/>
      <c r="G766" s="11"/>
      <c r="H766" s="11"/>
      <c r="I766" s="29"/>
      <c r="J766" s="11"/>
      <c r="K766" s="29"/>
      <c r="L766" s="11"/>
      <c r="M766" s="11"/>
      <c r="N766" s="11"/>
      <c r="O766" s="29"/>
      <c r="P766" s="29"/>
      <c r="Q766" s="11"/>
      <c r="R766" s="29"/>
      <c r="S766" s="11"/>
      <c r="T766" s="6"/>
      <c r="U766" s="29"/>
      <c r="V766" s="11"/>
      <c r="W766" s="11"/>
      <c r="X766" s="29"/>
      <c r="Y766" s="11"/>
      <c r="Z766" s="29"/>
      <c r="AA766" s="29"/>
      <c r="AB766" s="11"/>
      <c r="AC766" s="11"/>
      <c r="AD766" s="29"/>
      <c r="AE766" s="11"/>
      <c r="AF766" s="29"/>
      <c r="AG766" s="11"/>
      <c r="AH766" s="29"/>
      <c r="AI766" s="11"/>
      <c r="AJ766" s="29"/>
      <c r="AK766" s="29"/>
      <c r="AL766" s="29"/>
      <c r="AM766" s="11"/>
      <c r="AN766" s="29"/>
      <c r="AO766" s="29"/>
      <c r="AP766" s="6"/>
      <c r="AQ766" s="113">
        <f>IF(AND(I766="",K766="",AF766="",AL766="",AN766="",O766=""),"",IF(OR(I766="SIM",K766="SIM",AF766="SIM",AL766="SIM",AN766="Dados pessoais",AN766="Dados sensíveis",AN766="Dados pessoais e sensíveis",O766="Acima de 10.000 titulares por mês"),"SIM - Alta criticidade",IF((IF(I766="SIM",2,0)+IF(K766="SIM",2,0)+IF(AF766="SIM",2,0)+IF(OR(AN766="Dados pessoais",AN766="Dados sensíveis",AN766="Dados pessoais e sensíveis"),2,0)+IF(O766="De 1.001 a 10.000 titulares por mês",1,0)+IF(AA766="SIM",1,0)+IF(R766="SIM",1,0)+IF(AL766="SIM",1,0)+IF(AJ766="NÃO",1,0))&gt;=5,"SIM - Alta criticidade",IF((IF(I766="SIM",2,0)+IF(K766="SIM",2,0)+IF(AF766="SIM",2,0)+IF(OR(AN766="Dados pessoais",AN766="Dados sensíveis",AN766="Dados pessoais e sensíveis"),2,0)+IF(O766="De 1.001 a 10.000 titulares por mês",1,0)+IF(AA766="SIM",1,0)+IF(R766="SIM",1,0)+IF(AL766="SIM",1,0)+IF(AJ766="NÃO",1,0))&gt;=3,"Avaliação necessária","NÃO"))))</f>
      </c>
      <c r="AR766" s="11"/>
      <c r="AS766" s="113">
        <f>IF(AND(I766="",K766="",AF766="",AL766="",AN766="",O766=""),"",IF(OR(I766="SIM",K766="SIM",AF766="SIM",AL766="SIM",OR(AN766="Dados pessoais",AN766="Dados sensíveis",AN766="Dados pessoais e sensíveis"),O766="Acima de 10.000 titulares por mês",(IF(I766="SIM",2,0)+IF(K766="SIM",2,0)+IF(AF766="SIM",2,0)+IF(OR(AN766="Dados pessoais",AN766="Dados sensíveis",AN766="Dados pessoais e sensíveis"),2,0)+IF(O766="De 1.001 a 10.000 titulares por mês",1,0)+IF(AA766="SIM",1,0)+IF(R766="SIM",1,0)+IF(AL766="SIM",1,0)+IF(AJ766="NÃO",1,0))&gt;=3),"DPIA indicado ou em avaliação em razão de: " &amp; TRIM(IF(I766="SIM","tratamento de dados sensíveis; ","") &amp; IF(K766="SIM","utilização de dados de menores; ","") &amp; IF(AF766="SIM","transferência internacional de dados; ","") &amp; IF(AL766="SIM","utilização de inteligência artificial; ","") &amp; IF(OR(AN766="Dados pessoais",AN766="Dados sensíveis",AN766="Dados pessoais e sensíveis"),"dados inseridos em IA; ","") &amp; IF(O766="Acima de 10.000 titulares por mês","volume crítico de titulares; ","") &amp; IF(O766="De 1.001 a 10.000 titulares por mês","volume moderado de titulares; ","") &amp; IF(AA766="SIM","compartilhamento com terceiros; ","") &amp; IF(R766="SIM","compartilhamento com órgãos governamentais; ","") &amp; IF(AJ766="NÃO","ausência de controle de acesso por perfil; ","")),"DPIA não indicado: Processo de baixa criticidade."))</f>
      </c>
    </row>
    <row x14ac:dyDescent="0.25" r="767" customHeight="1" ht="15.75">
      <c r="A767" s="46"/>
      <c r="B767" s="6"/>
      <c r="C767" s="11"/>
      <c r="D767" s="11"/>
      <c r="E767" s="11"/>
      <c r="F767" s="29"/>
      <c r="G767" s="11"/>
      <c r="H767" s="11"/>
      <c r="I767" s="29"/>
      <c r="J767" s="11"/>
      <c r="K767" s="29"/>
      <c r="L767" s="11"/>
      <c r="M767" s="11"/>
      <c r="N767" s="11"/>
      <c r="O767" s="29"/>
      <c r="P767" s="29"/>
      <c r="Q767" s="11"/>
      <c r="R767" s="29"/>
      <c r="S767" s="11"/>
      <c r="T767" s="6"/>
      <c r="U767" s="29"/>
      <c r="V767" s="11"/>
      <c r="W767" s="11"/>
      <c r="X767" s="29"/>
      <c r="Y767" s="11"/>
      <c r="Z767" s="29"/>
      <c r="AA767" s="29"/>
      <c r="AB767" s="11"/>
      <c r="AC767" s="11"/>
      <c r="AD767" s="29"/>
      <c r="AE767" s="11"/>
      <c r="AF767" s="29"/>
      <c r="AG767" s="11"/>
      <c r="AH767" s="29"/>
      <c r="AI767" s="11"/>
      <c r="AJ767" s="29"/>
      <c r="AK767" s="29"/>
      <c r="AL767" s="29"/>
      <c r="AM767" s="11"/>
      <c r="AN767" s="29"/>
      <c r="AO767" s="29"/>
      <c r="AP767" s="6"/>
      <c r="AQ767" s="113">
        <f>IF(AND(I767="",K767="",AF767="",AL767="",AN767="",O767=""),"",IF(OR(I767="SIM",K767="SIM",AF767="SIM",AL767="SIM",AN767="Dados pessoais",AN767="Dados sensíveis",AN767="Dados pessoais e sensíveis",O767="Acima de 10.000 titulares por mês"),"SIM - Alta criticidade",IF((IF(I767="SIM",2,0)+IF(K767="SIM",2,0)+IF(AF767="SIM",2,0)+IF(OR(AN767="Dados pessoais",AN767="Dados sensíveis",AN767="Dados pessoais e sensíveis"),2,0)+IF(O767="De 1.001 a 10.000 titulares por mês",1,0)+IF(AA767="SIM",1,0)+IF(R767="SIM",1,0)+IF(AL767="SIM",1,0)+IF(AJ767="NÃO",1,0))&gt;=5,"SIM - Alta criticidade",IF((IF(I767="SIM",2,0)+IF(K767="SIM",2,0)+IF(AF767="SIM",2,0)+IF(OR(AN767="Dados pessoais",AN767="Dados sensíveis",AN767="Dados pessoais e sensíveis"),2,0)+IF(O767="De 1.001 a 10.000 titulares por mês",1,0)+IF(AA767="SIM",1,0)+IF(R767="SIM",1,0)+IF(AL767="SIM",1,0)+IF(AJ767="NÃO",1,0))&gt;=3,"Avaliação necessária","NÃO"))))</f>
      </c>
      <c r="AR767" s="11"/>
      <c r="AS767" s="113">
        <f>IF(AND(I767="",K767="",AF767="",AL767="",AN767="",O767=""),"",IF(OR(I767="SIM",K767="SIM",AF767="SIM",AL767="SIM",OR(AN767="Dados pessoais",AN767="Dados sensíveis",AN767="Dados pessoais e sensíveis"),O767="Acima de 10.000 titulares por mês",(IF(I767="SIM",2,0)+IF(K767="SIM",2,0)+IF(AF767="SIM",2,0)+IF(OR(AN767="Dados pessoais",AN767="Dados sensíveis",AN767="Dados pessoais e sensíveis"),2,0)+IF(O767="De 1.001 a 10.000 titulares por mês",1,0)+IF(AA767="SIM",1,0)+IF(R767="SIM",1,0)+IF(AL767="SIM",1,0)+IF(AJ767="NÃO",1,0))&gt;=3),"DPIA indicado ou em avaliação em razão de: " &amp; TRIM(IF(I767="SIM","tratamento de dados sensíveis; ","") &amp; IF(K767="SIM","utilização de dados de menores; ","") &amp; IF(AF767="SIM","transferência internacional de dados; ","") &amp; IF(AL767="SIM","utilização de inteligência artificial; ","") &amp; IF(OR(AN767="Dados pessoais",AN767="Dados sensíveis",AN767="Dados pessoais e sensíveis"),"dados inseridos em IA; ","") &amp; IF(O767="Acima de 10.000 titulares por mês","volume crítico de titulares; ","") &amp; IF(O767="De 1.001 a 10.000 titulares por mês","volume moderado de titulares; ","") &amp; IF(AA767="SIM","compartilhamento com terceiros; ","") &amp; IF(R767="SIM","compartilhamento com órgãos governamentais; ","") &amp; IF(AJ767="NÃO","ausência de controle de acesso por perfil; ","")),"DPIA não indicado: Processo de baixa criticidade."))</f>
      </c>
    </row>
    <row x14ac:dyDescent="0.25" r="768" customHeight="1" ht="15.75">
      <c r="A768" s="46"/>
      <c r="B768" s="6"/>
      <c r="C768" s="11"/>
      <c r="D768" s="11"/>
      <c r="E768" s="11"/>
      <c r="F768" s="29"/>
      <c r="G768" s="11"/>
      <c r="H768" s="11"/>
      <c r="I768" s="29"/>
      <c r="J768" s="11"/>
      <c r="K768" s="29"/>
      <c r="L768" s="11"/>
      <c r="M768" s="11"/>
      <c r="N768" s="11"/>
      <c r="O768" s="29"/>
      <c r="P768" s="29"/>
      <c r="Q768" s="11"/>
      <c r="R768" s="29"/>
      <c r="S768" s="11"/>
      <c r="T768" s="6"/>
      <c r="U768" s="29"/>
      <c r="V768" s="11"/>
      <c r="W768" s="11"/>
      <c r="X768" s="29"/>
      <c r="Y768" s="11"/>
      <c r="Z768" s="29"/>
      <c r="AA768" s="29"/>
      <c r="AB768" s="11"/>
      <c r="AC768" s="11"/>
      <c r="AD768" s="29"/>
      <c r="AE768" s="11"/>
      <c r="AF768" s="29"/>
      <c r="AG768" s="11"/>
      <c r="AH768" s="29"/>
      <c r="AI768" s="11"/>
      <c r="AJ768" s="29"/>
      <c r="AK768" s="29"/>
      <c r="AL768" s="29"/>
      <c r="AM768" s="11"/>
      <c r="AN768" s="29"/>
      <c r="AO768" s="29"/>
      <c r="AP768" s="6"/>
      <c r="AQ768" s="113">
        <f>IF(AND(I768="",K768="",AF768="",AL768="",AN768="",O768=""),"",IF(OR(I768="SIM",K768="SIM",AF768="SIM",AL768="SIM",AN768="Dados pessoais",AN768="Dados sensíveis",AN768="Dados pessoais e sensíveis",O768="Acima de 10.000 titulares por mês"),"SIM - Alta criticidade",IF((IF(I768="SIM",2,0)+IF(K768="SIM",2,0)+IF(AF768="SIM",2,0)+IF(OR(AN768="Dados pessoais",AN768="Dados sensíveis",AN768="Dados pessoais e sensíveis"),2,0)+IF(O768="De 1.001 a 10.000 titulares por mês",1,0)+IF(AA768="SIM",1,0)+IF(R768="SIM",1,0)+IF(AL768="SIM",1,0)+IF(AJ768="NÃO",1,0))&gt;=5,"SIM - Alta criticidade",IF((IF(I768="SIM",2,0)+IF(K768="SIM",2,0)+IF(AF768="SIM",2,0)+IF(OR(AN768="Dados pessoais",AN768="Dados sensíveis",AN768="Dados pessoais e sensíveis"),2,0)+IF(O768="De 1.001 a 10.000 titulares por mês",1,0)+IF(AA768="SIM",1,0)+IF(R768="SIM",1,0)+IF(AL768="SIM",1,0)+IF(AJ768="NÃO",1,0))&gt;=3,"Avaliação necessária","NÃO"))))</f>
      </c>
      <c r="AR768" s="11"/>
      <c r="AS768" s="113">
        <f>IF(AND(I768="",K768="",AF768="",AL768="",AN768="",O768=""),"",IF(OR(I768="SIM",K768="SIM",AF768="SIM",AL768="SIM",OR(AN768="Dados pessoais",AN768="Dados sensíveis",AN768="Dados pessoais e sensíveis"),O768="Acima de 10.000 titulares por mês",(IF(I768="SIM",2,0)+IF(K768="SIM",2,0)+IF(AF768="SIM",2,0)+IF(OR(AN768="Dados pessoais",AN768="Dados sensíveis",AN768="Dados pessoais e sensíveis"),2,0)+IF(O768="De 1.001 a 10.000 titulares por mês",1,0)+IF(AA768="SIM",1,0)+IF(R768="SIM",1,0)+IF(AL768="SIM",1,0)+IF(AJ768="NÃO",1,0))&gt;=3),"DPIA indicado ou em avaliação em razão de: " &amp; TRIM(IF(I768="SIM","tratamento de dados sensíveis; ","") &amp; IF(K768="SIM","utilização de dados de menores; ","") &amp; IF(AF768="SIM","transferência internacional de dados; ","") &amp; IF(AL768="SIM","utilização de inteligência artificial; ","") &amp; IF(OR(AN768="Dados pessoais",AN768="Dados sensíveis",AN768="Dados pessoais e sensíveis"),"dados inseridos em IA; ","") &amp; IF(O768="Acima de 10.000 titulares por mês","volume crítico de titulares; ","") &amp; IF(O768="De 1.001 a 10.000 titulares por mês","volume moderado de titulares; ","") &amp; IF(AA768="SIM","compartilhamento com terceiros; ","") &amp; IF(R768="SIM","compartilhamento com órgãos governamentais; ","") &amp; IF(AJ768="NÃO","ausência de controle de acesso por perfil; ","")),"DPIA não indicado: Processo de baixa criticidade."))</f>
      </c>
    </row>
    <row x14ac:dyDescent="0.25" r="769" customHeight="1" ht="15.75">
      <c r="A769" s="46"/>
      <c r="B769" s="6"/>
      <c r="C769" s="11"/>
      <c r="D769" s="11"/>
      <c r="E769" s="11"/>
      <c r="F769" s="29"/>
      <c r="G769" s="11"/>
      <c r="H769" s="11"/>
      <c r="I769" s="29"/>
      <c r="J769" s="11"/>
      <c r="K769" s="29"/>
      <c r="L769" s="11"/>
      <c r="M769" s="11"/>
      <c r="N769" s="11"/>
      <c r="O769" s="29"/>
      <c r="P769" s="29"/>
      <c r="Q769" s="11"/>
      <c r="R769" s="29"/>
      <c r="S769" s="11"/>
      <c r="T769" s="6"/>
      <c r="U769" s="29"/>
      <c r="V769" s="11"/>
      <c r="W769" s="11"/>
      <c r="X769" s="29"/>
      <c r="Y769" s="11"/>
      <c r="Z769" s="29"/>
      <c r="AA769" s="29"/>
      <c r="AB769" s="11"/>
      <c r="AC769" s="11"/>
      <c r="AD769" s="29"/>
      <c r="AE769" s="11"/>
      <c r="AF769" s="29"/>
      <c r="AG769" s="11"/>
      <c r="AH769" s="29"/>
      <c r="AI769" s="11"/>
      <c r="AJ769" s="29"/>
      <c r="AK769" s="29"/>
      <c r="AL769" s="29"/>
      <c r="AM769" s="11"/>
      <c r="AN769" s="29"/>
      <c r="AO769" s="29"/>
      <c r="AP769" s="6"/>
      <c r="AQ769" s="113">
        <f>IF(AND(I769="",K769="",AF769="",AL769="",AN769="",O769=""),"",IF(OR(I769="SIM",K769="SIM",AF769="SIM",AL769="SIM",AN769="Dados pessoais",AN769="Dados sensíveis",AN769="Dados pessoais e sensíveis",O769="Acima de 10.000 titulares por mês"),"SIM - Alta criticidade",IF((IF(I769="SIM",2,0)+IF(K769="SIM",2,0)+IF(AF769="SIM",2,0)+IF(OR(AN769="Dados pessoais",AN769="Dados sensíveis",AN769="Dados pessoais e sensíveis"),2,0)+IF(O769="De 1.001 a 10.000 titulares por mês",1,0)+IF(AA769="SIM",1,0)+IF(R769="SIM",1,0)+IF(AL769="SIM",1,0)+IF(AJ769="NÃO",1,0))&gt;=5,"SIM - Alta criticidade",IF((IF(I769="SIM",2,0)+IF(K769="SIM",2,0)+IF(AF769="SIM",2,0)+IF(OR(AN769="Dados pessoais",AN769="Dados sensíveis",AN769="Dados pessoais e sensíveis"),2,0)+IF(O769="De 1.001 a 10.000 titulares por mês",1,0)+IF(AA769="SIM",1,0)+IF(R769="SIM",1,0)+IF(AL769="SIM",1,0)+IF(AJ769="NÃO",1,0))&gt;=3,"Avaliação necessária","NÃO"))))</f>
      </c>
      <c r="AR769" s="11"/>
      <c r="AS769" s="113">
        <f>IF(AND(I769="",K769="",AF769="",AL769="",AN769="",O769=""),"",IF(OR(I769="SIM",K769="SIM",AF769="SIM",AL769="SIM",OR(AN769="Dados pessoais",AN769="Dados sensíveis",AN769="Dados pessoais e sensíveis"),O769="Acima de 10.000 titulares por mês",(IF(I769="SIM",2,0)+IF(K769="SIM",2,0)+IF(AF769="SIM",2,0)+IF(OR(AN769="Dados pessoais",AN769="Dados sensíveis",AN769="Dados pessoais e sensíveis"),2,0)+IF(O769="De 1.001 a 10.000 titulares por mês",1,0)+IF(AA769="SIM",1,0)+IF(R769="SIM",1,0)+IF(AL769="SIM",1,0)+IF(AJ769="NÃO",1,0))&gt;=3),"DPIA indicado ou em avaliação em razão de: " &amp; TRIM(IF(I769="SIM","tratamento de dados sensíveis; ","") &amp; IF(K769="SIM","utilização de dados de menores; ","") &amp; IF(AF769="SIM","transferência internacional de dados; ","") &amp; IF(AL769="SIM","utilização de inteligência artificial; ","") &amp; IF(OR(AN769="Dados pessoais",AN769="Dados sensíveis",AN769="Dados pessoais e sensíveis"),"dados inseridos em IA; ","") &amp; IF(O769="Acima de 10.000 titulares por mês","volume crítico de titulares; ","") &amp; IF(O769="De 1.001 a 10.000 titulares por mês","volume moderado de titulares; ","") &amp; IF(AA769="SIM","compartilhamento com terceiros; ","") &amp; IF(R769="SIM","compartilhamento com órgãos governamentais; ","") &amp; IF(AJ769="NÃO","ausência de controle de acesso por perfil; ","")),"DPIA não indicado: Processo de baixa criticidade."))</f>
      </c>
    </row>
    <row x14ac:dyDescent="0.25" r="770" customHeight="1" ht="15.75">
      <c r="A770" s="46"/>
      <c r="B770" s="6"/>
      <c r="C770" s="11"/>
      <c r="D770" s="11"/>
      <c r="E770" s="11"/>
      <c r="F770" s="29"/>
      <c r="G770" s="11"/>
      <c r="H770" s="11"/>
      <c r="I770" s="29"/>
      <c r="J770" s="11"/>
      <c r="K770" s="29"/>
      <c r="L770" s="11"/>
      <c r="M770" s="11"/>
      <c r="N770" s="11"/>
      <c r="O770" s="29"/>
      <c r="P770" s="29"/>
      <c r="Q770" s="11"/>
      <c r="R770" s="29"/>
      <c r="S770" s="11"/>
      <c r="T770" s="6"/>
      <c r="U770" s="29"/>
      <c r="V770" s="11"/>
      <c r="W770" s="11"/>
      <c r="X770" s="29"/>
      <c r="Y770" s="11"/>
      <c r="Z770" s="29"/>
      <c r="AA770" s="29"/>
      <c r="AB770" s="11"/>
      <c r="AC770" s="11"/>
      <c r="AD770" s="29"/>
      <c r="AE770" s="11"/>
      <c r="AF770" s="29"/>
      <c r="AG770" s="11"/>
      <c r="AH770" s="29"/>
      <c r="AI770" s="11"/>
      <c r="AJ770" s="29"/>
      <c r="AK770" s="29"/>
      <c r="AL770" s="29"/>
      <c r="AM770" s="11"/>
      <c r="AN770" s="29"/>
      <c r="AO770" s="29"/>
      <c r="AP770" s="6"/>
      <c r="AQ770" s="113">
        <f>IF(AND(I770="",K770="",AF770="",AL770="",AN770="",O770=""),"",IF(OR(I770="SIM",K770="SIM",AF770="SIM",AL770="SIM",AN770="Dados pessoais",AN770="Dados sensíveis",AN770="Dados pessoais e sensíveis",O770="Acima de 10.000 titulares por mês"),"SIM - Alta criticidade",IF((IF(I770="SIM",2,0)+IF(K770="SIM",2,0)+IF(AF770="SIM",2,0)+IF(OR(AN770="Dados pessoais",AN770="Dados sensíveis",AN770="Dados pessoais e sensíveis"),2,0)+IF(O770="De 1.001 a 10.000 titulares por mês",1,0)+IF(AA770="SIM",1,0)+IF(R770="SIM",1,0)+IF(AL770="SIM",1,0)+IF(AJ770="NÃO",1,0))&gt;=5,"SIM - Alta criticidade",IF((IF(I770="SIM",2,0)+IF(K770="SIM",2,0)+IF(AF770="SIM",2,0)+IF(OR(AN770="Dados pessoais",AN770="Dados sensíveis",AN770="Dados pessoais e sensíveis"),2,0)+IF(O770="De 1.001 a 10.000 titulares por mês",1,0)+IF(AA770="SIM",1,0)+IF(R770="SIM",1,0)+IF(AL770="SIM",1,0)+IF(AJ770="NÃO",1,0))&gt;=3,"Avaliação necessária","NÃO"))))</f>
      </c>
      <c r="AR770" s="11"/>
      <c r="AS770" s="113">
        <f>IF(AND(I770="",K770="",AF770="",AL770="",AN770="",O770=""),"",IF(OR(I770="SIM",K770="SIM",AF770="SIM",AL770="SIM",OR(AN770="Dados pessoais",AN770="Dados sensíveis",AN770="Dados pessoais e sensíveis"),O770="Acima de 10.000 titulares por mês",(IF(I770="SIM",2,0)+IF(K770="SIM",2,0)+IF(AF770="SIM",2,0)+IF(OR(AN770="Dados pessoais",AN770="Dados sensíveis",AN770="Dados pessoais e sensíveis"),2,0)+IF(O770="De 1.001 a 10.000 titulares por mês",1,0)+IF(AA770="SIM",1,0)+IF(R770="SIM",1,0)+IF(AL770="SIM",1,0)+IF(AJ770="NÃO",1,0))&gt;=3),"DPIA indicado ou em avaliação em razão de: " &amp; TRIM(IF(I770="SIM","tratamento de dados sensíveis; ","") &amp; IF(K770="SIM","utilização de dados de menores; ","") &amp; IF(AF770="SIM","transferência internacional de dados; ","") &amp; IF(AL770="SIM","utilização de inteligência artificial; ","") &amp; IF(OR(AN770="Dados pessoais",AN770="Dados sensíveis",AN770="Dados pessoais e sensíveis"),"dados inseridos em IA; ","") &amp; IF(O770="Acima de 10.000 titulares por mês","volume crítico de titulares; ","") &amp; IF(O770="De 1.001 a 10.000 titulares por mês","volume moderado de titulares; ","") &amp; IF(AA770="SIM","compartilhamento com terceiros; ","") &amp; IF(R770="SIM","compartilhamento com órgãos governamentais; ","") &amp; IF(AJ770="NÃO","ausência de controle de acesso por perfil; ","")),"DPIA não indicado: Processo de baixa criticidade."))</f>
      </c>
    </row>
    <row x14ac:dyDescent="0.25" r="771" customHeight="1" ht="15.75">
      <c r="A771" s="46"/>
      <c r="B771" s="6"/>
      <c r="C771" s="11"/>
      <c r="D771" s="11"/>
      <c r="E771" s="11"/>
      <c r="F771" s="29"/>
      <c r="G771" s="11"/>
      <c r="H771" s="11"/>
      <c r="I771" s="29"/>
      <c r="J771" s="11"/>
      <c r="K771" s="29"/>
      <c r="L771" s="11"/>
      <c r="M771" s="11"/>
      <c r="N771" s="11"/>
      <c r="O771" s="29"/>
      <c r="P771" s="29"/>
      <c r="Q771" s="11"/>
      <c r="R771" s="29"/>
      <c r="S771" s="11"/>
      <c r="T771" s="6"/>
      <c r="U771" s="29"/>
      <c r="V771" s="11"/>
      <c r="W771" s="11"/>
      <c r="X771" s="29"/>
      <c r="Y771" s="11"/>
      <c r="Z771" s="29"/>
      <c r="AA771" s="29"/>
      <c r="AB771" s="11"/>
      <c r="AC771" s="11"/>
      <c r="AD771" s="29"/>
      <c r="AE771" s="11"/>
      <c r="AF771" s="29"/>
      <c r="AG771" s="11"/>
      <c r="AH771" s="29"/>
      <c r="AI771" s="11"/>
      <c r="AJ771" s="29"/>
      <c r="AK771" s="29"/>
      <c r="AL771" s="29"/>
      <c r="AM771" s="11"/>
      <c r="AN771" s="29"/>
      <c r="AO771" s="29"/>
      <c r="AP771" s="6"/>
      <c r="AQ771" s="113">
        <f>IF(AND(I771="",K771="",AF771="",AL771="",AN771="",O771=""),"",IF(OR(I771="SIM",K771="SIM",AF771="SIM",AL771="SIM",AN771="Dados pessoais",AN771="Dados sensíveis",AN771="Dados pessoais e sensíveis",O771="Acima de 10.000 titulares por mês"),"SIM - Alta criticidade",IF((IF(I771="SIM",2,0)+IF(K771="SIM",2,0)+IF(AF771="SIM",2,0)+IF(OR(AN771="Dados pessoais",AN771="Dados sensíveis",AN771="Dados pessoais e sensíveis"),2,0)+IF(O771="De 1.001 a 10.000 titulares por mês",1,0)+IF(AA771="SIM",1,0)+IF(R771="SIM",1,0)+IF(AL771="SIM",1,0)+IF(AJ771="NÃO",1,0))&gt;=5,"SIM - Alta criticidade",IF((IF(I771="SIM",2,0)+IF(K771="SIM",2,0)+IF(AF771="SIM",2,0)+IF(OR(AN771="Dados pessoais",AN771="Dados sensíveis",AN771="Dados pessoais e sensíveis"),2,0)+IF(O771="De 1.001 a 10.000 titulares por mês",1,0)+IF(AA771="SIM",1,0)+IF(R771="SIM",1,0)+IF(AL771="SIM",1,0)+IF(AJ771="NÃO",1,0))&gt;=3,"Avaliação necessária","NÃO"))))</f>
      </c>
      <c r="AR771" s="11"/>
      <c r="AS771" s="113">
        <f>IF(AND(I771="",K771="",AF771="",AL771="",AN771="",O771=""),"",IF(OR(I771="SIM",K771="SIM",AF771="SIM",AL771="SIM",OR(AN771="Dados pessoais",AN771="Dados sensíveis",AN771="Dados pessoais e sensíveis"),O771="Acima de 10.000 titulares por mês",(IF(I771="SIM",2,0)+IF(K771="SIM",2,0)+IF(AF771="SIM",2,0)+IF(OR(AN771="Dados pessoais",AN771="Dados sensíveis",AN771="Dados pessoais e sensíveis"),2,0)+IF(O771="De 1.001 a 10.000 titulares por mês",1,0)+IF(AA771="SIM",1,0)+IF(R771="SIM",1,0)+IF(AL771="SIM",1,0)+IF(AJ771="NÃO",1,0))&gt;=3),"DPIA indicado ou em avaliação em razão de: " &amp; TRIM(IF(I771="SIM","tratamento de dados sensíveis; ","") &amp; IF(K771="SIM","utilização de dados de menores; ","") &amp; IF(AF771="SIM","transferência internacional de dados; ","") &amp; IF(AL771="SIM","utilização de inteligência artificial; ","") &amp; IF(OR(AN771="Dados pessoais",AN771="Dados sensíveis",AN771="Dados pessoais e sensíveis"),"dados inseridos em IA; ","") &amp; IF(O771="Acima de 10.000 titulares por mês","volume crítico de titulares; ","") &amp; IF(O771="De 1.001 a 10.000 titulares por mês","volume moderado de titulares; ","") &amp; IF(AA771="SIM","compartilhamento com terceiros; ","") &amp; IF(R771="SIM","compartilhamento com órgãos governamentais; ","") &amp; IF(AJ771="NÃO","ausência de controle de acesso por perfil; ","")),"DPIA não indicado: Processo de baixa criticidade."))</f>
      </c>
    </row>
    <row x14ac:dyDescent="0.25" r="772" customHeight="1" ht="15.75">
      <c r="A772" s="46"/>
      <c r="B772" s="6"/>
      <c r="C772" s="11"/>
      <c r="D772" s="11"/>
      <c r="E772" s="11"/>
      <c r="F772" s="29"/>
      <c r="G772" s="11"/>
      <c r="H772" s="11"/>
      <c r="I772" s="29"/>
      <c r="J772" s="11"/>
      <c r="K772" s="29"/>
      <c r="L772" s="11"/>
      <c r="M772" s="11"/>
      <c r="N772" s="11"/>
      <c r="O772" s="29"/>
      <c r="P772" s="29"/>
      <c r="Q772" s="11"/>
      <c r="R772" s="29"/>
      <c r="S772" s="11"/>
      <c r="T772" s="6"/>
      <c r="U772" s="29"/>
      <c r="V772" s="11"/>
      <c r="W772" s="11"/>
      <c r="X772" s="29"/>
      <c r="Y772" s="11"/>
      <c r="Z772" s="29"/>
      <c r="AA772" s="29"/>
      <c r="AB772" s="11"/>
      <c r="AC772" s="11"/>
      <c r="AD772" s="29"/>
      <c r="AE772" s="11"/>
      <c r="AF772" s="29"/>
      <c r="AG772" s="11"/>
      <c r="AH772" s="29"/>
      <c r="AI772" s="11"/>
      <c r="AJ772" s="29"/>
      <c r="AK772" s="29"/>
      <c r="AL772" s="29"/>
      <c r="AM772" s="11"/>
      <c r="AN772" s="29"/>
      <c r="AO772" s="29"/>
      <c r="AP772" s="6"/>
      <c r="AQ772" s="113">
        <f>IF(AND(I772="",K772="",AF772="",AL772="",AN772="",O772=""),"",IF(OR(I772="SIM",K772="SIM",AF772="SIM",AL772="SIM",AN772="Dados pessoais",AN772="Dados sensíveis",AN772="Dados pessoais e sensíveis",O772="Acima de 10.000 titulares por mês"),"SIM - Alta criticidade",IF((IF(I772="SIM",2,0)+IF(K772="SIM",2,0)+IF(AF772="SIM",2,0)+IF(OR(AN772="Dados pessoais",AN772="Dados sensíveis",AN772="Dados pessoais e sensíveis"),2,0)+IF(O772="De 1.001 a 10.000 titulares por mês",1,0)+IF(AA772="SIM",1,0)+IF(R772="SIM",1,0)+IF(AL772="SIM",1,0)+IF(AJ772="NÃO",1,0))&gt;=5,"SIM - Alta criticidade",IF((IF(I772="SIM",2,0)+IF(K772="SIM",2,0)+IF(AF772="SIM",2,0)+IF(OR(AN772="Dados pessoais",AN772="Dados sensíveis",AN772="Dados pessoais e sensíveis"),2,0)+IF(O772="De 1.001 a 10.000 titulares por mês",1,0)+IF(AA772="SIM",1,0)+IF(R772="SIM",1,0)+IF(AL772="SIM",1,0)+IF(AJ772="NÃO",1,0))&gt;=3,"Avaliação necessária","NÃO"))))</f>
      </c>
      <c r="AR772" s="11"/>
      <c r="AS772" s="113">
        <f>IF(AND(I772="",K772="",AF772="",AL772="",AN772="",O772=""),"",IF(OR(I772="SIM",K772="SIM",AF772="SIM",AL772="SIM",OR(AN772="Dados pessoais",AN772="Dados sensíveis",AN772="Dados pessoais e sensíveis"),O772="Acima de 10.000 titulares por mês",(IF(I772="SIM",2,0)+IF(K772="SIM",2,0)+IF(AF772="SIM",2,0)+IF(OR(AN772="Dados pessoais",AN772="Dados sensíveis",AN772="Dados pessoais e sensíveis"),2,0)+IF(O772="De 1.001 a 10.000 titulares por mês",1,0)+IF(AA772="SIM",1,0)+IF(R772="SIM",1,0)+IF(AL772="SIM",1,0)+IF(AJ772="NÃO",1,0))&gt;=3),"DPIA indicado ou em avaliação em razão de: " &amp; TRIM(IF(I772="SIM","tratamento de dados sensíveis; ","") &amp; IF(K772="SIM","utilização de dados de menores; ","") &amp; IF(AF772="SIM","transferência internacional de dados; ","") &amp; IF(AL772="SIM","utilização de inteligência artificial; ","") &amp; IF(OR(AN772="Dados pessoais",AN772="Dados sensíveis",AN772="Dados pessoais e sensíveis"),"dados inseridos em IA; ","") &amp; IF(O772="Acima de 10.000 titulares por mês","volume crítico de titulares; ","") &amp; IF(O772="De 1.001 a 10.000 titulares por mês","volume moderado de titulares; ","") &amp; IF(AA772="SIM","compartilhamento com terceiros; ","") &amp; IF(R772="SIM","compartilhamento com órgãos governamentais; ","") &amp; IF(AJ772="NÃO","ausência de controle de acesso por perfil; ","")),"DPIA não indicado: Processo de baixa criticidade."))</f>
      </c>
    </row>
    <row x14ac:dyDescent="0.25" r="773" customHeight="1" ht="15.75">
      <c r="A773" s="46"/>
      <c r="B773" s="6"/>
      <c r="C773" s="11"/>
      <c r="D773" s="11"/>
      <c r="E773" s="11"/>
      <c r="F773" s="29"/>
      <c r="G773" s="11"/>
      <c r="H773" s="11"/>
      <c r="I773" s="29"/>
      <c r="J773" s="11"/>
      <c r="K773" s="29"/>
      <c r="L773" s="11"/>
      <c r="M773" s="11"/>
      <c r="N773" s="11"/>
      <c r="O773" s="29"/>
      <c r="P773" s="29"/>
      <c r="Q773" s="11"/>
      <c r="R773" s="29"/>
      <c r="S773" s="11"/>
      <c r="T773" s="6"/>
      <c r="U773" s="29"/>
      <c r="V773" s="11"/>
      <c r="W773" s="11"/>
      <c r="X773" s="29"/>
      <c r="Y773" s="11"/>
      <c r="Z773" s="29"/>
      <c r="AA773" s="29"/>
      <c r="AB773" s="11"/>
      <c r="AC773" s="11"/>
      <c r="AD773" s="29"/>
      <c r="AE773" s="11"/>
      <c r="AF773" s="29"/>
      <c r="AG773" s="11"/>
      <c r="AH773" s="29"/>
      <c r="AI773" s="11"/>
      <c r="AJ773" s="29"/>
      <c r="AK773" s="29"/>
      <c r="AL773" s="29"/>
      <c r="AM773" s="11"/>
      <c r="AN773" s="29"/>
      <c r="AO773" s="29"/>
      <c r="AP773" s="6"/>
      <c r="AQ773" s="113">
        <f>IF(AND(I773="",K773="",AF773="",AL773="",AN773="",O773=""),"",IF(OR(I773="SIM",K773="SIM",AF773="SIM",AL773="SIM",AN773="Dados pessoais",AN773="Dados sensíveis",AN773="Dados pessoais e sensíveis",O773="Acima de 10.000 titulares por mês"),"SIM - Alta criticidade",IF((IF(I773="SIM",2,0)+IF(K773="SIM",2,0)+IF(AF773="SIM",2,0)+IF(OR(AN773="Dados pessoais",AN773="Dados sensíveis",AN773="Dados pessoais e sensíveis"),2,0)+IF(O773="De 1.001 a 10.000 titulares por mês",1,0)+IF(AA773="SIM",1,0)+IF(R773="SIM",1,0)+IF(AL773="SIM",1,0)+IF(AJ773="NÃO",1,0))&gt;=5,"SIM - Alta criticidade",IF((IF(I773="SIM",2,0)+IF(K773="SIM",2,0)+IF(AF773="SIM",2,0)+IF(OR(AN773="Dados pessoais",AN773="Dados sensíveis",AN773="Dados pessoais e sensíveis"),2,0)+IF(O773="De 1.001 a 10.000 titulares por mês",1,0)+IF(AA773="SIM",1,0)+IF(R773="SIM",1,0)+IF(AL773="SIM",1,0)+IF(AJ773="NÃO",1,0))&gt;=3,"Avaliação necessária","NÃO"))))</f>
      </c>
      <c r="AR773" s="11"/>
      <c r="AS773" s="113">
        <f>IF(AND(I773="",K773="",AF773="",AL773="",AN773="",O773=""),"",IF(OR(I773="SIM",K773="SIM",AF773="SIM",AL773="SIM",OR(AN773="Dados pessoais",AN773="Dados sensíveis",AN773="Dados pessoais e sensíveis"),O773="Acima de 10.000 titulares por mês",(IF(I773="SIM",2,0)+IF(K773="SIM",2,0)+IF(AF773="SIM",2,0)+IF(OR(AN773="Dados pessoais",AN773="Dados sensíveis",AN773="Dados pessoais e sensíveis"),2,0)+IF(O773="De 1.001 a 10.000 titulares por mês",1,0)+IF(AA773="SIM",1,0)+IF(R773="SIM",1,0)+IF(AL773="SIM",1,0)+IF(AJ773="NÃO",1,0))&gt;=3),"DPIA indicado ou em avaliação em razão de: " &amp; TRIM(IF(I773="SIM","tratamento de dados sensíveis; ","") &amp; IF(K773="SIM","utilização de dados de menores; ","") &amp; IF(AF773="SIM","transferência internacional de dados; ","") &amp; IF(AL773="SIM","utilização de inteligência artificial; ","") &amp; IF(OR(AN773="Dados pessoais",AN773="Dados sensíveis",AN773="Dados pessoais e sensíveis"),"dados inseridos em IA; ","") &amp; IF(O773="Acima de 10.000 titulares por mês","volume crítico de titulares; ","") &amp; IF(O773="De 1.001 a 10.000 titulares por mês","volume moderado de titulares; ","") &amp; IF(AA773="SIM","compartilhamento com terceiros; ","") &amp; IF(R773="SIM","compartilhamento com órgãos governamentais; ","") &amp; IF(AJ773="NÃO","ausência de controle de acesso por perfil; ","")),"DPIA não indicado: Processo de baixa criticidade."))</f>
      </c>
    </row>
    <row x14ac:dyDescent="0.25" r="774" customHeight="1" ht="15.75">
      <c r="A774" s="46"/>
      <c r="B774" s="6"/>
      <c r="C774" s="11"/>
      <c r="D774" s="11"/>
      <c r="E774" s="11"/>
      <c r="F774" s="29"/>
      <c r="G774" s="11"/>
      <c r="H774" s="11"/>
      <c r="I774" s="29"/>
      <c r="J774" s="11"/>
      <c r="K774" s="29"/>
      <c r="L774" s="11"/>
      <c r="M774" s="11"/>
      <c r="N774" s="11"/>
      <c r="O774" s="29"/>
      <c r="P774" s="29"/>
      <c r="Q774" s="11"/>
      <c r="R774" s="29"/>
      <c r="S774" s="11"/>
      <c r="T774" s="6"/>
      <c r="U774" s="29"/>
      <c r="V774" s="11"/>
      <c r="W774" s="11"/>
      <c r="X774" s="29"/>
      <c r="Y774" s="11"/>
      <c r="Z774" s="29"/>
      <c r="AA774" s="29"/>
      <c r="AB774" s="11"/>
      <c r="AC774" s="11"/>
      <c r="AD774" s="29"/>
      <c r="AE774" s="11"/>
      <c r="AF774" s="29"/>
      <c r="AG774" s="11"/>
      <c r="AH774" s="29"/>
      <c r="AI774" s="11"/>
      <c r="AJ774" s="29"/>
      <c r="AK774" s="29"/>
      <c r="AL774" s="29"/>
      <c r="AM774" s="11"/>
      <c r="AN774" s="29"/>
      <c r="AO774" s="29"/>
      <c r="AP774" s="6"/>
      <c r="AQ774" s="113">
        <f>IF(AND(I774="",K774="",AF774="",AL774="",AN774="",O774=""),"",IF(OR(I774="SIM",K774="SIM",AF774="SIM",AL774="SIM",AN774="Dados pessoais",AN774="Dados sensíveis",AN774="Dados pessoais e sensíveis",O774="Acima de 10.000 titulares por mês"),"SIM - Alta criticidade",IF((IF(I774="SIM",2,0)+IF(K774="SIM",2,0)+IF(AF774="SIM",2,0)+IF(OR(AN774="Dados pessoais",AN774="Dados sensíveis",AN774="Dados pessoais e sensíveis"),2,0)+IF(O774="De 1.001 a 10.000 titulares por mês",1,0)+IF(AA774="SIM",1,0)+IF(R774="SIM",1,0)+IF(AL774="SIM",1,0)+IF(AJ774="NÃO",1,0))&gt;=5,"SIM - Alta criticidade",IF((IF(I774="SIM",2,0)+IF(K774="SIM",2,0)+IF(AF774="SIM",2,0)+IF(OR(AN774="Dados pessoais",AN774="Dados sensíveis",AN774="Dados pessoais e sensíveis"),2,0)+IF(O774="De 1.001 a 10.000 titulares por mês",1,0)+IF(AA774="SIM",1,0)+IF(R774="SIM",1,0)+IF(AL774="SIM",1,0)+IF(AJ774="NÃO",1,0))&gt;=3,"Avaliação necessária","NÃO"))))</f>
      </c>
      <c r="AR774" s="11"/>
      <c r="AS774" s="113">
        <f>IF(AND(I774="",K774="",AF774="",AL774="",AN774="",O774=""),"",IF(OR(I774="SIM",K774="SIM",AF774="SIM",AL774="SIM",OR(AN774="Dados pessoais",AN774="Dados sensíveis",AN774="Dados pessoais e sensíveis"),O774="Acima de 10.000 titulares por mês",(IF(I774="SIM",2,0)+IF(K774="SIM",2,0)+IF(AF774="SIM",2,0)+IF(OR(AN774="Dados pessoais",AN774="Dados sensíveis",AN774="Dados pessoais e sensíveis"),2,0)+IF(O774="De 1.001 a 10.000 titulares por mês",1,0)+IF(AA774="SIM",1,0)+IF(R774="SIM",1,0)+IF(AL774="SIM",1,0)+IF(AJ774="NÃO",1,0))&gt;=3),"DPIA indicado ou em avaliação em razão de: " &amp; TRIM(IF(I774="SIM","tratamento de dados sensíveis; ","") &amp; IF(K774="SIM","utilização de dados de menores; ","") &amp; IF(AF774="SIM","transferência internacional de dados; ","") &amp; IF(AL774="SIM","utilização de inteligência artificial; ","") &amp; IF(OR(AN774="Dados pessoais",AN774="Dados sensíveis",AN774="Dados pessoais e sensíveis"),"dados inseridos em IA; ","") &amp; IF(O774="Acima de 10.000 titulares por mês","volume crítico de titulares; ","") &amp; IF(O774="De 1.001 a 10.000 titulares por mês","volume moderado de titulares; ","") &amp; IF(AA774="SIM","compartilhamento com terceiros; ","") &amp; IF(R774="SIM","compartilhamento com órgãos governamentais; ","") &amp; IF(AJ774="NÃO","ausência de controle de acesso por perfil; ","")),"DPIA não indicado: Processo de baixa criticidade."))</f>
      </c>
    </row>
    <row x14ac:dyDescent="0.25" r="775" customHeight="1" ht="15.75">
      <c r="A775" s="46"/>
      <c r="B775" s="6"/>
      <c r="C775" s="11"/>
      <c r="D775" s="11"/>
      <c r="E775" s="11"/>
      <c r="F775" s="29"/>
      <c r="G775" s="11"/>
      <c r="H775" s="11"/>
      <c r="I775" s="29"/>
      <c r="J775" s="11"/>
      <c r="K775" s="29"/>
      <c r="L775" s="11"/>
      <c r="M775" s="11"/>
      <c r="N775" s="11"/>
      <c r="O775" s="29"/>
      <c r="P775" s="29"/>
      <c r="Q775" s="11"/>
      <c r="R775" s="29"/>
      <c r="S775" s="11"/>
      <c r="T775" s="6"/>
      <c r="U775" s="29"/>
      <c r="V775" s="11"/>
      <c r="W775" s="11"/>
      <c r="X775" s="29"/>
      <c r="Y775" s="11"/>
      <c r="Z775" s="29"/>
      <c r="AA775" s="29"/>
      <c r="AB775" s="11"/>
      <c r="AC775" s="11"/>
      <c r="AD775" s="29"/>
      <c r="AE775" s="11"/>
      <c r="AF775" s="29"/>
      <c r="AG775" s="11"/>
      <c r="AH775" s="29"/>
      <c r="AI775" s="11"/>
      <c r="AJ775" s="29"/>
      <c r="AK775" s="29"/>
      <c r="AL775" s="29"/>
      <c r="AM775" s="11"/>
      <c r="AN775" s="29"/>
      <c r="AO775" s="29"/>
      <c r="AP775" s="6"/>
      <c r="AQ775" s="113">
        <f>IF(AND(I775="",K775="",AF775="",AL775="",AN775="",O775=""),"",IF(OR(I775="SIM",K775="SIM",AF775="SIM",AL775="SIM",AN775="Dados pessoais",AN775="Dados sensíveis",AN775="Dados pessoais e sensíveis",O775="Acima de 10.000 titulares por mês"),"SIM - Alta criticidade",IF((IF(I775="SIM",2,0)+IF(K775="SIM",2,0)+IF(AF775="SIM",2,0)+IF(OR(AN775="Dados pessoais",AN775="Dados sensíveis",AN775="Dados pessoais e sensíveis"),2,0)+IF(O775="De 1.001 a 10.000 titulares por mês",1,0)+IF(AA775="SIM",1,0)+IF(R775="SIM",1,0)+IF(AL775="SIM",1,0)+IF(AJ775="NÃO",1,0))&gt;=5,"SIM - Alta criticidade",IF((IF(I775="SIM",2,0)+IF(K775="SIM",2,0)+IF(AF775="SIM",2,0)+IF(OR(AN775="Dados pessoais",AN775="Dados sensíveis",AN775="Dados pessoais e sensíveis"),2,0)+IF(O775="De 1.001 a 10.000 titulares por mês",1,0)+IF(AA775="SIM",1,0)+IF(R775="SIM",1,0)+IF(AL775="SIM",1,0)+IF(AJ775="NÃO",1,0))&gt;=3,"Avaliação necessária","NÃO"))))</f>
      </c>
      <c r="AR775" s="11"/>
      <c r="AS775" s="113">
        <f>IF(AND(I775="",K775="",AF775="",AL775="",AN775="",O775=""),"",IF(OR(I775="SIM",K775="SIM",AF775="SIM",AL775="SIM",OR(AN775="Dados pessoais",AN775="Dados sensíveis",AN775="Dados pessoais e sensíveis"),O775="Acima de 10.000 titulares por mês",(IF(I775="SIM",2,0)+IF(K775="SIM",2,0)+IF(AF775="SIM",2,0)+IF(OR(AN775="Dados pessoais",AN775="Dados sensíveis",AN775="Dados pessoais e sensíveis"),2,0)+IF(O775="De 1.001 a 10.000 titulares por mês",1,0)+IF(AA775="SIM",1,0)+IF(R775="SIM",1,0)+IF(AL775="SIM",1,0)+IF(AJ775="NÃO",1,0))&gt;=3),"DPIA indicado ou em avaliação em razão de: " &amp; TRIM(IF(I775="SIM","tratamento de dados sensíveis; ","") &amp; IF(K775="SIM","utilização de dados de menores; ","") &amp; IF(AF775="SIM","transferência internacional de dados; ","") &amp; IF(AL775="SIM","utilização de inteligência artificial; ","") &amp; IF(OR(AN775="Dados pessoais",AN775="Dados sensíveis",AN775="Dados pessoais e sensíveis"),"dados inseridos em IA; ","") &amp; IF(O775="Acima de 10.000 titulares por mês","volume crítico de titulares; ","") &amp; IF(O775="De 1.001 a 10.000 titulares por mês","volume moderado de titulares; ","") &amp; IF(AA775="SIM","compartilhamento com terceiros; ","") &amp; IF(R775="SIM","compartilhamento com órgãos governamentais; ","") &amp; IF(AJ775="NÃO","ausência de controle de acesso por perfil; ","")),"DPIA não indicado: Processo de baixa criticidade."))</f>
      </c>
    </row>
    <row x14ac:dyDescent="0.25" r="776" customHeight="1" ht="15.75">
      <c r="A776" s="46"/>
      <c r="B776" s="6"/>
      <c r="C776" s="11"/>
      <c r="D776" s="11"/>
      <c r="E776" s="11"/>
      <c r="F776" s="29"/>
      <c r="G776" s="11"/>
      <c r="H776" s="11"/>
      <c r="I776" s="29"/>
      <c r="J776" s="11"/>
      <c r="K776" s="29"/>
      <c r="L776" s="11"/>
      <c r="M776" s="11"/>
      <c r="N776" s="11"/>
      <c r="O776" s="29"/>
      <c r="P776" s="29"/>
      <c r="Q776" s="11"/>
      <c r="R776" s="29"/>
      <c r="S776" s="11"/>
      <c r="T776" s="6"/>
      <c r="U776" s="29"/>
      <c r="V776" s="11"/>
      <c r="W776" s="11"/>
      <c r="X776" s="29"/>
      <c r="Y776" s="11"/>
      <c r="Z776" s="29"/>
      <c r="AA776" s="29"/>
      <c r="AB776" s="11"/>
      <c r="AC776" s="11"/>
      <c r="AD776" s="29"/>
      <c r="AE776" s="11"/>
      <c r="AF776" s="29"/>
      <c r="AG776" s="11"/>
      <c r="AH776" s="29"/>
      <c r="AI776" s="11"/>
      <c r="AJ776" s="29"/>
      <c r="AK776" s="29"/>
      <c r="AL776" s="29"/>
      <c r="AM776" s="11"/>
      <c r="AN776" s="29"/>
      <c r="AO776" s="29"/>
      <c r="AP776" s="6"/>
      <c r="AQ776" s="113">
        <f>IF(AND(I776="",K776="",AF776="",AL776="",AN776="",O776=""),"",IF(OR(I776="SIM",K776="SIM",AF776="SIM",AL776="SIM",AN776="Dados pessoais",AN776="Dados sensíveis",AN776="Dados pessoais e sensíveis",O776="Acima de 10.000 titulares por mês"),"SIM - Alta criticidade",IF((IF(I776="SIM",2,0)+IF(K776="SIM",2,0)+IF(AF776="SIM",2,0)+IF(OR(AN776="Dados pessoais",AN776="Dados sensíveis",AN776="Dados pessoais e sensíveis"),2,0)+IF(O776="De 1.001 a 10.000 titulares por mês",1,0)+IF(AA776="SIM",1,0)+IF(R776="SIM",1,0)+IF(AL776="SIM",1,0)+IF(AJ776="NÃO",1,0))&gt;=5,"SIM - Alta criticidade",IF((IF(I776="SIM",2,0)+IF(K776="SIM",2,0)+IF(AF776="SIM",2,0)+IF(OR(AN776="Dados pessoais",AN776="Dados sensíveis",AN776="Dados pessoais e sensíveis"),2,0)+IF(O776="De 1.001 a 10.000 titulares por mês",1,0)+IF(AA776="SIM",1,0)+IF(R776="SIM",1,0)+IF(AL776="SIM",1,0)+IF(AJ776="NÃO",1,0))&gt;=3,"Avaliação necessária","NÃO"))))</f>
      </c>
      <c r="AR776" s="11"/>
      <c r="AS776" s="113">
        <f>IF(AND(I776="",K776="",AF776="",AL776="",AN776="",O776=""),"",IF(OR(I776="SIM",K776="SIM",AF776="SIM",AL776="SIM",OR(AN776="Dados pessoais",AN776="Dados sensíveis",AN776="Dados pessoais e sensíveis"),O776="Acima de 10.000 titulares por mês",(IF(I776="SIM",2,0)+IF(K776="SIM",2,0)+IF(AF776="SIM",2,0)+IF(OR(AN776="Dados pessoais",AN776="Dados sensíveis",AN776="Dados pessoais e sensíveis"),2,0)+IF(O776="De 1.001 a 10.000 titulares por mês",1,0)+IF(AA776="SIM",1,0)+IF(R776="SIM",1,0)+IF(AL776="SIM",1,0)+IF(AJ776="NÃO",1,0))&gt;=3),"DPIA indicado ou em avaliação em razão de: " &amp; TRIM(IF(I776="SIM","tratamento de dados sensíveis; ","") &amp; IF(K776="SIM","utilização de dados de menores; ","") &amp; IF(AF776="SIM","transferência internacional de dados; ","") &amp; IF(AL776="SIM","utilização de inteligência artificial; ","") &amp; IF(OR(AN776="Dados pessoais",AN776="Dados sensíveis",AN776="Dados pessoais e sensíveis"),"dados inseridos em IA; ","") &amp; IF(O776="Acima de 10.000 titulares por mês","volume crítico de titulares; ","") &amp; IF(O776="De 1.001 a 10.000 titulares por mês","volume moderado de titulares; ","") &amp; IF(AA776="SIM","compartilhamento com terceiros; ","") &amp; IF(R776="SIM","compartilhamento com órgãos governamentais; ","") &amp; IF(AJ776="NÃO","ausência de controle de acesso por perfil; ","")),"DPIA não indicado: Processo de baixa criticidade."))</f>
      </c>
    </row>
    <row x14ac:dyDescent="0.25" r="777" customHeight="1" ht="15.75">
      <c r="A777" s="46"/>
      <c r="B777" s="6"/>
      <c r="C777" s="11"/>
      <c r="D777" s="11"/>
      <c r="E777" s="11"/>
      <c r="F777" s="29"/>
      <c r="G777" s="11"/>
      <c r="H777" s="11"/>
      <c r="I777" s="29"/>
      <c r="J777" s="11"/>
      <c r="K777" s="29"/>
      <c r="L777" s="11"/>
      <c r="M777" s="11"/>
      <c r="N777" s="11"/>
      <c r="O777" s="29"/>
      <c r="P777" s="29"/>
      <c r="Q777" s="11"/>
      <c r="R777" s="29"/>
      <c r="S777" s="11"/>
      <c r="T777" s="6"/>
      <c r="U777" s="29"/>
      <c r="V777" s="11"/>
      <c r="W777" s="11"/>
      <c r="X777" s="29"/>
      <c r="Y777" s="11"/>
      <c r="Z777" s="29"/>
      <c r="AA777" s="29"/>
      <c r="AB777" s="11"/>
      <c r="AC777" s="11"/>
      <c r="AD777" s="29"/>
      <c r="AE777" s="11"/>
      <c r="AF777" s="29"/>
      <c r="AG777" s="11"/>
      <c r="AH777" s="29"/>
      <c r="AI777" s="11"/>
      <c r="AJ777" s="29"/>
      <c r="AK777" s="29"/>
      <c r="AL777" s="29"/>
      <c r="AM777" s="11"/>
      <c r="AN777" s="29"/>
      <c r="AO777" s="29"/>
      <c r="AP777" s="6"/>
      <c r="AQ777" s="113">
        <f>IF(AND(I777="",K777="",AF777="",AL777="",AN777="",O777=""),"",IF(OR(I777="SIM",K777="SIM",AF777="SIM",AL777="SIM",AN777="Dados pessoais",AN777="Dados sensíveis",AN777="Dados pessoais e sensíveis",O777="Acima de 10.000 titulares por mês"),"SIM - Alta criticidade",IF((IF(I777="SIM",2,0)+IF(K777="SIM",2,0)+IF(AF777="SIM",2,0)+IF(OR(AN777="Dados pessoais",AN777="Dados sensíveis",AN777="Dados pessoais e sensíveis"),2,0)+IF(O777="De 1.001 a 10.000 titulares por mês",1,0)+IF(AA777="SIM",1,0)+IF(R777="SIM",1,0)+IF(AL777="SIM",1,0)+IF(AJ777="NÃO",1,0))&gt;=5,"SIM - Alta criticidade",IF((IF(I777="SIM",2,0)+IF(K777="SIM",2,0)+IF(AF777="SIM",2,0)+IF(OR(AN777="Dados pessoais",AN777="Dados sensíveis",AN777="Dados pessoais e sensíveis"),2,0)+IF(O777="De 1.001 a 10.000 titulares por mês",1,0)+IF(AA777="SIM",1,0)+IF(R777="SIM",1,0)+IF(AL777="SIM",1,0)+IF(AJ777="NÃO",1,0))&gt;=3,"Avaliação necessária","NÃO"))))</f>
      </c>
      <c r="AR777" s="11"/>
      <c r="AS777" s="113">
        <f>IF(AND(I777="",K777="",AF777="",AL777="",AN777="",O777=""),"",IF(OR(I777="SIM",K777="SIM",AF777="SIM",AL777="SIM",OR(AN777="Dados pessoais",AN777="Dados sensíveis",AN777="Dados pessoais e sensíveis"),O777="Acima de 10.000 titulares por mês",(IF(I777="SIM",2,0)+IF(K777="SIM",2,0)+IF(AF777="SIM",2,0)+IF(OR(AN777="Dados pessoais",AN777="Dados sensíveis",AN777="Dados pessoais e sensíveis"),2,0)+IF(O777="De 1.001 a 10.000 titulares por mês",1,0)+IF(AA777="SIM",1,0)+IF(R777="SIM",1,0)+IF(AL777="SIM",1,0)+IF(AJ777="NÃO",1,0))&gt;=3),"DPIA indicado ou em avaliação em razão de: " &amp; TRIM(IF(I777="SIM","tratamento de dados sensíveis; ","") &amp; IF(K777="SIM","utilização de dados de menores; ","") &amp; IF(AF777="SIM","transferência internacional de dados; ","") &amp; IF(AL777="SIM","utilização de inteligência artificial; ","") &amp; IF(OR(AN777="Dados pessoais",AN777="Dados sensíveis",AN777="Dados pessoais e sensíveis"),"dados inseridos em IA; ","") &amp; IF(O777="Acima de 10.000 titulares por mês","volume crítico de titulares; ","") &amp; IF(O777="De 1.001 a 10.000 titulares por mês","volume moderado de titulares; ","") &amp; IF(AA777="SIM","compartilhamento com terceiros; ","") &amp; IF(R777="SIM","compartilhamento com órgãos governamentais; ","") &amp; IF(AJ777="NÃO","ausência de controle de acesso por perfil; ","")),"DPIA não indicado: Processo de baixa criticidade."))</f>
      </c>
    </row>
    <row x14ac:dyDescent="0.25" r="778" customHeight="1" ht="15.75">
      <c r="A778" s="46"/>
      <c r="B778" s="6"/>
      <c r="C778" s="11"/>
      <c r="D778" s="11"/>
      <c r="E778" s="11"/>
      <c r="F778" s="29"/>
      <c r="G778" s="11"/>
      <c r="H778" s="11"/>
      <c r="I778" s="29"/>
      <c r="J778" s="11"/>
      <c r="K778" s="29"/>
      <c r="L778" s="11"/>
      <c r="M778" s="11"/>
      <c r="N778" s="11"/>
      <c r="O778" s="29"/>
      <c r="P778" s="29"/>
      <c r="Q778" s="11"/>
      <c r="R778" s="29"/>
      <c r="S778" s="11"/>
      <c r="T778" s="6"/>
      <c r="U778" s="29"/>
      <c r="V778" s="11"/>
      <c r="W778" s="11"/>
      <c r="X778" s="29"/>
      <c r="Y778" s="11"/>
      <c r="Z778" s="29"/>
      <c r="AA778" s="29"/>
      <c r="AB778" s="11"/>
      <c r="AC778" s="11"/>
      <c r="AD778" s="29"/>
      <c r="AE778" s="11"/>
      <c r="AF778" s="29"/>
      <c r="AG778" s="11"/>
      <c r="AH778" s="29"/>
      <c r="AI778" s="11"/>
      <c r="AJ778" s="29"/>
      <c r="AK778" s="29"/>
      <c r="AL778" s="29"/>
      <c r="AM778" s="11"/>
      <c r="AN778" s="29"/>
      <c r="AO778" s="29"/>
      <c r="AP778" s="6"/>
      <c r="AQ778" s="113">
        <f>IF(AND(I778="",K778="",AF778="",AL778="",AN778="",O778=""),"",IF(OR(I778="SIM",K778="SIM",AF778="SIM",AL778="SIM",AN778="Dados pessoais",AN778="Dados sensíveis",AN778="Dados pessoais e sensíveis",O778="Acima de 10.000 titulares por mês"),"SIM - Alta criticidade",IF((IF(I778="SIM",2,0)+IF(K778="SIM",2,0)+IF(AF778="SIM",2,0)+IF(OR(AN778="Dados pessoais",AN778="Dados sensíveis",AN778="Dados pessoais e sensíveis"),2,0)+IF(O778="De 1.001 a 10.000 titulares por mês",1,0)+IF(AA778="SIM",1,0)+IF(R778="SIM",1,0)+IF(AL778="SIM",1,0)+IF(AJ778="NÃO",1,0))&gt;=5,"SIM - Alta criticidade",IF((IF(I778="SIM",2,0)+IF(K778="SIM",2,0)+IF(AF778="SIM",2,0)+IF(OR(AN778="Dados pessoais",AN778="Dados sensíveis",AN778="Dados pessoais e sensíveis"),2,0)+IF(O778="De 1.001 a 10.000 titulares por mês",1,0)+IF(AA778="SIM",1,0)+IF(R778="SIM",1,0)+IF(AL778="SIM",1,0)+IF(AJ778="NÃO",1,0))&gt;=3,"Avaliação necessária","NÃO"))))</f>
      </c>
      <c r="AR778" s="11"/>
      <c r="AS778" s="113">
        <f>IF(AND(I778="",K778="",AF778="",AL778="",AN778="",O778=""),"",IF(OR(I778="SIM",K778="SIM",AF778="SIM",AL778="SIM",OR(AN778="Dados pessoais",AN778="Dados sensíveis",AN778="Dados pessoais e sensíveis"),O778="Acima de 10.000 titulares por mês",(IF(I778="SIM",2,0)+IF(K778="SIM",2,0)+IF(AF778="SIM",2,0)+IF(OR(AN778="Dados pessoais",AN778="Dados sensíveis",AN778="Dados pessoais e sensíveis"),2,0)+IF(O778="De 1.001 a 10.000 titulares por mês",1,0)+IF(AA778="SIM",1,0)+IF(R778="SIM",1,0)+IF(AL778="SIM",1,0)+IF(AJ778="NÃO",1,0))&gt;=3),"DPIA indicado ou em avaliação em razão de: " &amp; TRIM(IF(I778="SIM","tratamento de dados sensíveis; ","") &amp; IF(K778="SIM","utilização de dados de menores; ","") &amp; IF(AF778="SIM","transferência internacional de dados; ","") &amp; IF(AL778="SIM","utilização de inteligência artificial; ","") &amp; IF(OR(AN778="Dados pessoais",AN778="Dados sensíveis",AN778="Dados pessoais e sensíveis"),"dados inseridos em IA; ","") &amp; IF(O778="Acima de 10.000 titulares por mês","volume crítico de titulares; ","") &amp; IF(O778="De 1.001 a 10.000 titulares por mês","volume moderado de titulares; ","") &amp; IF(AA778="SIM","compartilhamento com terceiros; ","") &amp; IF(R778="SIM","compartilhamento com órgãos governamentais; ","") &amp; IF(AJ778="NÃO","ausência de controle de acesso por perfil; ","")),"DPIA não indicado: Processo de baixa criticidade."))</f>
      </c>
    </row>
    <row x14ac:dyDescent="0.25" r="779" customHeight="1" ht="15.75">
      <c r="A779" s="46"/>
      <c r="B779" s="6"/>
      <c r="C779" s="11"/>
      <c r="D779" s="11"/>
      <c r="E779" s="11"/>
      <c r="F779" s="29"/>
      <c r="G779" s="11"/>
      <c r="H779" s="11"/>
      <c r="I779" s="29"/>
      <c r="J779" s="11"/>
      <c r="K779" s="29"/>
      <c r="L779" s="11"/>
      <c r="M779" s="11"/>
      <c r="N779" s="11"/>
      <c r="O779" s="29"/>
      <c r="P779" s="29"/>
      <c r="Q779" s="11"/>
      <c r="R779" s="29"/>
      <c r="S779" s="11"/>
      <c r="T779" s="6"/>
      <c r="U779" s="29"/>
      <c r="V779" s="11"/>
      <c r="W779" s="11"/>
      <c r="X779" s="29"/>
      <c r="Y779" s="11"/>
      <c r="Z779" s="29"/>
      <c r="AA779" s="29"/>
      <c r="AB779" s="11"/>
      <c r="AC779" s="11"/>
      <c r="AD779" s="29"/>
      <c r="AE779" s="11"/>
      <c r="AF779" s="29"/>
      <c r="AG779" s="11"/>
      <c r="AH779" s="29"/>
      <c r="AI779" s="11"/>
      <c r="AJ779" s="29"/>
      <c r="AK779" s="29"/>
      <c r="AL779" s="29"/>
      <c r="AM779" s="11"/>
      <c r="AN779" s="29"/>
      <c r="AO779" s="29"/>
      <c r="AP779" s="6"/>
      <c r="AQ779" s="113">
        <f>IF(AND(I779="",K779="",AF779="",AL779="",AN779="",O779=""),"",IF(OR(I779="SIM",K779="SIM",AF779="SIM",AL779="SIM",AN779="Dados pessoais",AN779="Dados sensíveis",AN779="Dados pessoais e sensíveis",O779="Acima de 10.000 titulares por mês"),"SIM - Alta criticidade",IF((IF(I779="SIM",2,0)+IF(K779="SIM",2,0)+IF(AF779="SIM",2,0)+IF(OR(AN779="Dados pessoais",AN779="Dados sensíveis",AN779="Dados pessoais e sensíveis"),2,0)+IF(O779="De 1.001 a 10.000 titulares por mês",1,0)+IF(AA779="SIM",1,0)+IF(R779="SIM",1,0)+IF(AL779="SIM",1,0)+IF(AJ779="NÃO",1,0))&gt;=5,"SIM - Alta criticidade",IF((IF(I779="SIM",2,0)+IF(K779="SIM",2,0)+IF(AF779="SIM",2,0)+IF(OR(AN779="Dados pessoais",AN779="Dados sensíveis",AN779="Dados pessoais e sensíveis"),2,0)+IF(O779="De 1.001 a 10.000 titulares por mês",1,0)+IF(AA779="SIM",1,0)+IF(R779="SIM",1,0)+IF(AL779="SIM",1,0)+IF(AJ779="NÃO",1,0))&gt;=3,"Avaliação necessária","NÃO"))))</f>
      </c>
      <c r="AR779" s="11"/>
      <c r="AS779" s="113">
        <f>IF(AND(I779="",K779="",AF779="",AL779="",AN779="",O779=""),"",IF(OR(I779="SIM",K779="SIM",AF779="SIM",AL779="SIM",OR(AN779="Dados pessoais",AN779="Dados sensíveis",AN779="Dados pessoais e sensíveis"),O779="Acima de 10.000 titulares por mês",(IF(I779="SIM",2,0)+IF(K779="SIM",2,0)+IF(AF779="SIM",2,0)+IF(OR(AN779="Dados pessoais",AN779="Dados sensíveis",AN779="Dados pessoais e sensíveis"),2,0)+IF(O779="De 1.001 a 10.000 titulares por mês",1,0)+IF(AA779="SIM",1,0)+IF(R779="SIM",1,0)+IF(AL779="SIM",1,0)+IF(AJ779="NÃO",1,0))&gt;=3),"DPIA indicado ou em avaliação em razão de: " &amp; TRIM(IF(I779="SIM","tratamento de dados sensíveis; ","") &amp; IF(K779="SIM","utilização de dados de menores; ","") &amp; IF(AF779="SIM","transferência internacional de dados; ","") &amp; IF(AL779="SIM","utilização de inteligência artificial; ","") &amp; IF(OR(AN779="Dados pessoais",AN779="Dados sensíveis",AN779="Dados pessoais e sensíveis"),"dados inseridos em IA; ","") &amp; IF(O779="Acima de 10.000 titulares por mês","volume crítico de titulares; ","") &amp; IF(O779="De 1.001 a 10.000 titulares por mês","volume moderado de titulares; ","") &amp; IF(AA779="SIM","compartilhamento com terceiros; ","") &amp; IF(R779="SIM","compartilhamento com órgãos governamentais; ","") &amp; IF(AJ779="NÃO","ausência de controle de acesso por perfil; ","")),"DPIA não indicado: Processo de baixa criticidade."))</f>
      </c>
    </row>
    <row x14ac:dyDescent="0.25" r="780" customHeight="1" ht="15.75">
      <c r="A780" s="46"/>
      <c r="B780" s="6"/>
      <c r="C780" s="11"/>
      <c r="D780" s="11"/>
      <c r="E780" s="11"/>
      <c r="F780" s="29"/>
      <c r="G780" s="11"/>
      <c r="H780" s="11"/>
      <c r="I780" s="29"/>
      <c r="J780" s="11"/>
      <c r="K780" s="29"/>
      <c r="L780" s="11"/>
      <c r="M780" s="11"/>
      <c r="N780" s="11"/>
      <c r="O780" s="29"/>
      <c r="P780" s="29"/>
      <c r="Q780" s="11"/>
      <c r="R780" s="29"/>
      <c r="S780" s="11"/>
      <c r="T780" s="6"/>
      <c r="U780" s="29"/>
      <c r="V780" s="11"/>
      <c r="W780" s="11"/>
      <c r="X780" s="29"/>
      <c r="Y780" s="11"/>
      <c r="Z780" s="29"/>
      <c r="AA780" s="29"/>
      <c r="AB780" s="11"/>
      <c r="AC780" s="11"/>
      <c r="AD780" s="29"/>
      <c r="AE780" s="11"/>
      <c r="AF780" s="29"/>
      <c r="AG780" s="11"/>
      <c r="AH780" s="29"/>
      <c r="AI780" s="11"/>
      <c r="AJ780" s="29"/>
      <c r="AK780" s="29"/>
      <c r="AL780" s="29"/>
      <c r="AM780" s="11"/>
      <c r="AN780" s="29"/>
      <c r="AO780" s="29"/>
      <c r="AP780" s="6"/>
      <c r="AQ780" s="113">
        <f>IF(AND(I780="",K780="",AF780="",AL780="",AN780="",O780=""),"",IF(OR(I780="SIM",K780="SIM",AF780="SIM",AL780="SIM",AN780="Dados pessoais",AN780="Dados sensíveis",AN780="Dados pessoais e sensíveis",O780="Acima de 10.000 titulares por mês"),"SIM - Alta criticidade",IF((IF(I780="SIM",2,0)+IF(K780="SIM",2,0)+IF(AF780="SIM",2,0)+IF(OR(AN780="Dados pessoais",AN780="Dados sensíveis",AN780="Dados pessoais e sensíveis"),2,0)+IF(O780="De 1.001 a 10.000 titulares por mês",1,0)+IF(AA780="SIM",1,0)+IF(R780="SIM",1,0)+IF(AL780="SIM",1,0)+IF(AJ780="NÃO",1,0))&gt;=5,"SIM - Alta criticidade",IF((IF(I780="SIM",2,0)+IF(K780="SIM",2,0)+IF(AF780="SIM",2,0)+IF(OR(AN780="Dados pessoais",AN780="Dados sensíveis",AN780="Dados pessoais e sensíveis"),2,0)+IF(O780="De 1.001 a 10.000 titulares por mês",1,0)+IF(AA780="SIM",1,0)+IF(R780="SIM",1,0)+IF(AL780="SIM",1,0)+IF(AJ780="NÃO",1,0))&gt;=3,"Avaliação necessária","NÃO"))))</f>
      </c>
      <c r="AR780" s="11"/>
      <c r="AS780" s="113">
        <f>IF(AND(I780="",K780="",AF780="",AL780="",AN780="",O780=""),"",IF(OR(I780="SIM",K780="SIM",AF780="SIM",AL780="SIM",OR(AN780="Dados pessoais",AN780="Dados sensíveis",AN780="Dados pessoais e sensíveis"),O780="Acima de 10.000 titulares por mês",(IF(I780="SIM",2,0)+IF(K780="SIM",2,0)+IF(AF780="SIM",2,0)+IF(OR(AN780="Dados pessoais",AN780="Dados sensíveis",AN780="Dados pessoais e sensíveis"),2,0)+IF(O780="De 1.001 a 10.000 titulares por mês",1,0)+IF(AA780="SIM",1,0)+IF(R780="SIM",1,0)+IF(AL780="SIM",1,0)+IF(AJ780="NÃO",1,0))&gt;=3),"DPIA indicado ou em avaliação em razão de: " &amp; TRIM(IF(I780="SIM","tratamento de dados sensíveis; ","") &amp; IF(K780="SIM","utilização de dados de menores; ","") &amp; IF(AF780="SIM","transferência internacional de dados; ","") &amp; IF(AL780="SIM","utilização de inteligência artificial; ","") &amp; IF(OR(AN780="Dados pessoais",AN780="Dados sensíveis",AN780="Dados pessoais e sensíveis"),"dados inseridos em IA; ","") &amp; IF(O780="Acima de 10.000 titulares por mês","volume crítico de titulares; ","") &amp; IF(O780="De 1.001 a 10.000 titulares por mês","volume moderado de titulares; ","") &amp; IF(AA780="SIM","compartilhamento com terceiros; ","") &amp; IF(R780="SIM","compartilhamento com órgãos governamentais; ","") &amp; IF(AJ780="NÃO","ausência de controle de acesso por perfil; ","")),"DPIA não indicado: Processo de baixa criticidade."))</f>
      </c>
    </row>
    <row x14ac:dyDescent="0.25" r="781" customHeight="1" ht="15.75">
      <c r="A781" s="46"/>
      <c r="B781" s="6"/>
      <c r="C781" s="11"/>
      <c r="D781" s="11"/>
      <c r="E781" s="11"/>
      <c r="F781" s="29"/>
      <c r="G781" s="11"/>
      <c r="H781" s="11"/>
      <c r="I781" s="29"/>
      <c r="J781" s="11"/>
      <c r="K781" s="29"/>
      <c r="L781" s="11"/>
      <c r="M781" s="11"/>
      <c r="N781" s="11"/>
      <c r="O781" s="29"/>
      <c r="P781" s="29"/>
      <c r="Q781" s="11"/>
      <c r="R781" s="29"/>
      <c r="S781" s="11"/>
      <c r="T781" s="6"/>
      <c r="U781" s="29"/>
      <c r="V781" s="11"/>
      <c r="W781" s="11"/>
      <c r="X781" s="29"/>
      <c r="Y781" s="11"/>
      <c r="Z781" s="29"/>
      <c r="AA781" s="29"/>
      <c r="AB781" s="11"/>
      <c r="AC781" s="11"/>
      <c r="AD781" s="29"/>
      <c r="AE781" s="11"/>
      <c r="AF781" s="29"/>
      <c r="AG781" s="11"/>
      <c r="AH781" s="29"/>
      <c r="AI781" s="11"/>
      <c r="AJ781" s="29"/>
      <c r="AK781" s="29"/>
      <c r="AL781" s="29"/>
      <c r="AM781" s="11"/>
      <c r="AN781" s="29"/>
      <c r="AO781" s="29"/>
      <c r="AP781" s="6"/>
      <c r="AQ781" s="113">
        <f>IF(AND(I781="",K781="",AF781="",AL781="",AN781="",O781=""),"",IF(OR(I781="SIM",K781="SIM",AF781="SIM",AL781="SIM",AN781="Dados pessoais",AN781="Dados sensíveis",AN781="Dados pessoais e sensíveis",O781="Acima de 10.000 titulares por mês"),"SIM - Alta criticidade",IF((IF(I781="SIM",2,0)+IF(K781="SIM",2,0)+IF(AF781="SIM",2,0)+IF(OR(AN781="Dados pessoais",AN781="Dados sensíveis",AN781="Dados pessoais e sensíveis"),2,0)+IF(O781="De 1.001 a 10.000 titulares por mês",1,0)+IF(AA781="SIM",1,0)+IF(R781="SIM",1,0)+IF(AL781="SIM",1,0)+IF(AJ781="NÃO",1,0))&gt;=5,"SIM - Alta criticidade",IF((IF(I781="SIM",2,0)+IF(K781="SIM",2,0)+IF(AF781="SIM",2,0)+IF(OR(AN781="Dados pessoais",AN781="Dados sensíveis",AN781="Dados pessoais e sensíveis"),2,0)+IF(O781="De 1.001 a 10.000 titulares por mês",1,0)+IF(AA781="SIM",1,0)+IF(R781="SIM",1,0)+IF(AL781="SIM",1,0)+IF(AJ781="NÃO",1,0))&gt;=3,"Avaliação necessária","NÃO"))))</f>
      </c>
      <c r="AR781" s="11"/>
      <c r="AS781" s="113">
        <f>IF(AND(I781="",K781="",AF781="",AL781="",AN781="",O781=""),"",IF(OR(I781="SIM",K781="SIM",AF781="SIM",AL781="SIM",OR(AN781="Dados pessoais",AN781="Dados sensíveis",AN781="Dados pessoais e sensíveis"),O781="Acima de 10.000 titulares por mês",(IF(I781="SIM",2,0)+IF(K781="SIM",2,0)+IF(AF781="SIM",2,0)+IF(OR(AN781="Dados pessoais",AN781="Dados sensíveis",AN781="Dados pessoais e sensíveis"),2,0)+IF(O781="De 1.001 a 10.000 titulares por mês",1,0)+IF(AA781="SIM",1,0)+IF(R781="SIM",1,0)+IF(AL781="SIM",1,0)+IF(AJ781="NÃO",1,0))&gt;=3),"DPIA indicado ou em avaliação em razão de: " &amp; TRIM(IF(I781="SIM","tratamento de dados sensíveis; ","") &amp; IF(K781="SIM","utilização de dados de menores; ","") &amp; IF(AF781="SIM","transferência internacional de dados; ","") &amp; IF(AL781="SIM","utilização de inteligência artificial; ","") &amp; IF(OR(AN781="Dados pessoais",AN781="Dados sensíveis",AN781="Dados pessoais e sensíveis"),"dados inseridos em IA; ","") &amp; IF(O781="Acima de 10.000 titulares por mês","volume crítico de titulares; ","") &amp; IF(O781="De 1.001 a 10.000 titulares por mês","volume moderado de titulares; ","") &amp; IF(AA781="SIM","compartilhamento com terceiros; ","") &amp; IF(R781="SIM","compartilhamento com órgãos governamentais; ","") &amp; IF(AJ781="NÃO","ausência de controle de acesso por perfil; ","")),"DPIA não indicado: Processo de baixa criticidade."))</f>
      </c>
    </row>
    <row x14ac:dyDescent="0.25" r="782" customHeight="1" ht="15.75">
      <c r="A782" s="46"/>
      <c r="B782" s="6"/>
      <c r="C782" s="11"/>
      <c r="D782" s="11"/>
      <c r="E782" s="11"/>
      <c r="F782" s="29"/>
      <c r="G782" s="11"/>
      <c r="H782" s="11"/>
      <c r="I782" s="29"/>
      <c r="J782" s="11"/>
      <c r="K782" s="29"/>
      <c r="L782" s="11"/>
      <c r="M782" s="11"/>
      <c r="N782" s="11"/>
      <c r="O782" s="29"/>
      <c r="P782" s="29"/>
      <c r="Q782" s="11"/>
      <c r="R782" s="29"/>
      <c r="S782" s="11"/>
      <c r="T782" s="6"/>
      <c r="U782" s="29"/>
      <c r="V782" s="11"/>
      <c r="W782" s="11"/>
      <c r="X782" s="29"/>
      <c r="Y782" s="11"/>
      <c r="Z782" s="29"/>
      <c r="AA782" s="29"/>
      <c r="AB782" s="11"/>
      <c r="AC782" s="11"/>
      <c r="AD782" s="29"/>
      <c r="AE782" s="11"/>
      <c r="AF782" s="29"/>
      <c r="AG782" s="11"/>
      <c r="AH782" s="29"/>
      <c r="AI782" s="11"/>
      <c r="AJ782" s="29"/>
      <c r="AK782" s="29"/>
      <c r="AL782" s="29"/>
      <c r="AM782" s="11"/>
      <c r="AN782" s="29"/>
      <c r="AO782" s="29"/>
      <c r="AP782" s="6"/>
      <c r="AQ782" s="113">
        <f>IF(AND(I782="",K782="",AF782="",AL782="",AN782="",O782=""),"",IF(OR(I782="SIM",K782="SIM",AF782="SIM",AL782="SIM",AN782="Dados pessoais",AN782="Dados sensíveis",AN782="Dados pessoais e sensíveis",O782="Acima de 10.000 titulares por mês"),"SIM - Alta criticidade",IF((IF(I782="SIM",2,0)+IF(K782="SIM",2,0)+IF(AF782="SIM",2,0)+IF(OR(AN782="Dados pessoais",AN782="Dados sensíveis",AN782="Dados pessoais e sensíveis"),2,0)+IF(O782="De 1.001 a 10.000 titulares por mês",1,0)+IF(AA782="SIM",1,0)+IF(R782="SIM",1,0)+IF(AL782="SIM",1,0)+IF(AJ782="NÃO",1,0))&gt;=5,"SIM - Alta criticidade",IF((IF(I782="SIM",2,0)+IF(K782="SIM",2,0)+IF(AF782="SIM",2,0)+IF(OR(AN782="Dados pessoais",AN782="Dados sensíveis",AN782="Dados pessoais e sensíveis"),2,0)+IF(O782="De 1.001 a 10.000 titulares por mês",1,0)+IF(AA782="SIM",1,0)+IF(R782="SIM",1,0)+IF(AL782="SIM",1,0)+IF(AJ782="NÃO",1,0))&gt;=3,"Avaliação necessária","NÃO"))))</f>
      </c>
      <c r="AR782" s="11"/>
      <c r="AS782" s="113">
        <f>IF(AND(I782="",K782="",AF782="",AL782="",AN782="",O782=""),"",IF(OR(I782="SIM",K782="SIM",AF782="SIM",AL782="SIM",OR(AN782="Dados pessoais",AN782="Dados sensíveis",AN782="Dados pessoais e sensíveis"),O782="Acima de 10.000 titulares por mês",(IF(I782="SIM",2,0)+IF(K782="SIM",2,0)+IF(AF782="SIM",2,0)+IF(OR(AN782="Dados pessoais",AN782="Dados sensíveis",AN782="Dados pessoais e sensíveis"),2,0)+IF(O782="De 1.001 a 10.000 titulares por mês",1,0)+IF(AA782="SIM",1,0)+IF(R782="SIM",1,0)+IF(AL782="SIM",1,0)+IF(AJ782="NÃO",1,0))&gt;=3),"DPIA indicado ou em avaliação em razão de: " &amp; TRIM(IF(I782="SIM","tratamento de dados sensíveis; ","") &amp; IF(K782="SIM","utilização de dados de menores; ","") &amp; IF(AF782="SIM","transferência internacional de dados; ","") &amp; IF(AL782="SIM","utilização de inteligência artificial; ","") &amp; IF(OR(AN782="Dados pessoais",AN782="Dados sensíveis",AN782="Dados pessoais e sensíveis"),"dados inseridos em IA; ","") &amp; IF(O782="Acima de 10.000 titulares por mês","volume crítico de titulares; ","") &amp; IF(O782="De 1.001 a 10.000 titulares por mês","volume moderado de titulares; ","") &amp; IF(AA782="SIM","compartilhamento com terceiros; ","") &amp; IF(R782="SIM","compartilhamento com órgãos governamentais; ","") &amp; IF(AJ782="NÃO","ausência de controle de acesso por perfil; ","")),"DPIA não indicado: Processo de baixa criticidade."))</f>
      </c>
    </row>
    <row x14ac:dyDescent="0.25" r="783" customHeight="1" ht="15.75">
      <c r="A783" s="46"/>
      <c r="B783" s="6"/>
      <c r="C783" s="11"/>
      <c r="D783" s="11"/>
      <c r="E783" s="11"/>
      <c r="F783" s="29"/>
      <c r="G783" s="11"/>
      <c r="H783" s="11"/>
      <c r="I783" s="29"/>
      <c r="J783" s="11"/>
      <c r="K783" s="29"/>
      <c r="L783" s="11"/>
      <c r="M783" s="11"/>
      <c r="N783" s="11"/>
      <c r="O783" s="29"/>
      <c r="P783" s="29"/>
      <c r="Q783" s="11"/>
      <c r="R783" s="29"/>
      <c r="S783" s="11"/>
      <c r="T783" s="6"/>
      <c r="U783" s="29"/>
      <c r="V783" s="11"/>
      <c r="W783" s="11"/>
      <c r="X783" s="29"/>
      <c r="Y783" s="11"/>
      <c r="Z783" s="29"/>
      <c r="AA783" s="29"/>
      <c r="AB783" s="11"/>
      <c r="AC783" s="11"/>
      <c r="AD783" s="29"/>
      <c r="AE783" s="11"/>
      <c r="AF783" s="29"/>
      <c r="AG783" s="11"/>
      <c r="AH783" s="29"/>
      <c r="AI783" s="11"/>
      <c r="AJ783" s="29"/>
      <c r="AK783" s="29"/>
      <c r="AL783" s="29"/>
      <c r="AM783" s="11"/>
      <c r="AN783" s="29"/>
      <c r="AO783" s="29"/>
      <c r="AP783" s="6"/>
      <c r="AQ783" s="113">
        <f>IF(AND(I783="",K783="",AF783="",AL783="",AN783="",O783=""),"",IF(OR(I783="SIM",K783="SIM",AF783="SIM",AL783="SIM",AN783="Dados pessoais",AN783="Dados sensíveis",AN783="Dados pessoais e sensíveis",O783="Acima de 10.000 titulares por mês"),"SIM - Alta criticidade",IF((IF(I783="SIM",2,0)+IF(K783="SIM",2,0)+IF(AF783="SIM",2,0)+IF(OR(AN783="Dados pessoais",AN783="Dados sensíveis",AN783="Dados pessoais e sensíveis"),2,0)+IF(O783="De 1.001 a 10.000 titulares por mês",1,0)+IF(AA783="SIM",1,0)+IF(R783="SIM",1,0)+IF(AL783="SIM",1,0)+IF(AJ783="NÃO",1,0))&gt;=5,"SIM - Alta criticidade",IF((IF(I783="SIM",2,0)+IF(K783="SIM",2,0)+IF(AF783="SIM",2,0)+IF(OR(AN783="Dados pessoais",AN783="Dados sensíveis",AN783="Dados pessoais e sensíveis"),2,0)+IF(O783="De 1.001 a 10.000 titulares por mês",1,0)+IF(AA783="SIM",1,0)+IF(R783="SIM",1,0)+IF(AL783="SIM",1,0)+IF(AJ783="NÃO",1,0))&gt;=3,"Avaliação necessária","NÃO"))))</f>
      </c>
      <c r="AR783" s="11"/>
      <c r="AS783" s="113">
        <f>IF(AND(I783="",K783="",AF783="",AL783="",AN783="",O783=""),"",IF(OR(I783="SIM",K783="SIM",AF783="SIM",AL783="SIM",OR(AN783="Dados pessoais",AN783="Dados sensíveis",AN783="Dados pessoais e sensíveis"),O783="Acima de 10.000 titulares por mês",(IF(I783="SIM",2,0)+IF(K783="SIM",2,0)+IF(AF783="SIM",2,0)+IF(OR(AN783="Dados pessoais",AN783="Dados sensíveis",AN783="Dados pessoais e sensíveis"),2,0)+IF(O783="De 1.001 a 10.000 titulares por mês",1,0)+IF(AA783="SIM",1,0)+IF(R783="SIM",1,0)+IF(AL783="SIM",1,0)+IF(AJ783="NÃO",1,0))&gt;=3),"DPIA indicado ou em avaliação em razão de: " &amp; TRIM(IF(I783="SIM","tratamento de dados sensíveis; ","") &amp; IF(K783="SIM","utilização de dados de menores; ","") &amp; IF(AF783="SIM","transferência internacional de dados; ","") &amp; IF(AL783="SIM","utilização de inteligência artificial; ","") &amp; IF(OR(AN783="Dados pessoais",AN783="Dados sensíveis",AN783="Dados pessoais e sensíveis"),"dados inseridos em IA; ","") &amp; IF(O783="Acima de 10.000 titulares por mês","volume crítico de titulares; ","") &amp; IF(O783="De 1.001 a 10.000 titulares por mês","volume moderado de titulares; ","") &amp; IF(AA783="SIM","compartilhamento com terceiros; ","") &amp; IF(R783="SIM","compartilhamento com órgãos governamentais; ","") &amp; IF(AJ783="NÃO","ausência de controle de acesso por perfil; ","")),"DPIA não indicado: Processo de baixa criticidade."))</f>
      </c>
    </row>
    <row x14ac:dyDescent="0.25" r="784" customHeight="1" ht="15.75">
      <c r="A784" s="46"/>
      <c r="B784" s="6"/>
      <c r="C784" s="11"/>
      <c r="D784" s="11"/>
      <c r="E784" s="11"/>
      <c r="F784" s="29"/>
      <c r="G784" s="11"/>
      <c r="H784" s="11"/>
      <c r="I784" s="29"/>
      <c r="J784" s="11"/>
      <c r="K784" s="29"/>
      <c r="L784" s="11"/>
      <c r="M784" s="11"/>
      <c r="N784" s="11"/>
      <c r="O784" s="29"/>
      <c r="P784" s="29"/>
      <c r="Q784" s="11"/>
      <c r="R784" s="29"/>
      <c r="S784" s="11"/>
      <c r="T784" s="6"/>
      <c r="U784" s="29"/>
      <c r="V784" s="11"/>
      <c r="W784" s="11"/>
      <c r="X784" s="29"/>
      <c r="Y784" s="11"/>
      <c r="Z784" s="29"/>
      <c r="AA784" s="29"/>
      <c r="AB784" s="11"/>
      <c r="AC784" s="11"/>
      <c r="AD784" s="29"/>
      <c r="AE784" s="11"/>
      <c r="AF784" s="29"/>
      <c r="AG784" s="11"/>
      <c r="AH784" s="29"/>
      <c r="AI784" s="11"/>
      <c r="AJ784" s="29"/>
      <c r="AK784" s="29"/>
      <c r="AL784" s="29"/>
      <c r="AM784" s="11"/>
      <c r="AN784" s="29"/>
      <c r="AO784" s="29"/>
      <c r="AP784" s="6"/>
      <c r="AQ784" s="113">
        <f>IF(AND(I784="",K784="",AF784="",AL784="",AN784="",O784=""),"",IF(OR(I784="SIM",K784="SIM",AF784="SIM",AL784="SIM",AN784="Dados pessoais",AN784="Dados sensíveis",AN784="Dados pessoais e sensíveis",O784="Acima de 10.000 titulares por mês"),"SIM - Alta criticidade",IF((IF(I784="SIM",2,0)+IF(K784="SIM",2,0)+IF(AF784="SIM",2,0)+IF(OR(AN784="Dados pessoais",AN784="Dados sensíveis",AN784="Dados pessoais e sensíveis"),2,0)+IF(O784="De 1.001 a 10.000 titulares por mês",1,0)+IF(AA784="SIM",1,0)+IF(R784="SIM",1,0)+IF(AL784="SIM",1,0)+IF(AJ784="NÃO",1,0))&gt;=5,"SIM - Alta criticidade",IF((IF(I784="SIM",2,0)+IF(K784="SIM",2,0)+IF(AF784="SIM",2,0)+IF(OR(AN784="Dados pessoais",AN784="Dados sensíveis",AN784="Dados pessoais e sensíveis"),2,0)+IF(O784="De 1.001 a 10.000 titulares por mês",1,0)+IF(AA784="SIM",1,0)+IF(R784="SIM",1,0)+IF(AL784="SIM",1,0)+IF(AJ784="NÃO",1,0))&gt;=3,"Avaliação necessária","NÃO"))))</f>
      </c>
      <c r="AR784" s="11"/>
      <c r="AS784" s="113">
        <f>IF(AND(I784="",K784="",AF784="",AL784="",AN784="",O784=""),"",IF(OR(I784="SIM",K784="SIM",AF784="SIM",AL784="SIM",OR(AN784="Dados pessoais",AN784="Dados sensíveis",AN784="Dados pessoais e sensíveis"),O784="Acima de 10.000 titulares por mês",(IF(I784="SIM",2,0)+IF(K784="SIM",2,0)+IF(AF784="SIM",2,0)+IF(OR(AN784="Dados pessoais",AN784="Dados sensíveis",AN784="Dados pessoais e sensíveis"),2,0)+IF(O784="De 1.001 a 10.000 titulares por mês",1,0)+IF(AA784="SIM",1,0)+IF(R784="SIM",1,0)+IF(AL784="SIM",1,0)+IF(AJ784="NÃO",1,0))&gt;=3),"DPIA indicado ou em avaliação em razão de: " &amp; TRIM(IF(I784="SIM","tratamento de dados sensíveis; ","") &amp; IF(K784="SIM","utilização de dados de menores; ","") &amp; IF(AF784="SIM","transferência internacional de dados; ","") &amp; IF(AL784="SIM","utilização de inteligência artificial; ","") &amp; IF(OR(AN784="Dados pessoais",AN784="Dados sensíveis",AN784="Dados pessoais e sensíveis"),"dados inseridos em IA; ","") &amp; IF(O784="Acima de 10.000 titulares por mês","volume crítico de titulares; ","") &amp; IF(O784="De 1.001 a 10.000 titulares por mês","volume moderado de titulares; ","") &amp; IF(AA784="SIM","compartilhamento com terceiros; ","") &amp; IF(R784="SIM","compartilhamento com órgãos governamentais; ","") &amp; IF(AJ784="NÃO","ausência de controle de acesso por perfil; ","")),"DPIA não indicado: Processo de baixa criticidade."))</f>
      </c>
    </row>
    <row x14ac:dyDescent="0.25" r="785" customHeight="1" ht="15.75">
      <c r="A785" s="46"/>
      <c r="B785" s="6"/>
      <c r="C785" s="11"/>
      <c r="D785" s="11"/>
      <c r="E785" s="11"/>
      <c r="F785" s="29"/>
      <c r="G785" s="11"/>
      <c r="H785" s="11"/>
      <c r="I785" s="29"/>
      <c r="J785" s="11"/>
      <c r="K785" s="29"/>
      <c r="L785" s="11"/>
      <c r="M785" s="11"/>
      <c r="N785" s="11"/>
      <c r="O785" s="29"/>
      <c r="P785" s="29"/>
      <c r="Q785" s="11"/>
      <c r="R785" s="29"/>
      <c r="S785" s="11"/>
      <c r="T785" s="6"/>
      <c r="U785" s="29"/>
      <c r="V785" s="11"/>
      <c r="W785" s="11"/>
      <c r="X785" s="29"/>
      <c r="Y785" s="11"/>
      <c r="Z785" s="29"/>
      <c r="AA785" s="29"/>
      <c r="AB785" s="11"/>
      <c r="AC785" s="11"/>
      <c r="AD785" s="29"/>
      <c r="AE785" s="11"/>
      <c r="AF785" s="29"/>
      <c r="AG785" s="11"/>
      <c r="AH785" s="29"/>
      <c r="AI785" s="11"/>
      <c r="AJ785" s="29"/>
      <c r="AK785" s="29"/>
      <c r="AL785" s="29"/>
      <c r="AM785" s="11"/>
      <c r="AN785" s="29"/>
      <c r="AO785" s="29"/>
      <c r="AP785" s="6"/>
      <c r="AQ785" s="113">
        <f>IF(AND(I785="",K785="",AF785="",AL785="",AN785="",O785=""),"",IF(OR(I785="SIM",K785="SIM",AF785="SIM",AL785="SIM",AN785="Dados pessoais",AN785="Dados sensíveis",AN785="Dados pessoais e sensíveis",O785="Acima de 10.000 titulares por mês"),"SIM - Alta criticidade",IF((IF(I785="SIM",2,0)+IF(K785="SIM",2,0)+IF(AF785="SIM",2,0)+IF(OR(AN785="Dados pessoais",AN785="Dados sensíveis",AN785="Dados pessoais e sensíveis"),2,0)+IF(O785="De 1.001 a 10.000 titulares por mês",1,0)+IF(AA785="SIM",1,0)+IF(R785="SIM",1,0)+IF(AL785="SIM",1,0)+IF(AJ785="NÃO",1,0))&gt;=5,"SIM - Alta criticidade",IF((IF(I785="SIM",2,0)+IF(K785="SIM",2,0)+IF(AF785="SIM",2,0)+IF(OR(AN785="Dados pessoais",AN785="Dados sensíveis",AN785="Dados pessoais e sensíveis"),2,0)+IF(O785="De 1.001 a 10.000 titulares por mês",1,0)+IF(AA785="SIM",1,0)+IF(R785="SIM",1,0)+IF(AL785="SIM",1,0)+IF(AJ785="NÃO",1,0))&gt;=3,"Avaliação necessária","NÃO"))))</f>
      </c>
      <c r="AR785" s="11"/>
      <c r="AS785" s="113">
        <f>IF(AND(I785="",K785="",AF785="",AL785="",AN785="",O785=""),"",IF(OR(I785="SIM",K785="SIM",AF785="SIM",AL785="SIM",OR(AN785="Dados pessoais",AN785="Dados sensíveis",AN785="Dados pessoais e sensíveis"),O785="Acima de 10.000 titulares por mês",(IF(I785="SIM",2,0)+IF(K785="SIM",2,0)+IF(AF785="SIM",2,0)+IF(OR(AN785="Dados pessoais",AN785="Dados sensíveis",AN785="Dados pessoais e sensíveis"),2,0)+IF(O785="De 1.001 a 10.000 titulares por mês",1,0)+IF(AA785="SIM",1,0)+IF(R785="SIM",1,0)+IF(AL785="SIM",1,0)+IF(AJ785="NÃO",1,0))&gt;=3),"DPIA indicado ou em avaliação em razão de: " &amp; TRIM(IF(I785="SIM","tratamento de dados sensíveis; ","") &amp; IF(K785="SIM","utilização de dados de menores; ","") &amp; IF(AF785="SIM","transferência internacional de dados; ","") &amp; IF(AL785="SIM","utilização de inteligência artificial; ","") &amp; IF(OR(AN785="Dados pessoais",AN785="Dados sensíveis",AN785="Dados pessoais e sensíveis"),"dados inseridos em IA; ","") &amp; IF(O785="Acima de 10.000 titulares por mês","volume crítico de titulares; ","") &amp; IF(O785="De 1.001 a 10.000 titulares por mês","volume moderado de titulares; ","") &amp; IF(AA785="SIM","compartilhamento com terceiros; ","") &amp; IF(R785="SIM","compartilhamento com órgãos governamentais; ","") &amp; IF(AJ785="NÃO","ausência de controle de acesso por perfil; ","")),"DPIA não indicado: Processo de baixa criticidade."))</f>
      </c>
    </row>
    <row x14ac:dyDescent="0.25" r="786" customHeight="1" ht="15.75">
      <c r="A786" s="46"/>
      <c r="B786" s="6"/>
      <c r="C786" s="11"/>
      <c r="D786" s="11"/>
      <c r="E786" s="11"/>
      <c r="F786" s="29"/>
      <c r="G786" s="11"/>
      <c r="H786" s="11"/>
      <c r="I786" s="29"/>
      <c r="J786" s="11"/>
      <c r="K786" s="29"/>
      <c r="L786" s="11"/>
      <c r="M786" s="11"/>
      <c r="N786" s="11"/>
      <c r="O786" s="29"/>
      <c r="P786" s="29"/>
      <c r="Q786" s="11"/>
      <c r="R786" s="29"/>
      <c r="S786" s="11"/>
      <c r="T786" s="6"/>
      <c r="U786" s="29"/>
      <c r="V786" s="11"/>
      <c r="W786" s="11"/>
      <c r="X786" s="29"/>
      <c r="Y786" s="11"/>
      <c r="Z786" s="29"/>
      <c r="AA786" s="29"/>
      <c r="AB786" s="11"/>
      <c r="AC786" s="11"/>
      <c r="AD786" s="29"/>
      <c r="AE786" s="11"/>
      <c r="AF786" s="29"/>
      <c r="AG786" s="11"/>
      <c r="AH786" s="29"/>
      <c r="AI786" s="11"/>
      <c r="AJ786" s="29"/>
      <c r="AK786" s="29"/>
      <c r="AL786" s="29"/>
      <c r="AM786" s="11"/>
      <c r="AN786" s="29"/>
      <c r="AO786" s="29"/>
      <c r="AP786" s="6"/>
      <c r="AQ786" s="113">
        <f>IF(AND(I786="",K786="",AF786="",AL786="",AN786="",O786=""),"",IF(OR(I786="SIM",K786="SIM",AF786="SIM",AL786="SIM",AN786="Dados pessoais",AN786="Dados sensíveis",AN786="Dados pessoais e sensíveis",O786="Acima de 10.000 titulares por mês"),"SIM - Alta criticidade",IF((IF(I786="SIM",2,0)+IF(K786="SIM",2,0)+IF(AF786="SIM",2,0)+IF(OR(AN786="Dados pessoais",AN786="Dados sensíveis",AN786="Dados pessoais e sensíveis"),2,0)+IF(O786="De 1.001 a 10.000 titulares por mês",1,0)+IF(AA786="SIM",1,0)+IF(R786="SIM",1,0)+IF(AL786="SIM",1,0)+IF(AJ786="NÃO",1,0))&gt;=5,"SIM - Alta criticidade",IF((IF(I786="SIM",2,0)+IF(K786="SIM",2,0)+IF(AF786="SIM",2,0)+IF(OR(AN786="Dados pessoais",AN786="Dados sensíveis",AN786="Dados pessoais e sensíveis"),2,0)+IF(O786="De 1.001 a 10.000 titulares por mês",1,0)+IF(AA786="SIM",1,0)+IF(R786="SIM",1,0)+IF(AL786="SIM",1,0)+IF(AJ786="NÃO",1,0))&gt;=3,"Avaliação necessária","NÃO"))))</f>
      </c>
      <c r="AR786" s="11"/>
      <c r="AS786" s="113">
        <f>IF(AND(I786="",K786="",AF786="",AL786="",AN786="",O786=""),"",IF(OR(I786="SIM",K786="SIM",AF786="SIM",AL786="SIM",OR(AN786="Dados pessoais",AN786="Dados sensíveis",AN786="Dados pessoais e sensíveis"),O786="Acima de 10.000 titulares por mês",(IF(I786="SIM",2,0)+IF(K786="SIM",2,0)+IF(AF786="SIM",2,0)+IF(OR(AN786="Dados pessoais",AN786="Dados sensíveis",AN786="Dados pessoais e sensíveis"),2,0)+IF(O786="De 1.001 a 10.000 titulares por mês",1,0)+IF(AA786="SIM",1,0)+IF(R786="SIM",1,0)+IF(AL786="SIM",1,0)+IF(AJ786="NÃO",1,0))&gt;=3),"DPIA indicado ou em avaliação em razão de: " &amp; TRIM(IF(I786="SIM","tratamento de dados sensíveis; ","") &amp; IF(K786="SIM","utilização de dados de menores; ","") &amp; IF(AF786="SIM","transferência internacional de dados; ","") &amp; IF(AL786="SIM","utilização de inteligência artificial; ","") &amp; IF(OR(AN786="Dados pessoais",AN786="Dados sensíveis",AN786="Dados pessoais e sensíveis"),"dados inseridos em IA; ","") &amp; IF(O786="Acima de 10.000 titulares por mês","volume crítico de titulares; ","") &amp; IF(O786="De 1.001 a 10.000 titulares por mês","volume moderado de titulares; ","") &amp; IF(AA786="SIM","compartilhamento com terceiros; ","") &amp; IF(R786="SIM","compartilhamento com órgãos governamentais; ","") &amp; IF(AJ786="NÃO","ausência de controle de acesso por perfil; ","")),"DPIA não indicado: Processo de baixa criticidade."))</f>
      </c>
    </row>
    <row x14ac:dyDescent="0.25" r="787" customHeight="1" ht="15.75">
      <c r="A787" s="46"/>
      <c r="B787" s="6"/>
      <c r="C787" s="11"/>
      <c r="D787" s="11"/>
      <c r="E787" s="11"/>
      <c r="F787" s="29"/>
      <c r="G787" s="11"/>
      <c r="H787" s="11"/>
      <c r="I787" s="29"/>
      <c r="J787" s="11"/>
      <c r="K787" s="29"/>
      <c r="L787" s="11"/>
      <c r="M787" s="11"/>
      <c r="N787" s="11"/>
      <c r="O787" s="29"/>
      <c r="P787" s="29"/>
      <c r="Q787" s="11"/>
      <c r="R787" s="29"/>
      <c r="S787" s="11"/>
      <c r="T787" s="6"/>
      <c r="U787" s="29"/>
      <c r="V787" s="11"/>
      <c r="W787" s="11"/>
      <c r="X787" s="29"/>
      <c r="Y787" s="11"/>
      <c r="Z787" s="29"/>
      <c r="AA787" s="29"/>
      <c r="AB787" s="11"/>
      <c r="AC787" s="11"/>
      <c r="AD787" s="29"/>
      <c r="AE787" s="11"/>
      <c r="AF787" s="29"/>
      <c r="AG787" s="11"/>
      <c r="AH787" s="29"/>
      <c r="AI787" s="11"/>
      <c r="AJ787" s="29"/>
      <c r="AK787" s="29"/>
      <c r="AL787" s="29"/>
      <c r="AM787" s="11"/>
      <c r="AN787" s="29"/>
      <c r="AO787" s="29"/>
      <c r="AP787" s="6"/>
      <c r="AQ787" s="113">
        <f>IF(AND(I787="",K787="",AF787="",AL787="",AN787="",O787=""),"",IF(OR(I787="SIM",K787="SIM",AF787="SIM",AL787="SIM",AN787="Dados pessoais",AN787="Dados sensíveis",AN787="Dados pessoais e sensíveis",O787="Acima de 10.000 titulares por mês"),"SIM - Alta criticidade",IF((IF(I787="SIM",2,0)+IF(K787="SIM",2,0)+IF(AF787="SIM",2,0)+IF(OR(AN787="Dados pessoais",AN787="Dados sensíveis",AN787="Dados pessoais e sensíveis"),2,0)+IF(O787="De 1.001 a 10.000 titulares por mês",1,0)+IF(AA787="SIM",1,0)+IF(R787="SIM",1,0)+IF(AL787="SIM",1,0)+IF(AJ787="NÃO",1,0))&gt;=5,"SIM - Alta criticidade",IF((IF(I787="SIM",2,0)+IF(K787="SIM",2,0)+IF(AF787="SIM",2,0)+IF(OR(AN787="Dados pessoais",AN787="Dados sensíveis",AN787="Dados pessoais e sensíveis"),2,0)+IF(O787="De 1.001 a 10.000 titulares por mês",1,0)+IF(AA787="SIM",1,0)+IF(R787="SIM",1,0)+IF(AL787="SIM",1,0)+IF(AJ787="NÃO",1,0))&gt;=3,"Avaliação necessária","NÃO"))))</f>
      </c>
      <c r="AR787" s="11"/>
      <c r="AS787" s="113">
        <f>IF(AND(I787="",K787="",AF787="",AL787="",AN787="",O787=""),"",IF(OR(I787="SIM",K787="SIM",AF787="SIM",AL787="SIM",OR(AN787="Dados pessoais",AN787="Dados sensíveis",AN787="Dados pessoais e sensíveis"),O787="Acima de 10.000 titulares por mês",(IF(I787="SIM",2,0)+IF(K787="SIM",2,0)+IF(AF787="SIM",2,0)+IF(OR(AN787="Dados pessoais",AN787="Dados sensíveis",AN787="Dados pessoais e sensíveis"),2,0)+IF(O787="De 1.001 a 10.000 titulares por mês",1,0)+IF(AA787="SIM",1,0)+IF(R787="SIM",1,0)+IF(AL787="SIM",1,0)+IF(AJ787="NÃO",1,0))&gt;=3),"DPIA indicado ou em avaliação em razão de: " &amp; TRIM(IF(I787="SIM","tratamento de dados sensíveis; ","") &amp; IF(K787="SIM","utilização de dados de menores; ","") &amp; IF(AF787="SIM","transferência internacional de dados; ","") &amp; IF(AL787="SIM","utilização de inteligência artificial; ","") &amp; IF(OR(AN787="Dados pessoais",AN787="Dados sensíveis",AN787="Dados pessoais e sensíveis"),"dados inseridos em IA; ","") &amp; IF(O787="Acima de 10.000 titulares por mês","volume crítico de titulares; ","") &amp; IF(O787="De 1.001 a 10.000 titulares por mês","volume moderado de titulares; ","") &amp; IF(AA787="SIM","compartilhamento com terceiros; ","") &amp; IF(R787="SIM","compartilhamento com órgãos governamentais; ","") &amp; IF(AJ787="NÃO","ausência de controle de acesso por perfil; ","")),"DPIA não indicado: Processo de baixa criticidade."))</f>
      </c>
    </row>
    <row x14ac:dyDescent="0.25" r="788" customHeight="1" ht="15.75">
      <c r="A788" s="46"/>
      <c r="B788" s="6"/>
      <c r="C788" s="11"/>
      <c r="D788" s="11"/>
      <c r="E788" s="11"/>
      <c r="F788" s="29"/>
      <c r="G788" s="11"/>
      <c r="H788" s="11"/>
      <c r="I788" s="29"/>
      <c r="J788" s="11"/>
      <c r="K788" s="29"/>
      <c r="L788" s="11"/>
      <c r="M788" s="11"/>
      <c r="N788" s="11"/>
      <c r="O788" s="29"/>
      <c r="P788" s="29"/>
      <c r="Q788" s="11"/>
      <c r="R788" s="29"/>
      <c r="S788" s="11"/>
      <c r="T788" s="6"/>
      <c r="U788" s="29"/>
      <c r="V788" s="11"/>
      <c r="W788" s="11"/>
      <c r="X788" s="29"/>
      <c r="Y788" s="11"/>
      <c r="Z788" s="29"/>
      <c r="AA788" s="29"/>
      <c r="AB788" s="11"/>
      <c r="AC788" s="11"/>
      <c r="AD788" s="29"/>
      <c r="AE788" s="11"/>
      <c r="AF788" s="29"/>
      <c r="AG788" s="11"/>
      <c r="AH788" s="29"/>
      <c r="AI788" s="11"/>
      <c r="AJ788" s="29"/>
      <c r="AK788" s="29"/>
      <c r="AL788" s="29"/>
      <c r="AM788" s="11"/>
      <c r="AN788" s="29"/>
      <c r="AO788" s="29"/>
      <c r="AP788" s="6"/>
      <c r="AQ788" s="113">
        <f>IF(AND(I788="",K788="",AF788="",AL788="",AN788="",O788=""),"",IF(OR(I788="SIM",K788="SIM",AF788="SIM",AL788="SIM",AN788="Dados pessoais",AN788="Dados sensíveis",AN788="Dados pessoais e sensíveis",O788="Acima de 10.000 titulares por mês"),"SIM - Alta criticidade",IF((IF(I788="SIM",2,0)+IF(K788="SIM",2,0)+IF(AF788="SIM",2,0)+IF(OR(AN788="Dados pessoais",AN788="Dados sensíveis",AN788="Dados pessoais e sensíveis"),2,0)+IF(O788="De 1.001 a 10.000 titulares por mês",1,0)+IF(AA788="SIM",1,0)+IF(R788="SIM",1,0)+IF(AL788="SIM",1,0)+IF(AJ788="NÃO",1,0))&gt;=5,"SIM - Alta criticidade",IF((IF(I788="SIM",2,0)+IF(K788="SIM",2,0)+IF(AF788="SIM",2,0)+IF(OR(AN788="Dados pessoais",AN788="Dados sensíveis",AN788="Dados pessoais e sensíveis"),2,0)+IF(O788="De 1.001 a 10.000 titulares por mês",1,0)+IF(AA788="SIM",1,0)+IF(R788="SIM",1,0)+IF(AL788="SIM",1,0)+IF(AJ788="NÃO",1,0))&gt;=3,"Avaliação necessária","NÃO"))))</f>
      </c>
      <c r="AR788" s="11"/>
      <c r="AS788" s="113">
        <f>IF(AND(I788="",K788="",AF788="",AL788="",AN788="",O788=""),"",IF(OR(I788="SIM",K788="SIM",AF788="SIM",AL788="SIM",OR(AN788="Dados pessoais",AN788="Dados sensíveis",AN788="Dados pessoais e sensíveis"),O788="Acima de 10.000 titulares por mês",(IF(I788="SIM",2,0)+IF(K788="SIM",2,0)+IF(AF788="SIM",2,0)+IF(OR(AN788="Dados pessoais",AN788="Dados sensíveis",AN788="Dados pessoais e sensíveis"),2,0)+IF(O788="De 1.001 a 10.000 titulares por mês",1,0)+IF(AA788="SIM",1,0)+IF(R788="SIM",1,0)+IF(AL788="SIM",1,0)+IF(AJ788="NÃO",1,0))&gt;=3),"DPIA indicado ou em avaliação em razão de: " &amp; TRIM(IF(I788="SIM","tratamento de dados sensíveis; ","") &amp; IF(K788="SIM","utilização de dados de menores; ","") &amp; IF(AF788="SIM","transferência internacional de dados; ","") &amp; IF(AL788="SIM","utilização de inteligência artificial; ","") &amp; IF(OR(AN788="Dados pessoais",AN788="Dados sensíveis",AN788="Dados pessoais e sensíveis"),"dados inseridos em IA; ","") &amp; IF(O788="Acima de 10.000 titulares por mês","volume crítico de titulares; ","") &amp; IF(O788="De 1.001 a 10.000 titulares por mês","volume moderado de titulares; ","") &amp; IF(AA788="SIM","compartilhamento com terceiros; ","") &amp; IF(R788="SIM","compartilhamento com órgãos governamentais; ","") &amp; IF(AJ788="NÃO","ausência de controle de acesso por perfil; ","")),"DPIA não indicado: Processo de baixa criticidade."))</f>
      </c>
    </row>
    <row x14ac:dyDescent="0.25" r="789" customHeight="1" ht="15.75">
      <c r="A789" s="46"/>
      <c r="B789" s="6"/>
      <c r="C789" s="11"/>
      <c r="D789" s="11"/>
      <c r="E789" s="11"/>
      <c r="F789" s="29"/>
      <c r="G789" s="11"/>
      <c r="H789" s="11"/>
      <c r="I789" s="29"/>
      <c r="J789" s="11"/>
      <c r="K789" s="29"/>
      <c r="L789" s="11"/>
      <c r="M789" s="11"/>
      <c r="N789" s="11"/>
      <c r="O789" s="29"/>
      <c r="P789" s="29"/>
      <c r="Q789" s="11"/>
      <c r="R789" s="29"/>
      <c r="S789" s="11"/>
      <c r="T789" s="6"/>
      <c r="U789" s="29"/>
      <c r="V789" s="11"/>
      <c r="W789" s="11"/>
      <c r="X789" s="29"/>
      <c r="Y789" s="11"/>
      <c r="Z789" s="29"/>
      <c r="AA789" s="29"/>
      <c r="AB789" s="11"/>
      <c r="AC789" s="11"/>
      <c r="AD789" s="29"/>
      <c r="AE789" s="11"/>
      <c r="AF789" s="29"/>
      <c r="AG789" s="11"/>
      <c r="AH789" s="29"/>
      <c r="AI789" s="11"/>
      <c r="AJ789" s="29"/>
      <c r="AK789" s="29"/>
      <c r="AL789" s="29"/>
      <c r="AM789" s="11"/>
      <c r="AN789" s="29"/>
      <c r="AO789" s="29"/>
      <c r="AP789" s="6"/>
      <c r="AQ789" s="113">
        <f>IF(AND(I789="",K789="",AF789="",AL789="",AN789="",O789=""),"",IF(OR(I789="SIM",K789="SIM",AF789="SIM",AL789="SIM",AN789="Dados pessoais",AN789="Dados sensíveis",AN789="Dados pessoais e sensíveis",O789="Acima de 10.000 titulares por mês"),"SIM - Alta criticidade",IF((IF(I789="SIM",2,0)+IF(K789="SIM",2,0)+IF(AF789="SIM",2,0)+IF(OR(AN789="Dados pessoais",AN789="Dados sensíveis",AN789="Dados pessoais e sensíveis"),2,0)+IF(O789="De 1.001 a 10.000 titulares por mês",1,0)+IF(AA789="SIM",1,0)+IF(R789="SIM",1,0)+IF(AL789="SIM",1,0)+IF(AJ789="NÃO",1,0))&gt;=5,"SIM - Alta criticidade",IF((IF(I789="SIM",2,0)+IF(K789="SIM",2,0)+IF(AF789="SIM",2,0)+IF(OR(AN789="Dados pessoais",AN789="Dados sensíveis",AN789="Dados pessoais e sensíveis"),2,0)+IF(O789="De 1.001 a 10.000 titulares por mês",1,0)+IF(AA789="SIM",1,0)+IF(R789="SIM",1,0)+IF(AL789="SIM",1,0)+IF(AJ789="NÃO",1,0))&gt;=3,"Avaliação necessária","NÃO"))))</f>
      </c>
      <c r="AR789" s="11"/>
      <c r="AS789" s="113">
        <f>IF(AND(I789="",K789="",AF789="",AL789="",AN789="",O789=""),"",IF(OR(I789="SIM",K789="SIM",AF789="SIM",AL789="SIM",OR(AN789="Dados pessoais",AN789="Dados sensíveis",AN789="Dados pessoais e sensíveis"),O789="Acima de 10.000 titulares por mês",(IF(I789="SIM",2,0)+IF(K789="SIM",2,0)+IF(AF789="SIM",2,0)+IF(OR(AN789="Dados pessoais",AN789="Dados sensíveis",AN789="Dados pessoais e sensíveis"),2,0)+IF(O789="De 1.001 a 10.000 titulares por mês",1,0)+IF(AA789="SIM",1,0)+IF(R789="SIM",1,0)+IF(AL789="SIM",1,0)+IF(AJ789="NÃO",1,0))&gt;=3),"DPIA indicado ou em avaliação em razão de: " &amp; TRIM(IF(I789="SIM","tratamento de dados sensíveis; ","") &amp; IF(K789="SIM","utilização de dados de menores; ","") &amp; IF(AF789="SIM","transferência internacional de dados; ","") &amp; IF(AL789="SIM","utilização de inteligência artificial; ","") &amp; IF(OR(AN789="Dados pessoais",AN789="Dados sensíveis",AN789="Dados pessoais e sensíveis"),"dados inseridos em IA; ","") &amp; IF(O789="Acima de 10.000 titulares por mês","volume crítico de titulares; ","") &amp; IF(O789="De 1.001 a 10.000 titulares por mês","volume moderado de titulares; ","") &amp; IF(AA789="SIM","compartilhamento com terceiros; ","") &amp; IF(R789="SIM","compartilhamento com órgãos governamentais; ","") &amp; IF(AJ789="NÃO","ausência de controle de acesso por perfil; ","")),"DPIA não indicado: Processo de baixa criticidade."))</f>
      </c>
    </row>
    <row x14ac:dyDescent="0.25" r="790" customHeight="1" ht="15.75">
      <c r="A790" s="46"/>
      <c r="B790" s="6"/>
      <c r="C790" s="11"/>
      <c r="D790" s="11"/>
      <c r="E790" s="11"/>
      <c r="F790" s="29"/>
      <c r="G790" s="11"/>
      <c r="H790" s="11"/>
      <c r="I790" s="29"/>
      <c r="J790" s="11"/>
      <c r="K790" s="29"/>
      <c r="L790" s="11"/>
      <c r="M790" s="11"/>
      <c r="N790" s="11"/>
      <c r="O790" s="29"/>
      <c r="P790" s="29"/>
      <c r="Q790" s="11"/>
      <c r="R790" s="29"/>
      <c r="S790" s="11"/>
      <c r="T790" s="6"/>
      <c r="U790" s="29"/>
      <c r="V790" s="11"/>
      <c r="W790" s="11"/>
      <c r="X790" s="29"/>
      <c r="Y790" s="11"/>
      <c r="Z790" s="29"/>
      <c r="AA790" s="29"/>
      <c r="AB790" s="11"/>
      <c r="AC790" s="11"/>
      <c r="AD790" s="29"/>
      <c r="AE790" s="11"/>
      <c r="AF790" s="29"/>
      <c r="AG790" s="11"/>
      <c r="AH790" s="29"/>
      <c r="AI790" s="11"/>
      <c r="AJ790" s="29"/>
      <c r="AK790" s="29"/>
      <c r="AL790" s="29"/>
      <c r="AM790" s="11"/>
      <c r="AN790" s="29"/>
      <c r="AO790" s="29"/>
      <c r="AP790" s="6"/>
      <c r="AQ790" s="113">
        <f>IF(AND(I790="",K790="",AF790="",AL790="",AN790="",O790=""),"",IF(OR(I790="SIM",K790="SIM",AF790="SIM",AL790="SIM",AN790="Dados pessoais",AN790="Dados sensíveis",AN790="Dados pessoais e sensíveis",O790="Acima de 10.000 titulares por mês"),"SIM - Alta criticidade",IF((IF(I790="SIM",2,0)+IF(K790="SIM",2,0)+IF(AF790="SIM",2,0)+IF(OR(AN790="Dados pessoais",AN790="Dados sensíveis",AN790="Dados pessoais e sensíveis"),2,0)+IF(O790="De 1.001 a 10.000 titulares por mês",1,0)+IF(AA790="SIM",1,0)+IF(R790="SIM",1,0)+IF(AL790="SIM",1,0)+IF(AJ790="NÃO",1,0))&gt;=5,"SIM - Alta criticidade",IF((IF(I790="SIM",2,0)+IF(K790="SIM",2,0)+IF(AF790="SIM",2,0)+IF(OR(AN790="Dados pessoais",AN790="Dados sensíveis",AN790="Dados pessoais e sensíveis"),2,0)+IF(O790="De 1.001 a 10.000 titulares por mês",1,0)+IF(AA790="SIM",1,0)+IF(R790="SIM",1,0)+IF(AL790="SIM",1,0)+IF(AJ790="NÃO",1,0))&gt;=3,"Avaliação necessária","NÃO"))))</f>
      </c>
      <c r="AR790" s="11"/>
      <c r="AS790" s="113">
        <f>IF(AND(I790="",K790="",AF790="",AL790="",AN790="",O790=""),"",IF(OR(I790="SIM",K790="SIM",AF790="SIM",AL790="SIM",OR(AN790="Dados pessoais",AN790="Dados sensíveis",AN790="Dados pessoais e sensíveis"),O790="Acima de 10.000 titulares por mês",(IF(I790="SIM",2,0)+IF(K790="SIM",2,0)+IF(AF790="SIM",2,0)+IF(OR(AN790="Dados pessoais",AN790="Dados sensíveis",AN790="Dados pessoais e sensíveis"),2,0)+IF(O790="De 1.001 a 10.000 titulares por mês",1,0)+IF(AA790="SIM",1,0)+IF(R790="SIM",1,0)+IF(AL790="SIM",1,0)+IF(AJ790="NÃO",1,0))&gt;=3),"DPIA indicado ou em avaliação em razão de: " &amp; TRIM(IF(I790="SIM","tratamento de dados sensíveis; ","") &amp; IF(K790="SIM","utilização de dados de menores; ","") &amp; IF(AF790="SIM","transferência internacional de dados; ","") &amp; IF(AL790="SIM","utilização de inteligência artificial; ","") &amp; IF(OR(AN790="Dados pessoais",AN790="Dados sensíveis",AN790="Dados pessoais e sensíveis"),"dados inseridos em IA; ","") &amp; IF(O790="Acima de 10.000 titulares por mês","volume crítico de titulares; ","") &amp; IF(O790="De 1.001 a 10.000 titulares por mês","volume moderado de titulares; ","") &amp; IF(AA790="SIM","compartilhamento com terceiros; ","") &amp; IF(R790="SIM","compartilhamento com órgãos governamentais; ","") &amp; IF(AJ790="NÃO","ausência de controle de acesso por perfil; ","")),"DPIA não indicado: Processo de baixa criticidade."))</f>
      </c>
    </row>
    <row x14ac:dyDescent="0.25" r="791" customHeight="1" ht="15.75">
      <c r="A791" s="46"/>
      <c r="B791" s="6"/>
      <c r="C791" s="11"/>
      <c r="D791" s="11"/>
      <c r="E791" s="11"/>
      <c r="F791" s="29"/>
      <c r="G791" s="11"/>
      <c r="H791" s="11"/>
      <c r="I791" s="29"/>
      <c r="J791" s="11"/>
      <c r="K791" s="29"/>
      <c r="L791" s="11"/>
      <c r="M791" s="11"/>
      <c r="N791" s="11"/>
      <c r="O791" s="29"/>
      <c r="P791" s="29"/>
      <c r="Q791" s="11"/>
      <c r="R791" s="29"/>
      <c r="S791" s="11"/>
      <c r="T791" s="6"/>
      <c r="U791" s="29"/>
      <c r="V791" s="11"/>
      <c r="W791" s="11"/>
      <c r="X791" s="29"/>
      <c r="Y791" s="11"/>
      <c r="Z791" s="29"/>
      <c r="AA791" s="29"/>
      <c r="AB791" s="11"/>
      <c r="AC791" s="11"/>
      <c r="AD791" s="29"/>
      <c r="AE791" s="11"/>
      <c r="AF791" s="29"/>
      <c r="AG791" s="11"/>
      <c r="AH791" s="29"/>
      <c r="AI791" s="11"/>
      <c r="AJ791" s="29"/>
      <c r="AK791" s="29"/>
      <c r="AL791" s="29"/>
      <c r="AM791" s="11"/>
      <c r="AN791" s="29"/>
      <c r="AO791" s="29"/>
      <c r="AP791" s="6"/>
      <c r="AQ791" s="113">
        <f>IF(AND(I791="",K791="",AF791="",AL791="",AN791="",O791=""),"",IF(OR(I791="SIM",K791="SIM",AF791="SIM",AL791="SIM",AN791="Dados pessoais",AN791="Dados sensíveis",AN791="Dados pessoais e sensíveis",O791="Acima de 10.000 titulares por mês"),"SIM - Alta criticidade",IF((IF(I791="SIM",2,0)+IF(K791="SIM",2,0)+IF(AF791="SIM",2,0)+IF(OR(AN791="Dados pessoais",AN791="Dados sensíveis",AN791="Dados pessoais e sensíveis"),2,0)+IF(O791="De 1.001 a 10.000 titulares por mês",1,0)+IF(AA791="SIM",1,0)+IF(R791="SIM",1,0)+IF(AL791="SIM",1,0)+IF(AJ791="NÃO",1,0))&gt;=5,"SIM - Alta criticidade",IF((IF(I791="SIM",2,0)+IF(K791="SIM",2,0)+IF(AF791="SIM",2,0)+IF(OR(AN791="Dados pessoais",AN791="Dados sensíveis",AN791="Dados pessoais e sensíveis"),2,0)+IF(O791="De 1.001 a 10.000 titulares por mês",1,0)+IF(AA791="SIM",1,0)+IF(R791="SIM",1,0)+IF(AL791="SIM",1,0)+IF(AJ791="NÃO",1,0))&gt;=3,"Avaliação necessária","NÃO"))))</f>
      </c>
      <c r="AR791" s="11"/>
      <c r="AS791" s="113">
        <f>IF(AND(I791="",K791="",AF791="",AL791="",AN791="",O791=""),"",IF(OR(I791="SIM",K791="SIM",AF791="SIM",AL791="SIM",OR(AN791="Dados pessoais",AN791="Dados sensíveis",AN791="Dados pessoais e sensíveis"),O791="Acima de 10.000 titulares por mês",(IF(I791="SIM",2,0)+IF(K791="SIM",2,0)+IF(AF791="SIM",2,0)+IF(OR(AN791="Dados pessoais",AN791="Dados sensíveis",AN791="Dados pessoais e sensíveis"),2,0)+IF(O791="De 1.001 a 10.000 titulares por mês",1,0)+IF(AA791="SIM",1,0)+IF(R791="SIM",1,0)+IF(AL791="SIM",1,0)+IF(AJ791="NÃO",1,0))&gt;=3),"DPIA indicado ou em avaliação em razão de: " &amp; TRIM(IF(I791="SIM","tratamento de dados sensíveis; ","") &amp; IF(K791="SIM","utilização de dados de menores; ","") &amp; IF(AF791="SIM","transferência internacional de dados; ","") &amp; IF(AL791="SIM","utilização de inteligência artificial; ","") &amp; IF(OR(AN791="Dados pessoais",AN791="Dados sensíveis",AN791="Dados pessoais e sensíveis"),"dados inseridos em IA; ","") &amp; IF(O791="Acima de 10.000 titulares por mês","volume crítico de titulares; ","") &amp; IF(O791="De 1.001 a 10.000 titulares por mês","volume moderado de titulares; ","") &amp; IF(AA791="SIM","compartilhamento com terceiros; ","") &amp; IF(R791="SIM","compartilhamento com órgãos governamentais; ","") &amp; IF(AJ791="NÃO","ausência de controle de acesso por perfil; ","")),"DPIA não indicado: Processo de baixa criticidade."))</f>
      </c>
    </row>
    <row x14ac:dyDescent="0.25" r="792" customHeight="1" ht="15.75">
      <c r="A792" s="46"/>
      <c r="B792" s="6"/>
      <c r="C792" s="11"/>
      <c r="D792" s="11"/>
      <c r="E792" s="11"/>
      <c r="F792" s="29"/>
      <c r="G792" s="11"/>
      <c r="H792" s="11"/>
      <c r="I792" s="29"/>
      <c r="J792" s="11"/>
      <c r="K792" s="29"/>
      <c r="L792" s="11"/>
      <c r="M792" s="11"/>
      <c r="N792" s="11"/>
      <c r="O792" s="29"/>
      <c r="P792" s="29"/>
      <c r="Q792" s="11"/>
      <c r="R792" s="29"/>
      <c r="S792" s="11"/>
      <c r="T792" s="6"/>
      <c r="U792" s="29"/>
      <c r="V792" s="11"/>
      <c r="W792" s="11"/>
      <c r="X792" s="29"/>
      <c r="Y792" s="11"/>
      <c r="Z792" s="29"/>
      <c r="AA792" s="29"/>
      <c r="AB792" s="11"/>
      <c r="AC792" s="11"/>
      <c r="AD792" s="29"/>
      <c r="AE792" s="11"/>
      <c r="AF792" s="29"/>
      <c r="AG792" s="11"/>
      <c r="AH792" s="29"/>
      <c r="AI792" s="11"/>
      <c r="AJ792" s="29"/>
      <c r="AK792" s="29"/>
      <c r="AL792" s="29"/>
      <c r="AM792" s="11"/>
      <c r="AN792" s="29"/>
      <c r="AO792" s="29"/>
      <c r="AP792" s="6"/>
      <c r="AQ792" s="113">
        <f>IF(AND(I792="",K792="",AF792="",AL792="",AN792="",O792=""),"",IF(OR(I792="SIM",K792="SIM",AF792="SIM",AL792="SIM",AN792="Dados pessoais",AN792="Dados sensíveis",AN792="Dados pessoais e sensíveis",O792="Acima de 10.000 titulares por mês"),"SIM - Alta criticidade",IF((IF(I792="SIM",2,0)+IF(K792="SIM",2,0)+IF(AF792="SIM",2,0)+IF(OR(AN792="Dados pessoais",AN792="Dados sensíveis",AN792="Dados pessoais e sensíveis"),2,0)+IF(O792="De 1.001 a 10.000 titulares por mês",1,0)+IF(AA792="SIM",1,0)+IF(R792="SIM",1,0)+IF(AL792="SIM",1,0)+IF(AJ792="NÃO",1,0))&gt;=5,"SIM - Alta criticidade",IF((IF(I792="SIM",2,0)+IF(K792="SIM",2,0)+IF(AF792="SIM",2,0)+IF(OR(AN792="Dados pessoais",AN792="Dados sensíveis",AN792="Dados pessoais e sensíveis"),2,0)+IF(O792="De 1.001 a 10.000 titulares por mês",1,0)+IF(AA792="SIM",1,0)+IF(R792="SIM",1,0)+IF(AL792="SIM",1,0)+IF(AJ792="NÃO",1,0))&gt;=3,"Avaliação necessária","NÃO"))))</f>
      </c>
      <c r="AR792" s="11"/>
      <c r="AS792" s="113">
        <f>IF(AND(I792="",K792="",AF792="",AL792="",AN792="",O792=""),"",IF(OR(I792="SIM",K792="SIM",AF792="SIM",AL792="SIM",OR(AN792="Dados pessoais",AN792="Dados sensíveis",AN792="Dados pessoais e sensíveis"),O792="Acima de 10.000 titulares por mês",(IF(I792="SIM",2,0)+IF(K792="SIM",2,0)+IF(AF792="SIM",2,0)+IF(OR(AN792="Dados pessoais",AN792="Dados sensíveis",AN792="Dados pessoais e sensíveis"),2,0)+IF(O792="De 1.001 a 10.000 titulares por mês",1,0)+IF(AA792="SIM",1,0)+IF(R792="SIM",1,0)+IF(AL792="SIM",1,0)+IF(AJ792="NÃO",1,0))&gt;=3),"DPIA indicado ou em avaliação em razão de: " &amp; TRIM(IF(I792="SIM","tratamento de dados sensíveis; ","") &amp; IF(K792="SIM","utilização de dados de menores; ","") &amp; IF(AF792="SIM","transferência internacional de dados; ","") &amp; IF(AL792="SIM","utilização de inteligência artificial; ","") &amp; IF(OR(AN792="Dados pessoais",AN792="Dados sensíveis",AN792="Dados pessoais e sensíveis"),"dados inseridos em IA; ","") &amp; IF(O792="Acima de 10.000 titulares por mês","volume crítico de titulares; ","") &amp; IF(O792="De 1.001 a 10.000 titulares por mês","volume moderado de titulares; ","") &amp; IF(AA792="SIM","compartilhamento com terceiros; ","") &amp; IF(R792="SIM","compartilhamento com órgãos governamentais; ","") &amp; IF(AJ792="NÃO","ausência de controle de acesso por perfil; ","")),"DPIA não indicado: Processo de baixa criticidade."))</f>
      </c>
    </row>
    <row x14ac:dyDescent="0.25" r="793" customHeight="1" ht="15.75">
      <c r="A793" s="46"/>
      <c r="B793" s="6"/>
      <c r="C793" s="11"/>
      <c r="D793" s="11"/>
      <c r="E793" s="11"/>
      <c r="F793" s="29"/>
      <c r="G793" s="11"/>
      <c r="H793" s="11"/>
      <c r="I793" s="29"/>
      <c r="J793" s="11"/>
      <c r="K793" s="29"/>
      <c r="L793" s="11"/>
      <c r="M793" s="11"/>
      <c r="N793" s="11"/>
      <c r="O793" s="29"/>
      <c r="P793" s="29"/>
      <c r="Q793" s="11"/>
      <c r="R793" s="29"/>
      <c r="S793" s="11"/>
      <c r="T793" s="6"/>
      <c r="U793" s="29"/>
      <c r="V793" s="11"/>
      <c r="W793" s="11"/>
      <c r="X793" s="29"/>
      <c r="Y793" s="11"/>
      <c r="Z793" s="29"/>
      <c r="AA793" s="29"/>
      <c r="AB793" s="11"/>
      <c r="AC793" s="11"/>
      <c r="AD793" s="29"/>
      <c r="AE793" s="11"/>
      <c r="AF793" s="29"/>
      <c r="AG793" s="11"/>
      <c r="AH793" s="29"/>
      <c r="AI793" s="11"/>
      <c r="AJ793" s="29"/>
      <c r="AK793" s="29"/>
      <c r="AL793" s="29"/>
      <c r="AM793" s="11"/>
      <c r="AN793" s="29"/>
      <c r="AO793" s="29"/>
      <c r="AP793" s="6"/>
      <c r="AQ793" s="113">
        <f>IF(AND(I793="",K793="",AF793="",AL793="",AN793="",O793=""),"",IF(OR(I793="SIM",K793="SIM",AF793="SIM",AL793="SIM",AN793="Dados pessoais",AN793="Dados sensíveis",AN793="Dados pessoais e sensíveis",O793="Acima de 10.000 titulares por mês"),"SIM - Alta criticidade",IF((IF(I793="SIM",2,0)+IF(K793="SIM",2,0)+IF(AF793="SIM",2,0)+IF(OR(AN793="Dados pessoais",AN793="Dados sensíveis",AN793="Dados pessoais e sensíveis"),2,0)+IF(O793="De 1.001 a 10.000 titulares por mês",1,0)+IF(AA793="SIM",1,0)+IF(R793="SIM",1,0)+IF(AL793="SIM",1,0)+IF(AJ793="NÃO",1,0))&gt;=5,"SIM - Alta criticidade",IF((IF(I793="SIM",2,0)+IF(K793="SIM",2,0)+IF(AF793="SIM",2,0)+IF(OR(AN793="Dados pessoais",AN793="Dados sensíveis",AN793="Dados pessoais e sensíveis"),2,0)+IF(O793="De 1.001 a 10.000 titulares por mês",1,0)+IF(AA793="SIM",1,0)+IF(R793="SIM",1,0)+IF(AL793="SIM",1,0)+IF(AJ793="NÃO",1,0))&gt;=3,"Avaliação necessária","NÃO"))))</f>
      </c>
      <c r="AR793" s="11"/>
      <c r="AS793" s="113">
        <f>IF(AND(I793="",K793="",AF793="",AL793="",AN793="",O793=""),"",IF(OR(I793="SIM",K793="SIM",AF793="SIM",AL793="SIM",OR(AN793="Dados pessoais",AN793="Dados sensíveis",AN793="Dados pessoais e sensíveis"),O793="Acima de 10.000 titulares por mês",(IF(I793="SIM",2,0)+IF(K793="SIM",2,0)+IF(AF793="SIM",2,0)+IF(OR(AN793="Dados pessoais",AN793="Dados sensíveis",AN793="Dados pessoais e sensíveis"),2,0)+IF(O793="De 1.001 a 10.000 titulares por mês",1,0)+IF(AA793="SIM",1,0)+IF(R793="SIM",1,0)+IF(AL793="SIM",1,0)+IF(AJ793="NÃO",1,0))&gt;=3),"DPIA indicado ou em avaliação em razão de: " &amp; TRIM(IF(I793="SIM","tratamento de dados sensíveis; ","") &amp; IF(K793="SIM","utilização de dados de menores; ","") &amp; IF(AF793="SIM","transferência internacional de dados; ","") &amp; IF(AL793="SIM","utilização de inteligência artificial; ","") &amp; IF(OR(AN793="Dados pessoais",AN793="Dados sensíveis",AN793="Dados pessoais e sensíveis"),"dados inseridos em IA; ","") &amp; IF(O793="Acima de 10.000 titulares por mês","volume crítico de titulares; ","") &amp; IF(O793="De 1.001 a 10.000 titulares por mês","volume moderado de titulares; ","") &amp; IF(AA793="SIM","compartilhamento com terceiros; ","") &amp; IF(R793="SIM","compartilhamento com órgãos governamentais; ","") &amp; IF(AJ793="NÃO","ausência de controle de acesso por perfil; ","")),"DPIA não indicado: Processo de baixa criticidade."))</f>
      </c>
    </row>
    <row x14ac:dyDescent="0.25" r="794" customHeight="1" ht="15.75">
      <c r="A794" s="46"/>
      <c r="B794" s="6"/>
      <c r="C794" s="11"/>
      <c r="D794" s="11"/>
      <c r="E794" s="11"/>
      <c r="F794" s="29"/>
      <c r="G794" s="11"/>
      <c r="H794" s="11"/>
      <c r="I794" s="29"/>
      <c r="J794" s="11"/>
      <c r="K794" s="29"/>
      <c r="L794" s="11"/>
      <c r="M794" s="11"/>
      <c r="N794" s="11"/>
      <c r="O794" s="29"/>
      <c r="P794" s="29"/>
      <c r="Q794" s="11"/>
      <c r="R794" s="29"/>
      <c r="S794" s="11"/>
      <c r="T794" s="6"/>
      <c r="U794" s="29"/>
      <c r="V794" s="11"/>
      <c r="W794" s="11"/>
      <c r="X794" s="29"/>
      <c r="Y794" s="11"/>
      <c r="Z794" s="29"/>
      <c r="AA794" s="29"/>
      <c r="AB794" s="11"/>
      <c r="AC794" s="11"/>
      <c r="AD794" s="29"/>
      <c r="AE794" s="11"/>
      <c r="AF794" s="29"/>
      <c r="AG794" s="11"/>
      <c r="AH794" s="29"/>
      <c r="AI794" s="11"/>
      <c r="AJ794" s="29"/>
      <c r="AK794" s="29"/>
      <c r="AL794" s="29"/>
      <c r="AM794" s="11"/>
      <c r="AN794" s="29"/>
      <c r="AO794" s="29"/>
      <c r="AP794" s="6"/>
      <c r="AQ794" s="113">
        <f>IF(AND(I794="",K794="",AF794="",AL794="",AN794="",O794=""),"",IF(OR(I794="SIM",K794="SIM",AF794="SIM",AL794="SIM",AN794="Dados pessoais",AN794="Dados sensíveis",AN794="Dados pessoais e sensíveis",O794="Acima de 10.000 titulares por mês"),"SIM - Alta criticidade",IF((IF(I794="SIM",2,0)+IF(K794="SIM",2,0)+IF(AF794="SIM",2,0)+IF(OR(AN794="Dados pessoais",AN794="Dados sensíveis",AN794="Dados pessoais e sensíveis"),2,0)+IF(O794="De 1.001 a 10.000 titulares por mês",1,0)+IF(AA794="SIM",1,0)+IF(R794="SIM",1,0)+IF(AL794="SIM",1,0)+IF(AJ794="NÃO",1,0))&gt;=5,"SIM - Alta criticidade",IF((IF(I794="SIM",2,0)+IF(K794="SIM",2,0)+IF(AF794="SIM",2,0)+IF(OR(AN794="Dados pessoais",AN794="Dados sensíveis",AN794="Dados pessoais e sensíveis"),2,0)+IF(O794="De 1.001 a 10.000 titulares por mês",1,0)+IF(AA794="SIM",1,0)+IF(R794="SIM",1,0)+IF(AL794="SIM",1,0)+IF(AJ794="NÃO",1,0))&gt;=3,"Avaliação necessária","NÃO"))))</f>
      </c>
      <c r="AR794" s="11"/>
      <c r="AS794" s="113">
        <f>IF(AND(I794="",K794="",AF794="",AL794="",AN794="",O794=""),"",IF(OR(I794="SIM",K794="SIM",AF794="SIM",AL794="SIM",OR(AN794="Dados pessoais",AN794="Dados sensíveis",AN794="Dados pessoais e sensíveis"),O794="Acima de 10.000 titulares por mês",(IF(I794="SIM",2,0)+IF(K794="SIM",2,0)+IF(AF794="SIM",2,0)+IF(OR(AN794="Dados pessoais",AN794="Dados sensíveis",AN794="Dados pessoais e sensíveis"),2,0)+IF(O794="De 1.001 a 10.000 titulares por mês",1,0)+IF(AA794="SIM",1,0)+IF(R794="SIM",1,0)+IF(AL794="SIM",1,0)+IF(AJ794="NÃO",1,0))&gt;=3),"DPIA indicado ou em avaliação em razão de: " &amp; TRIM(IF(I794="SIM","tratamento de dados sensíveis; ","") &amp; IF(K794="SIM","utilização de dados de menores; ","") &amp; IF(AF794="SIM","transferência internacional de dados; ","") &amp; IF(AL794="SIM","utilização de inteligência artificial; ","") &amp; IF(OR(AN794="Dados pessoais",AN794="Dados sensíveis",AN794="Dados pessoais e sensíveis"),"dados inseridos em IA; ","") &amp; IF(O794="Acima de 10.000 titulares por mês","volume crítico de titulares; ","") &amp; IF(O794="De 1.001 a 10.000 titulares por mês","volume moderado de titulares; ","") &amp; IF(AA794="SIM","compartilhamento com terceiros; ","") &amp; IF(R794="SIM","compartilhamento com órgãos governamentais; ","") &amp; IF(AJ794="NÃO","ausência de controle de acesso por perfil; ","")),"DPIA não indicado: Processo de baixa criticidade."))</f>
      </c>
    </row>
    <row x14ac:dyDescent="0.25" r="795" customHeight="1" ht="15.75">
      <c r="A795" s="46"/>
      <c r="B795" s="6"/>
      <c r="C795" s="11"/>
      <c r="D795" s="11"/>
      <c r="E795" s="11"/>
      <c r="F795" s="29"/>
      <c r="G795" s="11"/>
      <c r="H795" s="11"/>
      <c r="I795" s="29"/>
      <c r="J795" s="11"/>
      <c r="K795" s="29"/>
      <c r="L795" s="11"/>
      <c r="M795" s="11"/>
      <c r="N795" s="11"/>
      <c r="O795" s="29"/>
      <c r="P795" s="29"/>
      <c r="Q795" s="11"/>
      <c r="R795" s="29"/>
      <c r="S795" s="11"/>
      <c r="T795" s="6"/>
      <c r="U795" s="29"/>
      <c r="V795" s="11"/>
      <c r="W795" s="11"/>
      <c r="X795" s="29"/>
      <c r="Y795" s="11"/>
      <c r="Z795" s="29"/>
      <c r="AA795" s="29"/>
      <c r="AB795" s="11"/>
      <c r="AC795" s="11"/>
      <c r="AD795" s="29"/>
      <c r="AE795" s="11"/>
      <c r="AF795" s="29"/>
      <c r="AG795" s="11"/>
      <c r="AH795" s="29"/>
      <c r="AI795" s="11"/>
      <c r="AJ795" s="29"/>
      <c r="AK795" s="29"/>
      <c r="AL795" s="29"/>
      <c r="AM795" s="11"/>
      <c r="AN795" s="29"/>
      <c r="AO795" s="29"/>
      <c r="AP795" s="6"/>
      <c r="AQ795" s="113">
        <f>IF(AND(I795="",K795="",AF795="",AL795="",AN795="",O795=""),"",IF(OR(I795="SIM",K795="SIM",AF795="SIM",AL795="SIM",AN795="Dados pessoais",AN795="Dados sensíveis",AN795="Dados pessoais e sensíveis",O795="Acima de 10.000 titulares por mês"),"SIM - Alta criticidade",IF((IF(I795="SIM",2,0)+IF(K795="SIM",2,0)+IF(AF795="SIM",2,0)+IF(OR(AN795="Dados pessoais",AN795="Dados sensíveis",AN795="Dados pessoais e sensíveis"),2,0)+IF(O795="De 1.001 a 10.000 titulares por mês",1,0)+IF(AA795="SIM",1,0)+IF(R795="SIM",1,0)+IF(AL795="SIM",1,0)+IF(AJ795="NÃO",1,0))&gt;=5,"SIM - Alta criticidade",IF((IF(I795="SIM",2,0)+IF(K795="SIM",2,0)+IF(AF795="SIM",2,0)+IF(OR(AN795="Dados pessoais",AN795="Dados sensíveis",AN795="Dados pessoais e sensíveis"),2,0)+IF(O795="De 1.001 a 10.000 titulares por mês",1,0)+IF(AA795="SIM",1,0)+IF(R795="SIM",1,0)+IF(AL795="SIM",1,0)+IF(AJ795="NÃO",1,0))&gt;=3,"Avaliação necessária","NÃO"))))</f>
      </c>
      <c r="AR795" s="11"/>
      <c r="AS795" s="113">
        <f>IF(AND(I795="",K795="",AF795="",AL795="",AN795="",O795=""),"",IF(OR(I795="SIM",K795="SIM",AF795="SIM",AL795="SIM",OR(AN795="Dados pessoais",AN795="Dados sensíveis",AN795="Dados pessoais e sensíveis"),O795="Acima de 10.000 titulares por mês",(IF(I795="SIM",2,0)+IF(K795="SIM",2,0)+IF(AF795="SIM",2,0)+IF(OR(AN795="Dados pessoais",AN795="Dados sensíveis",AN795="Dados pessoais e sensíveis"),2,0)+IF(O795="De 1.001 a 10.000 titulares por mês",1,0)+IF(AA795="SIM",1,0)+IF(R795="SIM",1,0)+IF(AL795="SIM",1,0)+IF(AJ795="NÃO",1,0))&gt;=3),"DPIA indicado ou em avaliação em razão de: " &amp; TRIM(IF(I795="SIM","tratamento de dados sensíveis; ","") &amp; IF(K795="SIM","utilização de dados de menores; ","") &amp; IF(AF795="SIM","transferência internacional de dados; ","") &amp; IF(AL795="SIM","utilização de inteligência artificial; ","") &amp; IF(OR(AN795="Dados pessoais",AN795="Dados sensíveis",AN795="Dados pessoais e sensíveis"),"dados inseridos em IA; ","") &amp; IF(O795="Acima de 10.000 titulares por mês","volume crítico de titulares; ","") &amp; IF(O795="De 1.001 a 10.000 titulares por mês","volume moderado de titulares; ","") &amp; IF(AA795="SIM","compartilhamento com terceiros; ","") &amp; IF(R795="SIM","compartilhamento com órgãos governamentais; ","") &amp; IF(AJ795="NÃO","ausência de controle de acesso por perfil; ","")),"DPIA não indicado: Processo de baixa criticidade."))</f>
      </c>
    </row>
    <row x14ac:dyDescent="0.25" r="796" customHeight="1" ht="15.75">
      <c r="A796" s="46"/>
      <c r="B796" s="6"/>
      <c r="C796" s="11"/>
      <c r="D796" s="11"/>
      <c r="E796" s="11"/>
      <c r="F796" s="29"/>
      <c r="G796" s="11"/>
      <c r="H796" s="11"/>
      <c r="I796" s="29"/>
      <c r="J796" s="11"/>
      <c r="K796" s="29"/>
      <c r="L796" s="11"/>
      <c r="M796" s="11"/>
      <c r="N796" s="11"/>
      <c r="O796" s="29"/>
      <c r="P796" s="29"/>
      <c r="Q796" s="11"/>
      <c r="R796" s="29"/>
      <c r="S796" s="11"/>
      <c r="T796" s="6"/>
      <c r="U796" s="29"/>
      <c r="V796" s="11"/>
      <c r="W796" s="11"/>
      <c r="X796" s="29"/>
      <c r="Y796" s="11"/>
      <c r="Z796" s="29"/>
      <c r="AA796" s="29"/>
      <c r="AB796" s="11"/>
      <c r="AC796" s="11"/>
      <c r="AD796" s="29"/>
      <c r="AE796" s="11"/>
      <c r="AF796" s="29"/>
      <c r="AG796" s="11"/>
      <c r="AH796" s="29"/>
      <c r="AI796" s="11"/>
      <c r="AJ796" s="29"/>
      <c r="AK796" s="29"/>
      <c r="AL796" s="29"/>
      <c r="AM796" s="11"/>
      <c r="AN796" s="29"/>
      <c r="AO796" s="29"/>
      <c r="AP796" s="6"/>
      <c r="AQ796" s="113">
        <f>IF(AND(I796="",K796="",AF796="",AL796="",AN796="",O796=""),"",IF(OR(I796="SIM",K796="SIM",AF796="SIM",AL796="SIM",AN796="Dados pessoais",AN796="Dados sensíveis",AN796="Dados pessoais e sensíveis",O796="Acima de 10.000 titulares por mês"),"SIM - Alta criticidade",IF((IF(I796="SIM",2,0)+IF(K796="SIM",2,0)+IF(AF796="SIM",2,0)+IF(OR(AN796="Dados pessoais",AN796="Dados sensíveis",AN796="Dados pessoais e sensíveis"),2,0)+IF(O796="De 1.001 a 10.000 titulares por mês",1,0)+IF(AA796="SIM",1,0)+IF(R796="SIM",1,0)+IF(AL796="SIM",1,0)+IF(AJ796="NÃO",1,0))&gt;=5,"SIM - Alta criticidade",IF((IF(I796="SIM",2,0)+IF(K796="SIM",2,0)+IF(AF796="SIM",2,0)+IF(OR(AN796="Dados pessoais",AN796="Dados sensíveis",AN796="Dados pessoais e sensíveis"),2,0)+IF(O796="De 1.001 a 10.000 titulares por mês",1,0)+IF(AA796="SIM",1,0)+IF(R796="SIM",1,0)+IF(AL796="SIM",1,0)+IF(AJ796="NÃO",1,0))&gt;=3,"Avaliação necessária","NÃO"))))</f>
      </c>
      <c r="AR796" s="11"/>
      <c r="AS796" s="113">
        <f>IF(AND(I796="",K796="",AF796="",AL796="",AN796="",O796=""),"",IF(OR(I796="SIM",K796="SIM",AF796="SIM",AL796="SIM",OR(AN796="Dados pessoais",AN796="Dados sensíveis",AN796="Dados pessoais e sensíveis"),O796="Acima de 10.000 titulares por mês",(IF(I796="SIM",2,0)+IF(K796="SIM",2,0)+IF(AF796="SIM",2,0)+IF(OR(AN796="Dados pessoais",AN796="Dados sensíveis",AN796="Dados pessoais e sensíveis"),2,0)+IF(O796="De 1.001 a 10.000 titulares por mês",1,0)+IF(AA796="SIM",1,0)+IF(R796="SIM",1,0)+IF(AL796="SIM",1,0)+IF(AJ796="NÃO",1,0))&gt;=3),"DPIA indicado ou em avaliação em razão de: " &amp; TRIM(IF(I796="SIM","tratamento de dados sensíveis; ","") &amp; IF(K796="SIM","utilização de dados de menores; ","") &amp; IF(AF796="SIM","transferência internacional de dados; ","") &amp; IF(AL796="SIM","utilização de inteligência artificial; ","") &amp; IF(OR(AN796="Dados pessoais",AN796="Dados sensíveis",AN796="Dados pessoais e sensíveis"),"dados inseridos em IA; ","") &amp; IF(O796="Acima de 10.000 titulares por mês","volume crítico de titulares; ","") &amp; IF(O796="De 1.001 a 10.000 titulares por mês","volume moderado de titulares; ","") &amp; IF(AA796="SIM","compartilhamento com terceiros; ","") &amp; IF(R796="SIM","compartilhamento com órgãos governamentais; ","") &amp; IF(AJ796="NÃO","ausência de controle de acesso por perfil; ","")),"DPIA não indicado: Processo de baixa criticidade."))</f>
      </c>
    </row>
    <row x14ac:dyDescent="0.25" r="797" customHeight="1" ht="15.75">
      <c r="A797" s="46"/>
      <c r="B797" s="6"/>
      <c r="C797" s="11"/>
      <c r="D797" s="11"/>
      <c r="E797" s="11"/>
      <c r="F797" s="29"/>
      <c r="G797" s="11"/>
      <c r="H797" s="11"/>
      <c r="I797" s="29"/>
      <c r="J797" s="11"/>
      <c r="K797" s="29"/>
      <c r="L797" s="11"/>
      <c r="M797" s="11"/>
      <c r="N797" s="11"/>
      <c r="O797" s="29"/>
      <c r="P797" s="29"/>
      <c r="Q797" s="11"/>
      <c r="R797" s="29"/>
      <c r="S797" s="11"/>
      <c r="T797" s="6"/>
      <c r="U797" s="29"/>
      <c r="V797" s="11"/>
      <c r="W797" s="11"/>
      <c r="X797" s="29"/>
      <c r="Y797" s="11"/>
      <c r="Z797" s="29"/>
      <c r="AA797" s="29"/>
      <c r="AB797" s="11"/>
      <c r="AC797" s="11"/>
      <c r="AD797" s="29"/>
      <c r="AE797" s="11"/>
      <c r="AF797" s="29"/>
      <c r="AG797" s="11"/>
      <c r="AH797" s="29"/>
      <c r="AI797" s="11"/>
      <c r="AJ797" s="29"/>
      <c r="AK797" s="29"/>
      <c r="AL797" s="29"/>
      <c r="AM797" s="11"/>
      <c r="AN797" s="29"/>
      <c r="AO797" s="29"/>
      <c r="AP797" s="6"/>
      <c r="AQ797" s="113">
        <f>IF(AND(I797="",K797="",AF797="",AL797="",AN797="",O797=""),"",IF(OR(I797="SIM",K797="SIM",AF797="SIM",AL797="SIM",AN797="Dados pessoais",AN797="Dados sensíveis",AN797="Dados pessoais e sensíveis",O797="Acima de 10.000 titulares por mês"),"SIM - Alta criticidade",IF((IF(I797="SIM",2,0)+IF(K797="SIM",2,0)+IF(AF797="SIM",2,0)+IF(OR(AN797="Dados pessoais",AN797="Dados sensíveis",AN797="Dados pessoais e sensíveis"),2,0)+IF(O797="De 1.001 a 10.000 titulares por mês",1,0)+IF(AA797="SIM",1,0)+IF(R797="SIM",1,0)+IF(AL797="SIM",1,0)+IF(AJ797="NÃO",1,0))&gt;=5,"SIM - Alta criticidade",IF((IF(I797="SIM",2,0)+IF(K797="SIM",2,0)+IF(AF797="SIM",2,0)+IF(OR(AN797="Dados pessoais",AN797="Dados sensíveis",AN797="Dados pessoais e sensíveis"),2,0)+IF(O797="De 1.001 a 10.000 titulares por mês",1,0)+IF(AA797="SIM",1,0)+IF(R797="SIM",1,0)+IF(AL797="SIM",1,0)+IF(AJ797="NÃO",1,0))&gt;=3,"Avaliação necessária","NÃO"))))</f>
      </c>
      <c r="AR797" s="11"/>
      <c r="AS797" s="113">
        <f>IF(AND(I797="",K797="",AF797="",AL797="",AN797="",O797=""),"",IF(OR(I797="SIM",K797="SIM",AF797="SIM",AL797="SIM",OR(AN797="Dados pessoais",AN797="Dados sensíveis",AN797="Dados pessoais e sensíveis"),O797="Acima de 10.000 titulares por mês",(IF(I797="SIM",2,0)+IF(K797="SIM",2,0)+IF(AF797="SIM",2,0)+IF(OR(AN797="Dados pessoais",AN797="Dados sensíveis",AN797="Dados pessoais e sensíveis"),2,0)+IF(O797="De 1.001 a 10.000 titulares por mês",1,0)+IF(AA797="SIM",1,0)+IF(R797="SIM",1,0)+IF(AL797="SIM",1,0)+IF(AJ797="NÃO",1,0))&gt;=3),"DPIA indicado ou em avaliação em razão de: " &amp; TRIM(IF(I797="SIM","tratamento de dados sensíveis; ","") &amp; IF(K797="SIM","utilização de dados de menores; ","") &amp; IF(AF797="SIM","transferência internacional de dados; ","") &amp; IF(AL797="SIM","utilização de inteligência artificial; ","") &amp; IF(OR(AN797="Dados pessoais",AN797="Dados sensíveis",AN797="Dados pessoais e sensíveis"),"dados inseridos em IA; ","") &amp; IF(O797="Acima de 10.000 titulares por mês","volume crítico de titulares; ","") &amp; IF(O797="De 1.001 a 10.000 titulares por mês","volume moderado de titulares; ","") &amp; IF(AA797="SIM","compartilhamento com terceiros; ","") &amp; IF(R797="SIM","compartilhamento com órgãos governamentais; ","") &amp; IF(AJ797="NÃO","ausência de controle de acesso por perfil; ","")),"DPIA não indicado: Processo de baixa criticidade."))</f>
      </c>
    </row>
    <row x14ac:dyDescent="0.25" r="798" customHeight="1" ht="15.75">
      <c r="A798" s="46"/>
      <c r="B798" s="6"/>
      <c r="C798" s="11"/>
      <c r="D798" s="11"/>
      <c r="E798" s="11"/>
      <c r="F798" s="29"/>
      <c r="G798" s="11"/>
      <c r="H798" s="11"/>
      <c r="I798" s="29"/>
      <c r="J798" s="11"/>
      <c r="K798" s="29"/>
      <c r="L798" s="11"/>
      <c r="M798" s="11"/>
      <c r="N798" s="11"/>
      <c r="O798" s="29"/>
      <c r="P798" s="29"/>
      <c r="Q798" s="11"/>
      <c r="R798" s="29"/>
      <c r="S798" s="11"/>
      <c r="T798" s="6"/>
      <c r="U798" s="29"/>
      <c r="V798" s="11"/>
      <c r="W798" s="11"/>
      <c r="X798" s="29"/>
      <c r="Y798" s="11"/>
      <c r="Z798" s="29"/>
      <c r="AA798" s="29"/>
      <c r="AB798" s="11"/>
      <c r="AC798" s="11"/>
      <c r="AD798" s="29"/>
      <c r="AE798" s="11"/>
      <c r="AF798" s="29"/>
      <c r="AG798" s="11"/>
      <c r="AH798" s="29"/>
      <c r="AI798" s="11"/>
      <c r="AJ798" s="29"/>
      <c r="AK798" s="29"/>
      <c r="AL798" s="29"/>
      <c r="AM798" s="11"/>
      <c r="AN798" s="29"/>
      <c r="AO798" s="29"/>
      <c r="AP798" s="6"/>
      <c r="AQ798" s="113">
        <f>IF(AND(I798="",K798="",AF798="",AL798="",AN798="",O798=""),"",IF(OR(I798="SIM",K798="SIM",AF798="SIM",AL798="SIM",AN798="Dados pessoais",AN798="Dados sensíveis",AN798="Dados pessoais e sensíveis",O798="Acima de 10.000 titulares por mês"),"SIM - Alta criticidade",IF((IF(I798="SIM",2,0)+IF(K798="SIM",2,0)+IF(AF798="SIM",2,0)+IF(OR(AN798="Dados pessoais",AN798="Dados sensíveis",AN798="Dados pessoais e sensíveis"),2,0)+IF(O798="De 1.001 a 10.000 titulares por mês",1,0)+IF(AA798="SIM",1,0)+IF(R798="SIM",1,0)+IF(AL798="SIM",1,0)+IF(AJ798="NÃO",1,0))&gt;=5,"SIM - Alta criticidade",IF((IF(I798="SIM",2,0)+IF(K798="SIM",2,0)+IF(AF798="SIM",2,0)+IF(OR(AN798="Dados pessoais",AN798="Dados sensíveis",AN798="Dados pessoais e sensíveis"),2,0)+IF(O798="De 1.001 a 10.000 titulares por mês",1,0)+IF(AA798="SIM",1,0)+IF(R798="SIM",1,0)+IF(AL798="SIM",1,0)+IF(AJ798="NÃO",1,0))&gt;=3,"Avaliação necessária","NÃO"))))</f>
      </c>
      <c r="AR798" s="11"/>
      <c r="AS798" s="113">
        <f>IF(AND(I798="",K798="",AF798="",AL798="",AN798="",O798=""),"",IF(OR(I798="SIM",K798="SIM",AF798="SIM",AL798="SIM",OR(AN798="Dados pessoais",AN798="Dados sensíveis",AN798="Dados pessoais e sensíveis"),O798="Acima de 10.000 titulares por mês",(IF(I798="SIM",2,0)+IF(K798="SIM",2,0)+IF(AF798="SIM",2,0)+IF(OR(AN798="Dados pessoais",AN798="Dados sensíveis",AN798="Dados pessoais e sensíveis"),2,0)+IF(O798="De 1.001 a 10.000 titulares por mês",1,0)+IF(AA798="SIM",1,0)+IF(R798="SIM",1,0)+IF(AL798="SIM",1,0)+IF(AJ798="NÃO",1,0))&gt;=3),"DPIA indicado ou em avaliação em razão de: " &amp; TRIM(IF(I798="SIM","tratamento de dados sensíveis; ","") &amp; IF(K798="SIM","utilização de dados de menores; ","") &amp; IF(AF798="SIM","transferência internacional de dados; ","") &amp; IF(AL798="SIM","utilização de inteligência artificial; ","") &amp; IF(OR(AN798="Dados pessoais",AN798="Dados sensíveis",AN798="Dados pessoais e sensíveis"),"dados inseridos em IA; ","") &amp; IF(O798="Acima de 10.000 titulares por mês","volume crítico de titulares; ","") &amp; IF(O798="De 1.001 a 10.000 titulares por mês","volume moderado de titulares; ","") &amp; IF(AA798="SIM","compartilhamento com terceiros; ","") &amp; IF(R798="SIM","compartilhamento com órgãos governamentais; ","") &amp; IF(AJ798="NÃO","ausência de controle de acesso por perfil; ","")),"DPIA não indicado: Processo de baixa criticidade."))</f>
      </c>
    </row>
    <row x14ac:dyDescent="0.25" r="799" customHeight="1" ht="15.75">
      <c r="A799" s="46"/>
      <c r="B799" s="6"/>
      <c r="C799" s="11"/>
      <c r="D799" s="11"/>
      <c r="E799" s="11"/>
      <c r="F799" s="29"/>
      <c r="G799" s="11"/>
      <c r="H799" s="11"/>
      <c r="I799" s="29"/>
      <c r="J799" s="11"/>
      <c r="K799" s="29"/>
      <c r="L799" s="11"/>
      <c r="M799" s="11"/>
      <c r="N799" s="11"/>
      <c r="O799" s="29"/>
      <c r="P799" s="29"/>
      <c r="Q799" s="11"/>
      <c r="R799" s="29"/>
      <c r="S799" s="11"/>
      <c r="T799" s="6"/>
      <c r="U799" s="29"/>
      <c r="V799" s="11"/>
      <c r="W799" s="11"/>
      <c r="X799" s="29"/>
      <c r="Y799" s="11"/>
      <c r="Z799" s="29"/>
      <c r="AA799" s="29"/>
      <c r="AB799" s="11"/>
      <c r="AC799" s="11"/>
      <c r="AD799" s="29"/>
      <c r="AE799" s="11"/>
      <c r="AF799" s="29"/>
      <c r="AG799" s="11"/>
      <c r="AH799" s="29"/>
      <c r="AI799" s="11"/>
      <c r="AJ799" s="29"/>
      <c r="AK799" s="29"/>
      <c r="AL799" s="29"/>
      <c r="AM799" s="11"/>
      <c r="AN799" s="29"/>
      <c r="AO799" s="29"/>
      <c r="AP799" s="6"/>
      <c r="AQ799" s="113">
        <f>IF(AND(I799="",K799="",AF799="",AL799="",AN799="",O799=""),"",IF(OR(I799="SIM",K799="SIM",AF799="SIM",AL799="SIM",AN799="Dados pessoais",AN799="Dados sensíveis",AN799="Dados pessoais e sensíveis",O799="Acima de 10.000 titulares por mês"),"SIM - Alta criticidade",IF((IF(I799="SIM",2,0)+IF(K799="SIM",2,0)+IF(AF799="SIM",2,0)+IF(OR(AN799="Dados pessoais",AN799="Dados sensíveis",AN799="Dados pessoais e sensíveis"),2,0)+IF(O799="De 1.001 a 10.000 titulares por mês",1,0)+IF(AA799="SIM",1,0)+IF(R799="SIM",1,0)+IF(AL799="SIM",1,0)+IF(AJ799="NÃO",1,0))&gt;=5,"SIM - Alta criticidade",IF((IF(I799="SIM",2,0)+IF(K799="SIM",2,0)+IF(AF799="SIM",2,0)+IF(OR(AN799="Dados pessoais",AN799="Dados sensíveis",AN799="Dados pessoais e sensíveis"),2,0)+IF(O799="De 1.001 a 10.000 titulares por mês",1,0)+IF(AA799="SIM",1,0)+IF(R799="SIM",1,0)+IF(AL799="SIM",1,0)+IF(AJ799="NÃO",1,0))&gt;=3,"Avaliação necessária","NÃO"))))</f>
      </c>
      <c r="AR799" s="11"/>
      <c r="AS799" s="113">
        <f>IF(AND(I799="",K799="",AF799="",AL799="",AN799="",O799=""),"",IF(OR(I799="SIM",K799="SIM",AF799="SIM",AL799="SIM",OR(AN799="Dados pessoais",AN799="Dados sensíveis",AN799="Dados pessoais e sensíveis"),O799="Acima de 10.000 titulares por mês",(IF(I799="SIM",2,0)+IF(K799="SIM",2,0)+IF(AF799="SIM",2,0)+IF(OR(AN799="Dados pessoais",AN799="Dados sensíveis",AN799="Dados pessoais e sensíveis"),2,0)+IF(O799="De 1.001 a 10.000 titulares por mês",1,0)+IF(AA799="SIM",1,0)+IF(R799="SIM",1,0)+IF(AL799="SIM",1,0)+IF(AJ799="NÃO",1,0))&gt;=3),"DPIA indicado ou em avaliação em razão de: " &amp; TRIM(IF(I799="SIM","tratamento de dados sensíveis; ","") &amp; IF(K799="SIM","utilização de dados de menores; ","") &amp; IF(AF799="SIM","transferência internacional de dados; ","") &amp; IF(AL799="SIM","utilização de inteligência artificial; ","") &amp; IF(OR(AN799="Dados pessoais",AN799="Dados sensíveis",AN799="Dados pessoais e sensíveis"),"dados inseridos em IA; ","") &amp; IF(O799="Acima de 10.000 titulares por mês","volume crítico de titulares; ","") &amp; IF(O799="De 1.001 a 10.000 titulares por mês","volume moderado de titulares; ","") &amp; IF(AA799="SIM","compartilhamento com terceiros; ","") &amp; IF(R799="SIM","compartilhamento com órgãos governamentais; ","") &amp; IF(AJ799="NÃO","ausência de controle de acesso por perfil; ","")),"DPIA não indicado: Processo de baixa criticidade."))</f>
      </c>
    </row>
    <row x14ac:dyDescent="0.25" r="800" customHeight="1" ht="15.75">
      <c r="A800" s="46"/>
      <c r="B800" s="6"/>
      <c r="C800" s="11"/>
      <c r="D800" s="11"/>
      <c r="E800" s="11"/>
      <c r="F800" s="29"/>
      <c r="G800" s="11"/>
      <c r="H800" s="11"/>
      <c r="I800" s="29"/>
      <c r="J800" s="11"/>
      <c r="K800" s="29"/>
      <c r="L800" s="11"/>
      <c r="M800" s="11"/>
      <c r="N800" s="11"/>
      <c r="O800" s="29"/>
      <c r="P800" s="29"/>
      <c r="Q800" s="11"/>
      <c r="R800" s="29"/>
      <c r="S800" s="11"/>
      <c r="T800" s="6"/>
      <c r="U800" s="29"/>
      <c r="V800" s="11"/>
      <c r="W800" s="11"/>
      <c r="X800" s="29"/>
      <c r="Y800" s="11"/>
      <c r="Z800" s="29"/>
      <c r="AA800" s="29"/>
      <c r="AB800" s="11"/>
      <c r="AC800" s="11"/>
      <c r="AD800" s="29"/>
      <c r="AE800" s="11"/>
      <c r="AF800" s="29"/>
      <c r="AG800" s="11"/>
      <c r="AH800" s="29"/>
      <c r="AI800" s="11"/>
      <c r="AJ800" s="29"/>
      <c r="AK800" s="29"/>
      <c r="AL800" s="29"/>
      <c r="AM800" s="11"/>
      <c r="AN800" s="29"/>
      <c r="AO800" s="29"/>
      <c r="AP800" s="6"/>
      <c r="AQ800" s="113">
        <f>IF(AND(I800="",K800="",AF800="",AL800="",AN800="",O800=""),"",IF(OR(I800="SIM",K800="SIM",AF800="SIM",AL800="SIM",AN800="Dados pessoais",AN800="Dados sensíveis",AN800="Dados pessoais e sensíveis",O800="Acima de 10.000 titulares por mês"),"SIM - Alta criticidade",IF((IF(I800="SIM",2,0)+IF(K800="SIM",2,0)+IF(AF800="SIM",2,0)+IF(OR(AN800="Dados pessoais",AN800="Dados sensíveis",AN800="Dados pessoais e sensíveis"),2,0)+IF(O800="De 1.001 a 10.000 titulares por mês",1,0)+IF(AA800="SIM",1,0)+IF(R800="SIM",1,0)+IF(AL800="SIM",1,0)+IF(AJ800="NÃO",1,0))&gt;=5,"SIM - Alta criticidade",IF((IF(I800="SIM",2,0)+IF(K800="SIM",2,0)+IF(AF800="SIM",2,0)+IF(OR(AN800="Dados pessoais",AN800="Dados sensíveis",AN800="Dados pessoais e sensíveis"),2,0)+IF(O800="De 1.001 a 10.000 titulares por mês",1,0)+IF(AA800="SIM",1,0)+IF(R800="SIM",1,0)+IF(AL800="SIM",1,0)+IF(AJ800="NÃO",1,0))&gt;=3,"Avaliação necessária","NÃO"))))</f>
      </c>
      <c r="AR800" s="11"/>
      <c r="AS800" s="113">
        <f>IF(AND(I800="",K800="",AF800="",AL800="",AN800="",O800=""),"",IF(OR(I800="SIM",K800="SIM",AF800="SIM",AL800="SIM",OR(AN800="Dados pessoais",AN800="Dados sensíveis",AN800="Dados pessoais e sensíveis"),O800="Acima de 10.000 titulares por mês",(IF(I800="SIM",2,0)+IF(K800="SIM",2,0)+IF(AF800="SIM",2,0)+IF(OR(AN800="Dados pessoais",AN800="Dados sensíveis",AN800="Dados pessoais e sensíveis"),2,0)+IF(O800="De 1.001 a 10.000 titulares por mês",1,0)+IF(AA800="SIM",1,0)+IF(R800="SIM",1,0)+IF(AL800="SIM",1,0)+IF(AJ800="NÃO",1,0))&gt;=3),"DPIA indicado ou em avaliação em razão de: " &amp; TRIM(IF(I800="SIM","tratamento de dados sensíveis; ","") &amp; IF(K800="SIM","utilização de dados de menores; ","") &amp; IF(AF800="SIM","transferência internacional de dados; ","") &amp; IF(AL800="SIM","utilização de inteligência artificial; ","") &amp; IF(OR(AN800="Dados pessoais",AN800="Dados sensíveis",AN800="Dados pessoais e sensíveis"),"dados inseridos em IA; ","") &amp; IF(O800="Acima de 10.000 titulares por mês","volume crítico de titulares; ","") &amp; IF(O800="De 1.001 a 10.000 titulares por mês","volume moderado de titulares; ","") &amp; IF(AA800="SIM","compartilhamento com terceiros; ","") &amp; IF(R800="SIM","compartilhamento com órgãos governamentais; ","") &amp; IF(AJ800="NÃO","ausência de controle de acesso por perfil; ","")),"DPIA não indicado: Processo de baixa criticidade."))</f>
      </c>
    </row>
    <row x14ac:dyDescent="0.25" r="801" customHeight="1" ht="15.75">
      <c r="A801" s="46"/>
      <c r="B801" s="6"/>
      <c r="C801" s="11"/>
      <c r="D801" s="11"/>
      <c r="E801" s="11"/>
      <c r="F801" s="29"/>
      <c r="G801" s="11"/>
      <c r="H801" s="11"/>
      <c r="I801" s="29"/>
      <c r="J801" s="11"/>
      <c r="K801" s="29"/>
      <c r="L801" s="11"/>
      <c r="M801" s="11"/>
      <c r="N801" s="11"/>
      <c r="O801" s="29"/>
      <c r="P801" s="29"/>
      <c r="Q801" s="11"/>
      <c r="R801" s="29"/>
      <c r="S801" s="11"/>
      <c r="T801" s="6"/>
      <c r="U801" s="29"/>
      <c r="V801" s="11"/>
      <c r="W801" s="11"/>
      <c r="X801" s="29"/>
      <c r="Y801" s="11"/>
      <c r="Z801" s="29"/>
      <c r="AA801" s="29"/>
      <c r="AB801" s="11"/>
      <c r="AC801" s="11"/>
      <c r="AD801" s="29"/>
      <c r="AE801" s="11"/>
      <c r="AF801" s="29"/>
      <c r="AG801" s="11"/>
      <c r="AH801" s="29"/>
      <c r="AI801" s="11"/>
      <c r="AJ801" s="29"/>
      <c r="AK801" s="29"/>
      <c r="AL801" s="29"/>
      <c r="AM801" s="11"/>
      <c r="AN801" s="29"/>
      <c r="AO801" s="29"/>
      <c r="AP801" s="6"/>
      <c r="AQ801" s="113">
        <f>IF(AND(I801="",K801="",AF801="",AL801="",AN801="",O801=""),"",IF(OR(I801="SIM",K801="SIM",AF801="SIM",AL801="SIM",AN801="Dados pessoais",AN801="Dados sensíveis",AN801="Dados pessoais e sensíveis",O801="Acima de 10.000 titulares por mês"),"SIM - Alta criticidade",IF((IF(I801="SIM",2,0)+IF(K801="SIM",2,0)+IF(AF801="SIM",2,0)+IF(OR(AN801="Dados pessoais",AN801="Dados sensíveis",AN801="Dados pessoais e sensíveis"),2,0)+IF(O801="De 1.001 a 10.000 titulares por mês",1,0)+IF(AA801="SIM",1,0)+IF(R801="SIM",1,0)+IF(AL801="SIM",1,0)+IF(AJ801="NÃO",1,0))&gt;=5,"SIM - Alta criticidade",IF((IF(I801="SIM",2,0)+IF(K801="SIM",2,0)+IF(AF801="SIM",2,0)+IF(OR(AN801="Dados pessoais",AN801="Dados sensíveis",AN801="Dados pessoais e sensíveis"),2,0)+IF(O801="De 1.001 a 10.000 titulares por mês",1,0)+IF(AA801="SIM",1,0)+IF(R801="SIM",1,0)+IF(AL801="SIM",1,0)+IF(AJ801="NÃO",1,0))&gt;=3,"Avaliação necessária","NÃO"))))</f>
      </c>
      <c r="AR801" s="11"/>
      <c r="AS801" s="113">
        <f>IF(AND(I801="",K801="",AF801="",AL801="",AN801="",O801=""),"",IF(OR(I801="SIM",K801="SIM",AF801="SIM",AL801="SIM",OR(AN801="Dados pessoais",AN801="Dados sensíveis",AN801="Dados pessoais e sensíveis"),O801="Acima de 10.000 titulares por mês",(IF(I801="SIM",2,0)+IF(K801="SIM",2,0)+IF(AF801="SIM",2,0)+IF(OR(AN801="Dados pessoais",AN801="Dados sensíveis",AN801="Dados pessoais e sensíveis"),2,0)+IF(O801="De 1.001 a 10.000 titulares por mês",1,0)+IF(AA801="SIM",1,0)+IF(R801="SIM",1,0)+IF(AL801="SIM",1,0)+IF(AJ801="NÃO",1,0))&gt;=3),"DPIA indicado ou em avaliação em razão de: " &amp; TRIM(IF(I801="SIM","tratamento de dados sensíveis; ","") &amp; IF(K801="SIM","utilização de dados de menores; ","") &amp; IF(AF801="SIM","transferência internacional de dados; ","") &amp; IF(AL801="SIM","utilização de inteligência artificial; ","") &amp; IF(OR(AN801="Dados pessoais",AN801="Dados sensíveis",AN801="Dados pessoais e sensíveis"),"dados inseridos em IA; ","") &amp; IF(O801="Acima de 10.000 titulares por mês","volume crítico de titulares; ","") &amp; IF(O801="De 1.001 a 10.000 titulares por mês","volume moderado de titulares; ","") &amp; IF(AA801="SIM","compartilhamento com terceiros; ","") &amp; IF(R801="SIM","compartilhamento com órgãos governamentais; ","") &amp; IF(AJ801="NÃO","ausência de controle de acesso por perfil; ","")),"DPIA não indicado: Processo de baixa criticidade."))</f>
      </c>
    </row>
    <row x14ac:dyDescent="0.25" r="802" customHeight="1" ht="15.75">
      <c r="A802" s="46"/>
      <c r="B802" s="6"/>
      <c r="C802" s="11"/>
      <c r="D802" s="11"/>
      <c r="E802" s="11"/>
      <c r="F802" s="29"/>
      <c r="G802" s="11"/>
      <c r="H802" s="11"/>
      <c r="I802" s="29"/>
      <c r="J802" s="11"/>
      <c r="K802" s="29"/>
      <c r="L802" s="11"/>
      <c r="M802" s="11"/>
      <c r="N802" s="11"/>
      <c r="O802" s="29"/>
      <c r="P802" s="29"/>
      <c r="Q802" s="11"/>
      <c r="R802" s="29"/>
      <c r="S802" s="11"/>
      <c r="T802" s="6"/>
      <c r="U802" s="29"/>
      <c r="V802" s="11"/>
      <c r="W802" s="11"/>
      <c r="X802" s="29"/>
      <c r="Y802" s="11"/>
      <c r="Z802" s="29"/>
      <c r="AA802" s="29"/>
      <c r="AB802" s="11"/>
      <c r="AC802" s="11"/>
      <c r="AD802" s="29"/>
      <c r="AE802" s="11"/>
      <c r="AF802" s="29"/>
      <c r="AG802" s="11"/>
      <c r="AH802" s="29"/>
      <c r="AI802" s="11"/>
      <c r="AJ802" s="29"/>
      <c r="AK802" s="29"/>
      <c r="AL802" s="29"/>
      <c r="AM802" s="11"/>
      <c r="AN802" s="29"/>
      <c r="AO802" s="29"/>
      <c r="AP802" s="6"/>
      <c r="AQ802" s="113">
        <f>IF(AND(I802="",K802="",AF802="",AL802="",AN802="",O802=""),"",IF(OR(I802="SIM",K802="SIM",AF802="SIM",AL802="SIM",AN802="Dados pessoais",AN802="Dados sensíveis",AN802="Dados pessoais e sensíveis",O802="Acima de 10.000 titulares por mês"),"SIM - Alta criticidade",IF((IF(I802="SIM",2,0)+IF(K802="SIM",2,0)+IF(AF802="SIM",2,0)+IF(OR(AN802="Dados pessoais",AN802="Dados sensíveis",AN802="Dados pessoais e sensíveis"),2,0)+IF(O802="De 1.001 a 10.000 titulares por mês",1,0)+IF(AA802="SIM",1,0)+IF(R802="SIM",1,0)+IF(AL802="SIM",1,0)+IF(AJ802="NÃO",1,0))&gt;=5,"SIM - Alta criticidade",IF((IF(I802="SIM",2,0)+IF(K802="SIM",2,0)+IF(AF802="SIM",2,0)+IF(OR(AN802="Dados pessoais",AN802="Dados sensíveis",AN802="Dados pessoais e sensíveis"),2,0)+IF(O802="De 1.001 a 10.000 titulares por mês",1,0)+IF(AA802="SIM",1,0)+IF(R802="SIM",1,0)+IF(AL802="SIM",1,0)+IF(AJ802="NÃO",1,0))&gt;=3,"Avaliação necessária","NÃO"))))</f>
      </c>
      <c r="AR802" s="11"/>
      <c r="AS802" s="113">
        <f>IF(AND(I802="",K802="",AF802="",AL802="",AN802="",O802=""),"",IF(OR(I802="SIM",K802="SIM",AF802="SIM",AL802="SIM",OR(AN802="Dados pessoais",AN802="Dados sensíveis",AN802="Dados pessoais e sensíveis"),O802="Acima de 10.000 titulares por mês",(IF(I802="SIM",2,0)+IF(K802="SIM",2,0)+IF(AF802="SIM",2,0)+IF(OR(AN802="Dados pessoais",AN802="Dados sensíveis",AN802="Dados pessoais e sensíveis"),2,0)+IF(O802="De 1.001 a 10.000 titulares por mês",1,0)+IF(AA802="SIM",1,0)+IF(R802="SIM",1,0)+IF(AL802="SIM",1,0)+IF(AJ802="NÃO",1,0))&gt;=3),"DPIA indicado ou em avaliação em razão de: " &amp; TRIM(IF(I802="SIM","tratamento de dados sensíveis; ","") &amp; IF(K802="SIM","utilização de dados de menores; ","") &amp; IF(AF802="SIM","transferência internacional de dados; ","") &amp; IF(AL802="SIM","utilização de inteligência artificial; ","") &amp; IF(OR(AN802="Dados pessoais",AN802="Dados sensíveis",AN802="Dados pessoais e sensíveis"),"dados inseridos em IA; ","") &amp; IF(O802="Acima de 10.000 titulares por mês","volume crítico de titulares; ","") &amp; IF(O802="De 1.001 a 10.000 titulares por mês","volume moderado de titulares; ","") &amp; IF(AA802="SIM","compartilhamento com terceiros; ","") &amp; IF(R802="SIM","compartilhamento com órgãos governamentais; ","") &amp; IF(AJ802="NÃO","ausência de controle de acesso por perfil; ","")),"DPIA não indicado: Processo de baixa criticidade."))</f>
      </c>
    </row>
    <row x14ac:dyDescent="0.25" r="803" customHeight="1" ht="15.75">
      <c r="A803" s="46"/>
      <c r="B803" s="6"/>
      <c r="C803" s="11"/>
      <c r="D803" s="11"/>
      <c r="E803" s="11"/>
      <c r="F803" s="29"/>
      <c r="G803" s="11"/>
      <c r="H803" s="11"/>
      <c r="I803" s="29"/>
      <c r="J803" s="11"/>
      <c r="K803" s="29"/>
      <c r="L803" s="11"/>
      <c r="M803" s="11"/>
      <c r="N803" s="11"/>
      <c r="O803" s="29"/>
      <c r="P803" s="29"/>
      <c r="Q803" s="11"/>
      <c r="R803" s="29"/>
      <c r="S803" s="11"/>
      <c r="T803" s="6"/>
      <c r="U803" s="29"/>
      <c r="V803" s="11"/>
      <c r="W803" s="11"/>
      <c r="X803" s="29"/>
      <c r="Y803" s="11"/>
      <c r="Z803" s="29"/>
      <c r="AA803" s="29"/>
      <c r="AB803" s="11"/>
      <c r="AC803" s="11"/>
      <c r="AD803" s="29"/>
      <c r="AE803" s="11"/>
      <c r="AF803" s="29"/>
      <c r="AG803" s="11"/>
      <c r="AH803" s="29"/>
      <c r="AI803" s="11"/>
      <c r="AJ803" s="29"/>
      <c r="AK803" s="29"/>
      <c r="AL803" s="29"/>
      <c r="AM803" s="11"/>
      <c r="AN803" s="29"/>
      <c r="AO803" s="29"/>
      <c r="AP803" s="6"/>
      <c r="AQ803" s="113">
        <f>IF(AND(I803="",K803="",AF803="",AL803="",AN803="",O803=""),"",IF(OR(I803="SIM",K803="SIM",AF803="SIM",AL803="SIM",AN803="Dados pessoais",AN803="Dados sensíveis",AN803="Dados pessoais e sensíveis",O803="Acima de 10.000 titulares por mês"),"SIM - Alta criticidade",IF((IF(I803="SIM",2,0)+IF(K803="SIM",2,0)+IF(AF803="SIM",2,0)+IF(OR(AN803="Dados pessoais",AN803="Dados sensíveis",AN803="Dados pessoais e sensíveis"),2,0)+IF(O803="De 1.001 a 10.000 titulares por mês",1,0)+IF(AA803="SIM",1,0)+IF(R803="SIM",1,0)+IF(AL803="SIM",1,0)+IF(AJ803="NÃO",1,0))&gt;=5,"SIM - Alta criticidade",IF((IF(I803="SIM",2,0)+IF(K803="SIM",2,0)+IF(AF803="SIM",2,0)+IF(OR(AN803="Dados pessoais",AN803="Dados sensíveis",AN803="Dados pessoais e sensíveis"),2,0)+IF(O803="De 1.001 a 10.000 titulares por mês",1,0)+IF(AA803="SIM",1,0)+IF(R803="SIM",1,0)+IF(AL803="SIM",1,0)+IF(AJ803="NÃO",1,0))&gt;=3,"Avaliação necessária","NÃO"))))</f>
      </c>
      <c r="AR803" s="11"/>
      <c r="AS803" s="113">
        <f>IF(AND(I803="",K803="",AF803="",AL803="",AN803="",O803=""),"",IF(OR(I803="SIM",K803="SIM",AF803="SIM",AL803="SIM",OR(AN803="Dados pessoais",AN803="Dados sensíveis",AN803="Dados pessoais e sensíveis"),O803="Acima de 10.000 titulares por mês",(IF(I803="SIM",2,0)+IF(K803="SIM",2,0)+IF(AF803="SIM",2,0)+IF(OR(AN803="Dados pessoais",AN803="Dados sensíveis",AN803="Dados pessoais e sensíveis"),2,0)+IF(O803="De 1.001 a 10.000 titulares por mês",1,0)+IF(AA803="SIM",1,0)+IF(R803="SIM",1,0)+IF(AL803="SIM",1,0)+IF(AJ803="NÃO",1,0))&gt;=3),"DPIA indicado ou em avaliação em razão de: " &amp; TRIM(IF(I803="SIM","tratamento de dados sensíveis; ","") &amp; IF(K803="SIM","utilização de dados de menores; ","") &amp; IF(AF803="SIM","transferência internacional de dados; ","") &amp; IF(AL803="SIM","utilização de inteligência artificial; ","") &amp; IF(OR(AN803="Dados pessoais",AN803="Dados sensíveis",AN803="Dados pessoais e sensíveis"),"dados inseridos em IA; ","") &amp; IF(O803="Acima de 10.000 titulares por mês","volume crítico de titulares; ","") &amp; IF(O803="De 1.001 a 10.000 titulares por mês","volume moderado de titulares; ","") &amp; IF(AA803="SIM","compartilhamento com terceiros; ","") &amp; IF(R803="SIM","compartilhamento com órgãos governamentais; ","") &amp; IF(AJ803="NÃO","ausência de controle de acesso por perfil; ","")),"DPIA não indicado: Processo de baixa criticidade."))</f>
      </c>
    </row>
    <row x14ac:dyDescent="0.25" r="804" customHeight="1" ht="15.75">
      <c r="A804" s="46"/>
      <c r="B804" s="6"/>
      <c r="C804" s="11"/>
      <c r="D804" s="11"/>
      <c r="E804" s="11"/>
      <c r="F804" s="29"/>
      <c r="G804" s="11"/>
      <c r="H804" s="11"/>
      <c r="I804" s="29"/>
      <c r="J804" s="11"/>
      <c r="K804" s="29"/>
      <c r="L804" s="11"/>
      <c r="M804" s="11"/>
      <c r="N804" s="11"/>
      <c r="O804" s="29"/>
      <c r="P804" s="29"/>
      <c r="Q804" s="11"/>
      <c r="R804" s="29"/>
      <c r="S804" s="11"/>
      <c r="T804" s="6"/>
      <c r="U804" s="29"/>
      <c r="V804" s="11"/>
      <c r="W804" s="11"/>
      <c r="X804" s="29"/>
      <c r="Y804" s="11"/>
      <c r="Z804" s="29"/>
      <c r="AA804" s="29"/>
      <c r="AB804" s="11"/>
      <c r="AC804" s="11"/>
      <c r="AD804" s="29"/>
      <c r="AE804" s="11"/>
      <c r="AF804" s="29"/>
      <c r="AG804" s="11"/>
      <c r="AH804" s="29"/>
      <c r="AI804" s="11"/>
      <c r="AJ804" s="29"/>
      <c r="AK804" s="29"/>
      <c r="AL804" s="29"/>
      <c r="AM804" s="11"/>
      <c r="AN804" s="29"/>
      <c r="AO804" s="29"/>
      <c r="AP804" s="6"/>
      <c r="AQ804" s="113">
        <f>IF(AND(I804="",K804="",AF804="",AL804="",AN804="",O804=""),"",IF(OR(I804="SIM",K804="SIM",AF804="SIM",AL804="SIM",AN804="Dados pessoais",AN804="Dados sensíveis",AN804="Dados pessoais e sensíveis",O804="Acima de 10.000 titulares por mês"),"SIM - Alta criticidade",IF((IF(I804="SIM",2,0)+IF(K804="SIM",2,0)+IF(AF804="SIM",2,0)+IF(OR(AN804="Dados pessoais",AN804="Dados sensíveis",AN804="Dados pessoais e sensíveis"),2,0)+IF(O804="De 1.001 a 10.000 titulares por mês",1,0)+IF(AA804="SIM",1,0)+IF(R804="SIM",1,0)+IF(AL804="SIM",1,0)+IF(AJ804="NÃO",1,0))&gt;=5,"SIM - Alta criticidade",IF((IF(I804="SIM",2,0)+IF(K804="SIM",2,0)+IF(AF804="SIM",2,0)+IF(OR(AN804="Dados pessoais",AN804="Dados sensíveis",AN804="Dados pessoais e sensíveis"),2,0)+IF(O804="De 1.001 a 10.000 titulares por mês",1,0)+IF(AA804="SIM",1,0)+IF(R804="SIM",1,0)+IF(AL804="SIM",1,0)+IF(AJ804="NÃO",1,0))&gt;=3,"Avaliação necessária","NÃO"))))</f>
      </c>
      <c r="AR804" s="11"/>
      <c r="AS804" s="113">
        <f>IF(AND(I804="",K804="",AF804="",AL804="",AN804="",O804=""),"",IF(OR(I804="SIM",K804="SIM",AF804="SIM",AL804="SIM",OR(AN804="Dados pessoais",AN804="Dados sensíveis",AN804="Dados pessoais e sensíveis"),O804="Acima de 10.000 titulares por mês",(IF(I804="SIM",2,0)+IF(K804="SIM",2,0)+IF(AF804="SIM",2,0)+IF(OR(AN804="Dados pessoais",AN804="Dados sensíveis",AN804="Dados pessoais e sensíveis"),2,0)+IF(O804="De 1.001 a 10.000 titulares por mês",1,0)+IF(AA804="SIM",1,0)+IF(R804="SIM",1,0)+IF(AL804="SIM",1,0)+IF(AJ804="NÃO",1,0))&gt;=3),"DPIA indicado ou em avaliação em razão de: " &amp; TRIM(IF(I804="SIM","tratamento de dados sensíveis; ","") &amp; IF(K804="SIM","utilização de dados de menores; ","") &amp; IF(AF804="SIM","transferência internacional de dados; ","") &amp; IF(AL804="SIM","utilização de inteligência artificial; ","") &amp; IF(OR(AN804="Dados pessoais",AN804="Dados sensíveis",AN804="Dados pessoais e sensíveis"),"dados inseridos em IA; ","") &amp; IF(O804="Acima de 10.000 titulares por mês","volume crítico de titulares; ","") &amp; IF(O804="De 1.001 a 10.000 titulares por mês","volume moderado de titulares; ","") &amp; IF(AA804="SIM","compartilhamento com terceiros; ","") &amp; IF(R804="SIM","compartilhamento com órgãos governamentais; ","") &amp; IF(AJ804="NÃO","ausência de controle de acesso por perfil; ","")),"DPIA não indicado: Processo de baixa criticidade."))</f>
      </c>
    </row>
    <row x14ac:dyDescent="0.25" r="805" customHeight="1" ht="15.75">
      <c r="A805" s="46"/>
      <c r="B805" s="6"/>
      <c r="C805" s="11"/>
      <c r="D805" s="11"/>
      <c r="E805" s="11"/>
      <c r="F805" s="29"/>
      <c r="G805" s="11"/>
      <c r="H805" s="11"/>
      <c r="I805" s="29"/>
      <c r="J805" s="11"/>
      <c r="K805" s="29"/>
      <c r="L805" s="11"/>
      <c r="M805" s="11"/>
      <c r="N805" s="11"/>
      <c r="O805" s="29"/>
      <c r="P805" s="29"/>
      <c r="Q805" s="11"/>
      <c r="R805" s="29"/>
      <c r="S805" s="11"/>
      <c r="T805" s="6"/>
      <c r="U805" s="29"/>
      <c r="V805" s="11"/>
      <c r="W805" s="11"/>
      <c r="X805" s="29"/>
      <c r="Y805" s="11"/>
      <c r="Z805" s="29"/>
      <c r="AA805" s="29"/>
      <c r="AB805" s="11"/>
      <c r="AC805" s="11"/>
      <c r="AD805" s="29"/>
      <c r="AE805" s="11"/>
      <c r="AF805" s="29"/>
      <c r="AG805" s="11"/>
      <c r="AH805" s="29"/>
      <c r="AI805" s="11"/>
      <c r="AJ805" s="29"/>
      <c r="AK805" s="29"/>
      <c r="AL805" s="29"/>
      <c r="AM805" s="11"/>
      <c r="AN805" s="29"/>
      <c r="AO805" s="29"/>
      <c r="AP805" s="6"/>
      <c r="AQ805" s="113">
        <f>IF(AND(I805="",K805="",AF805="",AL805="",AN805="",O805=""),"",IF(OR(I805="SIM",K805="SIM",AF805="SIM",AL805="SIM",AN805="Dados pessoais",AN805="Dados sensíveis",AN805="Dados pessoais e sensíveis",O805="Acima de 10.000 titulares por mês"),"SIM - Alta criticidade",IF((IF(I805="SIM",2,0)+IF(K805="SIM",2,0)+IF(AF805="SIM",2,0)+IF(OR(AN805="Dados pessoais",AN805="Dados sensíveis",AN805="Dados pessoais e sensíveis"),2,0)+IF(O805="De 1.001 a 10.000 titulares por mês",1,0)+IF(AA805="SIM",1,0)+IF(R805="SIM",1,0)+IF(AL805="SIM",1,0)+IF(AJ805="NÃO",1,0))&gt;=5,"SIM - Alta criticidade",IF((IF(I805="SIM",2,0)+IF(K805="SIM",2,0)+IF(AF805="SIM",2,0)+IF(OR(AN805="Dados pessoais",AN805="Dados sensíveis",AN805="Dados pessoais e sensíveis"),2,0)+IF(O805="De 1.001 a 10.000 titulares por mês",1,0)+IF(AA805="SIM",1,0)+IF(R805="SIM",1,0)+IF(AL805="SIM",1,0)+IF(AJ805="NÃO",1,0))&gt;=3,"Avaliação necessária","NÃO"))))</f>
      </c>
      <c r="AR805" s="11"/>
      <c r="AS805" s="113">
        <f>IF(AND(I805="",K805="",AF805="",AL805="",AN805="",O805=""),"",IF(OR(I805="SIM",K805="SIM",AF805="SIM",AL805="SIM",OR(AN805="Dados pessoais",AN805="Dados sensíveis",AN805="Dados pessoais e sensíveis"),O805="Acima de 10.000 titulares por mês",(IF(I805="SIM",2,0)+IF(K805="SIM",2,0)+IF(AF805="SIM",2,0)+IF(OR(AN805="Dados pessoais",AN805="Dados sensíveis",AN805="Dados pessoais e sensíveis"),2,0)+IF(O805="De 1.001 a 10.000 titulares por mês",1,0)+IF(AA805="SIM",1,0)+IF(R805="SIM",1,0)+IF(AL805="SIM",1,0)+IF(AJ805="NÃO",1,0))&gt;=3),"DPIA indicado ou em avaliação em razão de: " &amp; TRIM(IF(I805="SIM","tratamento de dados sensíveis; ","") &amp; IF(K805="SIM","utilização de dados de menores; ","") &amp; IF(AF805="SIM","transferência internacional de dados; ","") &amp; IF(AL805="SIM","utilização de inteligência artificial; ","") &amp; IF(OR(AN805="Dados pessoais",AN805="Dados sensíveis",AN805="Dados pessoais e sensíveis"),"dados inseridos em IA; ","") &amp; IF(O805="Acima de 10.000 titulares por mês","volume crítico de titulares; ","") &amp; IF(O805="De 1.001 a 10.000 titulares por mês","volume moderado de titulares; ","") &amp; IF(AA805="SIM","compartilhamento com terceiros; ","") &amp; IF(R805="SIM","compartilhamento com órgãos governamentais; ","") &amp; IF(AJ805="NÃO","ausência de controle de acesso por perfil; ","")),"DPIA não indicado: Processo de baixa criticidade."))</f>
      </c>
    </row>
    <row x14ac:dyDescent="0.25" r="806" customHeight="1" ht="15.75">
      <c r="A806" s="46"/>
      <c r="B806" s="6"/>
      <c r="C806" s="11"/>
      <c r="D806" s="11"/>
      <c r="E806" s="11"/>
      <c r="F806" s="29"/>
      <c r="G806" s="11"/>
      <c r="H806" s="11"/>
      <c r="I806" s="29"/>
      <c r="J806" s="11"/>
      <c r="K806" s="29"/>
      <c r="L806" s="11"/>
      <c r="M806" s="11"/>
      <c r="N806" s="11"/>
      <c r="O806" s="29"/>
      <c r="P806" s="29"/>
      <c r="Q806" s="11"/>
      <c r="R806" s="29"/>
      <c r="S806" s="11"/>
      <c r="T806" s="6"/>
      <c r="U806" s="29"/>
      <c r="V806" s="11"/>
      <c r="W806" s="11"/>
      <c r="X806" s="29"/>
      <c r="Y806" s="11"/>
      <c r="Z806" s="29"/>
      <c r="AA806" s="29"/>
      <c r="AB806" s="11"/>
      <c r="AC806" s="11"/>
      <c r="AD806" s="29"/>
      <c r="AE806" s="11"/>
      <c r="AF806" s="29"/>
      <c r="AG806" s="11"/>
      <c r="AH806" s="29"/>
      <c r="AI806" s="11"/>
      <c r="AJ806" s="29"/>
      <c r="AK806" s="29"/>
      <c r="AL806" s="29"/>
      <c r="AM806" s="11"/>
      <c r="AN806" s="29"/>
      <c r="AO806" s="29"/>
      <c r="AP806" s="6"/>
      <c r="AQ806" s="113">
        <f>IF(AND(I806="",K806="",AF806="",AL806="",AN806="",O806=""),"",IF(OR(I806="SIM",K806="SIM",AF806="SIM",AL806="SIM",AN806="Dados pessoais",AN806="Dados sensíveis",AN806="Dados pessoais e sensíveis",O806="Acima de 10.000 titulares por mês"),"SIM - Alta criticidade",IF((IF(I806="SIM",2,0)+IF(K806="SIM",2,0)+IF(AF806="SIM",2,0)+IF(OR(AN806="Dados pessoais",AN806="Dados sensíveis",AN806="Dados pessoais e sensíveis"),2,0)+IF(O806="De 1.001 a 10.000 titulares por mês",1,0)+IF(AA806="SIM",1,0)+IF(R806="SIM",1,0)+IF(AL806="SIM",1,0)+IF(AJ806="NÃO",1,0))&gt;=5,"SIM - Alta criticidade",IF((IF(I806="SIM",2,0)+IF(K806="SIM",2,0)+IF(AF806="SIM",2,0)+IF(OR(AN806="Dados pessoais",AN806="Dados sensíveis",AN806="Dados pessoais e sensíveis"),2,0)+IF(O806="De 1.001 a 10.000 titulares por mês",1,0)+IF(AA806="SIM",1,0)+IF(R806="SIM",1,0)+IF(AL806="SIM",1,0)+IF(AJ806="NÃO",1,0))&gt;=3,"Avaliação necessária","NÃO"))))</f>
      </c>
      <c r="AR806" s="11"/>
      <c r="AS806" s="113">
        <f>IF(AND(I806="",K806="",AF806="",AL806="",AN806="",O806=""),"",IF(OR(I806="SIM",K806="SIM",AF806="SIM",AL806="SIM",OR(AN806="Dados pessoais",AN806="Dados sensíveis",AN806="Dados pessoais e sensíveis"),O806="Acima de 10.000 titulares por mês",(IF(I806="SIM",2,0)+IF(K806="SIM",2,0)+IF(AF806="SIM",2,0)+IF(OR(AN806="Dados pessoais",AN806="Dados sensíveis",AN806="Dados pessoais e sensíveis"),2,0)+IF(O806="De 1.001 a 10.000 titulares por mês",1,0)+IF(AA806="SIM",1,0)+IF(R806="SIM",1,0)+IF(AL806="SIM",1,0)+IF(AJ806="NÃO",1,0))&gt;=3),"DPIA indicado ou em avaliação em razão de: " &amp; TRIM(IF(I806="SIM","tratamento de dados sensíveis; ","") &amp; IF(K806="SIM","utilização de dados de menores; ","") &amp; IF(AF806="SIM","transferência internacional de dados; ","") &amp; IF(AL806="SIM","utilização de inteligência artificial; ","") &amp; IF(OR(AN806="Dados pessoais",AN806="Dados sensíveis",AN806="Dados pessoais e sensíveis"),"dados inseridos em IA; ","") &amp; IF(O806="Acima de 10.000 titulares por mês","volume crítico de titulares; ","") &amp; IF(O806="De 1.001 a 10.000 titulares por mês","volume moderado de titulares; ","") &amp; IF(AA806="SIM","compartilhamento com terceiros; ","") &amp; IF(R806="SIM","compartilhamento com órgãos governamentais; ","") &amp; IF(AJ806="NÃO","ausência de controle de acesso por perfil; ","")),"DPIA não indicado: Processo de baixa criticidade."))</f>
      </c>
    </row>
    <row x14ac:dyDescent="0.25" r="807" customHeight="1" ht="15.75">
      <c r="A807" s="46"/>
      <c r="B807" s="6"/>
      <c r="C807" s="11"/>
      <c r="D807" s="11"/>
      <c r="E807" s="11"/>
      <c r="F807" s="29"/>
      <c r="G807" s="11"/>
      <c r="H807" s="11"/>
      <c r="I807" s="29"/>
      <c r="J807" s="11"/>
      <c r="K807" s="29"/>
      <c r="L807" s="11"/>
      <c r="M807" s="11"/>
      <c r="N807" s="11"/>
      <c r="O807" s="29"/>
      <c r="P807" s="29"/>
      <c r="Q807" s="11"/>
      <c r="R807" s="29"/>
      <c r="S807" s="11"/>
      <c r="T807" s="6"/>
      <c r="U807" s="29"/>
      <c r="V807" s="11"/>
      <c r="W807" s="11"/>
      <c r="X807" s="29"/>
      <c r="Y807" s="11"/>
      <c r="Z807" s="29"/>
      <c r="AA807" s="29"/>
      <c r="AB807" s="11"/>
      <c r="AC807" s="11"/>
      <c r="AD807" s="29"/>
      <c r="AE807" s="11"/>
      <c r="AF807" s="29"/>
      <c r="AG807" s="11"/>
      <c r="AH807" s="29"/>
      <c r="AI807" s="11"/>
      <c r="AJ807" s="29"/>
      <c r="AK807" s="29"/>
      <c r="AL807" s="29"/>
      <c r="AM807" s="11"/>
      <c r="AN807" s="29"/>
      <c r="AO807" s="29"/>
      <c r="AP807" s="6"/>
      <c r="AQ807" s="113">
        <f>IF(AND(I807="",K807="",AF807="",AL807="",AN807="",O807=""),"",IF(OR(I807="SIM",K807="SIM",AF807="SIM",AL807="SIM",AN807="Dados pessoais",AN807="Dados sensíveis",AN807="Dados pessoais e sensíveis",O807="Acima de 10.000 titulares por mês"),"SIM - Alta criticidade",IF((IF(I807="SIM",2,0)+IF(K807="SIM",2,0)+IF(AF807="SIM",2,0)+IF(OR(AN807="Dados pessoais",AN807="Dados sensíveis",AN807="Dados pessoais e sensíveis"),2,0)+IF(O807="De 1.001 a 10.000 titulares por mês",1,0)+IF(AA807="SIM",1,0)+IF(R807="SIM",1,0)+IF(AL807="SIM",1,0)+IF(AJ807="NÃO",1,0))&gt;=5,"SIM - Alta criticidade",IF((IF(I807="SIM",2,0)+IF(K807="SIM",2,0)+IF(AF807="SIM",2,0)+IF(OR(AN807="Dados pessoais",AN807="Dados sensíveis",AN807="Dados pessoais e sensíveis"),2,0)+IF(O807="De 1.001 a 10.000 titulares por mês",1,0)+IF(AA807="SIM",1,0)+IF(R807="SIM",1,0)+IF(AL807="SIM",1,0)+IF(AJ807="NÃO",1,0))&gt;=3,"Avaliação necessária","NÃO"))))</f>
      </c>
      <c r="AR807" s="11"/>
      <c r="AS807" s="113">
        <f>IF(AND(I807="",K807="",AF807="",AL807="",AN807="",O807=""),"",IF(OR(I807="SIM",K807="SIM",AF807="SIM",AL807="SIM",OR(AN807="Dados pessoais",AN807="Dados sensíveis",AN807="Dados pessoais e sensíveis"),O807="Acima de 10.000 titulares por mês",(IF(I807="SIM",2,0)+IF(K807="SIM",2,0)+IF(AF807="SIM",2,0)+IF(OR(AN807="Dados pessoais",AN807="Dados sensíveis",AN807="Dados pessoais e sensíveis"),2,0)+IF(O807="De 1.001 a 10.000 titulares por mês",1,0)+IF(AA807="SIM",1,0)+IF(R807="SIM",1,0)+IF(AL807="SIM",1,0)+IF(AJ807="NÃO",1,0))&gt;=3),"DPIA indicado ou em avaliação em razão de: " &amp; TRIM(IF(I807="SIM","tratamento de dados sensíveis; ","") &amp; IF(K807="SIM","utilização de dados de menores; ","") &amp; IF(AF807="SIM","transferência internacional de dados; ","") &amp; IF(AL807="SIM","utilização de inteligência artificial; ","") &amp; IF(OR(AN807="Dados pessoais",AN807="Dados sensíveis",AN807="Dados pessoais e sensíveis"),"dados inseridos em IA; ","") &amp; IF(O807="Acima de 10.000 titulares por mês","volume crítico de titulares; ","") &amp; IF(O807="De 1.001 a 10.000 titulares por mês","volume moderado de titulares; ","") &amp; IF(AA807="SIM","compartilhamento com terceiros; ","") &amp; IF(R807="SIM","compartilhamento com órgãos governamentais; ","") &amp; IF(AJ807="NÃO","ausência de controle de acesso por perfil; ","")),"DPIA não indicado: Processo de baixa criticidade."))</f>
      </c>
    </row>
    <row x14ac:dyDescent="0.25" r="808" customHeight="1" ht="15.75">
      <c r="A808" s="46"/>
      <c r="B808" s="6"/>
      <c r="C808" s="11"/>
      <c r="D808" s="11"/>
      <c r="E808" s="11"/>
      <c r="F808" s="29"/>
      <c r="G808" s="11"/>
      <c r="H808" s="11"/>
      <c r="I808" s="29"/>
      <c r="J808" s="11"/>
      <c r="K808" s="29"/>
      <c r="L808" s="11"/>
      <c r="M808" s="11"/>
      <c r="N808" s="11"/>
      <c r="O808" s="29"/>
      <c r="P808" s="29"/>
      <c r="Q808" s="11"/>
      <c r="R808" s="29"/>
      <c r="S808" s="11"/>
      <c r="T808" s="6"/>
      <c r="U808" s="29"/>
      <c r="V808" s="11"/>
      <c r="W808" s="11"/>
      <c r="X808" s="29"/>
      <c r="Y808" s="11"/>
      <c r="Z808" s="29"/>
      <c r="AA808" s="29"/>
      <c r="AB808" s="11"/>
      <c r="AC808" s="11"/>
      <c r="AD808" s="29"/>
      <c r="AE808" s="11"/>
      <c r="AF808" s="29"/>
      <c r="AG808" s="11"/>
      <c r="AH808" s="29"/>
      <c r="AI808" s="11"/>
      <c r="AJ808" s="29"/>
      <c r="AK808" s="29"/>
      <c r="AL808" s="29"/>
      <c r="AM808" s="11"/>
      <c r="AN808" s="29"/>
      <c r="AO808" s="29"/>
      <c r="AP808" s="6"/>
      <c r="AQ808" s="113">
        <f>IF(AND(I808="",K808="",AF808="",AL808="",AN808="",O808=""),"",IF(OR(I808="SIM",K808="SIM",AF808="SIM",AL808="SIM",AN808="Dados pessoais",AN808="Dados sensíveis",AN808="Dados pessoais e sensíveis",O808="Acima de 10.000 titulares por mês"),"SIM - Alta criticidade",IF((IF(I808="SIM",2,0)+IF(K808="SIM",2,0)+IF(AF808="SIM",2,0)+IF(OR(AN808="Dados pessoais",AN808="Dados sensíveis",AN808="Dados pessoais e sensíveis"),2,0)+IF(O808="De 1.001 a 10.000 titulares por mês",1,0)+IF(AA808="SIM",1,0)+IF(R808="SIM",1,0)+IF(AL808="SIM",1,0)+IF(AJ808="NÃO",1,0))&gt;=5,"SIM - Alta criticidade",IF((IF(I808="SIM",2,0)+IF(K808="SIM",2,0)+IF(AF808="SIM",2,0)+IF(OR(AN808="Dados pessoais",AN808="Dados sensíveis",AN808="Dados pessoais e sensíveis"),2,0)+IF(O808="De 1.001 a 10.000 titulares por mês",1,0)+IF(AA808="SIM",1,0)+IF(R808="SIM",1,0)+IF(AL808="SIM",1,0)+IF(AJ808="NÃO",1,0))&gt;=3,"Avaliação necessária","NÃO"))))</f>
      </c>
      <c r="AR808" s="11"/>
      <c r="AS808" s="113">
        <f>IF(AND(I808="",K808="",AF808="",AL808="",AN808="",O808=""),"",IF(OR(I808="SIM",K808="SIM",AF808="SIM",AL808="SIM",OR(AN808="Dados pessoais",AN808="Dados sensíveis",AN808="Dados pessoais e sensíveis"),O808="Acima de 10.000 titulares por mês",(IF(I808="SIM",2,0)+IF(K808="SIM",2,0)+IF(AF808="SIM",2,0)+IF(OR(AN808="Dados pessoais",AN808="Dados sensíveis",AN808="Dados pessoais e sensíveis"),2,0)+IF(O808="De 1.001 a 10.000 titulares por mês",1,0)+IF(AA808="SIM",1,0)+IF(R808="SIM",1,0)+IF(AL808="SIM",1,0)+IF(AJ808="NÃO",1,0))&gt;=3),"DPIA indicado ou em avaliação em razão de: " &amp; TRIM(IF(I808="SIM","tratamento de dados sensíveis; ","") &amp; IF(K808="SIM","utilização de dados de menores; ","") &amp; IF(AF808="SIM","transferência internacional de dados; ","") &amp; IF(AL808="SIM","utilização de inteligência artificial; ","") &amp; IF(OR(AN808="Dados pessoais",AN808="Dados sensíveis",AN808="Dados pessoais e sensíveis"),"dados inseridos em IA; ","") &amp; IF(O808="Acima de 10.000 titulares por mês","volume crítico de titulares; ","") &amp; IF(O808="De 1.001 a 10.000 titulares por mês","volume moderado de titulares; ","") &amp; IF(AA808="SIM","compartilhamento com terceiros; ","") &amp; IF(R808="SIM","compartilhamento com órgãos governamentais; ","") &amp; IF(AJ808="NÃO","ausência de controle de acesso por perfil; ","")),"DPIA não indicado: Processo de baixa criticidade."))</f>
      </c>
    </row>
    <row x14ac:dyDescent="0.25" r="809" customHeight="1" ht="15.75">
      <c r="A809" s="46"/>
      <c r="B809" s="6"/>
      <c r="C809" s="11"/>
      <c r="D809" s="11"/>
      <c r="E809" s="11"/>
      <c r="F809" s="29"/>
      <c r="G809" s="11"/>
      <c r="H809" s="11"/>
      <c r="I809" s="29"/>
      <c r="J809" s="11"/>
      <c r="K809" s="29"/>
      <c r="L809" s="11"/>
      <c r="M809" s="11"/>
      <c r="N809" s="11"/>
      <c r="O809" s="29"/>
      <c r="P809" s="29"/>
      <c r="Q809" s="11"/>
      <c r="R809" s="29"/>
      <c r="S809" s="11"/>
      <c r="T809" s="6"/>
      <c r="U809" s="29"/>
      <c r="V809" s="11"/>
      <c r="W809" s="11"/>
      <c r="X809" s="29"/>
      <c r="Y809" s="11"/>
      <c r="Z809" s="29"/>
      <c r="AA809" s="29"/>
      <c r="AB809" s="11"/>
      <c r="AC809" s="11"/>
      <c r="AD809" s="29"/>
      <c r="AE809" s="11"/>
      <c r="AF809" s="29"/>
      <c r="AG809" s="11"/>
      <c r="AH809" s="29"/>
      <c r="AI809" s="11"/>
      <c r="AJ809" s="29"/>
      <c r="AK809" s="29"/>
      <c r="AL809" s="29"/>
      <c r="AM809" s="11"/>
      <c r="AN809" s="29"/>
      <c r="AO809" s="29"/>
      <c r="AP809" s="6"/>
      <c r="AQ809" s="113">
        <f>IF(AND(I809="",K809="",AF809="",AL809="",AN809="",O809=""),"",IF(OR(I809="SIM",K809="SIM",AF809="SIM",AL809="SIM",AN809="Dados pessoais",AN809="Dados sensíveis",AN809="Dados pessoais e sensíveis",O809="Acima de 10.000 titulares por mês"),"SIM - Alta criticidade",IF((IF(I809="SIM",2,0)+IF(K809="SIM",2,0)+IF(AF809="SIM",2,0)+IF(OR(AN809="Dados pessoais",AN809="Dados sensíveis",AN809="Dados pessoais e sensíveis"),2,0)+IF(O809="De 1.001 a 10.000 titulares por mês",1,0)+IF(AA809="SIM",1,0)+IF(R809="SIM",1,0)+IF(AL809="SIM",1,0)+IF(AJ809="NÃO",1,0))&gt;=5,"SIM - Alta criticidade",IF((IF(I809="SIM",2,0)+IF(K809="SIM",2,0)+IF(AF809="SIM",2,0)+IF(OR(AN809="Dados pessoais",AN809="Dados sensíveis",AN809="Dados pessoais e sensíveis"),2,0)+IF(O809="De 1.001 a 10.000 titulares por mês",1,0)+IF(AA809="SIM",1,0)+IF(R809="SIM",1,0)+IF(AL809="SIM",1,0)+IF(AJ809="NÃO",1,0))&gt;=3,"Avaliação necessária","NÃO"))))</f>
      </c>
      <c r="AR809" s="11"/>
      <c r="AS809" s="113">
        <f>IF(AND(I809="",K809="",AF809="",AL809="",AN809="",O809=""),"",IF(OR(I809="SIM",K809="SIM",AF809="SIM",AL809="SIM",OR(AN809="Dados pessoais",AN809="Dados sensíveis",AN809="Dados pessoais e sensíveis"),O809="Acima de 10.000 titulares por mês",(IF(I809="SIM",2,0)+IF(K809="SIM",2,0)+IF(AF809="SIM",2,0)+IF(OR(AN809="Dados pessoais",AN809="Dados sensíveis",AN809="Dados pessoais e sensíveis"),2,0)+IF(O809="De 1.001 a 10.000 titulares por mês",1,0)+IF(AA809="SIM",1,0)+IF(R809="SIM",1,0)+IF(AL809="SIM",1,0)+IF(AJ809="NÃO",1,0))&gt;=3),"DPIA indicado ou em avaliação em razão de: " &amp; TRIM(IF(I809="SIM","tratamento de dados sensíveis; ","") &amp; IF(K809="SIM","utilização de dados de menores; ","") &amp; IF(AF809="SIM","transferência internacional de dados; ","") &amp; IF(AL809="SIM","utilização de inteligência artificial; ","") &amp; IF(OR(AN809="Dados pessoais",AN809="Dados sensíveis",AN809="Dados pessoais e sensíveis"),"dados inseridos em IA; ","") &amp; IF(O809="Acima de 10.000 titulares por mês","volume crítico de titulares; ","") &amp; IF(O809="De 1.001 a 10.000 titulares por mês","volume moderado de titulares; ","") &amp; IF(AA809="SIM","compartilhamento com terceiros; ","") &amp; IF(R809="SIM","compartilhamento com órgãos governamentais; ","") &amp; IF(AJ809="NÃO","ausência de controle de acesso por perfil; ","")),"DPIA não indicado: Processo de baixa criticidade."))</f>
      </c>
    </row>
    <row x14ac:dyDescent="0.25" r="810" customHeight="1" ht="15.75">
      <c r="A810" s="46"/>
      <c r="B810" s="6"/>
      <c r="C810" s="11"/>
      <c r="D810" s="11"/>
      <c r="E810" s="11"/>
      <c r="F810" s="29"/>
      <c r="G810" s="11"/>
      <c r="H810" s="11"/>
      <c r="I810" s="29"/>
      <c r="J810" s="11"/>
      <c r="K810" s="29"/>
      <c r="L810" s="11"/>
      <c r="M810" s="11"/>
      <c r="N810" s="11"/>
      <c r="O810" s="29"/>
      <c r="P810" s="29"/>
      <c r="Q810" s="11"/>
      <c r="R810" s="29"/>
      <c r="S810" s="11"/>
      <c r="T810" s="6"/>
      <c r="U810" s="29"/>
      <c r="V810" s="11"/>
      <c r="W810" s="11"/>
      <c r="X810" s="29"/>
      <c r="Y810" s="11"/>
      <c r="Z810" s="29"/>
      <c r="AA810" s="29"/>
      <c r="AB810" s="11"/>
      <c r="AC810" s="11"/>
      <c r="AD810" s="29"/>
      <c r="AE810" s="11"/>
      <c r="AF810" s="29"/>
      <c r="AG810" s="11"/>
      <c r="AH810" s="29"/>
      <c r="AI810" s="11"/>
      <c r="AJ810" s="29"/>
      <c r="AK810" s="29"/>
      <c r="AL810" s="29"/>
      <c r="AM810" s="11"/>
      <c r="AN810" s="29"/>
      <c r="AO810" s="29"/>
      <c r="AP810" s="6"/>
      <c r="AQ810" s="113">
        <f>IF(AND(I810="",K810="",AF810="",AL810="",AN810="",O810=""),"",IF(OR(I810="SIM",K810="SIM",AF810="SIM",AL810="SIM",AN810="Dados pessoais",AN810="Dados sensíveis",AN810="Dados pessoais e sensíveis",O810="Acima de 10.000 titulares por mês"),"SIM - Alta criticidade",IF((IF(I810="SIM",2,0)+IF(K810="SIM",2,0)+IF(AF810="SIM",2,0)+IF(OR(AN810="Dados pessoais",AN810="Dados sensíveis",AN810="Dados pessoais e sensíveis"),2,0)+IF(O810="De 1.001 a 10.000 titulares por mês",1,0)+IF(AA810="SIM",1,0)+IF(R810="SIM",1,0)+IF(AL810="SIM",1,0)+IF(AJ810="NÃO",1,0))&gt;=5,"SIM - Alta criticidade",IF((IF(I810="SIM",2,0)+IF(K810="SIM",2,0)+IF(AF810="SIM",2,0)+IF(OR(AN810="Dados pessoais",AN810="Dados sensíveis",AN810="Dados pessoais e sensíveis"),2,0)+IF(O810="De 1.001 a 10.000 titulares por mês",1,0)+IF(AA810="SIM",1,0)+IF(R810="SIM",1,0)+IF(AL810="SIM",1,0)+IF(AJ810="NÃO",1,0))&gt;=3,"Avaliação necessária","NÃO"))))</f>
      </c>
      <c r="AR810" s="11"/>
      <c r="AS810" s="113">
        <f>IF(AND(I810="",K810="",AF810="",AL810="",AN810="",O810=""),"",IF(OR(I810="SIM",K810="SIM",AF810="SIM",AL810="SIM",OR(AN810="Dados pessoais",AN810="Dados sensíveis",AN810="Dados pessoais e sensíveis"),O810="Acima de 10.000 titulares por mês",(IF(I810="SIM",2,0)+IF(K810="SIM",2,0)+IF(AF810="SIM",2,0)+IF(OR(AN810="Dados pessoais",AN810="Dados sensíveis",AN810="Dados pessoais e sensíveis"),2,0)+IF(O810="De 1.001 a 10.000 titulares por mês",1,0)+IF(AA810="SIM",1,0)+IF(R810="SIM",1,0)+IF(AL810="SIM",1,0)+IF(AJ810="NÃO",1,0))&gt;=3),"DPIA indicado ou em avaliação em razão de: " &amp; TRIM(IF(I810="SIM","tratamento de dados sensíveis; ","") &amp; IF(K810="SIM","utilização de dados de menores; ","") &amp; IF(AF810="SIM","transferência internacional de dados; ","") &amp; IF(AL810="SIM","utilização de inteligência artificial; ","") &amp; IF(OR(AN810="Dados pessoais",AN810="Dados sensíveis",AN810="Dados pessoais e sensíveis"),"dados inseridos em IA; ","") &amp; IF(O810="Acima de 10.000 titulares por mês","volume crítico de titulares; ","") &amp; IF(O810="De 1.001 a 10.000 titulares por mês","volume moderado de titulares; ","") &amp; IF(AA810="SIM","compartilhamento com terceiros; ","") &amp; IF(R810="SIM","compartilhamento com órgãos governamentais; ","") &amp; IF(AJ810="NÃO","ausência de controle de acesso por perfil; ","")),"DPIA não indicado: Processo de baixa criticidade."))</f>
      </c>
    </row>
    <row x14ac:dyDescent="0.25" r="811" customHeight="1" ht="15.75">
      <c r="A811" s="46"/>
      <c r="B811" s="6"/>
      <c r="C811" s="11"/>
      <c r="D811" s="11"/>
      <c r="E811" s="11"/>
      <c r="F811" s="29"/>
      <c r="G811" s="11"/>
      <c r="H811" s="11"/>
      <c r="I811" s="29"/>
      <c r="J811" s="11"/>
      <c r="K811" s="29"/>
      <c r="L811" s="11"/>
      <c r="M811" s="11"/>
      <c r="N811" s="11"/>
      <c r="O811" s="29"/>
      <c r="P811" s="29"/>
      <c r="Q811" s="11"/>
      <c r="R811" s="29"/>
      <c r="S811" s="11"/>
      <c r="T811" s="6"/>
      <c r="U811" s="29"/>
      <c r="V811" s="11"/>
      <c r="W811" s="11"/>
      <c r="X811" s="29"/>
      <c r="Y811" s="11"/>
      <c r="Z811" s="29"/>
      <c r="AA811" s="29"/>
      <c r="AB811" s="11"/>
      <c r="AC811" s="11"/>
      <c r="AD811" s="29"/>
      <c r="AE811" s="11"/>
      <c r="AF811" s="29"/>
      <c r="AG811" s="11"/>
      <c r="AH811" s="29"/>
      <c r="AI811" s="11"/>
      <c r="AJ811" s="29"/>
      <c r="AK811" s="29"/>
      <c r="AL811" s="29"/>
      <c r="AM811" s="11"/>
      <c r="AN811" s="29"/>
      <c r="AO811" s="29"/>
      <c r="AP811" s="6"/>
      <c r="AQ811" s="113">
        <f>IF(AND(I811="",K811="",AF811="",AL811="",AN811="",O811=""),"",IF(OR(I811="SIM",K811="SIM",AF811="SIM",AL811="SIM",AN811="Dados pessoais",AN811="Dados sensíveis",AN811="Dados pessoais e sensíveis",O811="Acima de 10.000 titulares por mês"),"SIM - Alta criticidade",IF((IF(I811="SIM",2,0)+IF(K811="SIM",2,0)+IF(AF811="SIM",2,0)+IF(OR(AN811="Dados pessoais",AN811="Dados sensíveis",AN811="Dados pessoais e sensíveis"),2,0)+IF(O811="De 1.001 a 10.000 titulares por mês",1,0)+IF(AA811="SIM",1,0)+IF(R811="SIM",1,0)+IF(AL811="SIM",1,0)+IF(AJ811="NÃO",1,0))&gt;=5,"SIM - Alta criticidade",IF((IF(I811="SIM",2,0)+IF(K811="SIM",2,0)+IF(AF811="SIM",2,0)+IF(OR(AN811="Dados pessoais",AN811="Dados sensíveis",AN811="Dados pessoais e sensíveis"),2,0)+IF(O811="De 1.001 a 10.000 titulares por mês",1,0)+IF(AA811="SIM",1,0)+IF(R811="SIM",1,0)+IF(AL811="SIM",1,0)+IF(AJ811="NÃO",1,0))&gt;=3,"Avaliação necessária","NÃO"))))</f>
      </c>
      <c r="AR811" s="11"/>
      <c r="AS811" s="113">
        <f>IF(AND(I811="",K811="",AF811="",AL811="",AN811="",O811=""),"",IF(OR(I811="SIM",K811="SIM",AF811="SIM",AL811="SIM",OR(AN811="Dados pessoais",AN811="Dados sensíveis",AN811="Dados pessoais e sensíveis"),O811="Acima de 10.000 titulares por mês",(IF(I811="SIM",2,0)+IF(K811="SIM",2,0)+IF(AF811="SIM",2,0)+IF(OR(AN811="Dados pessoais",AN811="Dados sensíveis",AN811="Dados pessoais e sensíveis"),2,0)+IF(O811="De 1.001 a 10.000 titulares por mês",1,0)+IF(AA811="SIM",1,0)+IF(R811="SIM",1,0)+IF(AL811="SIM",1,0)+IF(AJ811="NÃO",1,0))&gt;=3),"DPIA indicado ou em avaliação em razão de: " &amp; TRIM(IF(I811="SIM","tratamento de dados sensíveis; ","") &amp; IF(K811="SIM","utilização de dados de menores; ","") &amp; IF(AF811="SIM","transferência internacional de dados; ","") &amp; IF(AL811="SIM","utilização de inteligência artificial; ","") &amp; IF(OR(AN811="Dados pessoais",AN811="Dados sensíveis",AN811="Dados pessoais e sensíveis"),"dados inseridos em IA; ","") &amp; IF(O811="Acima de 10.000 titulares por mês","volume crítico de titulares; ","") &amp; IF(O811="De 1.001 a 10.000 titulares por mês","volume moderado de titulares; ","") &amp; IF(AA811="SIM","compartilhamento com terceiros; ","") &amp; IF(R811="SIM","compartilhamento com órgãos governamentais; ","") &amp; IF(AJ811="NÃO","ausência de controle de acesso por perfil; ","")),"DPIA não indicado: Processo de baixa criticidade."))</f>
      </c>
    </row>
    <row x14ac:dyDescent="0.25" r="812" customHeight="1" ht="15.75">
      <c r="A812" s="46"/>
      <c r="B812" s="6"/>
      <c r="C812" s="11"/>
      <c r="D812" s="11"/>
      <c r="E812" s="11"/>
      <c r="F812" s="29"/>
      <c r="G812" s="11"/>
      <c r="H812" s="11"/>
      <c r="I812" s="29"/>
      <c r="J812" s="11"/>
      <c r="K812" s="29"/>
      <c r="L812" s="11"/>
      <c r="M812" s="11"/>
      <c r="N812" s="11"/>
      <c r="O812" s="29"/>
      <c r="P812" s="29"/>
      <c r="Q812" s="11"/>
      <c r="R812" s="29"/>
      <c r="S812" s="11"/>
      <c r="T812" s="6"/>
      <c r="U812" s="29"/>
      <c r="V812" s="11"/>
      <c r="W812" s="11"/>
      <c r="X812" s="29"/>
      <c r="Y812" s="11"/>
      <c r="Z812" s="29"/>
      <c r="AA812" s="29"/>
      <c r="AB812" s="11"/>
      <c r="AC812" s="11"/>
      <c r="AD812" s="29"/>
      <c r="AE812" s="11"/>
      <c r="AF812" s="29"/>
      <c r="AG812" s="11"/>
      <c r="AH812" s="29"/>
      <c r="AI812" s="11"/>
      <c r="AJ812" s="29"/>
      <c r="AK812" s="29"/>
      <c r="AL812" s="29"/>
      <c r="AM812" s="11"/>
      <c r="AN812" s="29"/>
      <c r="AO812" s="29"/>
      <c r="AP812" s="6"/>
      <c r="AQ812" s="113">
        <f>IF(AND(I812="",K812="",AF812="",AL812="",AN812="",O812=""),"",IF(OR(I812="SIM",K812="SIM",AF812="SIM",AL812="SIM",AN812="Dados pessoais",AN812="Dados sensíveis",AN812="Dados pessoais e sensíveis",O812="Acima de 10.000 titulares por mês"),"SIM - Alta criticidade",IF((IF(I812="SIM",2,0)+IF(K812="SIM",2,0)+IF(AF812="SIM",2,0)+IF(OR(AN812="Dados pessoais",AN812="Dados sensíveis",AN812="Dados pessoais e sensíveis"),2,0)+IF(O812="De 1.001 a 10.000 titulares por mês",1,0)+IF(AA812="SIM",1,0)+IF(R812="SIM",1,0)+IF(AL812="SIM",1,0)+IF(AJ812="NÃO",1,0))&gt;=5,"SIM - Alta criticidade",IF((IF(I812="SIM",2,0)+IF(K812="SIM",2,0)+IF(AF812="SIM",2,0)+IF(OR(AN812="Dados pessoais",AN812="Dados sensíveis",AN812="Dados pessoais e sensíveis"),2,0)+IF(O812="De 1.001 a 10.000 titulares por mês",1,0)+IF(AA812="SIM",1,0)+IF(R812="SIM",1,0)+IF(AL812="SIM",1,0)+IF(AJ812="NÃO",1,0))&gt;=3,"Avaliação necessária","NÃO"))))</f>
      </c>
      <c r="AR812" s="11"/>
      <c r="AS812" s="113">
        <f>IF(AND(I812="",K812="",AF812="",AL812="",AN812="",O812=""),"",IF(OR(I812="SIM",K812="SIM",AF812="SIM",AL812="SIM",OR(AN812="Dados pessoais",AN812="Dados sensíveis",AN812="Dados pessoais e sensíveis"),O812="Acima de 10.000 titulares por mês",(IF(I812="SIM",2,0)+IF(K812="SIM",2,0)+IF(AF812="SIM",2,0)+IF(OR(AN812="Dados pessoais",AN812="Dados sensíveis",AN812="Dados pessoais e sensíveis"),2,0)+IF(O812="De 1.001 a 10.000 titulares por mês",1,0)+IF(AA812="SIM",1,0)+IF(R812="SIM",1,0)+IF(AL812="SIM",1,0)+IF(AJ812="NÃO",1,0))&gt;=3),"DPIA indicado ou em avaliação em razão de: " &amp; TRIM(IF(I812="SIM","tratamento de dados sensíveis; ","") &amp; IF(K812="SIM","utilização de dados de menores; ","") &amp; IF(AF812="SIM","transferência internacional de dados; ","") &amp; IF(AL812="SIM","utilização de inteligência artificial; ","") &amp; IF(OR(AN812="Dados pessoais",AN812="Dados sensíveis",AN812="Dados pessoais e sensíveis"),"dados inseridos em IA; ","") &amp; IF(O812="Acima de 10.000 titulares por mês","volume crítico de titulares; ","") &amp; IF(O812="De 1.001 a 10.000 titulares por mês","volume moderado de titulares; ","") &amp; IF(AA812="SIM","compartilhamento com terceiros; ","") &amp; IF(R812="SIM","compartilhamento com órgãos governamentais; ","") &amp; IF(AJ812="NÃO","ausência de controle de acesso por perfil; ","")),"DPIA não indicado: Processo de baixa criticidade."))</f>
      </c>
    </row>
    <row x14ac:dyDescent="0.25" r="813" customHeight="1" ht="15.75">
      <c r="A813" s="46"/>
      <c r="B813" s="6"/>
      <c r="C813" s="11"/>
      <c r="D813" s="11"/>
      <c r="E813" s="11"/>
      <c r="F813" s="29"/>
      <c r="G813" s="11"/>
      <c r="H813" s="11"/>
      <c r="I813" s="29"/>
      <c r="J813" s="11"/>
      <c r="K813" s="29"/>
      <c r="L813" s="11"/>
      <c r="M813" s="11"/>
      <c r="N813" s="11"/>
      <c r="O813" s="29"/>
      <c r="P813" s="29"/>
      <c r="Q813" s="11"/>
      <c r="R813" s="29"/>
      <c r="S813" s="11"/>
      <c r="T813" s="6"/>
      <c r="U813" s="29"/>
      <c r="V813" s="11"/>
      <c r="W813" s="11"/>
      <c r="X813" s="29"/>
      <c r="Y813" s="11"/>
      <c r="Z813" s="29"/>
      <c r="AA813" s="29"/>
      <c r="AB813" s="11"/>
      <c r="AC813" s="11"/>
      <c r="AD813" s="29"/>
      <c r="AE813" s="11"/>
      <c r="AF813" s="29"/>
      <c r="AG813" s="11"/>
      <c r="AH813" s="29"/>
      <c r="AI813" s="11"/>
      <c r="AJ813" s="29"/>
      <c r="AK813" s="29"/>
      <c r="AL813" s="29"/>
      <c r="AM813" s="11"/>
      <c r="AN813" s="29"/>
      <c r="AO813" s="29"/>
      <c r="AP813" s="6"/>
      <c r="AQ813" s="113">
        <f>IF(AND(I813="",K813="",AF813="",AL813="",AN813="",O813=""),"",IF(OR(I813="SIM",K813="SIM",AF813="SIM",AL813="SIM",AN813="Dados pessoais",AN813="Dados sensíveis",AN813="Dados pessoais e sensíveis",O813="Acima de 10.000 titulares por mês"),"SIM - Alta criticidade",IF((IF(I813="SIM",2,0)+IF(K813="SIM",2,0)+IF(AF813="SIM",2,0)+IF(OR(AN813="Dados pessoais",AN813="Dados sensíveis",AN813="Dados pessoais e sensíveis"),2,0)+IF(O813="De 1.001 a 10.000 titulares por mês",1,0)+IF(AA813="SIM",1,0)+IF(R813="SIM",1,0)+IF(AL813="SIM",1,0)+IF(AJ813="NÃO",1,0))&gt;=5,"SIM - Alta criticidade",IF((IF(I813="SIM",2,0)+IF(K813="SIM",2,0)+IF(AF813="SIM",2,0)+IF(OR(AN813="Dados pessoais",AN813="Dados sensíveis",AN813="Dados pessoais e sensíveis"),2,0)+IF(O813="De 1.001 a 10.000 titulares por mês",1,0)+IF(AA813="SIM",1,0)+IF(R813="SIM",1,0)+IF(AL813="SIM",1,0)+IF(AJ813="NÃO",1,0))&gt;=3,"Avaliação necessária","NÃO"))))</f>
      </c>
      <c r="AR813" s="11"/>
      <c r="AS813" s="113">
        <f>IF(AND(I813="",K813="",AF813="",AL813="",AN813="",O813=""),"",IF(OR(I813="SIM",K813="SIM",AF813="SIM",AL813="SIM",OR(AN813="Dados pessoais",AN813="Dados sensíveis",AN813="Dados pessoais e sensíveis"),O813="Acima de 10.000 titulares por mês",(IF(I813="SIM",2,0)+IF(K813="SIM",2,0)+IF(AF813="SIM",2,0)+IF(OR(AN813="Dados pessoais",AN813="Dados sensíveis",AN813="Dados pessoais e sensíveis"),2,0)+IF(O813="De 1.001 a 10.000 titulares por mês",1,0)+IF(AA813="SIM",1,0)+IF(R813="SIM",1,0)+IF(AL813="SIM",1,0)+IF(AJ813="NÃO",1,0))&gt;=3),"DPIA indicado ou em avaliação em razão de: " &amp; TRIM(IF(I813="SIM","tratamento de dados sensíveis; ","") &amp; IF(K813="SIM","utilização de dados de menores; ","") &amp; IF(AF813="SIM","transferência internacional de dados; ","") &amp; IF(AL813="SIM","utilização de inteligência artificial; ","") &amp; IF(OR(AN813="Dados pessoais",AN813="Dados sensíveis",AN813="Dados pessoais e sensíveis"),"dados inseridos em IA; ","") &amp; IF(O813="Acima de 10.000 titulares por mês","volume crítico de titulares; ","") &amp; IF(O813="De 1.001 a 10.000 titulares por mês","volume moderado de titulares; ","") &amp; IF(AA813="SIM","compartilhamento com terceiros; ","") &amp; IF(R813="SIM","compartilhamento com órgãos governamentais; ","") &amp; IF(AJ813="NÃO","ausência de controle de acesso por perfil; ","")),"DPIA não indicado: Processo de baixa criticidade."))</f>
      </c>
    </row>
    <row x14ac:dyDescent="0.25" r="814" customHeight="1" ht="15.75">
      <c r="A814" s="46"/>
      <c r="B814" s="6"/>
      <c r="C814" s="11"/>
      <c r="D814" s="11"/>
      <c r="E814" s="11"/>
      <c r="F814" s="29"/>
      <c r="G814" s="11"/>
      <c r="H814" s="11"/>
      <c r="I814" s="29"/>
      <c r="J814" s="11"/>
      <c r="K814" s="29"/>
      <c r="L814" s="11"/>
      <c r="M814" s="11"/>
      <c r="N814" s="11"/>
      <c r="O814" s="29"/>
      <c r="P814" s="29"/>
      <c r="Q814" s="11"/>
      <c r="R814" s="29"/>
      <c r="S814" s="11"/>
      <c r="T814" s="6"/>
      <c r="U814" s="29"/>
      <c r="V814" s="11"/>
      <c r="W814" s="11"/>
      <c r="X814" s="29"/>
      <c r="Y814" s="11"/>
      <c r="Z814" s="29"/>
      <c r="AA814" s="29"/>
      <c r="AB814" s="11"/>
      <c r="AC814" s="11"/>
      <c r="AD814" s="29"/>
      <c r="AE814" s="11"/>
      <c r="AF814" s="29"/>
      <c r="AG814" s="11"/>
      <c r="AH814" s="29"/>
      <c r="AI814" s="11"/>
      <c r="AJ814" s="29"/>
      <c r="AK814" s="29"/>
      <c r="AL814" s="29"/>
      <c r="AM814" s="11"/>
      <c r="AN814" s="29"/>
      <c r="AO814" s="29"/>
      <c r="AP814" s="6"/>
      <c r="AQ814" s="113">
        <f>IF(AND(I814="",K814="",AF814="",AL814="",AN814="",O814=""),"",IF(OR(I814="SIM",K814="SIM",AF814="SIM",AL814="SIM",AN814="Dados pessoais",AN814="Dados sensíveis",AN814="Dados pessoais e sensíveis",O814="Acima de 10.000 titulares por mês"),"SIM - Alta criticidade",IF((IF(I814="SIM",2,0)+IF(K814="SIM",2,0)+IF(AF814="SIM",2,0)+IF(OR(AN814="Dados pessoais",AN814="Dados sensíveis",AN814="Dados pessoais e sensíveis"),2,0)+IF(O814="De 1.001 a 10.000 titulares por mês",1,0)+IF(AA814="SIM",1,0)+IF(R814="SIM",1,0)+IF(AL814="SIM",1,0)+IF(AJ814="NÃO",1,0))&gt;=5,"SIM - Alta criticidade",IF((IF(I814="SIM",2,0)+IF(K814="SIM",2,0)+IF(AF814="SIM",2,0)+IF(OR(AN814="Dados pessoais",AN814="Dados sensíveis",AN814="Dados pessoais e sensíveis"),2,0)+IF(O814="De 1.001 a 10.000 titulares por mês",1,0)+IF(AA814="SIM",1,0)+IF(R814="SIM",1,0)+IF(AL814="SIM",1,0)+IF(AJ814="NÃO",1,0))&gt;=3,"Avaliação necessária","NÃO"))))</f>
      </c>
      <c r="AR814" s="11"/>
      <c r="AS814" s="113">
        <f>IF(AND(I814="",K814="",AF814="",AL814="",AN814="",O814=""),"",IF(OR(I814="SIM",K814="SIM",AF814="SIM",AL814="SIM",OR(AN814="Dados pessoais",AN814="Dados sensíveis",AN814="Dados pessoais e sensíveis"),O814="Acima de 10.000 titulares por mês",(IF(I814="SIM",2,0)+IF(K814="SIM",2,0)+IF(AF814="SIM",2,0)+IF(OR(AN814="Dados pessoais",AN814="Dados sensíveis",AN814="Dados pessoais e sensíveis"),2,0)+IF(O814="De 1.001 a 10.000 titulares por mês",1,0)+IF(AA814="SIM",1,0)+IF(R814="SIM",1,0)+IF(AL814="SIM",1,0)+IF(AJ814="NÃO",1,0))&gt;=3),"DPIA indicado ou em avaliação em razão de: " &amp; TRIM(IF(I814="SIM","tratamento de dados sensíveis; ","") &amp; IF(K814="SIM","utilização de dados de menores; ","") &amp; IF(AF814="SIM","transferência internacional de dados; ","") &amp; IF(AL814="SIM","utilização de inteligência artificial; ","") &amp; IF(OR(AN814="Dados pessoais",AN814="Dados sensíveis",AN814="Dados pessoais e sensíveis"),"dados inseridos em IA; ","") &amp; IF(O814="Acima de 10.000 titulares por mês","volume crítico de titulares; ","") &amp; IF(O814="De 1.001 a 10.000 titulares por mês","volume moderado de titulares; ","") &amp; IF(AA814="SIM","compartilhamento com terceiros; ","") &amp; IF(R814="SIM","compartilhamento com órgãos governamentais; ","") &amp; IF(AJ814="NÃO","ausência de controle de acesso por perfil; ","")),"DPIA não indicado: Processo de baixa criticidade."))</f>
      </c>
    </row>
    <row x14ac:dyDescent="0.25" r="815" customHeight="1" ht="15.75">
      <c r="A815" s="46"/>
      <c r="B815" s="6"/>
      <c r="C815" s="11"/>
      <c r="D815" s="11"/>
      <c r="E815" s="11"/>
      <c r="F815" s="29"/>
      <c r="G815" s="11"/>
      <c r="H815" s="11"/>
      <c r="I815" s="29"/>
      <c r="J815" s="11"/>
      <c r="K815" s="29"/>
      <c r="L815" s="11"/>
      <c r="M815" s="11"/>
      <c r="N815" s="11"/>
      <c r="O815" s="29"/>
      <c r="P815" s="29"/>
      <c r="Q815" s="11"/>
      <c r="R815" s="29"/>
      <c r="S815" s="11"/>
      <c r="T815" s="6"/>
      <c r="U815" s="29"/>
      <c r="V815" s="11"/>
      <c r="W815" s="11"/>
      <c r="X815" s="29"/>
      <c r="Y815" s="11"/>
      <c r="Z815" s="29"/>
      <c r="AA815" s="29"/>
      <c r="AB815" s="11"/>
      <c r="AC815" s="11"/>
      <c r="AD815" s="29"/>
      <c r="AE815" s="11"/>
      <c r="AF815" s="29"/>
      <c r="AG815" s="11"/>
      <c r="AH815" s="29"/>
      <c r="AI815" s="11"/>
      <c r="AJ815" s="29"/>
      <c r="AK815" s="29"/>
      <c r="AL815" s="29"/>
      <c r="AM815" s="11"/>
      <c r="AN815" s="29"/>
      <c r="AO815" s="29"/>
      <c r="AP815" s="6"/>
      <c r="AQ815" s="113">
        <f>IF(AND(I815="",K815="",AF815="",AL815="",AN815="",O815=""),"",IF(OR(I815="SIM",K815="SIM",AF815="SIM",AL815="SIM",AN815="Dados pessoais",AN815="Dados sensíveis",AN815="Dados pessoais e sensíveis",O815="Acima de 10.000 titulares por mês"),"SIM - Alta criticidade",IF((IF(I815="SIM",2,0)+IF(K815="SIM",2,0)+IF(AF815="SIM",2,0)+IF(OR(AN815="Dados pessoais",AN815="Dados sensíveis",AN815="Dados pessoais e sensíveis"),2,0)+IF(O815="De 1.001 a 10.000 titulares por mês",1,0)+IF(AA815="SIM",1,0)+IF(R815="SIM",1,0)+IF(AL815="SIM",1,0)+IF(AJ815="NÃO",1,0))&gt;=5,"SIM - Alta criticidade",IF((IF(I815="SIM",2,0)+IF(K815="SIM",2,0)+IF(AF815="SIM",2,0)+IF(OR(AN815="Dados pessoais",AN815="Dados sensíveis",AN815="Dados pessoais e sensíveis"),2,0)+IF(O815="De 1.001 a 10.000 titulares por mês",1,0)+IF(AA815="SIM",1,0)+IF(R815="SIM",1,0)+IF(AL815="SIM",1,0)+IF(AJ815="NÃO",1,0))&gt;=3,"Avaliação necessária","NÃO"))))</f>
      </c>
      <c r="AR815" s="11"/>
      <c r="AS815" s="113">
        <f>IF(AND(I815="",K815="",AF815="",AL815="",AN815="",O815=""),"",IF(OR(I815="SIM",K815="SIM",AF815="SIM",AL815="SIM",OR(AN815="Dados pessoais",AN815="Dados sensíveis",AN815="Dados pessoais e sensíveis"),O815="Acima de 10.000 titulares por mês",(IF(I815="SIM",2,0)+IF(K815="SIM",2,0)+IF(AF815="SIM",2,0)+IF(OR(AN815="Dados pessoais",AN815="Dados sensíveis",AN815="Dados pessoais e sensíveis"),2,0)+IF(O815="De 1.001 a 10.000 titulares por mês",1,0)+IF(AA815="SIM",1,0)+IF(R815="SIM",1,0)+IF(AL815="SIM",1,0)+IF(AJ815="NÃO",1,0))&gt;=3),"DPIA indicado ou em avaliação em razão de: " &amp; TRIM(IF(I815="SIM","tratamento de dados sensíveis; ","") &amp; IF(K815="SIM","utilização de dados de menores; ","") &amp; IF(AF815="SIM","transferência internacional de dados; ","") &amp; IF(AL815="SIM","utilização de inteligência artificial; ","") &amp; IF(OR(AN815="Dados pessoais",AN815="Dados sensíveis",AN815="Dados pessoais e sensíveis"),"dados inseridos em IA; ","") &amp; IF(O815="Acima de 10.000 titulares por mês","volume crítico de titulares; ","") &amp; IF(O815="De 1.001 a 10.000 titulares por mês","volume moderado de titulares; ","") &amp; IF(AA815="SIM","compartilhamento com terceiros; ","") &amp; IF(R815="SIM","compartilhamento com órgãos governamentais; ","") &amp; IF(AJ815="NÃO","ausência de controle de acesso por perfil; ","")),"DPIA não indicado: Processo de baixa criticidade."))</f>
      </c>
    </row>
    <row x14ac:dyDescent="0.25" r="816" customHeight="1" ht="15.75">
      <c r="A816" s="46"/>
      <c r="B816" s="6"/>
      <c r="C816" s="11"/>
      <c r="D816" s="11"/>
      <c r="E816" s="11"/>
      <c r="F816" s="29"/>
      <c r="G816" s="11"/>
      <c r="H816" s="11"/>
      <c r="I816" s="29"/>
      <c r="J816" s="11"/>
      <c r="K816" s="29"/>
      <c r="L816" s="11"/>
      <c r="M816" s="11"/>
      <c r="N816" s="11"/>
      <c r="O816" s="29"/>
      <c r="P816" s="29"/>
      <c r="Q816" s="11"/>
      <c r="R816" s="29"/>
      <c r="S816" s="11"/>
      <c r="T816" s="6"/>
      <c r="U816" s="29"/>
      <c r="V816" s="11"/>
      <c r="W816" s="11"/>
      <c r="X816" s="29"/>
      <c r="Y816" s="11"/>
      <c r="Z816" s="29"/>
      <c r="AA816" s="29"/>
      <c r="AB816" s="11"/>
      <c r="AC816" s="11"/>
      <c r="AD816" s="29"/>
      <c r="AE816" s="11"/>
      <c r="AF816" s="29"/>
      <c r="AG816" s="11"/>
      <c r="AH816" s="29"/>
      <c r="AI816" s="11"/>
      <c r="AJ816" s="29"/>
      <c r="AK816" s="29"/>
      <c r="AL816" s="29"/>
      <c r="AM816" s="11"/>
      <c r="AN816" s="29"/>
      <c r="AO816" s="29"/>
      <c r="AP816" s="6"/>
      <c r="AQ816" s="113">
        <f>IF(AND(I816="",K816="",AF816="",AL816="",AN816="",O816=""),"",IF(OR(I816="SIM",K816="SIM",AF816="SIM",AL816="SIM",AN816="Dados pessoais",AN816="Dados sensíveis",AN816="Dados pessoais e sensíveis",O816="Acima de 10.000 titulares por mês"),"SIM - Alta criticidade",IF((IF(I816="SIM",2,0)+IF(K816="SIM",2,0)+IF(AF816="SIM",2,0)+IF(OR(AN816="Dados pessoais",AN816="Dados sensíveis",AN816="Dados pessoais e sensíveis"),2,0)+IF(O816="De 1.001 a 10.000 titulares por mês",1,0)+IF(AA816="SIM",1,0)+IF(R816="SIM",1,0)+IF(AL816="SIM",1,0)+IF(AJ816="NÃO",1,0))&gt;=5,"SIM - Alta criticidade",IF((IF(I816="SIM",2,0)+IF(K816="SIM",2,0)+IF(AF816="SIM",2,0)+IF(OR(AN816="Dados pessoais",AN816="Dados sensíveis",AN816="Dados pessoais e sensíveis"),2,0)+IF(O816="De 1.001 a 10.000 titulares por mês",1,0)+IF(AA816="SIM",1,0)+IF(R816="SIM",1,0)+IF(AL816="SIM",1,0)+IF(AJ816="NÃO",1,0))&gt;=3,"Avaliação necessária","NÃO"))))</f>
      </c>
      <c r="AR816" s="11"/>
      <c r="AS816" s="113">
        <f>IF(AND(I816="",K816="",AF816="",AL816="",AN816="",O816=""),"",IF(OR(I816="SIM",K816="SIM",AF816="SIM",AL816="SIM",OR(AN816="Dados pessoais",AN816="Dados sensíveis",AN816="Dados pessoais e sensíveis"),O816="Acima de 10.000 titulares por mês",(IF(I816="SIM",2,0)+IF(K816="SIM",2,0)+IF(AF816="SIM",2,0)+IF(OR(AN816="Dados pessoais",AN816="Dados sensíveis",AN816="Dados pessoais e sensíveis"),2,0)+IF(O816="De 1.001 a 10.000 titulares por mês",1,0)+IF(AA816="SIM",1,0)+IF(R816="SIM",1,0)+IF(AL816="SIM",1,0)+IF(AJ816="NÃO",1,0))&gt;=3),"DPIA indicado ou em avaliação em razão de: " &amp; TRIM(IF(I816="SIM","tratamento de dados sensíveis; ","") &amp; IF(K816="SIM","utilização de dados de menores; ","") &amp; IF(AF816="SIM","transferência internacional de dados; ","") &amp; IF(AL816="SIM","utilização de inteligência artificial; ","") &amp; IF(OR(AN816="Dados pessoais",AN816="Dados sensíveis",AN816="Dados pessoais e sensíveis"),"dados inseridos em IA; ","") &amp; IF(O816="Acima de 10.000 titulares por mês","volume crítico de titulares; ","") &amp; IF(O816="De 1.001 a 10.000 titulares por mês","volume moderado de titulares; ","") &amp; IF(AA816="SIM","compartilhamento com terceiros; ","") &amp; IF(R816="SIM","compartilhamento com órgãos governamentais; ","") &amp; IF(AJ816="NÃO","ausência de controle de acesso por perfil; ","")),"DPIA não indicado: Processo de baixa criticidade."))</f>
      </c>
    </row>
    <row x14ac:dyDescent="0.25" r="817" customHeight="1" ht="15.75">
      <c r="A817" s="46"/>
      <c r="B817" s="6"/>
      <c r="C817" s="11"/>
      <c r="D817" s="11"/>
      <c r="E817" s="11"/>
      <c r="F817" s="29"/>
      <c r="G817" s="11"/>
      <c r="H817" s="11"/>
      <c r="I817" s="29"/>
      <c r="J817" s="11"/>
      <c r="K817" s="29"/>
      <c r="L817" s="11"/>
      <c r="M817" s="11"/>
      <c r="N817" s="11"/>
      <c r="O817" s="29"/>
      <c r="P817" s="29"/>
      <c r="Q817" s="11"/>
      <c r="R817" s="29"/>
      <c r="S817" s="11"/>
      <c r="T817" s="6"/>
      <c r="U817" s="29"/>
      <c r="V817" s="11"/>
      <c r="W817" s="11"/>
      <c r="X817" s="29"/>
      <c r="Y817" s="11"/>
      <c r="Z817" s="29"/>
      <c r="AA817" s="29"/>
      <c r="AB817" s="11"/>
      <c r="AC817" s="11"/>
      <c r="AD817" s="29"/>
      <c r="AE817" s="11"/>
      <c r="AF817" s="29"/>
      <c r="AG817" s="11"/>
      <c r="AH817" s="29"/>
      <c r="AI817" s="11"/>
      <c r="AJ817" s="29"/>
      <c r="AK817" s="29"/>
      <c r="AL817" s="29"/>
      <c r="AM817" s="11"/>
      <c r="AN817" s="29"/>
      <c r="AO817" s="29"/>
      <c r="AP817" s="6"/>
      <c r="AQ817" s="113">
        <f>IF(AND(I817="",K817="",AF817="",AL817="",AN817="",O817=""),"",IF(OR(I817="SIM",K817="SIM",AF817="SIM",AL817="SIM",AN817="Dados pessoais",AN817="Dados sensíveis",AN817="Dados pessoais e sensíveis",O817="Acima de 10.000 titulares por mês"),"SIM - Alta criticidade",IF((IF(I817="SIM",2,0)+IF(K817="SIM",2,0)+IF(AF817="SIM",2,0)+IF(OR(AN817="Dados pessoais",AN817="Dados sensíveis",AN817="Dados pessoais e sensíveis"),2,0)+IF(O817="De 1.001 a 10.000 titulares por mês",1,0)+IF(AA817="SIM",1,0)+IF(R817="SIM",1,0)+IF(AL817="SIM",1,0)+IF(AJ817="NÃO",1,0))&gt;=5,"SIM - Alta criticidade",IF((IF(I817="SIM",2,0)+IF(K817="SIM",2,0)+IF(AF817="SIM",2,0)+IF(OR(AN817="Dados pessoais",AN817="Dados sensíveis",AN817="Dados pessoais e sensíveis"),2,0)+IF(O817="De 1.001 a 10.000 titulares por mês",1,0)+IF(AA817="SIM",1,0)+IF(R817="SIM",1,0)+IF(AL817="SIM",1,0)+IF(AJ817="NÃO",1,0))&gt;=3,"Avaliação necessária","NÃO"))))</f>
      </c>
      <c r="AR817" s="11"/>
      <c r="AS817" s="113">
        <f>IF(AND(I817="",K817="",AF817="",AL817="",AN817="",O817=""),"",IF(OR(I817="SIM",K817="SIM",AF817="SIM",AL817="SIM",OR(AN817="Dados pessoais",AN817="Dados sensíveis",AN817="Dados pessoais e sensíveis"),O817="Acima de 10.000 titulares por mês",(IF(I817="SIM",2,0)+IF(K817="SIM",2,0)+IF(AF817="SIM",2,0)+IF(OR(AN817="Dados pessoais",AN817="Dados sensíveis",AN817="Dados pessoais e sensíveis"),2,0)+IF(O817="De 1.001 a 10.000 titulares por mês",1,0)+IF(AA817="SIM",1,0)+IF(R817="SIM",1,0)+IF(AL817="SIM",1,0)+IF(AJ817="NÃO",1,0))&gt;=3),"DPIA indicado ou em avaliação em razão de: " &amp; TRIM(IF(I817="SIM","tratamento de dados sensíveis; ","") &amp; IF(K817="SIM","utilização de dados de menores; ","") &amp; IF(AF817="SIM","transferência internacional de dados; ","") &amp; IF(AL817="SIM","utilização de inteligência artificial; ","") &amp; IF(OR(AN817="Dados pessoais",AN817="Dados sensíveis",AN817="Dados pessoais e sensíveis"),"dados inseridos em IA; ","") &amp; IF(O817="Acima de 10.000 titulares por mês","volume crítico de titulares; ","") &amp; IF(O817="De 1.001 a 10.000 titulares por mês","volume moderado de titulares; ","") &amp; IF(AA817="SIM","compartilhamento com terceiros; ","") &amp; IF(R817="SIM","compartilhamento com órgãos governamentais; ","") &amp; IF(AJ817="NÃO","ausência de controle de acesso por perfil; ","")),"DPIA não indicado: Processo de baixa criticidade."))</f>
      </c>
    </row>
    <row x14ac:dyDescent="0.25" r="818" customHeight="1" ht="15.75">
      <c r="A818" s="46"/>
      <c r="B818" s="6"/>
      <c r="C818" s="11"/>
      <c r="D818" s="11"/>
      <c r="E818" s="11"/>
      <c r="F818" s="29"/>
      <c r="G818" s="11"/>
      <c r="H818" s="11"/>
      <c r="I818" s="29"/>
      <c r="J818" s="11"/>
      <c r="K818" s="29"/>
      <c r="L818" s="11"/>
      <c r="M818" s="11"/>
      <c r="N818" s="11"/>
      <c r="O818" s="29"/>
      <c r="P818" s="29"/>
      <c r="Q818" s="11"/>
      <c r="R818" s="29"/>
      <c r="S818" s="11"/>
      <c r="T818" s="6"/>
      <c r="U818" s="29"/>
      <c r="V818" s="11"/>
      <c r="W818" s="11"/>
      <c r="X818" s="29"/>
      <c r="Y818" s="11"/>
      <c r="Z818" s="29"/>
      <c r="AA818" s="29"/>
      <c r="AB818" s="11"/>
      <c r="AC818" s="11"/>
      <c r="AD818" s="29"/>
      <c r="AE818" s="11"/>
      <c r="AF818" s="29"/>
      <c r="AG818" s="11"/>
      <c r="AH818" s="29"/>
      <c r="AI818" s="11"/>
      <c r="AJ818" s="29"/>
      <c r="AK818" s="29"/>
      <c r="AL818" s="29"/>
      <c r="AM818" s="11"/>
      <c r="AN818" s="29"/>
      <c r="AO818" s="29"/>
      <c r="AP818" s="6"/>
      <c r="AQ818" s="113">
        <f>IF(AND(I818="",K818="",AF818="",AL818="",AN818="",O818=""),"",IF(OR(I818="SIM",K818="SIM",AF818="SIM",AL818="SIM",AN818="Dados pessoais",AN818="Dados sensíveis",AN818="Dados pessoais e sensíveis",O818="Acima de 10.000 titulares por mês"),"SIM - Alta criticidade",IF((IF(I818="SIM",2,0)+IF(K818="SIM",2,0)+IF(AF818="SIM",2,0)+IF(OR(AN818="Dados pessoais",AN818="Dados sensíveis",AN818="Dados pessoais e sensíveis"),2,0)+IF(O818="De 1.001 a 10.000 titulares por mês",1,0)+IF(AA818="SIM",1,0)+IF(R818="SIM",1,0)+IF(AL818="SIM",1,0)+IF(AJ818="NÃO",1,0))&gt;=5,"SIM - Alta criticidade",IF((IF(I818="SIM",2,0)+IF(K818="SIM",2,0)+IF(AF818="SIM",2,0)+IF(OR(AN818="Dados pessoais",AN818="Dados sensíveis",AN818="Dados pessoais e sensíveis"),2,0)+IF(O818="De 1.001 a 10.000 titulares por mês",1,0)+IF(AA818="SIM",1,0)+IF(R818="SIM",1,0)+IF(AL818="SIM",1,0)+IF(AJ818="NÃO",1,0))&gt;=3,"Avaliação necessária","NÃO"))))</f>
      </c>
      <c r="AR818" s="11"/>
      <c r="AS818" s="113">
        <f>IF(AND(I818="",K818="",AF818="",AL818="",AN818="",O818=""),"",IF(OR(I818="SIM",K818="SIM",AF818="SIM",AL818="SIM",OR(AN818="Dados pessoais",AN818="Dados sensíveis",AN818="Dados pessoais e sensíveis"),O818="Acima de 10.000 titulares por mês",(IF(I818="SIM",2,0)+IF(K818="SIM",2,0)+IF(AF818="SIM",2,0)+IF(OR(AN818="Dados pessoais",AN818="Dados sensíveis",AN818="Dados pessoais e sensíveis"),2,0)+IF(O818="De 1.001 a 10.000 titulares por mês",1,0)+IF(AA818="SIM",1,0)+IF(R818="SIM",1,0)+IF(AL818="SIM",1,0)+IF(AJ818="NÃO",1,0))&gt;=3),"DPIA indicado ou em avaliação em razão de: " &amp; TRIM(IF(I818="SIM","tratamento de dados sensíveis; ","") &amp; IF(K818="SIM","utilização de dados de menores; ","") &amp; IF(AF818="SIM","transferência internacional de dados; ","") &amp; IF(AL818="SIM","utilização de inteligência artificial; ","") &amp; IF(OR(AN818="Dados pessoais",AN818="Dados sensíveis",AN818="Dados pessoais e sensíveis"),"dados inseridos em IA; ","") &amp; IF(O818="Acima de 10.000 titulares por mês","volume crítico de titulares; ","") &amp; IF(O818="De 1.001 a 10.000 titulares por mês","volume moderado de titulares; ","") &amp; IF(AA818="SIM","compartilhamento com terceiros; ","") &amp; IF(R818="SIM","compartilhamento com órgãos governamentais; ","") &amp; IF(AJ818="NÃO","ausência de controle de acesso por perfil; ","")),"DPIA não indicado: Processo de baixa criticidade."))</f>
      </c>
    </row>
    <row x14ac:dyDescent="0.25" r="819" customHeight="1" ht="15.75">
      <c r="A819" s="46"/>
      <c r="B819" s="6"/>
      <c r="C819" s="11"/>
      <c r="D819" s="11"/>
      <c r="E819" s="11"/>
      <c r="F819" s="29"/>
      <c r="G819" s="11"/>
      <c r="H819" s="11"/>
      <c r="I819" s="29"/>
      <c r="J819" s="11"/>
      <c r="K819" s="29"/>
      <c r="L819" s="11"/>
      <c r="M819" s="11"/>
      <c r="N819" s="11"/>
      <c r="O819" s="29"/>
      <c r="P819" s="29"/>
      <c r="Q819" s="11"/>
      <c r="R819" s="29"/>
      <c r="S819" s="11"/>
      <c r="T819" s="6"/>
      <c r="U819" s="29"/>
      <c r="V819" s="11"/>
      <c r="W819" s="11"/>
      <c r="X819" s="29"/>
      <c r="Y819" s="11"/>
      <c r="Z819" s="29"/>
      <c r="AA819" s="29"/>
      <c r="AB819" s="11"/>
      <c r="AC819" s="11"/>
      <c r="AD819" s="29"/>
      <c r="AE819" s="11"/>
      <c r="AF819" s="29"/>
      <c r="AG819" s="11"/>
      <c r="AH819" s="29"/>
      <c r="AI819" s="11"/>
      <c r="AJ819" s="29"/>
      <c r="AK819" s="29"/>
      <c r="AL819" s="29"/>
      <c r="AM819" s="11"/>
      <c r="AN819" s="29"/>
      <c r="AO819" s="29"/>
      <c r="AP819" s="6"/>
      <c r="AQ819" s="113">
        <f>IF(AND(I819="",K819="",AF819="",AL819="",AN819="",O819=""),"",IF(OR(I819="SIM",K819="SIM",AF819="SIM",AL819="SIM",AN819="Dados pessoais",AN819="Dados sensíveis",AN819="Dados pessoais e sensíveis",O819="Acima de 10.000 titulares por mês"),"SIM - Alta criticidade",IF((IF(I819="SIM",2,0)+IF(K819="SIM",2,0)+IF(AF819="SIM",2,0)+IF(OR(AN819="Dados pessoais",AN819="Dados sensíveis",AN819="Dados pessoais e sensíveis"),2,0)+IF(O819="De 1.001 a 10.000 titulares por mês",1,0)+IF(AA819="SIM",1,0)+IF(R819="SIM",1,0)+IF(AL819="SIM",1,0)+IF(AJ819="NÃO",1,0))&gt;=5,"SIM - Alta criticidade",IF((IF(I819="SIM",2,0)+IF(K819="SIM",2,0)+IF(AF819="SIM",2,0)+IF(OR(AN819="Dados pessoais",AN819="Dados sensíveis",AN819="Dados pessoais e sensíveis"),2,0)+IF(O819="De 1.001 a 10.000 titulares por mês",1,0)+IF(AA819="SIM",1,0)+IF(R819="SIM",1,0)+IF(AL819="SIM",1,0)+IF(AJ819="NÃO",1,0))&gt;=3,"Avaliação necessária","NÃO"))))</f>
      </c>
      <c r="AR819" s="11"/>
      <c r="AS819" s="113">
        <f>IF(AND(I819="",K819="",AF819="",AL819="",AN819="",O819=""),"",IF(OR(I819="SIM",K819="SIM",AF819="SIM",AL819="SIM",OR(AN819="Dados pessoais",AN819="Dados sensíveis",AN819="Dados pessoais e sensíveis"),O819="Acima de 10.000 titulares por mês",(IF(I819="SIM",2,0)+IF(K819="SIM",2,0)+IF(AF819="SIM",2,0)+IF(OR(AN819="Dados pessoais",AN819="Dados sensíveis",AN819="Dados pessoais e sensíveis"),2,0)+IF(O819="De 1.001 a 10.000 titulares por mês",1,0)+IF(AA819="SIM",1,0)+IF(R819="SIM",1,0)+IF(AL819="SIM",1,0)+IF(AJ819="NÃO",1,0))&gt;=3),"DPIA indicado ou em avaliação em razão de: " &amp; TRIM(IF(I819="SIM","tratamento de dados sensíveis; ","") &amp; IF(K819="SIM","utilização de dados de menores; ","") &amp; IF(AF819="SIM","transferência internacional de dados; ","") &amp; IF(AL819="SIM","utilização de inteligência artificial; ","") &amp; IF(OR(AN819="Dados pessoais",AN819="Dados sensíveis",AN819="Dados pessoais e sensíveis"),"dados inseridos em IA; ","") &amp; IF(O819="Acima de 10.000 titulares por mês","volume crítico de titulares; ","") &amp; IF(O819="De 1.001 a 10.000 titulares por mês","volume moderado de titulares; ","") &amp; IF(AA819="SIM","compartilhamento com terceiros; ","") &amp; IF(R819="SIM","compartilhamento com órgãos governamentais; ","") &amp; IF(AJ819="NÃO","ausência de controle de acesso por perfil; ","")),"DPIA não indicado: Processo de baixa criticidade."))</f>
      </c>
    </row>
    <row x14ac:dyDescent="0.25" r="820" customHeight="1" ht="15.75">
      <c r="A820" s="46"/>
      <c r="B820" s="6"/>
      <c r="C820" s="11"/>
      <c r="D820" s="11"/>
      <c r="E820" s="11"/>
      <c r="F820" s="29"/>
      <c r="G820" s="11"/>
      <c r="H820" s="11"/>
      <c r="I820" s="29"/>
      <c r="J820" s="11"/>
      <c r="K820" s="29"/>
      <c r="L820" s="11"/>
      <c r="M820" s="11"/>
      <c r="N820" s="11"/>
      <c r="O820" s="29"/>
      <c r="P820" s="29"/>
      <c r="Q820" s="11"/>
      <c r="R820" s="29"/>
      <c r="S820" s="11"/>
      <c r="T820" s="6"/>
      <c r="U820" s="29"/>
      <c r="V820" s="11"/>
      <c r="W820" s="11"/>
      <c r="X820" s="29"/>
      <c r="Y820" s="11"/>
      <c r="Z820" s="29"/>
      <c r="AA820" s="29"/>
      <c r="AB820" s="11"/>
      <c r="AC820" s="11"/>
      <c r="AD820" s="29"/>
      <c r="AE820" s="11"/>
      <c r="AF820" s="29"/>
      <c r="AG820" s="11"/>
      <c r="AH820" s="29"/>
      <c r="AI820" s="11"/>
      <c r="AJ820" s="29"/>
      <c r="AK820" s="29"/>
      <c r="AL820" s="29"/>
      <c r="AM820" s="11"/>
      <c r="AN820" s="29"/>
      <c r="AO820" s="29"/>
      <c r="AP820" s="6"/>
      <c r="AQ820" s="113">
        <f>IF(AND(I820="",K820="",AF820="",AL820="",AN820="",O820=""),"",IF(OR(I820="SIM",K820="SIM",AF820="SIM",AL820="SIM",AN820="Dados pessoais",AN820="Dados sensíveis",AN820="Dados pessoais e sensíveis",O820="Acima de 10.000 titulares por mês"),"SIM - Alta criticidade",IF((IF(I820="SIM",2,0)+IF(K820="SIM",2,0)+IF(AF820="SIM",2,0)+IF(OR(AN820="Dados pessoais",AN820="Dados sensíveis",AN820="Dados pessoais e sensíveis"),2,0)+IF(O820="De 1.001 a 10.000 titulares por mês",1,0)+IF(AA820="SIM",1,0)+IF(R820="SIM",1,0)+IF(AL820="SIM",1,0)+IF(AJ820="NÃO",1,0))&gt;=5,"SIM - Alta criticidade",IF((IF(I820="SIM",2,0)+IF(K820="SIM",2,0)+IF(AF820="SIM",2,0)+IF(OR(AN820="Dados pessoais",AN820="Dados sensíveis",AN820="Dados pessoais e sensíveis"),2,0)+IF(O820="De 1.001 a 10.000 titulares por mês",1,0)+IF(AA820="SIM",1,0)+IF(R820="SIM",1,0)+IF(AL820="SIM",1,0)+IF(AJ820="NÃO",1,0))&gt;=3,"Avaliação necessária","NÃO"))))</f>
      </c>
      <c r="AR820" s="11"/>
      <c r="AS820" s="113">
        <f>IF(AND(I820="",K820="",AF820="",AL820="",AN820="",O820=""),"",IF(OR(I820="SIM",K820="SIM",AF820="SIM",AL820="SIM",OR(AN820="Dados pessoais",AN820="Dados sensíveis",AN820="Dados pessoais e sensíveis"),O820="Acima de 10.000 titulares por mês",(IF(I820="SIM",2,0)+IF(K820="SIM",2,0)+IF(AF820="SIM",2,0)+IF(OR(AN820="Dados pessoais",AN820="Dados sensíveis",AN820="Dados pessoais e sensíveis"),2,0)+IF(O820="De 1.001 a 10.000 titulares por mês",1,0)+IF(AA820="SIM",1,0)+IF(R820="SIM",1,0)+IF(AL820="SIM",1,0)+IF(AJ820="NÃO",1,0))&gt;=3),"DPIA indicado ou em avaliação em razão de: " &amp; TRIM(IF(I820="SIM","tratamento de dados sensíveis; ","") &amp; IF(K820="SIM","utilização de dados de menores; ","") &amp; IF(AF820="SIM","transferência internacional de dados; ","") &amp; IF(AL820="SIM","utilização de inteligência artificial; ","") &amp; IF(OR(AN820="Dados pessoais",AN820="Dados sensíveis",AN820="Dados pessoais e sensíveis"),"dados inseridos em IA; ","") &amp; IF(O820="Acima de 10.000 titulares por mês","volume crítico de titulares; ","") &amp; IF(O820="De 1.001 a 10.000 titulares por mês","volume moderado de titulares; ","") &amp; IF(AA820="SIM","compartilhamento com terceiros; ","") &amp; IF(R820="SIM","compartilhamento com órgãos governamentais; ","") &amp; IF(AJ820="NÃO","ausência de controle de acesso por perfil; ","")),"DPIA não indicado: Processo de baixa criticidade."))</f>
      </c>
    </row>
    <row x14ac:dyDescent="0.25" r="821" customHeight="1" ht="15.75">
      <c r="A821" s="46"/>
      <c r="B821" s="6"/>
      <c r="C821" s="11"/>
      <c r="D821" s="11"/>
      <c r="E821" s="11"/>
      <c r="F821" s="29"/>
      <c r="G821" s="11"/>
      <c r="H821" s="11"/>
      <c r="I821" s="29"/>
      <c r="J821" s="11"/>
      <c r="K821" s="29"/>
      <c r="L821" s="11"/>
      <c r="M821" s="11"/>
      <c r="N821" s="11"/>
      <c r="O821" s="29"/>
      <c r="P821" s="29"/>
      <c r="Q821" s="11"/>
      <c r="R821" s="29"/>
      <c r="S821" s="11"/>
      <c r="T821" s="6"/>
      <c r="U821" s="29"/>
      <c r="V821" s="11"/>
      <c r="W821" s="11"/>
      <c r="X821" s="29"/>
      <c r="Y821" s="11"/>
      <c r="Z821" s="29"/>
      <c r="AA821" s="29"/>
      <c r="AB821" s="11"/>
      <c r="AC821" s="11"/>
      <c r="AD821" s="29"/>
      <c r="AE821" s="11"/>
      <c r="AF821" s="29"/>
      <c r="AG821" s="11"/>
      <c r="AH821" s="29"/>
      <c r="AI821" s="11"/>
      <c r="AJ821" s="29"/>
      <c r="AK821" s="29"/>
      <c r="AL821" s="29"/>
      <c r="AM821" s="11"/>
      <c r="AN821" s="29"/>
      <c r="AO821" s="29"/>
      <c r="AP821" s="6"/>
      <c r="AQ821" s="113">
        <f>IF(AND(I821="",K821="",AF821="",AL821="",AN821="",O821=""),"",IF(OR(I821="SIM",K821="SIM",AF821="SIM",AL821="SIM",AN821="Dados pessoais",AN821="Dados sensíveis",AN821="Dados pessoais e sensíveis",O821="Acima de 10.000 titulares por mês"),"SIM - Alta criticidade",IF((IF(I821="SIM",2,0)+IF(K821="SIM",2,0)+IF(AF821="SIM",2,0)+IF(OR(AN821="Dados pessoais",AN821="Dados sensíveis",AN821="Dados pessoais e sensíveis"),2,0)+IF(O821="De 1.001 a 10.000 titulares por mês",1,0)+IF(AA821="SIM",1,0)+IF(R821="SIM",1,0)+IF(AL821="SIM",1,0)+IF(AJ821="NÃO",1,0))&gt;=5,"SIM - Alta criticidade",IF((IF(I821="SIM",2,0)+IF(K821="SIM",2,0)+IF(AF821="SIM",2,0)+IF(OR(AN821="Dados pessoais",AN821="Dados sensíveis",AN821="Dados pessoais e sensíveis"),2,0)+IF(O821="De 1.001 a 10.000 titulares por mês",1,0)+IF(AA821="SIM",1,0)+IF(R821="SIM",1,0)+IF(AL821="SIM",1,0)+IF(AJ821="NÃO",1,0))&gt;=3,"Avaliação necessária","NÃO"))))</f>
      </c>
      <c r="AR821" s="11"/>
      <c r="AS821" s="113">
        <f>IF(AND(I821="",K821="",AF821="",AL821="",AN821="",O821=""),"",IF(OR(I821="SIM",K821="SIM",AF821="SIM",AL821="SIM",OR(AN821="Dados pessoais",AN821="Dados sensíveis",AN821="Dados pessoais e sensíveis"),O821="Acima de 10.000 titulares por mês",(IF(I821="SIM",2,0)+IF(K821="SIM",2,0)+IF(AF821="SIM",2,0)+IF(OR(AN821="Dados pessoais",AN821="Dados sensíveis",AN821="Dados pessoais e sensíveis"),2,0)+IF(O821="De 1.001 a 10.000 titulares por mês",1,0)+IF(AA821="SIM",1,0)+IF(R821="SIM",1,0)+IF(AL821="SIM",1,0)+IF(AJ821="NÃO",1,0))&gt;=3),"DPIA indicado ou em avaliação em razão de: " &amp; TRIM(IF(I821="SIM","tratamento de dados sensíveis; ","") &amp; IF(K821="SIM","utilização de dados de menores; ","") &amp; IF(AF821="SIM","transferência internacional de dados; ","") &amp; IF(AL821="SIM","utilização de inteligência artificial; ","") &amp; IF(OR(AN821="Dados pessoais",AN821="Dados sensíveis",AN821="Dados pessoais e sensíveis"),"dados inseridos em IA; ","") &amp; IF(O821="Acima de 10.000 titulares por mês","volume crítico de titulares; ","") &amp; IF(O821="De 1.001 a 10.000 titulares por mês","volume moderado de titulares; ","") &amp; IF(AA821="SIM","compartilhamento com terceiros; ","") &amp; IF(R821="SIM","compartilhamento com órgãos governamentais; ","") &amp; IF(AJ821="NÃO","ausência de controle de acesso por perfil; ","")),"DPIA não indicado: Processo de baixa criticidade."))</f>
      </c>
    </row>
    <row x14ac:dyDescent="0.25" r="822" customHeight="1" ht="15.75">
      <c r="A822" s="46"/>
      <c r="B822" s="6"/>
      <c r="C822" s="11"/>
      <c r="D822" s="11"/>
      <c r="E822" s="11"/>
      <c r="F822" s="29"/>
      <c r="G822" s="11"/>
      <c r="H822" s="11"/>
      <c r="I822" s="29"/>
      <c r="J822" s="11"/>
      <c r="K822" s="29"/>
      <c r="L822" s="11"/>
      <c r="M822" s="11"/>
      <c r="N822" s="11"/>
      <c r="O822" s="29"/>
      <c r="P822" s="29"/>
      <c r="Q822" s="11"/>
      <c r="R822" s="29"/>
      <c r="S822" s="11"/>
      <c r="T822" s="6"/>
      <c r="U822" s="29"/>
      <c r="V822" s="11"/>
      <c r="W822" s="11"/>
      <c r="X822" s="29"/>
      <c r="Y822" s="11"/>
      <c r="Z822" s="29"/>
      <c r="AA822" s="29"/>
      <c r="AB822" s="11"/>
      <c r="AC822" s="11"/>
      <c r="AD822" s="29"/>
      <c r="AE822" s="11"/>
      <c r="AF822" s="29"/>
      <c r="AG822" s="11"/>
      <c r="AH822" s="29"/>
      <c r="AI822" s="11"/>
      <c r="AJ822" s="29"/>
      <c r="AK822" s="29"/>
      <c r="AL822" s="29"/>
      <c r="AM822" s="11"/>
      <c r="AN822" s="29"/>
      <c r="AO822" s="29"/>
      <c r="AP822" s="6"/>
      <c r="AQ822" s="113">
        <f>IF(AND(I822="",K822="",AF822="",AL822="",AN822="",O822=""),"",IF(OR(I822="SIM",K822="SIM",AF822="SIM",AL822="SIM",AN822="Dados pessoais",AN822="Dados sensíveis",AN822="Dados pessoais e sensíveis",O822="Acima de 10.000 titulares por mês"),"SIM - Alta criticidade",IF((IF(I822="SIM",2,0)+IF(K822="SIM",2,0)+IF(AF822="SIM",2,0)+IF(OR(AN822="Dados pessoais",AN822="Dados sensíveis",AN822="Dados pessoais e sensíveis"),2,0)+IF(O822="De 1.001 a 10.000 titulares por mês",1,0)+IF(AA822="SIM",1,0)+IF(R822="SIM",1,0)+IF(AL822="SIM",1,0)+IF(AJ822="NÃO",1,0))&gt;=5,"SIM - Alta criticidade",IF((IF(I822="SIM",2,0)+IF(K822="SIM",2,0)+IF(AF822="SIM",2,0)+IF(OR(AN822="Dados pessoais",AN822="Dados sensíveis",AN822="Dados pessoais e sensíveis"),2,0)+IF(O822="De 1.001 a 10.000 titulares por mês",1,0)+IF(AA822="SIM",1,0)+IF(R822="SIM",1,0)+IF(AL822="SIM",1,0)+IF(AJ822="NÃO",1,0))&gt;=3,"Avaliação necessária","NÃO"))))</f>
      </c>
      <c r="AR822" s="11"/>
      <c r="AS822" s="113">
        <f>IF(AND(I822="",K822="",AF822="",AL822="",AN822="",O822=""),"",IF(OR(I822="SIM",K822="SIM",AF822="SIM",AL822="SIM",OR(AN822="Dados pessoais",AN822="Dados sensíveis",AN822="Dados pessoais e sensíveis"),O822="Acima de 10.000 titulares por mês",(IF(I822="SIM",2,0)+IF(K822="SIM",2,0)+IF(AF822="SIM",2,0)+IF(OR(AN822="Dados pessoais",AN822="Dados sensíveis",AN822="Dados pessoais e sensíveis"),2,0)+IF(O822="De 1.001 a 10.000 titulares por mês",1,0)+IF(AA822="SIM",1,0)+IF(R822="SIM",1,0)+IF(AL822="SIM",1,0)+IF(AJ822="NÃO",1,0))&gt;=3),"DPIA indicado ou em avaliação em razão de: " &amp; TRIM(IF(I822="SIM","tratamento de dados sensíveis; ","") &amp; IF(K822="SIM","utilização de dados de menores; ","") &amp; IF(AF822="SIM","transferência internacional de dados; ","") &amp; IF(AL822="SIM","utilização de inteligência artificial; ","") &amp; IF(OR(AN822="Dados pessoais",AN822="Dados sensíveis",AN822="Dados pessoais e sensíveis"),"dados inseridos em IA; ","") &amp; IF(O822="Acima de 10.000 titulares por mês","volume crítico de titulares; ","") &amp; IF(O822="De 1.001 a 10.000 titulares por mês","volume moderado de titulares; ","") &amp; IF(AA822="SIM","compartilhamento com terceiros; ","") &amp; IF(R822="SIM","compartilhamento com órgãos governamentais; ","") &amp; IF(AJ822="NÃO","ausência de controle de acesso por perfil; ","")),"DPIA não indicado: Processo de baixa criticidade."))</f>
      </c>
    </row>
    <row x14ac:dyDescent="0.25" r="823" customHeight="1" ht="15.75">
      <c r="A823" s="46"/>
      <c r="B823" s="6"/>
      <c r="C823" s="11"/>
      <c r="D823" s="11"/>
      <c r="E823" s="11"/>
      <c r="F823" s="29"/>
      <c r="G823" s="11"/>
      <c r="H823" s="11"/>
      <c r="I823" s="29"/>
      <c r="J823" s="11"/>
      <c r="K823" s="29"/>
      <c r="L823" s="11"/>
      <c r="M823" s="11"/>
      <c r="N823" s="11"/>
      <c r="O823" s="29"/>
      <c r="P823" s="29"/>
      <c r="Q823" s="11"/>
      <c r="R823" s="29"/>
      <c r="S823" s="11"/>
      <c r="T823" s="6"/>
      <c r="U823" s="29"/>
      <c r="V823" s="11"/>
      <c r="W823" s="11"/>
      <c r="X823" s="29"/>
      <c r="Y823" s="11"/>
      <c r="Z823" s="29"/>
      <c r="AA823" s="29"/>
      <c r="AB823" s="11"/>
      <c r="AC823" s="11"/>
      <c r="AD823" s="29"/>
      <c r="AE823" s="11"/>
      <c r="AF823" s="29"/>
      <c r="AG823" s="11"/>
      <c r="AH823" s="29"/>
      <c r="AI823" s="11"/>
      <c r="AJ823" s="29"/>
      <c r="AK823" s="29"/>
      <c r="AL823" s="29"/>
      <c r="AM823" s="11"/>
      <c r="AN823" s="29"/>
      <c r="AO823" s="29"/>
      <c r="AP823" s="6"/>
      <c r="AQ823" s="113">
        <f>IF(AND(I823="",K823="",AF823="",AL823="",AN823="",O823=""),"",IF(OR(I823="SIM",K823="SIM",AF823="SIM",AL823="SIM",AN823="Dados pessoais",AN823="Dados sensíveis",AN823="Dados pessoais e sensíveis",O823="Acima de 10.000 titulares por mês"),"SIM - Alta criticidade",IF((IF(I823="SIM",2,0)+IF(K823="SIM",2,0)+IF(AF823="SIM",2,0)+IF(OR(AN823="Dados pessoais",AN823="Dados sensíveis",AN823="Dados pessoais e sensíveis"),2,0)+IF(O823="De 1.001 a 10.000 titulares por mês",1,0)+IF(AA823="SIM",1,0)+IF(R823="SIM",1,0)+IF(AL823="SIM",1,0)+IF(AJ823="NÃO",1,0))&gt;=5,"SIM - Alta criticidade",IF((IF(I823="SIM",2,0)+IF(K823="SIM",2,0)+IF(AF823="SIM",2,0)+IF(OR(AN823="Dados pessoais",AN823="Dados sensíveis",AN823="Dados pessoais e sensíveis"),2,0)+IF(O823="De 1.001 a 10.000 titulares por mês",1,0)+IF(AA823="SIM",1,0)+IF(R823="SIM",1,0)+IF(AL823="SIM",1,0)+IF(AJ823="NÃO",1,0))&gt;=3,"Avaliação necessária","NÃO"))))</f>
      </c>
      <c r="AR823" s="11"/>
      <c r="AS823" s="113">
        <f>IF(AND(I823="",K823="",AF823="",AL823="",AN823="",O823=""),"",IF(OR(I823="SIM",K823="SIM",AF823="SIM",AL823="SIM",OR(AN823="Dados pessoais",AN823="Dados sensíveis",AN823="Dados pessoais e sensíveis"),O823="Acima de 10.000 titulares por mês",(IF(I823="SIM",2,0)+IF(K823="SIM",2,0)+IF(AF823="SIM",2,0)+IF(OR(AN823="Dados pessoais",AN823="Dados sensíveis",AN823="Dados pessoais e sensíveis"),2,0)+IF(O823="De 1.001 a 10.000 titulares por mês",1,0)+IF(AA823="SIM",1,0)+IF(R823="SIM",1,0)+IF(AL823="SIM",1,0)+IF(AJ823="NÃO",1,0))&gt;=3),"DPIA indicado ou em avaliação em razão de: " &amp; TRIM(IF(I823="SIM","tratamento de dados sensíveis; ","") &amp; IF(K823="SIM","utilização de dados de menores; ","") &amp; IF(AF823="SIM","transferência internacional de dados; ","") &amp; IF(AL823="SIM","utilização de inteligência artificial; ","") &amp; IF(OR(AN823="Dados pessoais",AN823="Dados sensíveis",AN823="Dados pessoais e sensíveis"),"dados inseridos em IA; ","") &amp; IF(O823="Acima de 10.000 titulares por mês","volume crítico de titulares; ","") &amp; IF(O823="De 1.001 a 10.000 titulares por mês","volume moderado de titulares; ","") &amp; IF(AA823="SIM","compartilhamento com terceiros; ","") &amp; IF(R823="SIM","compartilhamento com órgãos governamentais; ","") &amp; IF(AJ823="NÃO","ausência de controle de acesso por perfil; ","")),"DPIA não indicado: Processo de baixa criticidade."))</f>
      </c>
    </row>
    <row x14ac:dyDescent="0.25" r="824" customHeight="1" ht="15.75">
      <c r="A824" s="46"/>
      <c r="B824" s="6"/>
      <c r="C824" s="11"/>
      <c r="D824" s="11"/>
      <c r="E824" s="11"/>
      <c r="F824" s="29"/>
      <c r="G824" s="11"/>
      <c r="H824" s="11"/>
      <c r="I824" s="29"/>
      <c r="J824" s="11"/>
      <c r="K824" s="29"/>
      <c r="L824" s="11"/>
      <c r="M824" s="11"/>
      <c r="N824" s="11"/>
      <c r="O824" s="29"/>
      <c r="P824" s="29"/>
      <c r="Q824" s="11"/>
      <c r="R824" s="29"/>
      <c r="S824" s="11"/>
      <c r="T824" s="6"/>
      <c r="U824" s="29"/>
      <c r="V824" s="11"/>
      <c r="W824" s="11"/>
      <c r="X824" s="29"/>
      <c r="Y824" s="11"/>
      <c r="Z824" s="29"/>
      <c r="AA824" s="29"/>
      <c r="AB824" s="11"/>
      <c r="AC824" s="11"/>
      <c r="AD824" s="29"/>
      <c r="AE824" s="11"/>
      <c r="AF824" s="29"/>
      <c r="AG824" s="11"/>
      <c r="AH824" s="29"/>
      <c r="AI824" s="11"/>
      <c r="AJ824" s="29"/>
      <c r="AK824" s="29"/>
      <c r="AL824" s="29"/>
      <c r="AM824" s="11"/>
      <c r="AN824" s="29"/>
      <c r="AO824" s="29"/>
      <c r="AP824" s="6"/>
      <c r="AQ824" s="113">
        <f>IF(AND(I824="",K824="",AF824="",AL824="",AN824="",O824=""),"",IF(OR(I824="SIM",K824="SIM",AF824="SIM",AL824="SIM",AN824="Dados pessoais",AN824="Dados sensíveis",AN824="Dados pessoais e sensíveis",O824="Acima de 10.000 titulares por mês"),"SIM - Alta criticidade",IF((IF(I824="SIM",2,0)+IF(K824="SIM",2,0)+IF(AF824="SIM",2,0)+IF(OR(AN824="Dados pessoais",AN824="Dados sensíveis",AN824="Dados pessoais e sensíveis"),2,0)+IF(O824="De 1.001 a 10.000 titulares por mês",1,0)+IF(AA824="SIM",1,0)+IF(R824="SIM",1,0)+IF(AL824="SIM",1,0)+IF(AJ824="NÃO",1,0))&gt;=5,"SIM - Alta criticidade",IF((IF(I824="SIM",2,0)+IF(K824="SIM",2,0)+IF(AF824="SIM",2,0)+IF(OR(AN824="Dados pessoais",AN824="Dados sensíveis",AN824="Dados pessoais e sensíveis"),2,0)+IF(O824="De 1.001 a 10.000 titulares por mês",1,0)+IF(AA824="SIM",1,0)+IF(R824="SIM",1,0)+IF(AL824="SIM",1,0)+IF(AJ824="NÃO",1,0))&gt;=3,"Avaliação necessária","NÃO"))))</f>
      </c>
      <c r="AR824" s="11"/>
      <c r="AS824" s="113">
        <f>IF(AND(I824="",K824="",AF824="",AL824="",AN824="",O824=""),"",IF(OR(I824="SIM",K824="SIM",AF824="SIM",AL824="SIM",OR(AN824="Dados pessoais",AN824="Dados sensíveis",AN824="Dados pessoais e sensíveis"),O824="Acima de 10.000 titulares por mês",(IF(I824="SIM",2,0)+IF(K824="SIM",2,0)+IF(AF824="SIM",2,0)+IF(OR(AN824="Dados pessoais",AN824="Dados sensíveis",AN824="Dados pessoais e sensíveis"),2,0)+IF(O824="De 1.001 a 10.000 titulares por mês",1,0)+IF(AA824="SIM",1,0)+IF(R824="SIM",1,0)+IF(AL824="SIM",1,0)+IF(AJ824="NÃO",1,0))&gt;=3),"DPIA indicado ou em avaliação em razão de: " &amp; TRIM(IF(I824="SIM","tratamento de dados sensíveis; ","") &amp; IF(K824="SIM","utilização de dados de menores; ","") &amp; IF(AF824="SIM","transferência internacional de dados; ","") &amp; IF(AL824="SIM","utilização de inteligência artificial; ","") &amp; IF(OR(AN824="Dados pessoais",AN824="Dados sensíveis",AN824="Dados pessoais e sensíveis"),"dados inseridos em IA; ","") &amp; IF(O824="Acima de 10.000 titulares por mês","volume crítico de titulares; ","") &amp; IF(O824="De 1.001 a 10.000 titulares por mês","volume moderado de titulares; ","") &amp; IF(AA824="SIM","compartilhamento com terceiros; ","") &amp; IF(R824="SIM","compartilhamento com órgãos governamentais; ","") &amp; IF(AJ824="NÃO","ausência de controle de acesso por perfil; ","")),"DPIA não indicado: Processo de baixa criticidade."))</f>
      </c>
    </row>
    <row x14ac:dyDescent="0.25" r="825" customHeight="1" ht="15.75">
      <c r="A825" s="46"/>
      <c r="B825" s="6"/>
      <c r="C825" s="11"/>
      <c r="D825" s="11"/>
      <c r="E825" s="11"/>
      <c r="F825" s="29"/>
      <c r="G825" s="11"/>
      <c r="H825" s="11"/>
      <c r="I825" s="29"/>
      <c r="J825" s="11"/>
      <c r="K825" s="29"/>
      <c r="L825" s="11"/>
      <c r="M825" s="11"/>
      <c r="N825" s="11"/>
      <c r="O825" s="29"/>
      <c r="P825" s="29"/>
      <c r="Q825" s="11"/>
      <c r="R825" s="29"/>
      <c r="S825" s="11"/>
      <c r="T825" s="6"/>
      <c r="U825" s="29"/>
      <c r="V825" s="11"/>
      <c r="W825" s="11"/>
      <c r="X825" s="29"/>
      <c r="Y825" s="11"/>
      <c r="Z825" s="29"/>
      <c r="AA825" s="29"/>
      <c r="AB825" s="11"/>
      <c r="AC825" s="11"/>
      <c r="AD825" s="29"/>
      <c r="AE825" s="11"/>
      <c r="AF825" s="29"/>
      <c r="AG825" s="11"/>
      <c r="AH825" s="29"/>
      <c r="AI825" s="11"/>
      <c r="AJ825" s="29"/>
      <c r="AK825" s="29"/>
      <c r="AL825" s="29"/>
      <c r="AM825" s="11"/>
      <c r="AN825" s="29"/>
      <c r="AO825" s="29"/>
      <c r="AP825" s="6"/>
      <c r="AQ825" s="113">
        <f>IF(AND(I825="",K825="",AF825="",AL825="",AN825="",O825=""),"",IF(OR(I825="SIM",K825="SIM",AF825="SIM",AL825="SIM",AN825="Dados pessoais",AN825="Dados sensíveis",AN825="Dados pessoais e sensíveis",O825="Acima de 10.000 titulares por mês"),"SIM - Alta criticidade",IF((IF(I825="SIM",2,0)+IF(K825="SIM",2,0)+IF(AF825="SIM",2,0)+IF(OR(AN825="Dados pessoais",AN825="Dados sensíveis",AN825="Dados pessoais e sensíveis"),2,0)+IF(O825="De 1.001 a 10.000 titulares por mês",1,0)+IF(AA825="SIM",1,0)+IF(R825="SIM",1,0)+IF(AL825="SIM",1,0)+IF(AJ825="NÃO",1,0))&gt;=5,"SIM - Alta criticidade",IF((IF(I825="SIM",2,0)+IF(K825="SIM",2,0)+IF(AF825="SIM",2,0)+IF(OR(AN825="Dados pessoais",AN825="Dados sensíveis",AN825="Dados pessoais e sensíveis"),2,0)+IF(O825="De 1.001 a 10.000 titulares por mês",1,0)+IF(AA825="SIM",1,0)+IF(R825="SIM",1,0)+IF(AL825="SIM",1,0)+IF(AJ825="NÃO",1,0))&gt;=3,"Avaliação necessária","NÃO"))))</f>
      </c>
      <c r="AR825" s="11"/>
      <c r="AS825" s="113">
        <f>IF(AND(I825="",K825="",AF825="",AL825="",AN825="",O825=""),"",IF(OR(I825="SIM",K825="SIM",AF825="SIM",AL825="SIM",OR(AN825="Dados pessoais",AN825="Dados sensíveis",AN825="Dados pessoais e sensíveis"),O825="Acima de 10.000 titulares por mês",(IF(I825="SIM",2,0)+IF(K825="SIM",2,0)+IF(AF825="SIM",2,0)+IF(OR(AN825="Dados pessoais",AN825="Dados sensíveis",AN825="Dados pessoais e sensíveis"),2,0)+IF(O825="De 1.001 a 10.000 titulares por mês",1,0)+IF(AA825="SIM",1,0)+IF(R825="SIM",1,0)+IF(AL825="SIM",1,0)+IF(AJ825="NÃO",1,0))&gt;=3),"DPIA indicado ou em avaliação em razão de: " &amp; TRIM(IF(I825="SIM","tratamento de dados sensíveis; ","") &amp; IF(K825="SIM","utilização de dados de menores; ","") &amp; IF(AF825="SIM","transferência internacional de dados; ","") &amp; IF(AL825="SIM","utilização de inteligência artificial; ","") &amp; IF(OR(AN825="Dados pessoais",AN825="Dados sensíveis",AN825="Dados pessoais e sensíveis"),"dados inseridos em IA; ","") &amp; IF(O825="Acima de 10.000 titulares por mês","volume crítico de titulares; ","") &amp; IF(O825="De 1.001 a 10.000 titulares por mês","volume moderado de titulares; ","") &amp; IF(AA825="SIM","compartilhamento com terceiros; ","") &amp; IF(R825="SIM","compartilhamento com órgãos governamentais; ","") &amp; IF(AJ825="NÃO","ausência de controle de acesso por perfil; ","")),"DPIA não indicado: Processo de baixa criticidade."))</f>
      </c>
    </row>
    <row x14ac:dyDescent="0.25" r="826" customHeight="1" ht="15.75">
      <c r="A826" s="46"/>
      <c r="B826" s="6"/>
      <c r="C826" s="11"/>
      <c r="D826" s="11"/>
      <c r="E826" s="11"/>
      <c r="F826" s="29"/>
      <c r="G826" s="11"/>
      <c r="H826" s="11"/>
      <c r="I826" s="29"/>
      <c r="J826" s="11"/>
      <c r="K826" s="29"/>
      <c r="L826" s="11"/>
      <c r="M826" s="11"/>
      <c r="N826" s="11"/>
      <c r="O826" s="29"/>
      <c r="P826" s="29"/>
      <c r="Q826" s="11"/>
      <c r="R826" s="29"/>
      <c r="S826" s="11"/>
      <c r="T826" s="6"/>
      <c r="U826" s="29"/>
      <c r="V826" s="11"/>
      <c r="W826" s="11"/>
      <c r="X826" s="29"/>
      <c r="Y826" s="11"/>
      <c r="Z826" s="29"/>
      <c r="AA826" s="29"/>
      <c r="AB826" s="11"/>
      <c r="AC826" s="11"/>
      <c r="AD826" s="29"/>
      <c r="AE826" s="11"/>
      <c r="AF826" s="29"/>
      <c r="AG826" s="11"/>
      <c r="AH826" s="29"/>
      <c r="AI826" s="11"/>
      <c r="AJ826" s="29"/>
      <c r="AK826" s="29"/>
      <c r="AL826" s="29"/>
      <c r="AM826" s="11"/>
      <c r="AN826" s="29"/>
      <c r="AO826" s="29"/>
      <c r="AP826" s="6"/>
      <c r="AQ826" s="113">
        <f>IF(AND(I826="",K826="",AF826="",AL826="",AN826="",O826=""),"",IF(OR(I826="SIM",K826="SIM",AF826="SIM",AL826="SIM",AN826="Dados pessoais",AN826="Dados sensíveis",AN826="Dados pessoais e sensíveis",O826="Acima de 10.000 titulares por mês"),"SIM - Alta criticidade",IF((IF(I826="SIM",2,0)+IF(K826="SIM",2,0)+IF(AF826="SIM",2,0)+IF(OR(AN826="Dados pessoais",AN826="Dados sensíveis",AN826="Dados pessoais e sensíveis"),2,0)+IF(O826="De 1.001 a 10.000 titulares por mês",1,0)+IF(AA826="SIM",1,0)+IF(R826="SIM",1,0)+IF(AL826="SIM",1,0)+IF(AJ826="NÃO",1,0))&gt;=5,"SIM - Alta criticidade",IF((IF(I826="SIM",2,0)+IF(K826="SIM",2,0)+IF(AF826="SIM",2,0)+IF(OR(AN826="Dados pessoais",AN826="Dados sensíveis",AN826="Dados pessoais e sensíveis"),2,0)+IF(O826="De 1.001 a 10.000 titulares por mês",1,0)+IF(AA826="SIM",1,0)+IF(R826="SIM",1,0)+IF(AL826="SIM",1,0)+IF(AJ826="NÃO",1,0))&gt;=3,"Avaliação necessária","NÃO"))))</f>
      </c>
      <c r="AR826" s="11"/>
      <c r="AS826" s="113">
        <f>IF(AND(I826="",K826="",AF826="",AL826="",AN826="",O826=""),"",IF(OR(I826="SIM",K826="SIM",AF826="SIM",AL826="SIM",OR(AN826="Dados pessoais",AN826="Dados sensíveis",AN826="Dados pessoais e sensíveis"),O826="Acima de 10.000 titulares por mês",(IF(I826="SIM",2,0)+IF(K826="SIM",2,0)+IF(AF826="SIM",2,0)+IF(OR(AN826="Dados pessoais",AN826="Dados sensíveis",AN826="Dados pessoais e sensíveis"),2,0)+IF(O826="De 1.001 a 10.000 titulares por mês",1,0)+IF(AA826="SIM",1,0)+IF(R826="SIM",1,0)+IF(AL826="SIM",1,0)+IF(AJ826="NÃO",1,0))&gt;=3),"DPIA indicado ou em avaliação em razão de: " &amp; TRIM(IF(I826="SIM","tratamento de dados sensíveis; ","") &amp; IF(K826="SIM","utilização de dados de menores; ","") &amp; IF(AF826="SIM","transferência internacional de dados; ","") &amp; IF(AL826="SIM","utilização de inteligência artificial; ","") &amp; IF(OR(AN826="Dados pessoais",AN826="Dados sensíveis",AN826="Dados pessoais e sensíveis"),"dados inseridos em IA; ","") &amp; IF(O826="Acima de 10.000 titulares por mês","volume crítico de titulares; ","") &amp; IF(O826="De 1.001 a 10.000 titulares por mês","volume moderado de titulares; ","") &amp; IF(AA826="SIM","compartilhamento com terceiros; ","") &amp; IF(R826="SIM","compartilhamento com órgãos governamentais; ","") &amp; IF(AJ826="NÃO","ausência de controle de acesso por perfil; ","")),"DPIA não indicado: Processo de baixa criticidade."))</f>
      </c>
    </row>
    <row x14ac:dyDescent="0.25" r="827" customHeight="1" ht="15.75">
      <c r="A827" s="46"/>
      <c r="B827" s="6"/>
      <c r="C827" s="11"/>
      <c r="D827" s="11"/>
      <c r="E827" s="11"/>
      <c r="F827" s="29"/>
      <c r="G827" s="11"/>
      <c r="H827" s="11"/>
      <c r="I827" s="29"/>
      <c r="J827" s="11"/>
      <c r="K827" s="29"/>
      <c r="L827" s="11"/>
      <c r="M827" s="11"/>
      <c r="N827" s="11"/>
      <c r="O827" s="29"/>
      <c r="P827" s="29"/>
      <c r="Q827" s="11"/>
      <c r="R827" s="29"/>
      <c r="S827" s="11"/>
      <c r="T827" s="6"/>
      <c r="U827" s="29"/>
      <c r="V827" s="11"/>
      <c r="W827" s="11"/>
      <c r="X827" s="29"/>
      <c r="Y827" s="11"/>
      <c r="Z827" s="29"/>
      <c r="AA827" s="29"/>
      <c r="AB827" s="11"/>
      <c r="AC827" s="11"/>
      <c r="AD827" s="29"/>
      <c r="AE827" s="11"/>
      <c r="AF827" s="29"/>
      <c r="AG827" s="11"/>
      <c r="AH827" s="29"/>
      <c r="AI827" s="11"/>
      <c r="AJ827" s="29"/>
      <c r="AK827" s="29"/>
      <c r="AL827" s="29"/>
      <c r="AM827" s="11"/>
      <c r="AN827" s="29"/>
      <c r="AO827" s="29"/>
      <c r="AP827" s="6"/>
      <c r="AQ827" s="113">
        <f>IF(AND(I827="",K827="",AF827="",AL827="",AN827="",O827=""),"",IF(OR(I827="SIM",K827="SIM",AF827="SIM",AL827="SIM",AN827="Dados pessoais",AN827="Dados sensíveis",AN827="Dados pessoais e sensíveis",O827="Acima de 10.000 titulares por mês"),"SIM - Alta criticidade",IF((IF(I827="SIM",2,0)+IF(K827="SIM",2,0)+IF(AF827="SIM",2,0)+IF(OR(AN827="Dados pessoais",AN827="Dados sensíveis",AN827="Dados pessoais e sensíveis"),2,0)+IF(O827="De 1.001 a 10.000 titulares por mês",1,0)+IF(AA827="SIM",1,0)+IF(R827="SIM",1,0)+IF(AL827="SIM",1,0)+IF(AJ827="NÃO",1,0))&gt;=5,"SIM - Alta criticidade",IF((IF(I827="SIM",2,0)+IF(K827="SIM",2,0)+IF(AF827="SIM",2,0)+IF(OR(AN827="Dados pessoais",AN827="Dados sensíveis",AN827="Dados pessoais e sensíveis"),2,0)+IF(O827="De 1.001 a 10.000 titulares por mês",1,0)+IF(AA827="SIM",1,0)+IF(R827="SIM",1,0)+IF(AL827="SIM",1,0)+IF(AJ827="NÃO",1,0))&gt;=3,"Avaliação necessária","NÃO"))))</f>
      </c>
      <c r="AR827" s="11"/>
      <c r="AS827" s="113">
        <f>IF(AND(I827="",K827="",AF827="",AL827="",AN827="",O827=""),"",IF(OR(I827="SIM",K827="SIM",AF827="SIM",AL827="SIM",OR(AN827="Dados pessoais",AN827="Dados sensíveis",AN827="Dados pessoais e sensíveis"),O827="Acima de 10.000 titulares por mês",(IF(I827="SIM",2,0)+IF(K827="SIM",2,0)+IF(AF827="SIM",2,0)+IF(OR(AN827="Dados pessoais",AN827="Dados sensíveis",AN827="Dados pessoais e sensíveis"),2,0)+IF(O827="De 1.001 a 10.000 titulares por mês",1,0)+IF(AA827="SIM",1,0)+IF(R827="SIM",1,0)+IF(AL827="SIM",1,0)+IF(AJ827="NÃO",1,0))&gt;=3),"DPIA indicado ou em avaliação em razão de: " &amp; TRIM(IF(I827="SIM","tratamento de dados sensíveis; ","") &amp; IF(K827="SIM","utilização de dados de menores; ","") &amp; IF(AF827="SIM","transferência internacional de dados; ","") &amp; IF(AL827="SIM","utilização de inteligência artificial; ","") &amp; IF(OR(AN827="Dados pessoais",AN827="Dados sensíveis",AN827="Dados pessoais e sensíveis"),"dados inseridos em IA; ","") &amp; IF(O827="Acima de 10.000 titulares por mês","volume crítico de titulares; ","") &amp; IF(O827="De 1.001 a 10.000 titulares por mês","volume moderado de titulares; ","") &amp; IF(AA827="SIM","compartilhamento com terceiros; ","") &amp; IF(R827="SIM","compartilhamento com órgãos governamentais; ","") &amp; IF(AJ827="NÃO","ausência de controle de acesso por perfil; ","")),"DPIA não indicado: Processo de baixa criticidade."))</f>
      </c>
    </row>
    <row x14ac:dyDescent="0.25" r="828" customHeight="1" ht="15.75">
      <c r="A828" s="46"/>
      <c r="B828" s="6"/>
      <c r="C828" s="11"/>
      <c r="D828" s="11"/>
      <c r="E828" s="11"/>
      <c r="F828" s="29"/>
      <c r="G828" s="11"/>
      <c r="H828" s="11"/>
      <c r="I828" s="29"/>
      <c r="J828" s="11"/>
      <c r="K828" s="29"/>
      <c r="L828" s="11"/>
      <c r="M828" s="11"/>
      <c r="N828" s="11"/>
      <c r="O828" s="29"/>
      <c r="P828" s="29"/>
      <c r="Q828" s="11"/>
      <c r="R828" s="29"/>
      <c r="S828" s="11"/>
      <c r="T828" s="6"/>
      <c r="U828" s="29"/>
      <c r="V828" s="11"/>
      <c r="W828" s="11"/>
      <c r="X828" s="29"/>
      <c r="Y828" s="11"/>
      <c r="Z828" s="29"/>
      <c r="AA828" s="29"/>
      <c r="AB828" s="11"/>
      <c r="AC828" s="11"/>
      <c r="AD828" s="29"/>
      <c r="AE828" s="11"/>
      <c r="AF828" s="29"/>
      <c r="AG828" s="11"/>
      <c r="AH828" s="29"/>
      <c r="AI828" s="11"/>
      <c r="AJ828" s="29"/>
      <c r="AK828" s="29"/>
      <c r="AL828" s="29"/>
      <c r="AM828" s="11"/>
      <c r="AN828" s="29"/>
      <c r="AO828" s="29"/>
      <c r="AP828" s="6"/>
      <c r="AQ828" s="113">
        <f>IF(AND(I828="",K828="",AF828="",AL828="",AN828="",O828=""),"",IF(OR(I828="SIM",K828="SIM",AF828="SIM",AL828="SIM",AN828="Dados pessoais",AN828="Dados sensíveis",AN828="Dados pessoais e sensíveis",O828="Acima de 10.000 titulares por mês"),"SIM - Alta criticidade",IF((IF(I828="SIM",2,0)+IF(K828="SIM",2,0)+IF(AF828="SIM",2,0)+IF(OR(AN828="Dados pessoais",AN828="Dados sensíveis",AN828="Dados pessoais e sensíveis"),2,0)+IF(O828="De 1.001 a 10.000 titulares por mês",1,0)+IF(AA828="SIM",1,0)+IF(R828="SIM",1,0)+IF(AL828="SIM",1,0)+IF(AJ828="NÃO",1,0))&gt;=5,"SIM - Alta criticidade",IF((IF(I828="SIM",2,0)+IF(K828="SIM",2,0)+IF(AF828="SIM",2,0)+IF(OR(AN828="Dados pessoais",AN828="Dados sensíveis",AN828="Dados pessoais e sensíveis"),2,0)+IF(O828="De 1.001 a 10.000 titulares por mês",1,0)+IF(AA828="SIM",1,0)+IF(R828="SIM",1,0)+IF(AL828="SIM",1,0)+IF(AJ828="NÃO",1,0))&gt;=3,"Avaliação necessária","NÃO"))))</f>
      </c>
      <c r="AR828" s="11"/>
      <c r="AS828" s="113">
        <f>IF(AND(I828="",K828="",AF828="",AL828="",AN828="",O828=""),"",IF(OR(I828="SIM",K828="SIM",AF828="SIM",AL828="SIM",OR(AN828="Dados pessoais",AN828="Dados sensíveis",AN828="Dados pessoais e sensíveis"),O828="Acima de 10.000 titulares por mês",(IF(I828="SIM",2,0)+IF(K828="SIM",2,0)+IF(AF828="SIM",2,0)+IF(OR(AN828="Dados pessoais",AN828="Dados sensíveis",AN828="Dados pessoais e sensíveis"),2,0)+IF(O828="De 1.001 a 10.000 titulares por mês",1,0)+IF(AA828="SIM",1,0)+IF(R828="SIM",1,0)+IF(AL828="SIM",1,0)+IF(AJ828="NÃO",1,0))&gt;=3),"DPIA indicado ou em avaliação em razão de: " &amp; TRIM(IF(I828="SIM","tratamento de dados sensíveis; ","") &amp; IF(K828="SIM","utilização de dados de menores; ","") &amp; IF(AF828="SIM","transferência internacional de dados; ","") &amp; IF(AL828="SIM","utilização de inteligência artificial; ","") &amp; IF(OR(AN828="Dados pessoais",AN828="Dados sensíveis",AN828="Dados pessoais e sensíveis"),"dados inseridos em IA; ","") &amp; IF(O828="Acima de 10.000 titulares por mês","volume crítico de titulares; ","") &amp; IF(O828="De 1.001 a 10.000 titulares por mês","volume moderado de titulares; ","") &amp; IF(AA828="SIM","compartilhamento com terceiros; ","") &amp; IF(R828="SIM","compartilhamento com órgãos governamentais; ","") &amp; IF(AJ828="NÃO","ausência de controle de acesso por perfil; ","")),"DPIA não indicado: Processo de baixa criticidade."))</f>
      </c>
    </row>
    <row x14ac:dyDescent="0.25" r="829" customHeight="1" ht="15.75">
      <c r="A829" s="46"/>
      <c r="B829" s="6"/>
      <c r="C829" s="11"/>
      <c r="D829" s="11"/>
      <c r="E829" s="11"/>
      <c r="F829" s="29"/>
      <c r="G829" s="11"/>
      <c r="H829" s="11"/>
      <c r="I829" s="29"/>
      <c r="J829" s="11"/>
      <c r="K829" s="29"/>
      <c r="L829" s="11"/>
      <c r="M829" s="11"/>
      <c r="N829" s="11"/>
      <c r="O829" s="29"/>
      <c r="P829" s="29"/>
      <c r="Q829" s="11"/>
      <c r="R829" s="29"/>
      <c r="S829" s="11"/>
      <c r="T829" s="6"/>
      <c r="U829" s="29"/>
      <c r="V829" s="11"/>
      <c r="W829" s="11"/>
      <c r="X829" s="29"/>
      <c r="Y829" s="11"/>
      <c r="Z829" s="29"/>
      <c r="AA829" s="29"/>
      <c r="AB829" s="11"/>
      <c r="AC829" s="11"/>
      <c r="AD829" s="29"/>
      <c r="AE829" s="11"/>
      <c r="AF829" s="29"/>
      <c r="AG829" s="11"/>
      <c r="AH829" s="29"/>
      <c r="AI829" s="11"/>
      <c r="AJ829" s="29"/>
      <c r="AK829" s="29"/>
      <c r="AL829" s="29"/>
      <c r="AM829" s="11"/>
      <c r="AN829" s="29"/>
      <c r="AO829" s="29"/>
      <c r="AP829" s="6"/>
      <c r="AQ829" s="113">
        <f>IF(AND(I829="",K829="",AF829="",AL829="",AN829="",O829=""),"",IF(OR(I829="SIM",K829="SIM",AF829="SIM",AL829="SIM",AN829="Dados pessoais",AN829="Dados sensíveis",AN829="Dados pessoais e sensíveis",O829="Acima de 10.000 titulares por mês"),"SIM - Alta criticidade",IF((IF(I829="SIM",2,0)+IF(K829="SIM",2,0)+IF(AF829="SIM",2,0)+IF(OR(AN829="Dados pessoais",AN829="Dados sensíveis",AN829="Dados pessoais e sensíveis"),2,0)+IF(O829="De 1.001 a 10.000 titulares por mês",1,0)+IF(AA829="SIM",1,0)+IF(R829="SIM",1,0)+IF(AL829="SIM",1,0)+IF(AJ829="NÃO",1,0))&gt;=5,"SIM - Alta criticidade",IF((IF(I829="SIM",2,0)+IF(K829="SIM",2,0)+IF(AF829="SIM",2,0)+IF(OR(AN829="Dados pessoais",AN829="Dados sensíveis",AN829="Dados pessoais e sensíveis"),2,0)+IF(O829="De 1.001 a 10.000 titulares por mês",1,0)+IF(AA829="SIM",1,0)+IF(R829="SIM",1,0)+IF(AL829="SIM",1,0)+IF(AJ829="NÃO",1,0))&gt;=3,"Avaliação necessária","NÃO"))))</f>
      </c>
      <c r="AR829" s="11"/>
      <c r="AS829" s="113">
        <f>IF(AND(I829="",K829="",AF829="",AL829="",AN829="",O829=""),"",IF(OR(I829="SIM",K829="SIM",AF829="SIM",AL829="SIM",OR(AN829="Dados pessoais",AN829="Dados sensíveis",AN829="Dados pessoais e sensíveis"),O829="Acima de 10.000 titulares por mês",(IF(I829="SIM",2,0)+IF(K829="SIM",2,0)+IF(AF829="SIM",2,0)+IF(OR(AN829="Dados pessoais",AN829="Dados sensíveis",AN829="Dados pessoais e sensíveis"),2,0)+IF(O829="De 1.001 a 10.000 titulares por mês",1,0)+IF(AA829="SIM",1,0)+IF(R829="SIM",1,0)+IF(AL829="SIM",1,0)+IF(AJ829="NÃO",1,0))&gt;=3),"DPIA indicado ou em avaliação em razão de: " &amp; TRIM(IF(I829="SIM","tratamento de dados sensíveis; ","") &amp; IF(K829="SIM","utilização de dados de menores; ","") &amp; IF(AF829="SIM","transferência internacional de dados; ","") &amp; IF(AL829="SIM","utilização de inteligência artificial; ","") &amp; IF(OR(AN829="Dados pessoais",AN829="Dados sensíveis",AN829="Dados pessoais e sensíveis"),"dados inseridos em IA; ","") &amp; IF(O829="Acima de 10.000 titulares por mês","volume crítico de titulares; ","") &amp; IF(O829="De 1.001 a 10.000 titulares por mês","volume moderado de titulares; ","") &amp; IF(AA829="SIM","compartilhamento com terceiros; ","") &amp; IF(R829="SIM","compartilhamento com órgãos governamentais; ","") &amp; IF(AJ829="NÃO","ausência de controle de acesso por perfil; ","")),"DPIA não indicado: Processo de baixa criticidade."))</f>
      </c>
    </row>
    <row x14ac:dyDescent="0.25" r="830" customHeight="1" ht="15.75">
      <c r="A830" s="46"/>
      <c r="B830" s="6"/>
      <c r="C830" s="11"/>
      <c r="D830" s="11"/>
      <c r="E830" s="11"/>
      <c r="F830" s="29"/>
      <c r="G830" s="11"/>
      <c r="H830" s="11"/>
      <c r="I830" s="29"/>
      <c r="J830" s="11"/>
      <c r="K830" s="29"/>
      <c r="L830" s="11"/>
      <c r="M830" s="11"/>
      <c r="N830" s="11"/>
      <c r="O830" s="29"/>
      <c r="P830" s="29"/>
      <c r="Q830" s="11"/>
      <c r="R830" s="29"/>
      <c r="S830" s="11"/>
      <c r="T830" s="6"/>
      <c r="U830" s="29"/>
      <c r="V830" s="11"/>
      <c r="W830" s="11"/>
      <c r="X830" s="29"/>
      <c r="Y830" s="11"/>
      <c r="Z830" s="29"/>
      <c r="AA830" s="29"/>
      <c r="AB830" s="11"/>
      <c r="AC830" s="11"/>
      <c r="AD830" s="29"/>
      <c r="AE830" s="11"/>
      <c r="AF830" s="29"/>
      <c r="AG830" s="11"/>
      <c r="AH830" s="29"/>
      <c r="AI830" s="11"/>
      <c r="AJ830" s="29"/>
      <c r="AK830" s="29"/>
      <c r="AL830" s="29"/>
      <c r="AM830" s="11"/>
      <c r="AN830" s="29"/>
      <c r="AO830" s="29"/>
      <c r="AP830" s="6"/>
      <c r="AQ830" s="113">
        <f>IF(AND(I830="",K830="",AF830="",AL830="",AN830="",O830=""),"",IF(OR(I830="SIM",K830="SIM",AF830="SIM",AL830="SIM",AN830="Dados pessoais",AN830="Dados sensíveis",AN830="Dados pessoais e sensíveis",O830="Acima de 10.000 titulares por mês"),"SIM - Alta criticidade",IF((IF(I830="SIM",2,0)+IF(K830="SIM",2,0)+IF(AF830="SIM",2,0)+IF(OR(AN830="Dados pessoais",AN830="Dados sensíveis",AN830="Dados pessoais e sensíveis"),2,0)+IF(O830="De 1.001 a 10.000 titulares por mês",1,0)+IF(AA830="SIM",1,0)+IF(R830="SIM",1,0)+IF(AL830="SIM",1,0)+IF(AJ830="NÃO",1,0))&gt;=5,"SIM - Alta criticidade",IF((IF(I830="SIM",2,0)+IF(K830="SIM",2,0)+IF(AF830="SIM",2,0)+IF(OR(AN830="Dados pessoais",AN830="Dados sensíveis",AN830="Dados pessoais e sensíveis"),2,0)+IF(O830="De 1.001 a 10.000 titulares por mês",1,0)+IF(AA830="SIM",1,0)+IF(R830="SIM",1,0)+IF(AL830="SIM",1,0)+IF(AJ830="NÃO",1,0))&gt;=3,"Avaliação necessária","NÃO"))))</f>
      </c>
      <c r="AR830" s="11"/>
      <c r="AS830" s="113">
        <f>IF(AND(I830="",K830="",AF830="",AL830="",AN830="",O830=""),"",IF(OR(I830="SIM",K830="SIM",AF830="SIM",AL830="SIM",OR(AN830="Dados pessoais",AN830="Dados sensíveis",AN830="Dados pessoais e sensíveis"),O830="Acima de 10.000 titulares por mês",(IF(I830="SIM",2,0)+IF(K830="SIM",2,0)+IF(AF830="SIM",2,0)+IF(OR(AN830="Dados pessoais",AN830="Dados sensíveis",AN830="Dados pessoais e sensíveis"),2,0)+IF(O830="De 1.001 a 10.000 titulares por mês",1,0)+IF(AA830="SIM",1,0)+IF(R830="SIM",1,0)+IF(AL830="SIM",1,0)+IF(AJ830="NÃO",1,0))&gt;=3),"DPIA indicado ou em avaliação em razão de: " &amp; TRIM(IF(I830="SIM","tratamento de dados sensíveis; ","") &amp; IF(K830="SIM","utilização de dados de menores; ","") &amp; IF(AF830="SIM","transferência internacional de dados; ","") &amp; IF(AL830="SIM","utilização de inteligência artificial; ","") &amp; IF(OR(AN830="Dados pessoais",AN830="Dados sensíveis",AN830="Dados pessoais e sensíveis"),"dados inseridos em IA; ","") &amp; IF(O830="Acima de 10.000 titulares por mês","volume crítico de titulares; ","") &amp; IF(O830="De 1.001 a 10.000 titulares por mês","volume moderado de titulares; ","") &amp; IF(AA830="SIM","compartilhamento com terceiros; ","") &amp; IF(R830="SIM","compartilhamento com órgãos governamentais; ","") &amp; IF(AJ830="NÃO","ausência de controle de acesso por perfil; ","")),"DPIA não indicado: Processo de baixa criticidade."))</f>
      </c>
    </row>
    <row x14ac:dyDescent="0.25" r="831" customHeight="1" ht="15.75">
      <c r="A831" s="46"/>
      <c r="B831" s="6"/>
      <c r="C831" s="11"/>
      <c r="D831" s="11"/>
      <c r="E831" s="11"/>
      <c r="F831" s="29"/>
      <c r="G831" s="11"/>
      <c r="H831" s="11"/>
      <c r="I831" s="29"/>
      <c r="J831" s="11"/>
      <c r="K831" s="29"/>
      <c r="L831" s="11"/>
      <c r="M831" s="11"/>
      <c r="N831" s="11"/>
      <c r="O831" s="29"/>
      <c r="P831" s="29"/>
      <c r="Q831" s="11"/>
      <c r="R831" s="29"/>
      <c r="S831" s="11"/>
      <c r="T831" s="6"/>
      <c r="U831" s="29"/>
      <c r="V831" s="11"/>
      <c r="W831" s="11"/>
      <c r="X831" s="29"/>
      <c r="Y831" s="11"/>
      <c r="Z831" s="29"/>
      <c r="AA831" s="29"/>
      <c r="AB831" s="11"/>
      <c r="AC831" s="11"/>
      <c r="AD831" s="29"/>
      <c r="AE831" s="11"/>
      <c r="AF831" s="29"/>
      <c r="AG831" s="11"/>
      <c r="AH831" s="29"/>
      <c r="AI831" s="11"/>
      <c r="AJ831" s="29"/>
      <c r="AK831" s="29"/>
      <c r="AL831" s="29"/>
      <c r="AM831" s="11"/>
      <c r="AN831" s="29"/>
      <c r="AO831" s="29"/>
      <c r="AP831" s="6"/>
      <c r="AQ831" s="113">
        <f>IF(AND(I831="",K831="",AF831="",AL831="",AN831="",O831=""),"",IF(OR(I831="SIM",K831="SIM",AF831="SIM",AL831="SIM",AN831="Dados pessoais",AN831="Dados sensíveis",AN831="Dados pessoais e sensíveis",O831="Acima de 10.000 titulares por mês"),"SIM - Alta criticidade",IF((IF(I831="SIM",2,0)+IF(K831="SIM",2,0)+IF(AF831="SIM",2,0)+IF(OR(AN831="Dados pessoais",AN831="Dados sensíveis",AN831="Dados pessoais e sensíveis"),2,0)+IF(O831="De 1.001 a 10.000 titulares por mês",1,0)+IF(AA831="SIM",1,0)+IF(R831="SIM",1,0)+IF(AL831="SIM",1,0)+IF(AJ831="NÃO",1,0))&gt;=5,"SIM - Alta criticidade",IF((IF(I831="SIM",2,0)+IF(K831="SIM",2,0)+IF(AF831="SIM",2,0)+IF(OR(AN831="Dados pessoais",AN831="Dados sensíveis",AN831="Dados pessoais e sensíveis"),2,0)+IF(O831="De 1.001 a 10.000 titulares por mês",1,0)+IF(AA831="SIM",1,0)+IF(R831="SIM",1,0)+IF(AL831="SIM",1,0)+IF(AJ831="NÃO",1,0))&gt;=3,"Avaliação necessária","NÃO"))))</f>
      </c>
      <c r="AR831" s="11"/>
      <c r="AS831" s="113">
        <f>IF(AND(I831="",K831="",AF831="",AL831="",AN831="",O831=""),"",IF(OR(I831="SIM",K831="SIM",AF831="SIM",AL831="SIM",OR(AN831="Dados pessoais",AN831="Dados sensíveis",AN831="Dados pessoais e sensíveis"),O831="Acima de 10.000 titulares por mês",(IF(I831="SIM",2,0)+IF(K831="SIM",2,0)+IF(AF831="SIM",2,0)+IF(OR(AN831="Dados pessoais",AN831="Dados sensíveis",AN831="Dados pessoais e sensíveis"),2,0)+IF(O831="De 1.001 a 10.000 titulares por mês",1,0)+IF(AA831="SIM",1,0)+IF(R831="SIM",1,0)+IF(AL831="SIM",1,0)+IF(AJ831="NÃO",1,0))&gt;=3),"DPIA indicado ou em avaliação em razão de: " &amp; TRIM(IF(I831="SIM","tratamento de dados sensíveis; ","") &amp; IF(K831="SIM","utilização de dados de menores; ","") &amp; IF(AF831="SIM","transferência internacional de dados; ","") &amp; IF(AL831="SIM","utilização de inteligência artificial; ","") &amp; IF(OR(AN831="Dados pessoais",AN831="Dados sensíveis",AN831="Dados pessoais e sensíveis"),"dados inseridos em IA; ","") &amp; IF(O831="Acima de 10.000 titulares por mês","volume crítico de titulares; ","") &amp; IF(O831="De 1.001 a 10.000 titulares por mês","volume moderado de titulares; ","") &amp; IF(AA831="SIM","compartilhamento com terceiros; ","") &amp; IF(R831="SIM","compartilhamento com órgãos governamentais; ","") &amp; IF(AJ831="NÃO","ausência de controle de acesso por perfil; ","")),"DPIA não indicado: Processo de baixa criticidade."))</f>
      </c>
    </row>
    <row x14ac:dyDescent="0.25" r="832" customHeight="1" ht="15.75">
      <c r="A832" s="46"/>
      <c r="B832" s="6"/>
      <c r="C832" s="11"/>
      <c r="D832" s="11"/>
      <c r="E832" s="11"/>
      <c r="F832" s="29"/>
      <c r="G832" s="11"/>
      <c r="H832" s="11"/>
      <c r="I832" s="29"/>
      <c r="J832" s="11"/>
      <c r="K832" s="29"/>
      <c r="L832" s="11"/>
      <c r="M832" s="11"/>
      <c r="N832" s="11"/>
      <c r="O832" s="29"/>
      <c r="P832" s="29"/>
      <c r="Q832" s="11"/>
      <c r="R832" s="29"/>
      <c r="S832" s="11"/>
      <c r="T832" s="6"/>
      <c r="U832" s="29"/>
      <c r="V832" s="11"/>
      <c r="W832" s="11"/>
      <c r="X832" s="29"/>
      <c r="Y832" s="11"/>
      <c r="Z832" s="29"/>
      <c r="AA832" s="29"/>
      <c r="AB832" s="11"/>
      <c r="AC832" s="11"/>
      <c r="AD832" s="29"/>
      <c r="AE832" s="11"/>
      <c r="AF832" s="29"/>
      <c r="AG832" s="11"/>
      <c r="AH832" s="29"/>
      <c r="AI832" s="11"/>
      <c r="AJ832" s="29"/>
      <c r="AK832" s="29"/>
      <c r="AL832" s="29"/>
      <c r="AM832" s="11"/>
      <c r="AN832" s="29"/>
      <c r="AO832" s="29"/>
      <c r="AP832" s="6"/>
      <c r="AQ832" s="113">
        <f>IF(AND(I832="",K832="",AF832="",AL832="",AN832="",O832=""),"",IF(OR(I832="SIM",K832="SIM",AF832="SIM",AL832="SIM",AN832="Dados pessoais",AN832="Dados sensíveis",AN832="Dados pessoais e sensíveis",O832="Acima de 10.000 titulares por mês"),"SIM - Alta criticidade",IF((IF(I832="SIM",2,0)+IF(K832="SIM",2,0)+IF(AF832="SIM",2,0)+IF(OR(AN832="Dados pessoais",AN832="Dados sensíveis",AN832="Dados pessoais e sensíveis"),2,0)+IF(O832="De 1.001 a 10.000 titulares por mês",1,0)+IF(AA832="SIM",1,0)+IF(R832="SIM",1,0)+IF(AL832="SIM",1,0)+IF(AJ832="NÃO",1,0))&gt;=5,"SIM - Alta criticidade",IF((IF(I832="SIM",2,0)+IF(K832="SIM",2,0)+IF(AF832="SIM",2,0)+IF(OR(AN832="Dados pessoais",AN832="Dados sensíveis",AN832="Dados pessoais e sensíveis"),2,0)+IF(O832="De 1.001 a 10.000 titulares por mês",1,0)+IF(AA832="SIM",1,0)+IF(R832="SIM",1,0)+IF(AL832="SIM",1,0)+IF(AJ832="NÃO",1,0))&gt;=3,"Avaliação necessária","NÃO"))))</f>
      </c>
      <c r="AR832" s="11"/>
      <c r="AS832" s="113">
        <f>IF(AND(I832="",K832="",AF832="",AL832="",AN832="",O832=""),"",IF(OR(I832="SIM",K832="SIM",AF832="SIM",AL832="SIM",OR(AN832="Dados pessoais",AN832="Dados sensíveis",AN832="Dados pessoais e sensíveis"),O832="Acima de 10.000 titulares por mês",(IF(I832="SIM",2,0)+IF(K832="SIM",2,0)+IF(AF832="SIM",2,0)+IF(OR(AN832="Dados pessoais",AN832="Dados sensíveis",AN832="Dados pessoais e sensíveis"),2,0)+IF(O832="De 1.001 a 10.000 titulares por mês",1,0)+IF(AA832="SIM",1,0)+IF(R832="SIM",1,0)+IF(AL832="SIM",1,0)+IF(AJ832="NÃO",1,0))&gt;=3),"DPIA indicado ou em avaliação em razão de: " &amp; TRIM(IF(I832="SIM","tratamento de dados sensíveis; ","") &amp; IF(K832="SIM","utilização de dados de menores; ","") &amp; IF(AF832="SIM","transferência internacional de dados; ","") &amp; IF(AL832="SIM","utilização de inteligência artificial; ","") &amp; IF(OR(AN832="Dados pessoais",AN832="Dados sensíveis",AN832="Dados pessoais e sensíveis"),"dados inseridos em IA; ","") &amp; IF(O832="Acima de 10.000 titulares por mês","volume crítico de titulares; ","") &amp; IF(O832="De 1.001 a 10.000 titulares por mês","volume moderado de titulares; ","") &amp; IF(AA832="SIM","compartilhamento com terceiros; ","") &amp; IF(R832="SIM","compartilhamento com órgãos governamentais; ","") &amp; IF(AJ832="NÃO","ausência de controle de acesso por perfil; ","")),"DPIA não indicado: Processo de baixa criticidade."))</f>
      </c>
    </row>
    <row x14ac:dyDescent="0.25" r="833" customHeight="1" ht="15.75">
      <c r="A833" s="46"/>
      <c r="B833" s="6"/>
      <c r="C833" s="11"/>
      <c r="D833" s="11"/>
      <c r="E833" s="11"/>
      <c r="F833" s="29"/>
      <c r="G833" s="11"/>
      <c r="H833" s="11"/>
      <c r="I833" s="29"/>
      <c r="J833" s="11"/>
      <c r="K833" s="29"/>
      <c r="L833" s="11"/>
      <c r="M833" s="11"/>
      <c r="N833" s="11"/>
      <c r="O833" s="29"/>
      <c r="P833" s="29"/>
      <c r="Q833" s="11"/>
      <c r="R833" s="29"/>
      <c r="S833" s="11"/>
      <c r="T833" s="6"/>
      <c r="U833" s="29"/>
      <c r="V833" s="11"/>
      <c r="W833" s="11"/>
      <c r="X833" s="29"/>
      <c r="Y833" s="11"/>
      <c r="Z833" s="29"/>
      <c r="AA833" s="29"/>
      <c r="AB833" s="11"/>
      <c r="AC833" s="11"/>
      <c r="AD833" s="29"/>
      <c r="AE833" s="11"/>
      <c r="AF833" s="29"/>
      <c r="AG833" s="11"/>
      <c r="AH833" s="29"/>
      <c r="AI833" s="11"/>
      <c r="AJ833" s="29"/>
      <c r="AK833" s="29"/>
      <c r="AL833" s="29"/>
      <c r="AM833" s="11"/>
      <c r="AN833" s="29"/>
      <c r="AO833" s="29"/>
      <c r="AP833" s="6"/>
      <c r="AQ833" s="113">
        <f>IF(AND(I833="",K833="",AF833="",AL833="",AN833="",O833=""),"",IF(OR(I833="SIM",K833="SIM",AF833="SIM",AL833="SIM",AN833="Dados pessoais",AN833="Dados sensíveis",AN833="Dados pessoais e sensíveis",O833="Acima de 10.000 titulares por mês"),"SIM - Alta criticidade",IF((IF(I833="SIM",2,0)+IF(K833="SIM",2,0)+IF(AF833="SIM",2,0)+IF(OR(AN833="Dados pessoais",AN833="Dados sensíveis",AN833="Dados pessoais e sensíveis"),2,0)+IF(O833="De 1.001 a 10.000 titulares por mês",1,0)+IF(AA833="SIM",1,0)+IF(R833="SIM",1,0)+IF(AL833="SIM",1,0)+IF(AJ833="NÃO",1,0))&gt;=5,"SIM - Alta criticidade",IF((IF(I833="SIM",2,0)+IF(K833="SIM",2,0)+IF(AF833="SIM",2,0)+IF(OR(AN833="Dados pessoais",AN833="Dados sensíveis",AN833="Dados pessoais e sensíveis"),2,0)+IF(O833="De 1.001 a 10.000 titulares por mês",1,0)+IF(AA833="SIM",1,0)+IF(R833="SIM",1,0)+IF(AL833="SIM",1,0)+IF(AJ833="NÃO",1,0))&gt;=3,"Avaliação necessária","NÃO"))))</f>
      </c>
      <c r="AR833" s="11"/>
      <c r="AS833" s="113">
        <f>IF(AND(I833="",K833="",AF833="",AL833="",AN833="",O833=""),"",IF(OR(I833="SIM",K833="SIM",AF833="SIM",AL833="SIM",OR(AN833="Dados pessoais",AN833="Dados sensíveis",AN833="Dados pessoais e sensíveis"),O833="Acima de 10.000 titulares por mês",(IF(I833="SIM",2,0)+IF(K833="SIM",2,0)+IF(AF833="SIM",2,0)+IF(OR(AN833="Dados pessoais",AN833="Dados sensíveis",AN833="Dados pessoais e sensíveis"),2,0)+IF(O833="De 1.001 a 10.000 titulares por mês",1,0)+IF(AA833="SIM",1,0)+IF(R833="SIM",1,0)+IF(AL833="SIM",1,0)+IF(AJ833="NÃO",1,0))&gt;=3),"DPIA indicado ou em avaliação em razão de: " &amp; TRIM(IF(I833="SIM","tratamento de dados sensíveis; ","") &amp; IF(K833="SIM","utilização de dados de menores; ","") &amp; IF(AF833="SIM","transferência internacional de dados; ","") &amp; IF(AL833="SIM","utilização de inteligência artificial; ","") &amp; IF(OR(AN833="Dados pessoais",AN833="Dados sensíveis",AN833="Dados pessoais e sensíveis"),"dados inseridos em IA; ","") &amp; IF(O833="Acima de 10.000 titulares por mês","volume crítico de titulares; ","") &amp; IF(O833="De 1.001 a 10.000 titulares por mês","volume moderado de titulares; ","") &amp; IF(AA833="SIM","compartilhamento com terceiros; ","") &amp; IF(R833="SIM","compartilhamento com órgãos governamentais; ","") &amp; IF(AJ833="NÃO","ausência de controle de acesso por perfil; ","")),"DPIA não indicado: Processo de baixa criticidade."))</f>
      </c>
    </row>
    <row x14ac:dyDescent="0.25" r="834" customHeight="1" ht="15.75">
      <c r="A834" s="46"/>
      <c r="B834" s="6"/>
      <c r="C834" s="11"/>
      <c r="D834" s="11"/>
      <c r="E834" s="11"/>
      <c r="F834" s="29"/>
      <c r="G834" s="11"/>
      <c r="H834" s="11"/>
      <c r="I834" s="29"/>
      <c r="J834" s="11"/>
      <c r="K834" s="29"/>
      <c r="L834" s="11"/>
      <c r="M834" s="11"/>
      <c r="N834" s="11"/>
      <c r="O834" s="29"/>
      <c r="P834" s="29"/>
      <c r="Q834" s="11"/>
      <c r="R834" s="29"/>
      <c r="S834" s="11"/>
      <c r="T834" s="6"/>
      <c r="U834" s="29"/>
      <c r="V834" s="11"/>
      <c r="W834" s="11"/>
      <c r="X834" s="29"/>
      <c r="Y834" s="11"/>
      <c r="Z834" s="29"/>
      <c r="AA834" s="29"/>
      <c r="AB834" s="11"/>
      <c r="AC834" s="11"/>
      <c r="AD834" s="29"/>
      <c r="AE834" s="11"/>
      <c r="AF834" s="29"/>
      <c r="AG834" s="11"/>
      <c r="AH834" s="29"/>
      <c r="AI834" s="11"/>
      <c r="AJ834" s="29"/>
      <c r="AK834" s="29"/>
      <c r="AL834" s="29"/>
      <c r="AM834" s="11"/>
      <c r="AN834" s="29"/>
      <c r="AO834" s="29"/>
      <c r="AP834" s="6"/>
      <c r="AQ834" s="113">
        <f>IF(AND(I834="",K834="",AF834="",AL834="",AN834="",O834=""),"",IF(OR(I834="SIM",K834="SIM",AF834="SIM",AL834="SIM",AN834="Dados pessoais",AN834="Dados sensíveis",AN834="Dados pessoais e sensíveis",O834="Acima de 10.000 titulares por mês"),"SIM - Alta criticidade",IF((IF(I834="SIM",2,0)+IF(K834="SIM",2,0)+IF(AF834="SIM",2,0)+IF(OR(AN834="Dados pessoais",AN834="Dados sensíveis",AN834="Dados pessoais e sensíveis"),2,0)+IF(O834="De 1.001 a 10.000 titulares por mês",1,0)+IF(AA834="SIM",1,0)+IF(R834="SIM",1,0)+IF(AL834="SIM",1,0)+IF(AJ834="NÃO",1,0))&gt;=5,"SIM - Alta criticidade",IF((IF(I834="SIM",2,0)+IF(K834="SIM",2,0)+IF(AF834="SIM",2,0)+IF(OR(AN834="Dados pessoais",AN834="Dados sensíveis",AN834="Dados pessoais e sensíveis"),2,0)+IF(O834="De 1.001 a 10.000 titulares por mês",1,0)+IF(AA834="SIM",1,0)+IF(R834="SIM",1,0)+IF(AL834="SIM",1,0)+IF(AJ834="NÃO",1,0))&gt;=3,"Avaliação necessária","NÃO"))))</f>
      </c>
      <c r="AR834" s="11"/>
      <c r="AS834" s="113">
        <f>IF(AND(I834="",K834="",AF834="",AL834="",AN834="",O834=""),"",IF(OR(I834="SIM",K834="SIM",AF834="SIM",AL834="SIM",OR(AN834="Dados pessoais",AN834="Dados sensíveis",AN834="Dados pessoais e sensíveis"),O834="Acima de 10.000 titulares por mês",(IF(I834="SIM",2,0)+IF(K834="SIM",2,0)+IF(AF834="SIM",2,0)+IF(OR(AN834="Dados pessoais",AN834="Dados sensíveis",AN834="Dados pessoais e sensíveis"),2,0)+IF(O834="De 1.001 a 10.000 titulares por mês",1,0)+IF(AA834="SIM",1,0)+IF(R834="SIM",1,0)+IF(AL834="SIM",1,0)+IF(AJ834="NÃO",1,0))&gt;=3),"DPIA indicado ou em avaliação em razão de: " &amp; TRIM(IF(I834="SIM","tratamento de dados sensíveis; ","") &amp; IF(K834="SIM","utilização de dados de menores; ","") &amp; IF(AF834="SIM","transferência internacional de dados; ","") &amp; IF(AL834="SIM","utilização de inteligência artificial; ","") &amp; IF(OR(AN834="Dados pessoais",AN834="Dados sensíveis",AN834="Dados pessoais e sensíveis"),"dados inseridos em IA; ","") &amp; IF(O834="Acima de 10.000 titulares por mês","volume crítico de titulares; ","") &amp; IF(O834="De 1.001 a 10.000 titulares por mês","volume moderado de titulares; ","") &amp; IF(AA834="SIM","compartilhamento com terceiros; ","") &amp; IF(R834="SIM","compartilhamento com órgãos governamentais; ","") &amp; IF(AJ834="NÃO","ausência de controle de acesso por perfil; ","")),"DPIA não indicado: Processo de baixa criticidade."))</f>
      </c>
    </row>
    <row x14ac:dyDescent="0.25" r="835" customHeight="1" ht="15.75">
      <c r="A835" s="46"/>
      <c r="B835" s="6"/>
      <c r="C835" s="11"/>
      <c r="D835" s="11"/>
      <c r="E835" s="11"/>
      <c r="F835" s="29"/>
      <c r="G835" s="11"/>
      <c r="H835" s="11"/>
      <c r="I835" s="29"/>
      <c r="J835" s="11"/>
      <c r="K835" s="29"/>
      <c r="L835" s="11"/>
      <c r="M835" s="11"/>
      <c r="N835" s="11"/>
      <c r="O835" s="29"/>
      <c r="P835" s="29"/>
      <c r="Q835" s="11"/>
      <c r="R835" s="29"/>
      <c r="S835" s="11"/>
      <c r="T835" s="6"/>
      <c r="U835" s="29"/>
      <c r="V835" s="11"/>
      <c r="W835" s="11"/>
      <c r="X835" s="29"/>
      <c r="Y835" s="11"/>
      <c r="Z835" s="29"/>
      <c r="AA835" s="29"/>
      <c r="AB835" s="11"/>
      <c r="AC835" s="11"/>
      <c r="AD835" s="29"/>
      <c r="AE835" s="11"/>
      <c r="AF835" s="29"/>
      <c r="AG835" s="11"/>
      <c r="AH835" s="29"/>
      <c r="AI835" s="11"/>
      <c r="AJ835" s="29"/>
      <c r="AK835" s="29"/>
      <c r="AL835" s="29"/>
      <c r="AM835" s="11"/>
      <c r="AN835" s="29"/>
      <c r="AO835" s="29"/>
      <c r="AP835" s="6"/>
      <c r="AQ835" s="113">
        <f>IF(AND(I835="",K835="",AF835="",AL835="",AN835="",O835=""),"",IF(OR(I835="SIM",K835="SIM",AF835="SIM",AL835="SIM",AN835="Dados pessoais",AN835="Dados sensíveis",AN835="Dados pessoais e sensíveis",O835="Acima de 10.000 titulares por mês"),"SIM - Alta criticidade",IF((IF(I835="SIM",2,0)+IF(K835="SIM",2,0)+IF(AF835="SIM",2,0)+IF(OR(AN835="Dados pessoais",AN835="Dados sensíveis",AN835="Dados pessoais e sensíveis"),2,0)+IF(O835="De 1.001 a 10.000 titulares por mês",1,0)+IF(AA835="SIM",1,0)+IF(R835="SIM",1,0)+IF(AL835="SIM",1,0)+IF(AJ835="NÃO",1,0))&gt;=5,"SIM - Alta criticidade",IF((IF(I835="SIM",2,0)+IF(K835="SIM",2,0)+IF(AF835="SIM",2,0)+IF(OR(AN835="Dados pessoais",AN835="Dados sensíveis",AN835="Dados pessoais e sensíveis"),2,0)+IF(O835="De 1.001 a 10.000 titulares por mês",1,0)+IF(AA835="SIM",1,0)+IF(R835="SIM",1,0)+IF(AL835="SIM",1,0)+IF(AJ835="NÃO",1,0))&gt;=3,"Avaliação necessária","NÃO"))))</f>
      </c>
      <c r="AR835" s="11"/>
      <c r="AS835" s="113">
        <f>IF(AND(I835="",K835="",AF835="",AL835="",AN835="",O835=""),"",IF(OR(I835="SIM",K835="SIM",AF835="SIM",AL835="SIM",OR(AN835="Dados pessoais",AN835="Dados sensíveis",AN835="Dados pessoais e sensíveis"),O835="Acima de 10.000 titulares por mês",(IF(I835="SIM",2,0)+IF(K835="SIM",2,0)+IF(AF835="SIM",2,0)+IF(OR(AN835="Dados pessoais",AN835="Dados sensíveis",AN835="Dados pessoais e sensíveis"),2,0)+IF(O835="De 1.001 a 10.000 titulares por mês",1,0)+IF(AA835="SIM",1,0)+IF(R835="SIM",1,0)+IF(AL835="SIM",1,0)+IF(AJ835="NÃO",1,0))&gt;=3),"DPIA indicado ou em avaliação em razão de: " &amp; TRIM(IF(I835="SIM","tratamento de dados sensíveis; ","") &amp; IF(K835="SIM","utilização de dados de menores; ","") &amp; IF(AF835="SIM","transferência internacional de dados; ","") &amp; IF(AL835="SIM","utilização de inteligência artificial; ","") &amp; IF(OR(AN835="Dados pessoais",AN835="Dados sensíveis",AN835="Dados pessoais e sensíveis"),"dados inseridos em IA; ","") &amp; IF(O835="Acima de 10.000 titulares por mês","volume crítico de titulares; ","") &amp; IF(O835="De 1.001 a 10.000 titulares por mês","volume moderado de titulares; ","") &amp; IF(AA835="SIM","compartilhamento com terceiros; ","") &amp; IF(R835="SIM","compartilhamento com órgãos governamentais; ","") &amp; IF(AJ835="NÃO","ausência de controle de acesso por perfil; ","")),"DPIA não indicado: Processo de baixa criticidade."))</f>
      </c>
    </row>
    <row x14ac:dyDescent="0.25" r="836" customHeight="1" ht="15.75">
      <c r="A836" s="46"/>
      <c r="B836" s="6"/>
      <c r="C836" s="11"/>
      <c r="D836" s="11"/>
      <c r="E836" s="11"/>
      <c r="F836" s="29"/>
      <c r="G836" s="11"/>
      <c r="H836" s="11"/>
      <c r="I836" s="29"/>
      <c r="J836" s="11"/>
      <c r="K836" s="29"/>
      <c r="L836" s="11"/>
      <c r="M836" s="11"/>
      <c r="N836" s="11"/>
      <c r="O836" s="29"/>
      <c r="P836" s="29"/>
      <c r="Q836" s="11"/>
      <c r="R836" s="29"/>
      <c r="S836" s="11"/>
      <c r="T836" s="6"/>
      <c r="U836" s="29"/>
      <c r="V836" s="11"/>
      <c r="W836" s="11"/>
      <c r="X836" s="29"/>
      <c r="Y836" s="11"/>
      <c r="Z836" s="29"/>
      <c r="AA836" s="29"/>
      <c r="AB836" s="11"/>
      <c r="AC836" s="11"/>
      <c r="AD836" s="29"/>
      <c r="AE836" s="11"/>
      <c r="AF836" s="29"/>
      <c r="AG836" s="11"/>
      <c r="AH836" s="29"/>
      <c r="AI836" s="11"/>
      <c r="AJ836" s="29"/>
      <c r="AK836" s="29"/>
      <c r="AL836" s="29"/>
      <c r="AM836" s="11"/>
      <c r="AN836" s="29"/>
      <c r="AO836" s="29"/>
      <c r="AP836" s="6"/>
      <c r="AQ836" s="113">
        <f>IF(AND(I836="",K836="",AF836="",AL836="",AN836="",O836=""),"",IF(OR(I836="SIM",K836="SIM",AF836="SIM",AL836="SIM",AN836="Dados pessoais",AN836="Dados sensíveis",AN836="Dados pessoais e sensíveis",O836="Acima de 10.000 titulares por mês"),"SIM - Alta criticidade",IF((IF(I836="SIM",2,0)+IF(K836="SIM",2,0)+IF(AF836="SIM",2,0)+IF(OR(AN836="Dados pessoais",AN836="Dados sensíveis",AN836="Dados pessoais e sensíveis"),2,0)+IF(O836="De 1.001 a 10.000 titulares por mês",1,0)+IF(AA836="SIM",1,0)+IF(R836="SIM",1,0)+IF(AL836="SIM",1,0)+IF(AJ836="NÃO",1,0))&gt;=5,"SIM - Alta criticidade",IF((IF(I836="SIM",2,0)+IF(K836="SIM",2,0)+IF(AF836="SIM",2,0)+IF(OR(AN836="Dados pessoais",AN836="Dados sensíveis",AN836="Dados pessoais e sensíveis"),2,0)+IF(O836="De 1.001 a 10.000 titulares por mês",1,0)+IF(AA836="SIM",1,0)+IF(R836="SIM",1,0)+IF(AL836="SIM",1,0)+IF(AJ836="NÃO",1,0))&gt;=3,"Avaliação necessária","NÃO"))))</f>
      </c>
      <c r="AR836" s="11"/>
      <c r="AS836" s="113">
        <f>IF(AND(I836="",K836="",AF836="",AL836="",AN836="",O836=""),"",IF(OR(I836="SIM",K836="SIM",AF836="SIM",AL836="SIM",OR(AN836="Dados pessoais",AN836="Dados sensíveis",AN836="Dados pessoais e sensíveis"),O836="Acima de 10.000 titulares por mês",(IF(I836="SIM",2,0)+IF(K836="SIM",2,0)+IF(AF836="SIM",2,0)+IF(OR(AN836="Dados pessoais",AN836="Dados sensíveis",AN836="Dados pessoais e sensíveis"),2,0)+IF(O836="De 1.001 a 10.000 titulares por mês",1,0)+IF(AA836="SIM",1,0)+IF(R836="SIM",1,0)+IF(AL836="SIM",1,0)+IF(AJ836="NÃO",1,0))&gt;=3),"DPIA indicado ou em avaliação em razão de: " &amp; TRIM(IF(I836="SIM","tratamento de dados sensíveis; ","") &amp; IF(K836="SIM","utilização de dados de menores; ","") &amp; IF(AF836="SIM","transferência internacional de dados; ","") &amp; IF(AL836="SIM","utilização de inteligência artificial; ","") &amp; IF(OR(AN836="Dados pessoais",AN836="Dados sensíveis",AN836="Dados pessoais e sensíveis"),"dados inseridos em IA; ","") &amp; IF(O836="Acima de 10.000 titulares por mês","volume crítico de titulares; ","") &amp; IF(O836="De 1.001 a 10.000 titulares por mês","volume moderado de titulares; ","") &amp; IF(AA836="SIM","compartilhamento com terceiros; ","") &amp; IF(R836="SIM","compartilhamento com órgãos governamentais; ","") &amp; IF(AJ836="NÃO","ausência de controle de acesso por perfil; ","")),"DPIA não indicado: Processo de baixa criticidade."))</f>
      </c>
    </row>
    <row x14ac:dyDescent="0.25" r="837" customHeight="1" ht="15.75">
      <c r="A837" s="46"/>
      <c r="B837" s="6"/>
      <c r="C837" s="11"/>
      <c r="D837" s="11"/>
      <c r="E837" s="11"/>
      <c r="F837" s="29"/>
      <c r="G837" s="11"/>
      <c r="H837" s="11"/>
      <c r="I837" s="29"/>
      <c r="J837" s="11"/>
      <c r="K837" s="29"/>
      <c r="L837" s="11"/>
      <c r="M837" s="11"/>
      <c r="N837" s="11"/>
      <c r="O837" s="29"/>
      <c r="P837" s="29"/>
      <c r="Q837" s="11"/>
      <c r="R837" s="29"/>
      <c r="S837" s="11"/>
      <c r="T837" s="6"/>
      <c r="U837" s="29"/>
      <c r="V837" s="11"/>
      <c r="W837" s="11"/>
      <c r="X837" s="29"/>
      <c r="Y837" s="11"/>
      <c r="Z837" s="29"/>
      <c r="AA837" s="29"/>
      <c r="AB837" s="11"/>
      <c r="AC837" s="11"/>
      <c r="AD837" s="29"/>
      <c r="AE837" s="11"/>
      <c r="AF837" s="29"/>
      <c r="AG837" s="11"/>
      <c r="AH837" s="29"/>
      <c r="AI837" s="11"/>
      <c r="AJ837" s="29"/>
      <c r="AK837" s="29"/>
      <c r="AL837" s="29"/>
      <c r="AM837" s="11"/>
      <c r="AN837" s="29"/>
      <c r="AO837" s="29"/>
      <c r="AP837" s="6"/>
      <c r="AQ837" s="113">
        <f>IF(AND(I837="",K837="",AF837="",AL837="",AN837="",O837=""),"",IF(OR(I837="SIM",K837="SIM",AF837="SIM",AL837="SIM",AN837="Dados pessoais",AN837="Dados sensíveis",AN837="Dados pessoais e sensíveis",O837="Acima de 10.000 titulares por mês"),"SIM - Alta criticidade",IF((IF(I837="SIM",2,0)+IF(K837="SIM",2,0)+IF(AF837="SIM",2,0)+IF(OR(AN837="Dados pessoais",AN837="Dados sensíveis",AN837="Dados pessoais e sensíveis"),2,0)+IF(O837="De 1.001 a 10.000 titulares por mês",1,0)+IF(AA837="SIM",1,0)+IF(R837="SIM",1,0)+IF(AL837="SIM",1,0)+IF(AJ837="NÃO",1,0))&gt;=5,"SIM - Alta criticidade",IF((IF(I837="SIM",2,0)+IF(K837="SIM",2,0)+IF(AF837="SIM",2,0)+IF(OR(AN837="Dados pessoais",AN837="Dados sensíveis",AN837="Dados pessoais e sensíveis"),2,0)+IF(O837="De 1.001 a 10.000 titulares por mês",1,0)+IF(AA837="SIM",1,0)+IF(R837="SIM",1,0)+IF(AL837="SIM",1,0)+IF(AJ837="NÃO",1,0))&gt;=3,"Avaliação necessária","NÃO"))))</f>
      </c>
      <c r="AR837" s="11"/>
      <c r="AS837" s="113">
        <f>IF(AND(I837="",K837="",AF837="",AL837="",AN837="",O837=""),"",IF(OR(I837="SIM",K837="SIM",AF837="SIM",AL837="SIM",OR(AN837="Dados pessoais",AN837="Dados sensíveis",AN837="Dados pessoais e sensíveis"),O837="Acima de 10.000 titulares por mês",(IF(I837="SIM",2,0)+IF(K837="SIM",2,0)+IF(AF837="SIM",2,0)+IF(OR(AN837="Dados pessoais",AN837="Dados sensíveis",AN837="Dados pessoais e sensíveis"),2,0)+IF(O837="De 1.001 a 10.000 titulares por mês",1,0)+IF(AA837="SIM",1,0)+IF(R837="SIM",1,0)+IF(AL837="SIM",1,0)+IF(AJ837="NÃO",1,0))&gt;=3),"DPIA indicado ou em avaliação em razão de: " &amp; TRIM(IF(I837="SIM","tratamento de dados sensíveis; ","") &amp; IF(K837="SIM","utilização de dados de menores; ","") &amp; IF(AF837="SIM","transferência internacional de dados; ","") &amp; IF(AL837="SIM","utilização de inteligência artificial; ","") &amp; IF(OR(AN837="Dados pessoais",AN837="Dados sensíveis",AN837="Dados pessoais e sensíveis"),"dados inseridos em IA; ","") &amp; IF(O837="Acima de 10.000 titulares por mês","volume crítico de titulares; ","") &amp; IF(O837="De 1.001 a 10.000 titulares por mês","volume moderado de titulares; ","") &amp; IF(AA837="SIM","compartilhamento com terceiros; ","") &amp; IF(R837="SIM","compartilhamento com órgãos governamentais; ","") &amp; IF(AJ837="NÃO","ausência de controle de acesso por perfil; ","")),"DPIA não indicado: Processo de baixa criticidade."))</f>
      </c>
    </row>
    <row x14ac:dyDescent="0.25" r="838" customHeight="1" ht="15.75">
      <c r="A838" s="46"/>
      <c r="B838" s="6"/>
      <c r="C838" s="11"/>
      <c r="D838" s="11"/>
      <c r="E838" s="11"/>
      <c r="F838" s="29"/>
      <c r="G838" s="11"/>
      <c r="H838" s="11"/>
      <c r="I838" s="29"/>
      <c r="J838" s="11"/>
      <c r="K838" s="29"/>
      <c r="L838" s="11"/>
      <c r="M838" s="11"/>
      <c r="N838" s="11"/>
      <c r="O838" s="29"/>
      <c r="P838" s="29"/>
      <c r="Q838" s="11"/>
      <c r="R838" s="29"/>
      <c r="S838" s="11"/>
      <c r="T838" s="6"/>
      <c r="U838" s="29"/>
      <c r="V838" s="11"/>
      <c r="W838" s="11"/>
      <c r="X838" s="29"/>
      <c r="Y838" s="11"/>
      <c r="Z838" s="29"/>
      <c r="AA838" s="29"/>
      <c r="AB838" s="11"/>
      <c r="AC838" s="11"/>
      <c r="AD838" s="29"/>
      <c r="AE838" s="11"/>
      <c r="AF838" s="29"/>
      <c r="AG838" s="11"/>
      <c r="AH838" s="29"/>
      <c r="AI838" s="11"/>
      <c r="AJ838" s="29"/>
      <c r="AK838" s="29"/>
      <c r="AL838" s="29"/>
      <c r="AM838" s="11"/>
      <c r="AN838" s="29"/>
      <c r="AO838" s="29"/>
      <c r="AP838" s="6"/>
      <c r="AQ838" s="113">
        <f>IF(AND(I838="",K838="",AF838="",AL838="",AN838="",O838=""),"",IF(OR(I838="SIM",K838="SIM",AF838="SIM",AL838="SIM",AN838="Dados pessoais",AN838="Dados sensíveis",AN838="Dados pessoais e sensíveis",O838="Acima de 10.000 titulares por mês"),"SIM - Alta criticidade",IF((IF(I838="SIM",2,0)+IF(K838="SIM",2,0)+IF(AF838="SIM",2,0)+IF(OR(AN838="Dados pessoais",AN838="Dados sensíveis",AN838="Dados pessoais e sensíveis"),2,0)+IF(O838="De 1.001 a 10.000 titulares por mês",1,0)+IF(AA838="SIM",1,0)+IF(R838="SIM",1,0)+IF(AL838="SIM",1,0)+IF(AJ838="NÃO",1,0))&gt;=5,"SIM - Alta criticidade",IF((IF(I838="SIM",2,0)+IF(K838="SIM",2,0)+IF(AF838="SIM",2,0)+IF(OR(AN838="Dados pessoais",AN838="Dados sensíveis",AN838="Dados pessoais e sensíveis"),2,0)+IF(O838="De 1.001 a 10.000 titulares por mês",1,0)+IF(AA838="SIM",1,0)+IF(R838="SIM",1,0)+IF(AL838="SIM",1,0)+IF(AJ838="NÃO",1,0))&gt;=3,"Avaliação necessária","NÃO"))))</f>
      </c>
      <c r="AR838" s="11"/>
      <c r="AS838" s="113">
        <f>IF(AND(I838="",K838="",AF838="",AL838="",AN838="",O838=""),"",IF(OR(I838="SIM",K838="SIM",AF838="SIM",AL838="SIM",OR(AN838="Dados pessoais",AN838="Dados sensíveis",AN838="Dados pessoais e sensíveis"),O838="Acima de 10.000 titulares por mês",(IF(I838="SIM",2,0)+IF(K838="SIM",2,0)+IF(AF838="SIM",2,0)+IF(OR(AN838="Dados pessoais",AN838="Dados sensíveis",AN838="Dados pessoais e sensíveis"),2,0)+IF(O838="De 1.001 a 10.000 titulares por mês",1,0)+IF(AA838="SIM",1,0)+IF(R838="SIM",1,0)+IF(AL838="SIM",1,0)+IF(AJ838="NÃO",1,0))&gt;=3),"DPIA indicado ou em avaliação em razão de: " &amp; TRIM(IF(I838="SIM","tratamento de dados sensíveis; ","") &amp; IF(K838="SIM","utilização de dados de menores; ","") &amp; IF(AF838="SIM","transferência internacional de dados; ","") &amp; IF(AL838="SIM","utilização de inteligência artificial; ","") &amp; IF(OR(AN838="Dados pessoais",AN838="Dados sensíveis",AN838="Dados pessoais e sensíveis"),"dados inseridos em IA; ","") &amp; IF(O838="Acima de 10.000 titulares por mês","volume crítico de titulares; ","") &amp; IF(O838="De 1.001 a 10.000 titulares por mês","volume moderado de titulares; ","") &amp; IF(AA838="SIM","compartilhamento com terceiros; ","") &amp; IF(R838="SIM","compartilhamento com órgãos governamentais; ","") &amp; IF(AJ838="NÃO","ausência de controle de acesso por perfil; ","")),"DPIA não indicado: Processo de baixa criticidade."))</f>
      </c>
    </row>
    <row x14ac:dyDescent="0.25" r="839" customHeight="1" ht="15.75">
      <c r="A839" s="46"/>
      <c r="B839" s="6"/>
      <c r="C839" s="11"/>
      <c r="D839" s="11"/>
      <c r="E839" s="11"/>
      <c r="F839" s="29"/>
      <c r="G839" s="11"/>
      <c r="H839" s="11"/>
      <c r="I839" s="29"/>
      <c r="J839" s="11"/>
      <c r="K839" s="29"/>
      <c r="L839" s="11"/>
      <c r="M839" s="11"/>
      <c r="N839" s="11"/>
      <c r="O839" s="29"/>
      <c r="P839" s="29"/>
      <c r="Q839" s="11"/>
      <c r="R839" s="29"/>
      <c r="S839" s="11"/>
      <c r="T839" s="6"/>
      <c r="U839" s="29"/>
      <c r="V839" s="11"/>
      <c r="W839" s="11"/>
      <c r="X839" s="29"/>
      <c r="Y839" s="11"/>
      <c r="Z839" s="29"/>
      <c r="AA839" s="29"/>
      <c r="AB839" s="11"/>
      <c r="AC839" s="11"/>
      <c r="AD839" s="29"/>
      <c r="AE839" s="11"/>
      <c r="AF839" s="29"/>
      <c r="AG839" s="11"/>
      <c r="AH839" s="29"/>
      <c r="AI839" s="11"/>
      <c r="AJ839" s="29"/>
      <c r="AK839" s="29"/>
      <c r="AL839" s="29"/>
      <c r="AM839" s="11"/>
      <c r="AN839" s="29"/>
      <c r="AO839" s="29"/>
      <c r="AP839" s="6"/>
      <c r="AQ839" s="113">
        <f>IF(AND(I839="",K839="",AF839="",AL839="",AN839="",O839=""),"",IF(OR(I839="SIM",K839="SIM",AF839="SIM",AL839="SIM",AN839="Dados pessoais",AN839="Dados sensíveis",AN839="Dados pessoais e sensíveis",O839="Acima de 10.000 titulares por mês"),"SIM - Alta criticidade",IF((IF(I839="SIM",2,0)+IF(K839="SIM",2,0)+IF(AF839="SIM",2,0)+IF(OR(AN839="Dados pessoais",AN839="Dados sensíveis",AN839="Dados pessoais e sensíveis"),2,0)+IF(O839="De 1.001 a 10.000 titulares por mês",1,0)+IF(AA839="SIM",1,0)+IF(R839="SIM",1,0)+IF(AL839="SIM",1,0)+IF(AJ839="NÃO",1,0))&gt;=5,"SIM - Alta criticidade",IF((IF(I839="SIM",2,0)+IF(K839="SIM",2,0)+IF(AF839="SIM",2,0)+IF(OR(AN839="Dados pessoais",AN839="Dados sensíveis",AN839="Dados pessoais e sensíveis"),2,0)+IF(O839="De 1.001 a 10.000 titulares por mês",1,0)+IF(AA839="SIM",1,0)+IF(R839="SIM",1,0)+IF(AL839="SIM",1,0)+IF(AJ839="NÃO",1,0))&gt;=3,"Avaliação necessária","NÃO"))))</f>
      </c>
      <c r="AR839" s="11"/>
      <c r="AS839" s="113">
        <f>IF(AND(I839="",K839="",AF839="",AL839="",AN839="",O839=""),"",IF(OR(I839="SIM",K839="SIM",AF839="SIM",AL839="SIM",OR(AN839="Dados pessoais",AN839="Dados sensíveis",AN839="Dados pessoais e sensíveis"),O839="Acima de 10.000 titulares por mês",(IF(I839="SIM",2,0)+IF(K839="SIM",2,0)+IF(AF839="SIM",2,0)+IF(OR(AN839="Dados pessoais",AN839="Dados sensíveis",AN839="Dados pessoais e sensíveis"),2,0)+IF(O839="De 1.001 a 10.000 titulares por mês",1,0)+IF(AA839="SIM",1,0)+IF(R839="SIM",1,0)+IF(AL839="SIM",1,0)+IF(AJ839="NÃO",1,0))&gt;=3),"DPIA indicado ou em avaliação em razão de: " &amp; TRIM(IF(I839="SIM","tratamento de dados sensíveis; ","") &amp; IF(K839="SIM","utilização de dados de menores; ","") &amp; IF(AF839="SIM","transferência internacional de dados; ","") &amp; IF(AL839="SIM","utilização de inteligência artificial; ","") &amp; IF(OR(AN839="Dados pessoais",AN839="Dados sensíveis",AN839="Dados pessoais e sensíveis"),"dados inseridos em IA; ","") &amp; IF(O839="Acima de 10.000 titulares por mês","volume crítico de titulares; ","") &amp; IF(O839="De 1.001 a 10.000 titulares por mês","volume moderado de titulares; ","") &amp; IF(AA839="SIM","compartilhamento com terceiros; ","") &amp; IF(R839="SIM","compartilhamento com órgãos governamentais; ","") &amp; IF(AJ839="NÃO","ausência de controle de acesso por perfil; ","")),"DPIA não indicado: Processo de baixa criticidade."))</f>
      </c>
    </row>
    <row x14ac:dyDescent="0.25" r="840" customHeight="1" ht="15.75">
      <c r="A840" s="46"/>
      <c r="B840" s="6"/>
      <c r="C840" s="11"/>
      <c r="D840" s="11"/>
      <c r="E840" s="11"/>
      <c r="F840" s="29"/>
      <c r="G840" s="11"/>
      <c r="H840" s="11"/>
      <c r="I840" s="29"/>
      <c r="J840" s="11"/>
      <c r="K840" s="29"/>
      <c r="L840" s="11"/>
      <c r="M840" s="11"/>
      <c r="N840" s="11"/>
      <c r="O840" s="29"/>
      <c r="P840" s="29"/>
      <c r="Q840" s="11"/>
      <c r="R840" s="29"/>
      <c r="S840" s="11"/>
      <c r="T840" s="6"/>
      <c r="U840" s="29"/>
      <c r="V840" s="11"/>
      <c r="W840" s="11"/>
      <c r="X840" s="29"/>
      <c r="Y840" s="11"/>
      <c r="Z840" s="29"/>
      <c r="AA840" s="29"/>
      <c r="AB840" s="11"/>
      <c r="AC840" s="11"/>
      <c r="AD840" s="29"/>
      <c r="AE840" s="11"/>
      <c r="AF840" s="29"/>
      <c r="AG840" s="11"/>
      <c r="AH840" s="29"/>
      <c r="AI840" s="11"/>
      <c r="AJ840" s="29"/>
      <c r="AK840" s="29"/>
      <c r="AL840" s="29"/>
      <c r="AM840" s="11"/>
      <c r="AN840" s="29"/>
      <c r="AO840" s="29"/>
      <c r="AP840" s="6"/>
      <c r="AQ840" s="113">
        <f>IF(AND(I840="",K840="",AF840="",AL840="",AN840="",O840=""),"",IF(OR(I840="SIM",K840="SIM",AF840="SIM",AL840="SIM",AN840="Dados pessoais",AN840="Dados sensíveis",AN840="Dados pessoais e sensíveis",O840="Acima de 10.000 titulares por mês"),"SIM - Alta criticidade",IF((IF(I840="SIM",2,0)+IF(K840="SIM",2,0)+IF(AF840="SIM",2,0)+IF(OR(AN840="Dados pessoais",AN840="Dados sensíveis",AN840="Dados pessoais e sensíveis"),2,0)+IF(O840="De 1.001 a 10.000 titulares por mês",1,0)+IF(AA840="SIM",1,0)+IF(R840="SIM",1,0)+IF(AL840="SIM",1,0)+IF(AJ840="NÃO",1,0))&gt;=5,"SIM - Alta criticidade",IF((IF(I840="SIM",2,0)+IF(K840="SIM",2,0)+IF(AF840="SIM",2,0)+IF(OR(AN840="Dados pessoais",AN840="Dados sensíveis",AN840="Dados pessoais e sensíveis"),2,0)+IF(O840="De 1.001 a 10.000 titulares por mês",1,0)+IF(AA840="SIM",1,0)+IF(R840="SIM",1,0)+IF(AL840="SIM",1,0)+IF(AJ840="NÃO",1,0))&gt;=3,"Avaliação necessária","NÃO"))))</f>
      </c>
      <c r="AR840" s="11"/>
      <c r="AS840" s="113">
        <f>IF(AND(I840="",K840="",AF840="",AL840="",AN840="",O840=""),"",IF(OR(I840="SIM",K840="SIM",AF840="SIM",AL840="SIM",OR(AN840="Dados pessoais",AN840="Dados sensíveis",AN840="Dados pessoais e sensíveis"),O840="Acima de 10.000 titulares por mês",(IF(I840="SIM",2,0)+IF(K840="SIM",2,0)+IF(AF840="SIM",2,0)+IF(OR(AN840="Dados pessoais",AN840="Dados sensíveis",AN840="Dados pessoais e sensíveis"),2,0)+IF(O840="De 1.001 a 10.000 titulares por mês",1,0)+IF(AA840="SIM",1,0)+IF(R840="SIM",1,0)+IF(AL840="SIM",1,0)+IF(AJ840="NÃO",1,0))&gt;=3),"DPIA indicado ou em avaliação em razão de: " &amp; TRIM(IF(I840="SIM","tratamento de dados sensíveis; ","") &amp; IF(K840="SIM","utilização de dados de menores; ","") &amp; IF(AF840="SIM","transferência internacional de dados; ","") &amp; IF(AL840="SIM","utilização de inteligência artificial; ","") &amp; IF(OR(AN840="Dados pessoais",AN840="Dados sensíveis",AN840="Dados pessoais e sensíveis"),"dados inseridos em IA; ","") &amp; IF(O840="Acima de 10.000 titulares por mês","volume crítico de titulares; ","") &amp; IF(O840="De 1.001 a 10.000 titulares por mês","volume moderado de titulares; ","") &amp; IF(AA840="SIM","compartilhamento com terceiros; ","") &amp; IF(R840="SIM","compartilhamento com órgãos governamentais; ","") &amp; IF(AJ840="NÃO","ausência de controle de acesso por perfil; ","")),"DPIA não indicado: Processo de baixa criticidade."))</f>
      </c>
    </row>
    <row x14ac:dyDescent="0.25" r="841" customHeight="1" ht="15.75">
      <c r="A841" s="46"/>
      <c r="B841" s="6"/>
      <c r="C841" s="11"/>
      <c r="D841" s="11"/>
      <c r="E841" s="11"/>
      <c r="F841" s="29"/>
      <c r="G841" s="11"/>
      <c r="H841" s="11"/>
      <c r="I841" s="29"/>
      <c r="J841" s="11"/>
      <c r="K841" s="29"/>
      <c r="L841" s="11"/>
      <c r="M841" s="11"/>
      <c r="N841" s="11"/>
      <c r="O841" s="29"/>
      <c r="P841" s="29"/>
      <c r="Q841" s="11"/>
      <c r="R841" s="29"/>
      <c r="S841" s="11"/>
      <c r="T841" s="6"/>
      <c r="U841" s="29"/>
      <c r="V841" s="11"/>
      <c r="W841" s="11"/>
      <c r="X841" s="29"/>
      <c r="Y841" s="11"/>
      <c r="Z841" s="29"/>
      <c r="AA841" s="29"/>
      <c r="AB841" s="11"/>
      <c r="AC841" s="11"/>
      <c r="AD841" s="29"/>
      <c r="AE841" s="11"/>
      <c r="AF841" s="29"/>
      <c r="AG841" s="11"/>
      <c r="AH841" s="29"/>
      <c r="AI841" s="11"/>
      <c r="AJ841" s="29"/>
      <c r="AK841" s="29"/>
      <c r="AL841" s="29"/>
      <c r="AM841" s="11"/>
      <c r="AN841" s="29"/>
      <c r="AO841" s="29"/>
      <c r="AP841" s="6"/>
      <c r="AQ841" s="113">
        <f>IF(AND(I841="",K841="",AF841="",AL841="",AN841="",O841=""),"",IF(OR(I841="SIM",K841="SIM",AF841="SIM",AL841="SIM",AN841="Dados pessoais",AN841="Dados sensíveis",AN841="Dados pessoais e sensíveis",O841="Acima de 10.000 titulares por mês"),"SIM - Alta criticidade",IF((IF(I841="SIM",2,0)+IF(K841="SIM",2,0)+IF(AF841="SIM",2,0)+IF(OR(AN841="Dados pessoais",AN841="Dados sensíveis",AN841="Dados pessoais e sensíveis"),2,0)+IF(O841="De 1.001 a 10.000 titulares por mês",1,0)+IF(AA841="SIM",1,0)+IF(R841="SIM",1,0)+IF(AL841="SIM",1,0)+IF(AJ841="NÃO",1,0))&gt;=5,"SIM - Alta criticidade",IF((IF(I841="SIM",2,0)+IF(K841="SIM",2,0)+IF(AF841="SIM",2,0)+IF(OR(AN841="Dados pessoais",AN841="Dados sensíveis",AN841="Dados pessoais e sensíveis"),2,0)+IF(O841="De 1.001 a 10.000 titulares por mês",1,0)+IF(AA841="SIM",1,0)+IF(R841="SIM",1,0)+IF(AL841="SIM",1,0)+IF(AJ841="NÃO",1,0))&gt;=3,"Avaliação necessária","NÃO"))))</f>
      </c>
      <c r="AR841" s="11"/>
      <c r="AS841" s="113">
        <f>IF(AND(I841="",K841="",AF841="",AL841="",AN841="",O841=""),"",IF(OR(I841="SIM",K841="SIM",AF841="SIM",AL841="SIM",OR(AN841="Dados pessoais",AN841="Dados sensíveis",AN841="Dados pessoais e sensíveis"),O841="Acima de 10.000 titulares por mês",(IF(I841="SIM",2,0)+IF(K841="SIM",2,0)+IF(AF841="SIM",2,0)+IF(OR(AN841="Dados pessoais",AN841="Dados sensíveis",AN841="Dados pessoais e sensíveis"),2,0)+IF(O841="De 1.001 a 10.000 titulares por mês",1,0)+IF(AA841="SIM",1,0)+IF(R841="SIM",1,0)+IF(AL841="SIM",1,0)+IF(AJ841="NÃO",1,0))&gt;=3),"DPIA indicado ou em avaliação em razão de: " &amp; TRIM(IF(I841="SIM","tratamento de dados sensíveis; ","") &amp; IF(K841="SIM","utilização de dados de menores; ","") &amp; IF(AF841="SIM","transferência internacional de dados; ","") &amp; IF(AL841="SIM","utilização de inteligência artificial; ","") &amp; IF(OR(AN841="Dados pessoais",AN841="Dados sensíveis",AN841="Dados pessoais e sensíveis"),"dados inseridos em IA; ","") &amp; IF(O841="Acima de 10.000 titulares por mês","volume crítico de titulares; ","") &amp; IF(O841="De 1.001 a 10.000 titulares por mês","volume moderado de titulares; ","") &amp; IF(AA841="SIM","compartilhamento com terceiros; ","") &amp; IF(R841="SIM","compartilhamento com órgãos governamentais; ","") &amp; IF(AJ841="NÃO","ausência de controle de acesso por perfil; ","")),"DPIA não indicado: Processo de baixa criticidade."))</f>
      </c>
    </row>
    <row x14ac:dyDescent="0.25" r="842" customHeight="1" ht="15.75">
      <c r="A842" s="46"/>
      <c r="B842" s="6"/>
      <c r="C842" s="11"/>
      <c r="D842" s="11"/>
      <c r="E842" s="11"/>
      <c r="F842" s="29"/>
      <c r="G842" s="11"/>
      <c r="H842" s="11"/>
      <c r="I842" s="29"/>
      <c r="J842" s="11"/>
      <c r="K842" s="29"/>
      <c r="L842" s="11"/>
      <c r="M842" s="11"/>
      <c r="N842" s="11"/>
      <c r="O842" s="29"/>
      <c r="P842" s="29"/>
      <c r="Q842" s="11"/>
      <c r="R842" s="29"/>
      <c r="S842" s="11"/>
      <c r="T842" s="6"/>
      <c r="U842" s="29"/>
      <c r="V842" s="11"/>
      <c r="W842" s="11"/>
      <c r="X842" s="29"/>
      <c r="Y842" s="11"/>
      <c r="Z842" s="29"/>
      <c r="AA842" s="29"/>
      <c r="AB842" s="11"/>
      <c r="AC842" s="11"/>
      <c r="AD842" s="29"/>
      <c r="AE842" s="11"/>
      <c r="AF842" s="29"/>
      <c r="AG842" s="11"/>
      <c r="AH842" s="29"/>
      <c r="AI842" s="11"/>
      <c r="AJ842" s="29"/>
      <c r="AK842" s="29"/>
      <c r="AL842" s="29"/>
      <c r="AM842" s="11"/>
      <c r="AN842" s="29"/>
      <c r="AO842" s="29"/>
      <c r="AP842" s="6"/>
      <c r="AQ842" s="113">
        <f>IF(AND(I842="",K842="",AF842="",AL842="",AN842="",O842=""),"",IF(OR(I842="SIM",K842="SIM",AF842="SIM",AL842="SIM",AN842="Dados pessoais",AN842="Dados sensíveis",AN842="Dados pessoais e sensíveis",O842="Acima de 10.000 titulares por mês"),"SIM - Alta criticidade",IF((IF(I842="SIM",2,0)+IF(K842="SIM",2,0)+IF(AF842="SIM",2,0)+IF(OR(AN842="Dados pessoais",AN842="Dados sensíveis",AN842="Dados pessoais e sensíveis"),2,0)+IF(O842="De 1.001 a 10.000 titulares por mês",1,0)+IF(AA842="SIM",1,0)+IF(R842="SIM",1,0)+IF(AL842="SIM",1,0)+IF(AJ842="NÃO",1,0))&gt;=5,"SIM - Alta criticidade",IF((IF(I842="SIM",2,0)+IF(K842="SIM",2,0)+IF(AF842="SIM",2,0)+IF(OR(AN842="Dados pessoais",AN842="Dados sensíveis",AN842="Dados pessoais e sensíveis"),2,0)+IF(O842="De 1.001 a 10.000 titulares por mês",1,0)+IF(AA842="SIM",1,0)+IF(R842="SIM",1,0)+IF(AL842="SIM",1,0)+IF(AJ842="NÃO",1,0))&gt;=3,"Avaliação necessária","NÃO"))))</f>
      </c>
      <c r="AR842" s="11"/>
      <c r="AS842" s="113">
        <f>IF(AND(I842="",K842="",AF842="",AL842="",AN842="",O842=""),"",IF(OR(I842="SIM",K842="SIM",AF842="SIM",AL842="SIM",OR(AN842="Dados pessoais",AN842="Dados sensíveis",AN842="Dados pessoais e sensíveis"),O842="Acima de 10.000 titulares por mês",(IF(I842="SIM",2,0)+IF(K842="SIM",2,0)+IF(AF842="SIM",2,0)+IF(OR(AN842="Dados pessoais",AN842="Dados sensíveis",AN842="Dados pessoais e sensíveis"),2,0)+IF(O842="De 1.001 a 10.000 titulares por mês",1,0)+IF(AA842="SIM",1,0)+IF(R842="SIM",1,0)+IF(AL842="SIM",1,0)+IF(AJ842="NÃO",1,0))&gt;=3),"DPIA indicado ou em avaliação em razão de: " &amp; TRIM(IF(I842="SIM","tratamento de dados sensíveis; ","") &amp; IF(K842="SIM","utilização de dados de menores; ","") &amp; IF(AF842="SIM","transferência internacional de dados; ","") &amp; IF(AL842="SIM","utilização de inteligência artificial; ","") &amp; IF(OR(AN842="Dados pessoais",AN842="Dados sensíveis",AN842="Dados pessoais e sensíveis"),"dados inseridos em IA; ","") &amp; IF(O842="Acima de 10.000 titulares por mês","volume crítico de titulares; ","") &amp; IF(O842="De 1.001 a 10.000 titulares por mês","volume moderado de titulares; ","") &amp; IF(AA842="SIM","compartilhamento com terceiros; ","") &amp; IF(R842="SIM","compartilhamento com órgãos governamentais; ","") &amp; IF(AJ842="NÃO","ausência de controle de acesso por perfil; ","")),"DPIA não indicado: Processo de baixa criticidade."))</f>
      </c>
    </row>
    <row x14ac:dyDescent="0.25" r="843" customHeight="1" ht="15.75">
      <c r="A843" s="46"/>
      <c r="B843" s="6"/>
      <c r="C843" s="11"/>
      <c r="D843" s="11"/>
      <c r="E843" s="11"/>
      <c r="F843" s="29"/>
      <c r="G843" s="11"/>
      <c r="H843" s="11"/>
      <c r="I843" s="29"/>
      <c r="J843" s="11"/>
      <c r="K843" s="29"/>
      <c r="L843" s="11"/>
      <c r="M843" s="11"/>
      <c r="N843" s="11"/>
      <c r="O843" s="29"/>
      <c r="P843" s="29"/>
      <c r="Q843" s="11"/>
      <c r="R843" s="29"/>
      <c r="S843" s="11"/>
      <c r="T843" s="6"/>
      <c r="U843" s="29"/>
      <c r="V843" s="11"/>
      <c r="W843" s="11"/>
      <c r="X843" s="29"/>
      <c r="Y843" s="11"/>
      <c r="Z843" s="29"/>
      <c r="AA843" s="29"/>
      <c r="AB843" s="11"/>
      <c r="AC843" s="11"/>
      <c r="AD843" s="29"/>
      <c r="AE843" s="11"/>
      <c r="AF843" s="29"/>
      <c r="AG843" s="11"/>
      <c r="AH843" s="29"/>
      <c r="AI843" s="11"/>
      <c r="AJ843" s="29"/>
      <c r="AK843" s="29"/>
      <c r="AL843" s="29"/>
      <c r="AM843" s="11"/>
      <c r="AN843" s="29"/>
      <c r="AO843" s="29"/>
      <c r="AP843" s="6"/>
      <c r="AQ843" s="113">
        <f>IF(AND(I843="",K843="",AF843="",AL843="",AN843="",O843=""),"",IF(OR(I843="SIM",K843="SIM",AF843="SIM",AL843="SIM",AN843="Dados pessoais",AN843="Dados sensíveis",AN843="Dados pessoais e sensíveis",O843="Acima de 10.000 titulares por mês"),"SIM - Alta criticidade",IF((IF(I843="SIM",2,0)+IF(K843="SIM",2,0)+IF(AF843="SIM",2,0)+IF(OR(AN843="Dados pessoais",AN843="Dados sensíveis",AN843="Dados pessoais e sensíveis"),2,0)+IF(O843="De 1.001 a 10.000 titulares por mês",1,0)+IF(AA843="SIM",1,0)+IF(R843="SIM",1,0)+IF(AL843="SIM",1,0)+IF(AJ843="NÃO",1,0))&gt;=5,"SIM - Alta criticidade",IF((IF(I843="SIM",2,0)+IF(K843="SIM",2,0)+IF(AF843="SIM",2,0)+IF(OR(AN843="Dados pessoais",AN843="Dados sensíveis",AN843="Dados pessoais e sensíveis"),2,0)+IF(O843="De 1.001 a 10.000 titulares por mês",1,0)+IF(AA843="SIM",1,0)+IF(R843="SIM",1,0)+IF(AL843="SIM",1,0)+IF(AJ843="NÃO",1,0))&gt;=3,"Avaliação necessária","NÃO"))))</f>
      </c>
      <c r="AR843" s="11"/>
      <c r="AS843" s="113">
        <f>IF(AND(I843="",K843="",AF843="",AL843="",AN843="",O843=""),"",IF(OR(I843="SIM",K843="SIM",AF843="SIM",AL843="SIM",OR(AN843="Dados pessoais",AN843="Dados sensíveis",AN843="Dados pessoais e sensíveis"),O843="Acima de 10.000 titulares por mês",(IF(I843="SIM",2,0)+IF(K843="SIM",2,0)+IF(AF843="SIM",2,0)+IF(OR(AN843="Dados pessoais",AN843="Dados sensíveis",AN843="Dados pessoais e sensíveis"),2,0)+IF(O843="De 1.001 a 10.000 titulares por mês",1,0)+IF(AA843="SIM",1,0)+IF(R843="SIM",1,0)+IF(AL843="SIM",1,0)+IF(AJ843="NÃO",1,0))&gt;=3),"DPIA indicado ou em avaliação em razão de: " &amp; TRIM(IF(I843="SIM","tratamento de dados sensíveis; ","") &amp; IF(K843="SIM","utilização de dados de menores; ","") &amp; IF(AF843="SIM","transferência internacional de dados; ","") &amp; IF(AL843="SIM","utilização de inteligência artificial; ","") &amp; IF(OR(AN843="Dados pessoais",AN843="Dados sensíveis",AN843="Dados pessoais e sensíveis"),"dados inseridos em IA; ","") &amp; IF(O843="Acima de 10.000 titulares por mês","volume crítico de titulares; ","") &amp; IF(O843="De 1.001 a 10.000 titulares por mês","volume moderado de titulares; ","") &amp; IF(AA843="SIM","compartilhamento com terceiros; ","") &amp; IF(R843="SIM","compartilhamento com órgãos governamentais; ","") &amp; IF(AJ843="NÃO","ausência de controle de acesso por perfil; ","")),"DPIA não indicado: Processo de baixa criticidade."))</f>
      </c>
    </row>
    <row x14ac:dyDescent="0.25" r="844" customHeight="1" ht="15.75">
      <c r="A844" s="46"/>
      <c r="B844" s="6"/>
      <c r="C844" s="11"/>
      <c r="D844" s="11"/>
      <c r="E844" s="11"/>
      <c r="F844" s="29"/>
      <c r="G844" s="11"/>
      <c r="H844" s="11"/>
      <c r="I844" s="29"/>
      <c r="J844" s="11"/>
      <c r="K844" s="29"/>
      <c r="L844" s="11"/>
      <c r="M844" s="11"/>
      <c r="N844" s="11"/>
      <c r="O844" s="29"/>
      <c r="P844" s="29"/>
      <c r="Q844" s="11"/>
      <c r="R844" s="29"/>
      <c r="S844" s="11"/>
      <c r="T844" s="6"/>
      <c r="U844" s="29"/>
      <c r="V844" s="11"/>
      <c r="W844" s="11"/>
      <c r="X844" s="29"/>
      <c r="Y844" s="11"/>
      <c r="Z844" s="29"/>
      <c r="AA844" s="29"/>
      <c r="AB844" s="11"/>
      <c r="AC844" s="11"/>
      <c r="AD844" s="29"/>
      <c r="AE844" s="11"/>
      <c r="AF844" s="29"/>
      <c r="AG844" s="11"/>
      <c r="AH844" s="29"/>
      <c r="AI844" s="11"/>
      <c r="AJ844" s="29"/>
      <c r="AK844" s="29"/>
      <c r="AL844" s="29"/>
      <c r="AM844" s="11"/>
      <c r="AN844" s="29"/>
      <c r="AO844" s="29"/>
      <c r="AP844" s="6"/>
      <c r="AQ844" s="113">
        <f>IF(AND(I844="",K844="",AF844="",AL844="",AN844="",O844=""),"",IF(OR(I844="SIM",K844="SIM",AF844="SIM",AL844="SIM",AN844="Dados pessoais",AN844="Dados sensíveis",AN844="Dados pessoais e sensíveis",O844="Acima de 10.000 titulares por mês"),"SIM - Alta criticidade",IF((IF(I844="SIM",2,0)+IF(K844="SIM",2,0)+IF(AF844="SIM",2,0)+IF(OR(AN844="Dados pessoais",AN844="Dados sensíveis",AN844="Dados pessoais e sensíveis"),2,0)+IF(O844="De 1.001 a 10.000 titulares por mês",1,0)+IF(AA844="SIM",1,0)+IF(R844="SIM",1,0)+IF(AL844="SIM",1,0)+IF(AJ844="NÃO",1,0))&gt;=5,"SIM - Alta criticidade",IF((IF(I844="SIM",2,0)+IF(K844="SIM",2,0)+IF(AF844="SIM",2,0)+IF(OR(AN844="Dados pessoais",AN844="Dados sensíveis",AN844="Dados pessoais e sensíveis"),2,0)+IF(O844="De 1.001 a 10.000 titulares por mês",1,0)+IF(AA844="SIM",1,0)+IF(R844="SIM",1,0)+IF(AL844="SIM",1,0)+IF(AJ844="NÃO",1,0))&gt;=3,"Avaliação necessária","NÃO"))))</f>
      </c>
      <c r="AR844" s="11"/>
      <c r="AS844" s="113">
        <f>IF(AND(I844="",K844="",AF844="",AL844="",AN844="",O844=""),"",IF(OR(I844="SIM",K844="SIM",AF844="SIM",AL844="SIM",OR(AN844="Dados pessoais",AN844="Dados sensíveis",AN844="Dados pessoais e sensíveis"),O844="Acima de 10.000 titulares por mês",(IF(I844="SIM",2,0)+IF(K844="SIM",2,0)+IF(AF844="SIM",2,0)+IF(OR(AN844="Dados pessoais",AN844="Dados sensíveis",AN844="Dados pessoais e sensíveis"),2,0)+IF(O844="De 1.001 a 10.000 titulares por mês",1,0)+IF(AA844="SIM",1,0)+IF(R844="SIM",1,0)+IF(AL844="SIM",1,0)+IF(AJ844="NÃO",1,0))&gt;=3),"DPIA indicado ou em avaliação em razão de: " &amp; TRIM(IF(I844="SIM","tratamento de dados sensíveis; ","") &amp; IF(K844="SIM","utilização de dados de menores; ","") &amp; IF(AF844="SIM","transferência internacional de dados; ","") &amp; IF(AL844="SIM","utilização de inteligência artificial; ","") &amp; IF(OR(AN844="Dados pessoais",AN844="Dados sensíveis",AN844="Dados pessoais e sensíveis"),"dados inseridos em IA; ","") &amp; IF(O844="Acima de 10.000 titulares por mês","volume crítico de titulares; ","") &amp; IF(O844="De 1.001 a 10.000 titulares por mês","volume moderado de titulares; ","") &amp; IF(AA844="SIM","compartilhamento com terceiros; ","") &amp; IF(R844="SIM","compartilhamento com órgãos governamentais; ","") &amp; IF(AJ844="NÃO","ausência de controle de acesso por perfil; ","")),"DPIA não indicado: Processo de baixa criticidade."))</f>
      </c>
    </row>
    <row x14ac:dyDescent="0.25" r="845" customHeight="1" ht="15.75">
      <c r="A845" s="46"/>
      <c r="B845" s="6"/>
      <c r="C845" s="11"/>
      <c r="D845" s="11"/>
      <c r="E845" s="11"/>
      <c r="F845" s="29"/>
      <c r="G845" s="11"/>
      <c r="H845" s="11"/>
      <c r="I845" s="29"/>
      <c r="J845" s="11"/>
      <c r="K845" s="29"/>
      <c r="L845" s="11"/>
      <c r="M845" s="11"/>
      <c r="N845" s="11"/>
      <c r="O845" s="29"/>
      <c r="P845" s="29"/>
      <c r="Q845" s="11"/>
      <c r="R845" s="29"/>
      <c r="S845" s="11"/>
      <c r="T845" s="6"/>
      <c r="U845" s="29"/>
      <c r="V845" s="11"/>
      <c r="W845" s="11"/>
      <c r="X845" s="29"/>
      <c r="Y845" s="11"/>
      <c r="Z845" s="29"/>
      <c r="AA845" s="29"/>
      <c r="AB845" s="11"/>
      <c r="AC845" s="11"/>
      <c r="AD845" s="29"/>
      <c r="AE845" s="11"/>
      <c r="AF845" s="29"/>
      <c r="AG845" s="11"/>
      <c r="AH845" s="29"/>
      <c r="AI845" s="11"/>
      <c r="AJ845" s="29"/>
      <c r="AK845" s="29"/>
      <c r="AL845" s="29"/>
      <c r="AM845" s="11"/>
      <c r="AN845" s="29"/>
      <c r="AO845" s="29"/>
      <c r="AP845" s="6"/>
      <c r="AQ845" s="113">
        <f>IF(AND(I845="",K845="",AF845="",AL845="",AN845="",O845=""),"",IF(OR(I845="SIM",K845="SIM",AF845="SIM",AL845="SIM",AN845="Dados pessoais",AN845="Dados sensíveis",AN845="Dados pessoais e sensíveis",O845="Acima de 10.000 titulares por mês"),"SIM - Alta criticidade",IF((IF(I845="SIM",2,0)+IF(K845="SIM",2,0)+IF(AF845="SIM",2,0)+IF(OR(AN845="Dados pessoais",AN845="Dados sensíveis",AN845="Dados pessoais e sensíveis"),2,0)+IF(O845="De 1.001 a 10.000 titulares por mês",1,0)+IF(AA845="SIM",1,0)+IF(R845="SIM",1,0)+IF(AL845="SIM",1,0)+IF(AJ845="NÃO",1,0))&gt;=5,"SIM - Alta criticidade",IF((IF(I845="SIM",2,0)+IF(K845="SIM",2,0)+IF(AF845="SIM",2,0)+IF(OR(AN845="Dados pessoais",AN845="Dados sensíveis",AN845="Dados pessoais e sensíveis"),2,0)+IF(O845="De 1.001 a 10.000 titulares por mês",1,0)+IF(AA845="SIM",1,0)+IF(R845="SIM",1,0)+IF(AL845="SIM",1,0)+IF(AJ845="NÃO",1,0))&gt;=3,"Avaliação necessária","NÃO"))))</f>
      </c>
      <c r="AR845" s="11"/>
      <c r="AS845" s="113">
        <f>IF(AND(I845="",K845="",AF845="",AL845="",AN845="",O845=""),"",IF(OR(I845="SIM",K845="SIM",AF845="SIM",AL845="SIM",OR(AN845="Dados pessoais",AN845="Dados sensíveis",AN845="Dados pessoais e sensíveis"),O845="Acima de 10.000 titulares por mês",(IF(I845="SIM",2,0)+IF(K845="SIM",2,0)+IF(AF845="SIM",2,0)+IF(OR(AN845="Dados pessoais",AN845="Dados sensíveis",AN845="Dados pessoais e sensíveis"),2,0)+IF(O845="De 1.001 a 10.000 titulares por mês",1,0)+IF(AA845="SIM",1,0)+IF(R845="SIM",1,0)+IF(AL845="SIM",1,0)+IF(AJ845="NÃO",1,0))&gt;=3),"DPIA indicado ou em avaliação em razão de: " &amp; TRIM(IF(I845="SIM","tratamento de dados sensíveis; ","") &amp; IF(K845="SIM","utilização de dados de menores; ","") &amp; IF(AF845="SIM","transferência internacional de dados; ","") &amp; IF(AL845="SIM","utilização de inteligência artificial; ","") &amp; IF(OR(AN845="Dados pessoais",AN845="Dados sensíveis",AN845="Dados pessoais e sensíveis"),"dados inseridos em IA; ","") &amp; IF(O845="Acima de 10.000 titulares por mês","volume crítico de titulares; ","") &amp; IF(O845="De 1.001 a 10.000 titulares por mês","volume moderado de titulares; ","") &amp; IF(AA845="SIM","compartilhamento com terceiros; ","") &amp; IF(R845="SIM","compartilhamento com órgãos governamentais; ","") &amp; IF(AJ845="NÃO","ausência de controle de acesso por perfil; ","")),"DPIA não indicado: Processo de baixa criticidade."))</f>
      </c>
    </row>
    <row x14ac:dyDescent="0.25" r="846" customHeight="1" ht="15.75">
      <c r="A846" s="46"/>
      <c r="B846" s="6"/>
      <c r="C846" s="11"/>
      <c r="D846" s="11"/>
      <c r="E846" s="11"/>
      <c r="F846" s="29"/>
      <c r="G846" s="11"/>
      <c r="H846" s="11"/>
      <c r="I846" s="29"/>
      <c r="J846" s="11"/>
      <c r="K846" s="29"/>
      <c r="L846" s="11"/>
      <c r="M846" s="11"/>
      <c r="N846" s="11"/>
      <c r="O846" s="29"/>
      <c r="P846" s="29"/>
      <c r="Q846" s="11"/>
      <c r="R846" s="29"/>
      <c r="S846" s="11"/>
      <c r="T846" s="6"/>
      <c r="U846" s="29"/>
      <c r="V846" s="11"/>
      <c r="W846" s="11"/>
      <c r="X846" s="29"/>
      <c r="Y846" s="11"/>
      <c r="Z846" s="29"/>
      <c r="AA846" s="29"/>
      <c r="AB846" s="11"/>
      <c r="AC846" s="11"/>
      <c r="AD846" s="29"/>
      <c r="AE846" s="11"/>
      <c r="AF846" s="29"/>
      <c r="AG846" s="11"/>
      <c r="AH846" s="29"/>
      <c r="AI846" s="11"/>
      <c r="AJ846" s="29"/>
      <c r="AK846" s="29"/>
      <c r="AL846" s="29"/>
      <c r="AM846" s="11"/>
      <c r="AN846" s="29"/>
      <c r="AO846" s="29"/>
      <c r="AP846" s="6"/>
      <c r="AQ846" s="113">
        <f>IF(AND(I846="",K846="",AF846="",AL846="",AN846="",O846=""),"",IF(OR(I846="SIM",K846="SIM",AF846="SIM",AL846="SIM",AN846="Dados pessoais",AN846="Dados sensíveis",AN846="Dados pessoais e sensíveis",O846="Acima de 10.000 titulares por mês"),"SIM - Alta criticidade",IF((IF(I846="SIM",2,0)+IF(K846="SIM",2,0)+IF(AF846="SIM",2,0)+IF(OR(AN846="Dados pessoais",AN846="Dados sensíveis",AN846="Dados pessoais e sensíveis"),2,0)+IF(O846="De 1.001 a 10.000 titulares por mês",1,0)+IF(AA846="SIM",1,0)+IF(R846="SIM",1,0)+IF(AL846="SIM",1,0)+IF(AJ846="NÃO",1,0))&gt;=5,"SIM - Alta criticidade",IF((IF(I846="SIM",2,0)+IF(K846="SIM",2,0)+IF(AF846="SIM",2,0)+IF(OR(AN846="Dados pessoais",AN846="Dados sensíveis",AN846="Dados pessoais e sensíveis"),2,0)+IF(O846="De 1.001 a 10.000 titulares por mês",1,0)+IF(AA846="SIM",1,0)+IF(R846="SIM",1,0)+IF(AL846="SIM",1,0)+IF(AJ846="NÃO",1,0))&gt;=3,"Avaliação necessária","NÃO"))))</f>
      </c>
      <c r="AR846" s="11"/>
      <c r="AS846" s="113">
        <f>IF(AND(I846="",K846="",AF846="",AL846="",AN846="",O846=""),"",IF(OR(I846="SIM",K846="SIM",AF846="SIM",AL846="SIM",OR(AN846="Dados pessoais",AN846="Dados sensíveis",AN846="Dados pessoais e sensíveis"),O846="Acima de 10.000 titulares por mês",(IF(I846="SIM",2,0)+IF(K846="SIM",2,0)+IF(AF846="SIM",2,0)+IF(OR(AN846="Dados pessoais",AN846="Dados sensíveis",AN846="Dados pessoais e sensíveis"),2,0)+IF(O846="De 1.001 a 10.000 titulares por mês",1,0)+IF(AA846="SIM",1,0)+IF(R846="SIM",1,0)+IF(AL846="SIM",1,0)+IF(AJ846="NÃO",1,0))&gt;=3),"DPIA indicado ou em avaliação em razão de: " &amp; TRIM(IF(I846="SIM","tratamento de dados sensíveis; ","") &amp; IF(K846="SIM","utilização de dados de menores; ","") &amp; IF(AF846="SIM","transferência internacional de dados; ","") &amp; IF(AL846="SIM","utilização de inteligência artificial; ","") &amp; IF(OR(AN846="Dados pessoais",AN846="Dados sensíveis",AN846="Dados pessoais e sensíveis"),"dados inseridos em IA; ","") &amp; IF(O846="Acima de 10.000 titulares por mês","volume crítico de titulares; ","") &amp; IF(O846="De 1.001 a 10.000 titulares por mês","volume moderado de titulares; ","") &amp; IF(AA846="SIM","compartilhamento com terceiros; ","") &amp; IF(R846="SIM","compartilhamento com órgãos governamentais; ","") &amp; IF(AJ846="NÃO","ausência de controle de acesso por perfil; ","")),"DPIA não indicado: Processo de baixa criticidade."))</f>
      </c>
    </row>
    <row x14ac:dyDescent="0.25" r="847" customHeight="1" ht="15.75">
      <c r="A847" s="46"/>
      <c r="B847" s="6"/>
      <c r="C847" s="11"/>
      <c r="D847" s="11"/>
      <c r="E847" s="11"/>
      <c r="F847" s="29"/>
      <c r="G847" s="11"/>
      <c r="H847" s="11"/>
      <c r="I847" s="29"/>
      <c r="J847" s="11"/>
      <c r="K847" s="29"/>
      <c r="L847" s="11"/>
      <c r="M847" s="11"/>
      <c r="N847" s="11"/>
      <c r="O847" s="29"/>
      <c r="P847" s="29"/>
      <c r="Q847" s="11"/>
      <c r="R847" s="29"/>
      <c r="S847" s="11"/>
      <c r="T847" s="6"/>
      <c r="U847" s="29"/>
      <c r="V847" s="11"/>
      <c r="W847" s="11"/>
      <c r="X847" s="29"/>
      <c r="Y847" s="11"/>
      <c r="Z847" s="29"/>
      <c r="AA847" s="29"/>
      <c r="AB847" s="11"/>
      <c r="AC847" s="11"/>
      <c r="AD847" s="29"/>
      <c r="AE847" s="11"/>
      <c r="AF847" s="29"/>
      <c r="AG847" s="11"/>
      <c r="AH847" s="29"/>
      <c r="AI847" s="11"/>
      <c r="AJ847" s="29"/>
      <c r="AK847" s="29"/>
      <c r="AL847" s="29"/>
      <c r="AM847" s="11"/>
      <c r="AN847" s="29"/>
      <c r="AO847" s="29"/>
      <c r="AP847" s="6"/>
      <c r="AQ847" s="113">
        <f>IF(AND(I847="",K847="",AF847="",AL847="",AN847="",O847=""),"",IF(OR(I847="SIM",K847="SIM",AF847="SIM",AL847="SIM",AN847="Dados pessoais",AN847="Dados sensíveis",AN847="Dados pessoais e sensíveis",O847="Acima de 10.000 titulares por mês"),"SIM - Alta criticidade",IF((IF(I847="SIM",2,0)+IF(K847="SIM",2,0)+IF(AF847="SIM",2,0)+IF(OR(AN847="Dados pessoais",AN847="Dados sensíveis",AN847="Dados pessoais e sensíveis"),2,0)+IF(O847="De 1.001 a 10.000 titulares por mês",1,0)+IF(AA847="SIM",1,0)+IF(R847="SIM",1,0)+IF(AL847="SIM",1,0)+IF(AJ847="NÃO",1,0))&gt;=5,"SIM - Alta criticidade",IF((IF(I847="SIM",2,0)+IF(K847="SIM",2,0)+IF(AF847="SIM",2,0)+IF(OR(AN847="Dados pessoais",AN847="Dados sensíveis",AN847="Dados pessoais e sensíveis"),2,0)+IF(O847="De 1.001 a 10.000 titulares por mês",1,0)+IF(AA847="SIM",1,0)+IF(R847="SIM",1,0)+IF(AL847="SIM",1,0)+IF(AJ847="NÃO",1,0))&gt;=3,"Avaliação necessária","NÃO"))))</f>
      </c>
      <c r="AR847" s="11"/>
      <c r="AS847" s="113">
        <f>IF(AND(I847="",K847="",AF847="",AL847="",AN847="",O847=""),"",IF(OR(I847="SIM",K847="SIM",AF847="SIM",AL847="SIM",OR(AN847="Dados pessoais",AN847="Dados sensíveis",AN847="Dados pessoais e sensíveis"),O847="Acima de 10.000 titulares por mês",(IF(I847="SIM",2,0)+IF(K847="SIM",2,0)+IF(AF847="SIM",2,0)+IF(OR(AN847="Dados pessoais",AN847="Dados sensíveis",AN847="Dados pessoais e sensíveis"),2,0)+IF(O847="De 1.001 a 10.000 titulares por mês",1,0)+IF(AA847="SIM",1,0)+IF(R847="SIM",1,0)+IF(AL847="SIM",1,0)+IF(AJ847="NÃO",1,0))&gt;=3),"DPIA indicado ou em avaliação em razão de: " &amp; TRIM(IF(I847="SIM","tratamento de dados sensíveis; ","") &amp; IF(K847="SIM","utilização de dados de menores; ","") &amp; IF(AF847="SIM","transferência internacional de dados; ","") &amp; IF(AL847="SIM","utilização de inteligência artificial; ","") &amp; IF(OR(AN847="Dados pessoais",AN847="Dados sensíveis",AN847="Dados pessoais e sensíveis"),"dados inseridos em IA; ","") &amp; IF(O847="Acima de 10.000 titulares por mês","volume crítico de titulares; ","") &amp; IF(O847="De 1.001 a 10.000 titulares por mês","volume moderado de titulares; ","") &amp; IF(AA847="SIM","compartilhamento com terceiros; ","") &amp; IF(R847="SIM","compartilhamento com órgãos governamentais; ","") &amp; IF(AJ847="NÃO","ausência de controle de acesso por perfil; ","")),"DPIA não indicado: Processo de baixa criticidade."))</f>
      </c>
    </row>
    <row x14ac:dyDescent="0.25" r="848" customHeight="1" ht="15.75">
      <c r="A848" s="46"/>
      <c r="B848" s="6"/>
      <c r="C848" s="11"/>
      <c r="D848" s="11"/>
      <c r="E848" s="11"/>
      <c r="F848" s="29"/>
      <c r="G848" s="11"/>
      <c r="H848" s="11"/>
      <c r="I848" s="29"/>
      <c r="J848" s="11"/>
      <c r="K848" s="29"/>
      <c r="L848" s="11"/>
      <c r="M848" s="11"/>
      <c r="N848" s="11"/>
      <c r="O848" s="29"/>
      <c r="P848" s="29"/>
      <c r="Q848" s="11"/>
      <c r="R848" s="29"/>
      <c r="S848" s="11"/>
      <c r="T848" s="6"/>
      <c r="U848" s="29"/>
      <c r="V848" s="11"/>
      <c r="W848" s="11"/>
      <c r="X848" s="29"/>
      <c r="Y848" s="11"/>
      <c r="Z848" s="29"/>
      <c r="AA848" s="29"/>
      <c r="AB848" s="11"/>
      <c r="AC848" s="11"/>
      <c r="AD848" s="29"/>
      <c r="AE848" s="11"/>
      <c r="AF848" s="29"/>
      <c r="AG848" s="11"/>
      <c r="AH848" s="29"/>
      <c r="AI848" s="11"/>
      <c r="AJ848" s="29"/>
      <c r="AK848" s="29"/>
      <c r="AL848" s="29"/>
      <c r="AM848" s="11"/>
      <c r="AN848" s="29"/>
      <c r="AO848" s="29"/>
      <c r="AP848" s="6"/>
      <c r="AQ848" s="113">
        <f>IF(AND(I848="",K848="",AF848="",AL848="",AN848="",O848=""),"",IF(OR(I848="SIM",K848="SIM",AF848="SIM",AL848="SIM",AN848="Dados pessoais",AN848="Dados sensíveis",AN848="Dados pessoais e sensíveis",O848="Acima de 10.000 titulares por mês"),"SIM - Alta criticidade",IF((IF(I848="SIM",2,0)+IF(K848="SIM",2,0)+IF(AF848="SIM",2,0)+IF(OR(AN848="Dados pessoais",AN848="Dados sensíveis",AN848="Dados pessoais e sensíveis"),2,0)+IF(O848="De 1.001 a 10.000 titulares por mês",1,0)+IF(AA848="SIM",1,0)+IF(R848="SIM",1,0)+IF(AL848="SIM",1,0)+IF(AJ848="NÃO",1,0))&gt;=5,"SIM - Alta criticidade",IF((IF(I848="SIM",2,0)+IF(K848="SIM",2,0)+IF(AF848="SIM",2,0)+IF(OR(AN848="Dados pessoais",AN848="Dados sensíveis",AN848="Dados pessoais e sensíveis"),2,0)+IF(O848="De 1.001 a 10.000 titulares por mês",1,0)+IF(AA848="SIM",1,0)+IF(R848="SIM",1,0)+IF(AL848="SIM",1,0)+IF(AJ848="NÃO",1,0))&gt;=3,"Avaliação necessária","NÃO"))))</f>
      </c>
      <c r="AR848" s="11"/>
      <c r="AS848" s="113">
        <f>IF(AND(I848="",K848="",AF848="",AL848="",AN848="",O848=""),"",IF(OR(I848="SIM",K848="SIM",AF848="SIM",AL848="SIM",OR(AN848="Dados pessoais",AN848="Dados sensíveis",AN848="Dados pessoais e sensíveis"),O848="Acima de 10.000 titulares por mês",(IF(I848="SIM",2,0)+IF(K848="SIM",2,0)+IF(AF848="SIM",2,0)+IF(OR(AN848="Dados pessoais",AN848="Dados sensíveis",AN848="Dados pessoais e sensíveis"),2,0)+IF(O848="De 1.001 a 10.000 titulares por mês",1,0)+IF(AA848="SIM",1,0)+IF(R848="SIM",1,0)+IF(AL848="SIM",1,0)+IF(AJ848="NÃO",1,0))&gt;=3),"DPIA indicado ou em avaliação em razão de: " &amp; TRIM(IF(I848="SIM","tratamento de dados sensíveis; ","") &amp; IF(K848="SIM","utilização de dados de menores; ","") &amp; IF(AF848="SIM","transferência internacional de dados; ","") &amp; IF(AL848="SIM","utilização de inteligência artificial; ","") &amp; IF(OR(AN848="Dados pessoais",AN848="Dados sensíveis",AN848="Dados pessoais e sensíveis"),"dados inseridos em IA; ","") &amp; IF(O848="Acima de 10.000 titulares por mês","volume crítico de titulares; ","") &amp; IF(O848="De 1.001 a 10.000 titulares por mês","volume moderado de titulares; ","") &amp; IF(AA848="SIM","compartilhamento com terceiros; ","") &amp; IF(R848="SIM","compartilhamento com órgãos governamentais; ","") &amp; IF(AJ848="NÃO","ausência de controle de acesso por perfil; ","")),"DPIA não indicado: Processo de baixa criticidade."))</f>
      </c>
    </row>
    <row x14ac:dyDescent="0.25" r="849" customHeight="1" ht="15.75">
      <c r="A849" s="46"/>
      <c r="B849" s="6"/>
      <c r="C849" s="11"/>
      <c r="D849" s="11"/>
      <c r="E849" s="11"/>
      <c r="F849" s="29"/>
      <c r="G849" s="11"/>
      <c r="H849" s="11"/>
      <c r="I849" s="29"/>
      <c r="J849" s="11"/>
      <c r="K849" s="29"/>
      <c r="L849" s="11"/>
      <c r="M849" s="11"/>
      <c r="N849" s="11"/>
      <c r="O849" s="29"/>
      <c r="P849" s="29"/>
      <c r="Q849" s="11"/>
      <c r="R849" s="29"/>
      <c r="S849" s="11"/>
      <c r="T849" s="6"/>
      <c r="U849" s="29"/>
      <c r="V849" s="11"/>
      <c r="W849" s="11"/>
      <c r="X849" s="29"/>
      <c r="Y849" s="11"/>
      <c r="Z849" s="29"/>
      <c r="AA849" s="29"/>
      <c r="AB849" s="11"/>
      <c r="AC849" s="11"/>
      <c r="AD849" s="29"/>
      <c r="AE849" s="11"/>
      <c r="AF849" s="29"/>
      <c r="AG849" s="11"/>
      <c r="AH849" s="29"/>
      <c r="AI849" s="11"/>
      <c r="AJ849" s="29"/>
      <c r="AK849" s="29"/>
      <c r="AL849" s="29"/>
      <c r="AM849" s="11"/>
      <c r="AN849" s="29"/>
      <c r="AO849" s="29"/>
      <c r="AP849" s="6"/>
      <c r="AQ849" s="113">
        <f>IF(AND(I849="",K849="",AF849="",AL849="",AN849="",O849=""),"",IF(OR(I849="SIM",K849="SIM",AF849="SIM",AL849="SIM",AN849="Dados pessoais",AN849="Dados sensíveis",AN849="Dados pessoais e sensíveis",O849="Acima de 10.000 titulares por mês"),"SIM - Alta criticidade",IF((IF(I849="SIM",2,0)+IF(K849="SIM",2,0)+IF(AF849="SIM",2,0)+IF(OR(AN849="Dados pessoais",AN849="Dados sensíveis",AN849="Dados pessoais e sensíveis"),2,0)+IF(O849="De 1.001 a 10.000 titulares por mês",1,0)+IF(AA849="SIM",1,0)+IF(R849="SIM",1,0)+IF(AL849="SIM",1,0)+IF(AJ849="NÃO",1,0))&gt;=5,"SIM - Alta criticidade",IF((IF(I849="SIM",2,0)+IF(K849="SIM",2,0)+IF(AF849="SIM",2,0)+IF(OR(AN849="Dados pessoais",AN849="Dados sensíveis",AN849="Dados pessoais e sensíveis"),2,0)+IF(O849="De 1.001 a 10.000 titulares por mês",1,0)+IF(AA849="SIM",1,0)+IF(R849="SIM",1,0)+IF(AL849="SIM",1,0)+IF(AJ849="NÃO",1,0))&gt;=3,"Avaliação necessária","NÃO"))))</f>
      </c>
      <c r="AR849" s="11"/>
      <c r="AS849" s="113">
        <f>IF(AND(I849="",K849="",AF849="",AL849="",AN849="",O849=""),"",IF(OR(I849="SIM",K849="SIM",AF849="SIM",AL849="SIM",OR(AN849="Dados pessoais",AN849="Dados sensíveis",AN849="Dados pessoais e sensíveis"),O849="Acima de 10.000 titulares por mês",(IF(I849="SIM",2,0)+IF(K849="SIM",2,0)+IF(AF849="SIM",2,0)+IF(OR(AN849="Dados pessoais",AN849="Dados sensíveis",AN849="Dados pessoais e sensíveis"),2,0)+IF(O849="De 1.001 a 10.000 titulares por mês",1,0)+IF(AA849="SIM",1,0)+IF(R849="SIM",1,0)+IF(AL849="SIM",1,0)+IF(AJ849="NÃO",1,0))&gt;=3),"DPIA indicado ou em avaliação em razão de: " &amp; TRIM(IF(I849="SIM","tratamento de dados sensíveis; ","") &amp; IF(K849="SIM","utilização de dados de menores; ","") &amp; IF(AF849="SIM","transferência internacional de dados; ","") &amp; IF(AL849="SIM","utilização de inteligência artificial; ","") &amp; IF(OR(AN849="Dados pessoais",AN849="Dados sensíveis",AN849="Dados pessoais e sensíveis"),"dados inseridos em IA; ","") &amp; IF(O849="Acima de 10.000 titulares por mês","volume crítico de titulares; ","") &amp; IF(O849="De 1.001 a 10.000 titulares por mês","volume moderado de titulares; ","") &amp; IF(AA849="SIM","compartilhamento com terceiros; ","") &amp; IF(R849="SIM","compartilhamento com órgãos governamentais; ","") &amp; IF(AJ849="NÃO","ausência de controle de acesso por perfil; ","")),"DPIA não indicado: Processo de baixa criticidade."))</f>
      </c>
    </row>
    <row x14ac:dyDescent="0.25" r="850" customHeight="1" ht="15.75">
      <c r="A850" s="46"/>
      <c r="B850" s="6"/>
      <c r="C850" s="11"/>
      <c r="D850" s="11"/>
      <c r="E850" s="11"/>
      <c r="F850" s="29"/>
      <c r="G850" s="11"/>
      <c r="H850" s="11"/>
      <c r="I850" s="29"/>
      <c r="J850" s="11"/>
      <c r="K850" s="29"/>
      <c r="L850" s="11"/>
      <c r="M850" s="11"/>
      <c r="N850" s="11"/>
      <c r="O850" s="29"/>
      <c r="P850" s="29"/>
      <c r="Q850" s="11"/>
      <c r="R850" s="29"/>
      <c r="S850" s="11"/>
      <c r="T850" s="6"/>
      <c r="U850" s="29"/>
      <c r="V850" s="11"/>
      <c r="W850" s="11"/>
      <c r="X850" s="29"/>
      <c r="Y850" s="11"/>
      <c r="Z850" s="29"/>
      <c r="AA850" s="29"/>
      <c r="AB850" s="11"/>
      <c r="AC850" s="11"/>
      <c r="AD850" s="29"/>
      <c r="AE850" s="11"/>
      <c r="AF850" s="29"/>
      <c r="AG850" s="11"/>
      <c r="AH850" s="29"/>
      <c r="AI850" s="11"/>
      <c r="AJ850" s="29"/>
      <c r="AK850" s="29"/>
      <c r="AL850" s="29"/>
      <c r="AM850" s="11"/>
      <c r="AN850" s="29"/>
      <c r="AO850" s="29"/>
      <c r="AP850" s="6"/>
      <c r="AQ850" s="113">
        <f>IF(AND(I850="",K850="",AF850="",AL850="",AN850="",O850=""),"",IF(OR(I850="SIM",K850="SIM",AF850="SIM",AL850="SIM",AN850="Dados pessoais",AN850="Dados sensíveis",AN850="Dados pessoais e sensíveis",O850="Acima de 10.000 titulares por mês"),"SIM - Alta criticidade",IF((IF(I850="SIM",2,0)+IF(K850="SIM",2,0)+IF(AF850="SIM",2,0)+IF(OR(AN850="Dados pessoais",AN850="Dados sensíveis",AN850="Dados pessoais e sensíveis"),2,0)+IF(O850="De 1.001 a 10.000 titulares por mês",1,0)+IF(AA850="SIM",1,0)+IF(R850="SIM",1,0)+IF(AL850="SIM",1,0)+IF(AJ850="NÃO",1,0))&gt;=5,"SIM - Alta criticidade",IF((IF(I850="SIM",2,0)+IF(K850="SIM",2,0)+IF(AF850="SIM",2,0)+IF(OR(AN850="Dados pessoais",AN850="Dados sensíveis",AN850="Dados pessoais e sensíveis"),2,0)+IF(O850="De 1.001 a 10.000 titulares por mês",1,0)+IF(AA850="SIM",1,0)+IF(R850="SIM",1,0)+IF(AL850="SIM",1,0)+IF(AJ850="NÃO",1,0))&gt;=3,"Avaliação necessária","NÃO"))))</f>
      </c>
      <c r="AR850" s="11"/>
      <c r="AS850" s="113">
        <f>IF(AND(I850="",K850="",AF850="",AL850="",AN850="",O850=""),"",IF(OR(I850="SIM",K850="SIM",AF850="SIM",AL850="SIM",OR(AN850="Dados pessoais",AN850="Dados sensíveis",AN850="Dados pessoais e sensíveis"),O850="Acima de 10.000 titulares por mês",(IF(I850="SIM",2,0)+IF(K850="SIM",2,0)+IF(AF850="SIM",2,0)+IF(OR(AN850="Dados pessoais",AN850="Dados sensíveis",AN850="Dados pessoais e sensíveis"),2,0)+IF(O850="De 1.001 a 10.000 titulares por mês",1,0)+IF(AA850="SIM",1,0)+IF(R850="SIM",1,0)+IF(AL850="SIM",1,0)+IF(AJ850="NÃO",1,0))&gt;=3),"DPIA indicado ou em avaliação em razão de: " &amp; TRIM(IF(I850="SIM","tratamento de dados sensíveis; ","") &amp; IF(K850="SIM","utilização de dados de menores; ","") &amp; IF(AF850="SIM","transferência internacional de dados; ","") &amp; IF(AL850="SIM","utilização de inteligência artificial; ","") &amp; IF(OR(AN850="Dados pessoais",AN850="Dados sensíveis",AN850="Dados pessoais e sensíveis"),"dados inseridos em IA; ","") &amp; IF(O850="Acima de 10.000 titulares por mês","volume crítico de titulares; ","") &amp; IF(O850="De 1.001 a 10.000 titulares por mês","volume moderado de titulares; ","") &amp; IF(AA850="SIM","compartilhamento com terceiros; ","") &amp; IF(R850="SIM","compartilhamento com órgãos governamentais; ","") &amp; IF(AJ850="NÃO","ausência de controle de acesso por perfil; ","")),"DPIA não indicado: Processo de baixa criticidade."))</f>
      </c>
    </row>
    <row x14ac:dyDescent="0.25" r="851" customHeight="1" ht="15.75">
      <c r="A851" s="46"/>
      <c r="B851" s="6"/>
      <c r="C851" s="11"/>
      <c r="D851" s="11"/>
      <c r="E851" s="11"/>
      <c r="F851" s="29"/>
      <c r="G851" s="11"/>
      <c r="H851" s="11"/>
      <c r="I851" s="29"/>
      <c r="J851" s="11"/>
      <c r="K851" s="29"/>
      <c r="L851" s="11"/>
      <c r="M851" s="11"/>
      <c r="N851" s="11"/>
      <c r="O851" s="29"/>
      <c r="P851" s="29"/>
      <c r="Q851" s="11"/>
      <c r="R851" s="29"/>
      <c r="S851" s="11"/>
      <c r="T851" s="6"/>
      <c r="U851" s="29"/>
      <c r="V851" s="11"/>
      <c r="W851" s="11"/>
      <c r="X851" s="29"/>
      <c r="Y851" s="11"/>
      <c r="Z851" s="29"/>
      <c r="AA851" s="29"/>
      <c r="AB851" s="11"/>
      <c r="AC851" s="11"/>
      <c r="AD851" s="29"/>
      <c r="AE851" s="11"/>
      <c r="AF851" s="29"/>
      <c r="AG851" s="11"/>
      <c r="AH851" s="29"/>
      <c r="AI851" s="11"/>
      <c r="AJ851" s="29"/>
      <c r="AK851" s="29"/>
      <c r="AL851" s="29"/>
      <c r="AM851" s="11"/>
      <c r="AN851" s="29"/>
      <c r="AO851" s="29"/>
      <c r="AP851" s="6"/>
      <c r="AQ851" s="113">
        <f>IF(AND(I851="",K851="",AF851="",AL851="",AN851="",O851=""),"",IF(OR(I851="SIM",K851="SIM",AF851="SIM",AL851="SIM",AN851="Dados pessoais",AN851="Dados sensíveis",AN851="Dados pessoais e sensíveis",O851="Acima de 10.000 titulares por mês"),"SIM - Alta criticidade",IF((IF(I851="SIM",2,0)+IF(K851="SIM",2,0)+IF(AF851="SIM",2,0)+IF(OR(AN851="Dados pessoais",AN851="Dados sensíveis",AN851="Dados pessoais e sensíveis"),2,0)+IF(O851="De 1.001 a 10.000 titulares por mês",1,0)+IF(AA851="SIM",1,0)+IF(R851="SIM",1,0)+IF(AL851="SIM",1,0)+IF(AJ851="NÃO",1,0))&gt;=5,"SIM - Alta criticidade",IF((IF(I851="SIM",2,0)+IF(K851="SIM",2,0)+IF(AF851="SIM",2,0)+IF(OR(AN851="Dados pessoais",AN851="Dados sensíveis",AN851="Dados pessoais e sensíveis"),2,0)+IF(O851="De 1.001 a 10.000 titulares por mês",1,0)+IF(AA851="SIM",1,0)+IF(R851="SIM",1,0)+IF(AL851="SIM",1,0)+IF(AJ851="NÃO",1,0))&gt;=3,"Avaliação necessária","NÃO"))))</f>
      </c>
      <c r="AR851" s="11"/>
      <c r="AS851" s="113">
        <f>IF(AND(I851="",K851="",AF851="",AL851="",AN851="",O851=""),"",IF(OR(I851="SIM",K851="SIM",AF851="SIM",AL851="SIM",OR(AN851="Dados pessoais",AN851="Dados sensíveis",AN851="Dados pessoais e sensíveis"),O851="Acima de 10.000 titulares por mês",(IF(I851="SIM",2,0)+IF(K851="SIM",2,0)+IF(AF851="SIM",2,0)+IF(OR(AN851="Dados pessoais",AN851="Dados sensíveis",AN851="Dados pessoais e sensíveis"),2,0)+IF(O851="De 1.001 a 10.000 titulares por mês",1,0)+IF(AA851="SIM",1,0)+IF(R851="SIM",1,0)+IF(AL851="SIM",1,0)+IF(AJ851="NÃO",1,0))&gt;=3),"DPIA indicado ou em avaliação em razão de: " &amp; TRIM(IF(I851="SIM","tratamento de dados sensíveis; ","") &amp; IF(K851="SIM","utilização de dados de menores; ","") &amp; IF(AF851="SIM","transferência internacional de dados; ","") &amp; IF(AL851="SIM","utilização de inteligência artificial; ","") &amp; IF(OR(AN851="Dados pessoais",AN851="Dados sensíveis",AN851="Dados pessoais e sensíveis"),"dados inseridos em IA; ","") &amp; IF(O851="Acima de 10.000 titulares por mês","volume crítico de titulares; ","") &amp; IF(O851="De 1.001 a 10.000 titulares por mês","volume moderado de titulares; ","") &amp; IF(AA851="SIM","compartilhamento com terceiros; ","") &amp; IF(R851="SIM","compartilhamento com órgãos governamentais; ","") &amp; IF(AJ851="NÃO","ausência de controle de acesso por perfil; ","")),"DPIA não indicado: Processo de baixa criticidade."))</f>
      </c>
    </row>
    <row x14ac:dyDescent="0.25" r="852" customHeight="1" ht="15.75">
      <c r="A852" s="46"/>
      <c r="B852" s="6"/>
      <c r="C852" s="11"/>
      <c r="D852" s="11"/>
      <c r="E852" s="11"/>
      <c r="F852" s="29"/>
      <c r="G852" s="11"/>
      <c r="H852" s="11"/>
      <c r="I852" s="29"/>
      <c r="J852" s="11"/>
      <c r="K852" s="29"/>
      <c r="L852" s="11"/>
      <c r="M852" s="11"/>
      <c r="N852" s="11"/>
      <c r="O852" s="29"/>
      <c r="P852" s="29"/>
      <c r="Q852" s="11"/>
      <c r="R852" s="29"/>
      <c r="S852" s="11"/>
      <c r="T852" s="6"/>
      <c r="U852" s="29"/>
      <c r="V852" s="11"/>
      <c r="W852" s="11"/>
      <c r="X852" s="29"/>
      <c r="Y852" s="11"/>
      <c r="Z852" s="29"/>
      <c r="AA852" s="29"/>
      <c r="AB852" s="11"/>
      <c r="AC852" s="11"/>
      <c r="AD852" s="29"/>
      <c r="AE852" s="11"/>
      <c r="AF852" s="29"/>
      <c r="AG852" s="11"/>
      <c r="AH852" s="29"/>
      <c r="AI852" s="11"/>
      <c r="AJ852" s="29"/>
      <c r="AK852" s="29"/>
      <c r="AL852" s="29"/>
      <c r="AM852" s="11"/>
      <c r="AN852" s="29"/>
      <c r="AO852" s="29"/>
      <c r="AP852" s="6"/>
      <c r="AQ852" s="113">
        <f>IF(AND(I852="",K852="",AF852="",AL852="",AN852="",O852=""),"",IF(OR(I852="SIM",K852="SIM",AF852="SIM",AL852="SIM",AN852="Dados pessoais",AN852="Dados sensíveis",AN852="Dados pessoais e sensíveis",O852="Acima de 10.000 titulares por mês"),"SIM - Alta criticidade",IF((IF(I852="SIM",2,0)+IF(K852="SIM",2,0)+IF(AF852="SIM",2,0)+IF(OR(AN852="Dados pessoais",AN852="Dados sensíveis",AN852="Dados pessoais e sensíveis"),2,0)+IF(O852="De 1.001 a 10.000 titulares por mês",1,0)+IF(AA852="SIM",1,0)+IF(R852="SIM",1,0)+IF(AL852="SIM",1,0)+IF(AJ852="NÃO",1,0))&gt;=5,"SIM - Alta criticidade",IF((IF(I852="SIM",2,0)+IF(K852="SIM",2,0)+IF(AF852="SIM",2,0)+IF(OR(AN852="Dados pessoais",AN852="Dados sensíveis",AN852="Dados pessoais e sensíveis"),2,0)+IF(O852="De 1.001 a 10.000 titulares por mês",1,0)+IF(AA852="SIM",1,0)+IF(R852="SIM",1,0)+IF(AL852="SIM",1,0)+IF(AJ852="NÃO",1,0))&gt;=3,"Avaliação necessária","NÃO"))))</f>
      </c>
      <c r="AR852" s="11"/>
      <c r="AS852" s="113">
        <f>IF(AND(I852="",K852="",AF852="",AL852="",AN852="",O852=""),"",IF(OR(I852="SIM",K852="SIM",AF852="SIM",AL852="SIM",OR(AN852="Dados pessoais",AN852="Dados sensíveis",AN852="Dados pessoais e sensíveis"),O852="Acima de 10.000 titulares por mês",(IF(I852="SIM",2,0)+IF(K852="SIM",2,0)+IF(AF852="SIM",2,0)+IF(OR(AN852="Dados pessoais",AN852="Dados sensíveis",AN852="Dados pessoais e sensíveis"),2,0)+IF(O852="De 1.001 a 10.000 titulares por mês",1,0)+IF(AA852="SIM",1,0)+IF(R852="SIM",1,0)+IF(AL852="SIM",1,0)+IF(AJ852="NÃO",1,0))&gt;=3),"DPIA indicado ou em avaliação em razão de: " &amp; TRIM(IF(I852="SIM","tratamento de dados sensíveis; ","") &amp; IF(K852="SIM","utilização de dados de menores; ","") &amp; IF(AF852="SIM","transferência internacional de dados; ","") &amp; IF(AL852="SIM","utilização de inteligência artificial; ","") &amp; IF(OR(AN852="Dados pessoais",AN852="Dados sensíveis",AN852="Dados pessoais e sensíveis"),"dados inseridos em IA; ","") &amp; IF(O852="Acima de 10.000 titulares por mês","volume crítico de titulares; ","") &amp; IF(O852="De 1.001 a 10.000 titulares por mês","volume moderado de titulares; ","") &amp; IF(AA852="SIM","compartilhamento com terceiros; ","") &amp; IF(R852="SIM","compartilhamento com órgãos governamentais; ","") &amp; IF(AJ852="NÃO","ausência de controle de acesso por perfil; ","")),"DPIA não indicado: Processo de baixa criticidade."))</f>
      </c>
    </row>
    <row x14ac:dyDescent="0.25" r="853" customHeight="1" ht="15.75">
      <c r="A853" s="46"/>
      <c r="B853" s="6"/>
      <c r="C853" s="11"/>
      <c r="D853" s="11"/>
      <c r="E853" s="11"/>
      <c r="F853" s="29"/>
      <c r="G853" s="11"/>
      <c r="H853" s="11"/>
      <c r="I853" s="29"/>
      <c r="J853" s="11"/>
      <c r="K853" s="29"/>
      <c r="L853" s="11"/>
      <c r="M853" s="11"/>
      <c r="N853" s="11"/>
      <c r="O853" s="29"/>
      <c r="P853" s="29"/>
      <c r="Q853" s="11"/>
      <c r="R853" s="29"/>
      <c r="S853" s="11"/>
      <c r="T853" s="6"/>
      <c r="U853" s="29"/>
      <c r="V853" s="11"/>
      <c r="W853" s="11"/>
      <c r="X853" s="29"/>
      <c r="Y853" s="11"/>
      <c r="Z853" s="29"/>
      <c r="AA853" s="29"/>
      <c r="AB853" s="11"/>
      <c r="AC853" s="11"/>
      <c r="AD853" s="29"/>
      <c r="AE853" s="11"/>
      <c r="AF853" s="29"/>
      <c r="AG853" s="11"/>
      <c r="AH853" s="29"/>
      <c r="AI853" s="11"/>
      <c r="AJ853" s="29"/>
      <c r="AK853" s="29"/>
      <c r="AL853" s="29"/>
      <c r="AM853" s="11"/>
      <c r="AN853" s="29"/>
      <c r="AO853" s="29"/>
      <c r="AP853" s="6"/>
      <c r="AQ853" s="113">
        <f>IF(AND(I853="",K853="",AF853="",AL853="",AN853="",O853=""),"",IF(OR(I853="SIM",K853="SIM",AF853="SIM",AL853="SIM",AN853="Dados pessoais",AN853="Dados sensíveis",AN853="Dados pessoais e sensíveis",O853="Acima de 10.000 titulares por mês"),"SIM - Alta criticidade",IF((IF(I853="SIM",2,0)+IF(K853="SIM",2,0)+IF(AF853="SIM",2,0)+IF(OR(AN853="Dados pessoais",AN853="Dados sensíveis",AN853="Dados pessoais e sensíveis"),2,0)+IF(O853="De 1.001 a 10.000 titulares por mês",1,0)+IF(AA853="SIM",1,0)+IF(R853="SIM",1,0)+IF(AL853="SIM",1,0)+IF(AJ853="NÃO",1,0))&gt;=5,"SIM - Alta criticidade",IF((IF(I853="SIM",2,0)+IF(K853="SIM",2,0)+IF(AF853="SIM",2,0)+IF(OR(AN853="Dados pessoais",AN853="Dados sensíveis",AN853="Dados pessoais e sensíveis"),2,0)+IF(O853="De 1.001 a 10.000 titulares por mês",1,0)+IF(AA853="SIM",1,0)+IF(R853="SIM",1,0)+IF(AL853="SIM",1,0)+IF(AJ853="NÃO",1,0))&gt;=3,"Avaliação necessária","NÃO"))))</f>
      </c>
      <c r="AR853" s="11"/>
      <c r="AS853" s="113">
        <f>IF(AND(I853="",K853="",AF853="",AL853="",AN853="",O853=""),"",IF(OR(I853="SIM",K853="SIM",AF853="SIM",AL853="SIM",OR(AN853="Dados pessoais",AN853="Dados sensíveis",AN853="Dados pessoais e sensíveis"),O853="Acima de 10.000 titulares por mês",(IF(I853="SIM",2,0)+IF(K853="SIM",2,0)+IF(AF853="SIM",2,0)+IF(OR(AN853="Dados pessoais",AN853="Dados sensíveis",AN853="Dados pessoais e sensíveis"),2,0)+IF(O853="De 1.001 a 10.000 titulares por mês",1,0)+IF(AA853="SIM",1,0)+IF(R853="SIM",1,0)+IF(AL853="SIM",1,0)+IF(AJ853="NÃO",1,0))&gt;=3),"DPIA indicado ou em avaliação em razão de: " &amp; TRIM(IF(I853="SIM","tratamento de dados sensíveis; ","") &amp; IF(K853="SIM","utilização de dados de menores; ","") &amp; IF(AF853="SIM","transferência internacional de dados; ","") &amp; IF(AL853="SIM","utilização de inteligência artificial; ","") &amp; IF(OR(AN853="Dados pessoais",AN853="Dados sensíveis",AN853="Dados pessoais e sensíveis"),"dados inseridos em IA; ","") &amp; IF(O853="Acima de 10.000 titulares por mês","volume crítico de titulares; ","") &amp; IF(O853="De 1.001 a 10.000 titulares por mês","volume moderado de titulares; ","") &amp; IF(AA853="SIM","compartilhamento com terceiros; ","") &amp; IF(R853="SIM","compartilhamento com órgãos governamentais; ","") &amp; IF(AJ853="NÃO","ausência de controle de acesso por perfil; ","")),"DPIA não indicado: Processo de baixa criticidade."))</f>
      </c>
    </row>
    <row x14ac:dyDescent="0.25" r="854" customHeight="1" ht="15.75">
      <c r="A854" s="46"/>
      <c r="B854" s="6"/>
      <c r="C854" s="11"/>
      <c r="D854" s="11"/>
      <c r="E854" s="11"/>
      <c r="F854" s="29"/>
      <c r="G854" s="11"/>
      <c r="H854" s="11"/>
      <c r="I854" s="29"/>
      <c r="J854" s="11"/>
      <c r="K854" s="29"/>
      <c r="L854" s="11"/>
      <c r="M854" s="11"/>
      <c r="N854" s="11"/>
      <c r="O854" s="29"/>
      <c r="P854" s="29"/>
      <c r="Q854" s="11"/>
      <c r="R854" s="29"/>
      <c r="S854" s="11"/>
      <c r="T854" s="6"/>
      <c r="U854" s="29"/>
      <c r="V854" s="11"/>
      <c r="W854" s="11"/>
      <c r="X854" s="29"/>
      <c r="Y854" s="11"/>
      <c r="Z854" s="29"/>
      <c r="AA854" s="29"/>
      <c r="AB854" s="11"/>
      <c r="AC854" s="11"/>
      <c r="AD854" s="29"/>
      <c r="AE854" s="11"/>
      <c r="AF854" s="29"/>
      <c r="AG854" s="11"/>
      <c r="AH854" s="29"/>
      <c r="AI854" s="11"/>
      <c r="AJ854" s="29"/>
      <c r="AK854" s="29"/>
      <c r="AL854" s="29"/>
      <c r="AM854" s="11"/>
      <c r="AN854" s="29"/>
      <c r="AO854" s="29"/>
      <c r="AP854" s="6"/>
      <c r="AQ854" s="113">
        <f>IF(AND(I854="",K854="",AF854="",AL854="",AN854="",O854=""),"",IF(OR(I854="SIM",K854="SIM",AF854="SIM",AL854="SIM",AN854="Dados pessoais",AN854="Dados sensíveis",AN854="Dados pessoais e sensíveis",O854="Acima de 10.000 titulares por mês"),"SIM - Alta criticidade",IF((IF(I854="SIM",2,0)+IF(K854="SIM",2,0)+IF(AF854="SIM",2,0)+IF(OR(AN854="Dados pessoais",AN854="Dados sensíveis",AN854="Dados pessoais e sensíveis"),2,0)+IF(O854="De 1.001 a 10.000 titulares por mês",1,0)+IF(AA854="SIM",1,0)+IF(R854="SIM",1,0)+IF(AL854="SIM",1,0)+IF(AJ854="NÃO",1,0))&gt;=5,"SIM - Alta criticidade",IF((IF(I854="SIM",2,0)+IF(K854="SIM",2,0)+IF(AF854="SIM",2,0)+IF(OR(AN854="Dados pessoais",AN854="Dados sensíveis",AN854="Dados pessoais e sensíveis"),2,0)+IF(O854="De 1.001 a 10.000 titulares por mês",1,0)+IF(AA854="SIM",1,0)+IF(R854="SIM",1,0)+IF(AL854="SIM",1,0)+IF(AJ854="NÃO",1,0))&gt;=3,"Avaliação necessária","NÃO"))))</f>
      </c>
      <c r="AR854" s="11"/>
      <c r="AS854" s="113">
        <f>IF(AND(I854="",K854="",AF854="",AL854="",AN854="",O854=""),"",IF(OR(I854="SIM",K854="SIM",AF854="SIM",AL854="SIM",OR(AN854="Dados pessoais",AN854="Dados sensíveis",AN854="Dados pessoais e sensíveis"),O854="Acima de 10.000 titulares por mês",(IF(I854="SIM",2,0)+IF(K854="SIM",2,0)+IF(AF854="SIM",2,0)+IF(OR(AN854="Dados pessoais",AN854="Dados sensíveis",AN854="Dados pessoais e sensíveis"),2,0)+IF(O854="De 1.001 a 10.000 titulares por mês",1,0)+IF(AA854="SIM",1,0)+IF(R854="SIM",1,0)+IF(AL854="SIM",1,0)+IF(AJ854="NÃO",1,0))&gt;=3),"DPIA indicado ou em avaliação em razão de: " &amp; TRIM(IF(I854="SIM","tratamento de dados sensíveis; ","") &amp; IF(K854="SIM","utilização de dados de menores; ","") &amp; IF(AF854="SIM","transferência internacional de dados; ","") &amp; IF(AL854="SIM","utilização de inteligência artificial; ","") &amp; IF(OR(AN854="Dados pessoais",AN854="Dados sensíveis",AN854="Dados pessoais e sensíveis"),"dados inseridos em IA; ","") &amp; IF(O854="Acima de 10.000 titulares por mês","volume crítico de titulares; ","") &amp; IF(O854="De 1.001 a 10.000 titulares por mês","volume moderado de titulares; ","") &amp; IF(AA854="SIM","compartilhamento com terceiros; ","") &amp; IF(R854="SIM","compartilhamento com órgãos governamentais; ","") &amp; IF(AJ854="NÃO","ausência de controle de acesso por perfil; ","")),"DPIA não indicado: Processo de baixa criticidade."))</f>
      </c>
    </row>
    <row x14ac:dyDescent="0.25" r="855" customHeight="1" ht="15.75">
      <c r="A855" s="46"/>
      <c r="B855" s="6"/>
      <c r="C855" s="11"/>
      <c r="D855" s="11"/>
      <c r="E855" s="11"/>
      <c r="F855" s="29"/>
      <c r="G855" s="11"/>
      <c r="H855" s="11"/>
      <c r="I855" s="29"/>
      <c r="J855" s="11"/>
      <c r="K855" s="29"/>
      <c r="L855" s="11"/>
      <c r="M855" s="11"/>
      <c r="N855" s="11"/>
      <c r="O855" s="29"/>
      <c r="P855" s="29"/>
      <c r="Q855" s="11"/>
      <c r="R855" s="29"/>
      <c r="S855" s="11"/>
      <c r="T855" s="6"/>
      <c r="U855" s="29"/>
      <c r="V855" s="11"/>
      <c r="W855" s="11"/>
      <c r="X855" s="29"/>
      <c r="Y855" s="11"/>
      <c r="Z855" s="29"/>
      <c r="AA855" s="29"/>
      <c r="AB855" s="11"/>
      <c r="AC855" s="11"/>
      <c r="AD855" s="29"/>
      <c r="AE855" s="11"/>
      <c r="AF855" s="29"/>
      <c r="AG855" s="11"/>
      <c r="AH855" s="29"/>
      <c r="AI855" s="11"/>
      <c r="AJ855" s="29"/>
      <c r="AK855" s="29"/>
      <c r="AL855" s="29"/>
      <c r="AM855" s="11"/>
      <c r="AN855" s="29"/>
      <c r="AO855" s="29"/>
      <c r="AP855" s="6"/>
      <c r="AQ855" s="113">
        <f>IF(AND(I855="",K855="",AF855="",AL855="",AN855="",O855=""),"",IF(OR(I855="SIM",K855="SIM",AF855="SIM",AL855="SIM",AN855="Dados pessoais",AN855="Dados sensíveis",AN855="Dados pessoais e sensíveis",O855="Acima de 10.000 titulares por mês"),"SIM - Alta criticidade",IF((IF(I855="SIM",2,0)+IF(K855="SIM",2,0)+IF(AF855="SIM",2,0)+IF(OR(AN855="Dados pessoais",AN855="Dados sensíveis",AN855="Dados pessoais e sensíveis"),2,0)+IF(O855="De 1.001 a 10.000 titulares por mês",1,0)+IF(AA855="SIM",1,0)+IF(R855="SIM",1,0)+IF(AL855="SIM",1,0)+IF(AJ855="NÃO",1,0))&gt;=5,"SIM - Alta criticidade",IF((IF(I855="SIM",2,0)+IF(K855="SIM",2,0)+IF(AF855="SIM",2,0)+IF(OR(AN855="Dados pessoais",AN855="Dados sensíveis",AN855="Dados pessoais e sensíveis"),2,0)+IF(O855="De 1.001 a 10.000 titulares por mês",1,0)+IF(AA855="SIM",1,0)+IF(R855="SIM",1,0)+IF(AL855="SIM",1,0)+IF(AJ855="NÃO",1,0))&gt;=3,"Avaliação necessária","NÃO"))))</f>
      </c>
      <c r="AR855" s="11"/>
      <c r="AS855" s="113">
        <f>IF(AND(I855="",K855="",AF855="",AL855="",AN855="",O855=""),"",IF(OR(I855="SIM",K855="SIM",AF855="SIM",AL855="SIM",OR(AN855="Dados pessoais",AN855="Dados sensíveis",AN855="Dados pessoais e sensíveis"),O855="Acima de 10.000 titulares por mês",(IF(I855="SIM",2,0)+IF(K855="SIM",2,0)+IF(AF855="SIM",2,0)+IF(OR(AN855="Dados pessoais",AN855="Dados sensíveis",AN855="Dados pessoais e sensíveis"),2,0)+IF(O855="De 1.001 a 10.000 titulares por mês",1,0)+IF(AA855="SIM",1,0)+IF(R855="SIM",1,0)+IF(AL855="SIM",1,0)+IF(AJ855="NÃO",1,0))&gt;=3),"DPIA indicado ou em avaliação em razão de: " &amp; TRIM(IF(I855="SIM","tratamento de dados sensíveis; ","") &amp; IF(K855="SIM","utilização de dados de menores; ","") &amp; IF(AF855="SIM","transferência internacional de dados; ","") &amp; IF(AL855="SIM","utilização de inteligência artificial; ","") &amp; IF(OR(AN855="Dados pessoais",AN855="Dados sensíveis",AN855="Dados pessoais e sensíveis"),"dados inseridos em IA; ","") &amp; IF(O855="Acima de 10.000 titulares por mês","volume crítico de titulares; ","") &amp; IF(O855="De 1.001 a 10.000 titulares por mês","volume moderado de titulares; ","") &amp; IF(AA855="SIM","compartilhamento com terceiros; ","") &amp; IF(R855="SIM","compartilhamento com órgãos governamentais; ","") &amp; IF(AJ855="NÃO","ausência de controle de acesso por perfil; ","")),"DPIA não indicado: Processo de baixa criticidade."))</f>
      </c>
    </row>
    <row x14ac:dyDescent="0.25" r="856" customHeight="1" ht="15.75">
      <c r="A856" s="46"/>
      <c r="B856" s="6"/>
      <c r="C856" s="11"/>
      <c r="D856" s="11"/>
      <c r="E856" s="11"/>
      <c r="F856" s="29"/>
      <c r="G856" s="11"/>
      <c r="H856" s="11"/>
      <c r="I856" s="29"/>
      <c r="J856" s="11"/>
      <c r="K856" s="29"/>
      <c r="L856" s="11"/>
      <c r="M856" s="11"/>
      <c r="N856" s="11"/>
      <c r="O856" s="29"/>
      <c r="P856" s="29"/>
      <c r="Q856" s="11"/>
      <c r="R856" s="29"/>
      <c r="S856" s="11"/>
      <c r="T856" s="6"/>
      <c r="U856" s="29"/>
      <c r="V856" s="11"/>
      <c r="W856" s="11"/>
      <c r="X856" s="29"/>
      <c r="Y856" s="11"/>
      <c r="Z856" s="29"/>
      <c r="AA856" s="29"/>
      <c r="AB856" s="11"/>
      <c r="AC856" s="11"/>
      <c r="AD856" s="29"/>
      <c r="AE856" s="11"/>
      <c r="AF856" s="29"/>
      <c r="AG856" s="11"/>
      <c r="AH856" s="29"/>
      <c r="AI856" s="11"/>
      <c r="AJ856" s="29"/>
      <c r="AK856" s="29"/>
      <c r="AL856" s="29"/>
      <c r="AM856" s="11"/>
      <c r="AN856" s="29"/>
      <c r="AO856" s="29"/>
      <c r="AP856" s="6"/>
      <c r="AQ856" s="113">
        <f>IF(AND(I856="",K856="",AF856="",AL856="",AN856="",O856=""),"",IF(OR(I856="SIM",K856="SIM",AF856="SIM",AL856="SIM",AN856="Dados pessoais",AN856="Dados sensíveis",AN856="Dados pessoais e sensíveis",O856="Acima de 10.000 titulares por mês"),"SIM - Alta criticidade",IF((IF(I856="SIM",2,0)+IF(K856="SIM",2,0)+IF(AF856="SIM",2,0)+IF(OR(AN856="Dados pessoais",AN856="Dados sensíveis",AN856="Dados pessoais e sensíveis"),2,0)+IF(O856="De 1.001 a 10.000 titulares por mês",1,0)+IF(AA856="SIM",1,0)+IF(R856="SIM",1,0)+IF(AL856="SIM",1,0)+IF(AJ856="NÃO",1,0))&gt;=5,"SIM - Alta criticidade",IF((IF(I856="SIM",2,0)+IF(K856="SIM",2,0)+IF(AF856="SIM",2,0)+IF(OR(AN856="Dados pessoais",AN856="Dados sensíveis",AN856="Dados pessoais e sensíveis"),2,0)+IF(O856="De 1.001 a 10.000 titulares por mês",1,0)+IF(AA856="SIM",1,0)+IF(R856="SIM",1,0)+IF(AL856="SIM",1,0)+IF(AJ856="NÃO",1,0))&gt;=3,"Avaliação necessária","NÃO"))))</f>
      </c>
      <c r="AR856" s="11"/>
      <c r="AS856" s="113">
        <f>IF(AND(I856="",K856="",AF856="",AL856="",AN856="",O856=""),"",IF(OR(I856="SIM",K856="SIM",AF856="SIM",AL856="SIM",OR(AN856="Dados pessoais",AN856="Dados sensíveis",AN856="Dados pessoais e sensíveis"),O856="Acima de 10.000 titulares por mês",(IF(I856="SIM",2,0)+IF(K856="SIM",2,0)+IF(AF856="SIM",2,0)+IF(OR(AN856="Dados pessoais",AN856="Dados sensíveis",AN856="Dados pessoais e sensíveis"),2,0)+IF(O856="De 1.001 a 10.000 titulares por mês",1,0)+IF(AA856="SIM",1,0)+IF(R856="SIM",1,0)+IF(AL856="SIM",1,0)+IF(AJ856="NÃO",1,0))&gt;=3),"DPIA indicado ou em avaliação em razão de: " &amp; TRIM(IF(I856="SIM","tratamento de dados sensíveis; ","") &amp; IF(K856="SIM","utilização de dados de menores; ","") &amp; IF(AF856="SIM","transferência internacional de dados; ","") &amp; IF(AL856="SIM","utilização de inteligência artificial; ","") &amp; IF(OR(AN856="Dados pessoais",AN856="Dados sensíveis",AN856="Dados pessoais e sensíveis"),"dados inseridos em IA; ","") &amp; IF(O856="Acima de 10.000 titulares por mês","volume crítico de titulares; ","") &amp; IF(O856="De 1.001 a 10.000 titulares por mês","volume moderado de titulares; ","") &amp; IF(AA856="SIM","compartilhamento com terceiros; ","") &amp; IF(R856="SIM","compartilhamento com órgãos governamentais; ","") &amp; IF(AJ856="NÃO","ausência de controle de acesso por perfil; ","")),"DPIA não indicado: Processo de baixa criticidade."))</f>
      </c>
    </row>
    <row x14ac:dyDescent="0.25" r="857" customHeight="1" ht="15.75">
      <c r="A857" s="46"/>
      <c r="B857" s="6"/>
      <c r="C857" s="11"/>
      <c r="D857" s="11"/>
      <c r="E857" s="11"/>
      <c r="F857" s="29"/>
      <c r="G857" s="11"/>
      <c r="H857" s="11"/>
      <c r="I857" s="29"/>
      <c r="J857" s="11"/>
      <c r="K857" s="29"/>
      <c r="L857" s="11"/>
      <c r="M857" s="11"/>
      <c r="N857" s="11"/>
      <c r="O857" s="29"/>
      <c r="P857" s="29"/>
      <c r="Q857" s="11"/>
      <c r="R857" s="29"/>
      <c r="S857" s="11"/>
      <c r="T857" s="6"/>
      <c r="U857" s="29"/>
      <c r="V857" s="11"/>
      <c r="W857" s="11"/>
      <c r="X857" s="29"/>
      <c r="Y857" s="11"/>
      <c r="Z857" s="29"/>
      <c r="AA857" s="29"/>
      <c r="AB857" s="11"/>
      <c r="AC857" s="11"/>
      <c r="AD857" s="29"/>
      <c r="AE857" s="11"/>
      <c r="AF857" s="29"/>
      <c r="AG857" s="11"/>
      <c r="AH857" s="29"/>
      <c r="AI857" s="11"/>
      <c r="AJ857" s="29"/>
      <c r="AK857" s="29"/>
      <c r="AL857" s="29"/>
      <c r="AM857" s="11"/>
      <c r="AN857" s="29"/>
      <c r="AO857" s="29"/>
      <c r="AP857" s="6"/>
      <c r="AQ857" s="113">
        <f>IF(AND(I857="",K857="",AF857="",AL857="",AN857="",O857=""),"",IF(OR(I857="SIM",K857="SIM",AF857="SIM",AL857="SIM",AN857="Dados pessoais",AN857="Dados sensíveis",AN857="Dados pessoais e sensíveis",O857="Acima de 10.000 titulares por mês"),"SIM - Alta criticidade",IF((IF(I857="SIM",2,0)+IF(K857="SIM",2,0)+IF(AF857="SIM",2,0)+IF(OR(AN857="Dados pessoais",AN857="Dados sensíveis",AN857="Dados pessoais e sensíveis"),2,0)+IF(O857="De 1.001 a 10.000 titulares por mês",1,0)+IF(AA857="SIM",1,0)+IF(R857="SIM",1,0)+IF(AL857="SIM",1,0)+IF(AJ857="NÃO",1,0))&gt;=5,"SIM - Alta criticidade",IF((IF(I857="SIM",2,0)+IF(K857="SIM",2,0)+IF(AF857="SIM",2,0)+IF(OR(AN857="Dados pessoais",AN857="Dados sensíveis",AN857="Dados pessoais e sensíveis"),2,0)+IF(O857="De 1.001 a 10.000 titulares por mês",1,0)+IF(AA857="SIM",1,0)+IF(R857="SIM",1,0)+IF(AL857="SIM",1,0)+IF(AJ857="NÃO",1,0))&gt;=3,"Avaliação necessária","NÃO"))))</f>
      </c>
      <c r="AR857" s="11"/>
      <c r="AS857" s="113">
        <f>IF(AND(I857="",K857="",AF857="",AL857="",AN857="",O857=""),"",IF(OR(I857="SIM",K857="SIM",AF857="SIM",AL857="SIM",OR(AN857="Dados pessoais",AN857="Dados sensíveis",AN857="Dados pessoais e sensíveis"),O857="Acima de 10.000 titulares por mês",(IF(I857="SIM",2,0)+IF(K857="SIM",2,0)+IF(AF857="SIM",2,0)+IF(OR(AN857="Dados pessoais",AN857="Dados sensíveis",AN857="Dados pessoais e sensíveis"),2,0)+IF(O857="De 1.001 a 10.000 titulares por mês",1,0)+IF(AA857="SIM",1,0)+IF(R857="SIM",1,0)+IF(AL857="SIM",1,0)+IF(AJ857="NÃO",1,0))&gt;=3),"DPIA indicado ou em avaliação em razão de: " &amp; TRIM(IF(I857="SIM","tratamento de dados sensíveis; ","") &amp; IF(K857="SIM","utilização de dados de menores; ","") &amp; IF(AF857="SIM","transferência internacional de dados; ","") &amp; IF(AL857="SIM","utilização de inteligência artificial; ","") &amp; IF(OR(AN857="Dados pessoais",AN857="Dados sensíveis",AN857="Dados pessoais e sensíveis"),"dados inseridos em IA; ","") &amp; IF(O857="Acima de 10.000 titulares por mês","volume crítico de titulares; ","") &amp; IF(O857="De 1.001 a 10.000 titulares por mês","volume moderado de titulares; ","") &amp; IF(AA857="SIM","compartilhamento com terceiros; ","") &amp; IF(R857="SIM","compartilhamento com órgãos governamentais; ","") &amp; IF(AJ857="NÃO","ausência de controle de acesso por perfil; ","")),"DPIA não indicado: Processo de baixa criticidade."))</f>
      </c>
    </row>
    <row x14ac:dyDescent="0.25" r="858" customHeight="1" ht="15.75">
      <c r="A858" s="46"/>
      <c r="B858" s="6"/>
      <c r="C858" s="11"/>
      <c r="D858" s="11"/>
      <c r="E858" s="11"/>
      <c r="F858" s="29"/>
      <c r="G858" s="11"/>
      <c r="H858" s="11"/>
      <c r="I858" s="29"/>
      <c r="J858" s="11"/>
      <c r="K858" s="29"/>
      <c r="L858" s="11"/>
      <c r="M858" s="11"/>
      <c r="N858" s="11"/>
      <c r="O858" s="29"/>
      <c r="P858" s="29"/>
      <c r="Q858" s="11"/>
      <c r="R858" s="29"/>
      <c r="S858" s="11"/>
      <c r="T858" s="6"/>
      <c r="U858" s="29"/>
      <c r="V858" s="11"/>
      <c r="W858" s="11"/>
      <c r="X858" s="29"/>
      <c r="Y858" s="11"/>
      <c r="Z858" s="29"/>
      <c r="AA858" s="29"/>
      <c r="AB858" s="11"/>
      <c r="AC858" s="11"/>
      <c r="AD858" s="29"/>
      <c r="AE858" s="11"/>
      <c r="AF858" s="29"/>
      <c r="AG858" s="11"/>
      <c r="AH858" s="29"/>
      <c r="AI858" s="11"/>
      <c r="AJ858" s="29"/>
      <c r="AK858" s="29"/>
      <c r="AL858" s="29"/>
      <c r="AM858" s="11"/>
      <c r="AN858" s="29"/>
      <c r="AO858" s="29"/>
      <c r="AP858" s="6"/>
      <c r="AQ858" s="113">
        <f>IF(AND(I858="",K858="",AF858="",AL858="",AN858="",O858=""),"",IF(OR(I858="SIM",K858="SIM",AF858="SIM",AL858="SIM",AN858="Dados pessoais",AN858="Dados sensíveis",AN858="Dados pessoais e sensíveis",O858="Acima de 10.000 titulares por mês"),"SIM - Alta criticidade",IF((IF(I858="SIM",2,0)+IF(K858="SIM",2,0)+IF(AF858="SIM",2,0)+IF(OR(AN858="Dados pessoais",AN858="Dados sensíveis",AN858="Dados pessoais e sensíveis"),2,0)+IF(O858="De 1.001 a 10.000 titulares por mês",1,0)+IF(AA858="SIM",1,0)+IF(R858="SIM",1,0)+IF(AL858="SIM",1,0)+IF(AJ858="NÃO",1,0))&gt;=5,"SIM - Alta criticidade",IF((IF(I858="SIM",2,0)+IF(K858="SIM",2,0)+IF(AF858="SIM",2,0)+IF(OR(AN858="Dados pessoais",AN858="Dados sensíveis",AN858="Dados pessoais e sensíveis"),2,0)+IF(O858="De 1.001 a 10.000 titulares por mês",1,0)+IF(AA858="SIM",1,0)+IF(R858="SIM",1,0)+IF(AL858="SIM",1,0)+IF(AJ858="NÃO",1,0))&gt;=3,"Avaliação necessária","NÃO"))))</f>
      </c>
      <c r="AR858" s="11"/>
      <c r="AS858" s="113">
        <f>IF(AND(I858="",K858="",AF858="",AL858="",AN858="",O858=""),"",IF(OR(I858="SIM",K858="SIM",AF858="SIM",AL858="SIM",OR(AN858="Dados pessoais",AN858="Dados sensíveis",AN858="Dados pessoais e sensíveis"),O858="Acima de 10.000 titulares por mês",(IF(I858="SIM",2,0)+IF(K858="SIM",2,0)+IF(AF858="SIM",2,0)+IF(OR(AN858="Dados pessoais",AN858="Dados sensíveis",AN858="Dados pessoais e sensíveis"),2,0)+IF(O858="De 1.001 a 10.000 titulares por mês",1,0)+IF(AA858="SIM",1,0)+IF(R858="SIM",1,0)+IF(AL858="SIM",1,0)+IF(AJ858="NÃO",1,0))&gt;=3),"DPIA indicado ou em avaliação em razão de: " &amp; TRIM(IF(I858="SIM","tratamento de dados sensíveis; ","") &amp; IF(K858="SIM","utilização de dados de menores; ","") &amp; IF(AF858="SIM","transferência internacional de dados; ","") &amp; IF(AL858="SIM","utilização de inteligência artificial; ","") &amp; IF(OR(AN858="Dados pessoais",AN858="Dados sensíveis",AN858="Dados pessoais e sensíveis"),"dados inseridos em IA; ","") &amp; IF(O858="Acima de 10.000 titulares por mês","volume crítico de titulares; ","") &amp; IF(O858="De 1.001 a 10.000 titulares por mês","volume moderado de titulares; ","") &amp; IF(AA858="SIM","compartilhamento com terceiros; ","") &amp; IF(R858="SIM","compartilhamento com órgãos governamentais; ","") &amp; IF(AJ858="NÃO","ausência de controle de acesso por perfil; ","")),"DPIA não indicado: Processo de baixa criticidade."))</f>
      </c>
    </row>
    <row x14ac:dyDescent="0.25" r="859" customHeight="1" ht="15.75">
      <c r="A859" s="46"/>
      <c r="B859" s="6"/>
      <c r="C859" s="11"/>
      <c r="D859" s="11"/>
      <c r="E859" s="11"/>
      <c r="F859" s="29"/>
      <c r="G859" s="11"/>
      <c r="H859" s="11"/>
      <c r="I859" s="29"/>
      <c r="J859" s="11"/>
      <c r="K859" s="29"/>
      <c r="L859" s="11"/>
      <c r="M859" s="11"/>
      <c r="N859" s="11"/>
      <c r="O859" s="29"/>
      <c r="P859" s="29"/>
      <c r="Q859" s="11"/>
      <c r="R859" s="29"/>
      <c r="S859" s="11"/>
      <c r="T859" s="6"/>
      <c r="U859" s="29"/>
      <c r="V859" s="11"/>
      <c r="W859" s="11"/>
      <c r="X859" s="29"/>
      <c r="Y859" s="11"/>
      <c r="Z859" s="29"/>
      <c r="AA859" s="29"/>
      <c r="AB859" s="11"/>
      <c r="AC859" s="11"/>
      <c r="AD859" s="29"/>
      <c r="AE859" s="11"/>
      <c r="AF859" s="29"/>
      <c r="AG859" s="11"/>
      <c r="AH859" s="29"/>
      <c r="AI859" s="11"/>
      <c r="AJ859" s="29"/>
      <c r="AK859" s="29"/>
      <c r="AL859" s="29"/>
      <c r="AM859" s="11"/>
      <c r="AN859" s="29"/>
      <c r="AO859" s="29"/>
      <c r="AP859" s="6"/>
      <c r="AQ859" s="113">
        <f>IF(AND(I859="",K859="",AF859="",AL859="",AN859="",O859=""),"",IF(OR(I859="SIM",K859="SIM",AF859="SIM",AL859="SIM",AN859="Dados pessoais",AN859="Dados sensíveis",AN859="Dados pessoais e sensíveis",O859="Acima de 10.000 titulares por mês"),"SIM - Alta criticidade",IF((IF(I859="SIM",2,0)+IF(K859="SIM",2,0)+IF(AF859="SIM",2,0)+IF(OR(AN859="Dados pessoais",AN859="Dados sensíveis",AN859="Dados pessoais e sensíveis"),2,0)+IF(O859="De 1.001 a 10.000 titulares por mês",1,0)+IF(AA859="SIM",1,0)+IF(R859="SIM",1,0)+IF(AL859="SIM",1,0)+IF(AJ859="NÃO",1,0))&gt;=5,"SIM - Alta criticidade",IF((IF(I859="SIM",2,0)+IF(K859="SIM",2,0)+IF(AF859="SIM",2,0)+IF(OR(AN859="Dados pessoais",AN859="Dados sensíveis",AN859="Dados pessoais e sensíveis"),2,0)+IF(O859="De 1.001 a 10.000 titulares por mês",1,0)+IF(AA859="SIM",1,0)+IF(R859="SIM",1,0)+IF(AL859="SIM",1,0)+IF(AJ859="NÃO",1,0))&gt;=3,"Avaliação necessária","NÃO"))))</f>
      </c>
      <c r="AR859" s="11"/>
      <c r="AS859" s="113">
        <f>IF(AND(I859="",K859="",AF859="",AL859="",AN859="",O859=""),"",IF(OR(I859="SIM",K859="SIM",AF859="SIM",AL859="SIM",OR(AN859="Dados pessoais",AN859="Dados sensíveis",AN859="Dados pessoais e sensíveis"),O859="Acima de 10.000 titulares por mês",(IF(I859="SIM",2,0)+IF(K859="SIM",2,0)+IF(AF859="SIM",2,0)+IF(OR(AN859="Dados pessoais",AN859="Dados sensíveis",AN859="Dados pessoais e sensíveis"),2,0)+IF(O859="De 1.001 a 10.000 titulares por mês",1,0)+IF(AA859="SIM",1,0)+IF(R859="SIM",1,0)+IF(AL859="SIM",1,0)+IF(AJ859="NÃO",1,0))&gt;=3),"DPIA indicado ou em avaliação em razão de: " &amp; TRIM(IF(I859="SIM","tratamento de dados sensíveis; ","") &amp; IF(K859="SIM","utilização de dados de menores; ","") &amp; IF(AF859="SIM","transferência internacional de dados; ","") &amp; IF(AL859="SIM","utilização de inteligência artificial; ","") &amp; IF(OR(AN859="Dados pessoais",AN859="Dados sensíveis",AN859="Dados pessoais e sensíveis"),"dados inseridos em IA; ","") &amp; IF(O859="Acima de 10.000 titulares por mês","volume crítico de titulares; ","") &amp; IF(O859="De 1.001 a 10.000 titulares por mês","volume moderado de titulares; ","") &amp; IF(AA859="SIM","compartilhamento com terceiros; ","") &amp; IF(R859="SIM","compartilhamento com órgãos governamentais; ","") &amp; IF(AJ859="NÃO","ausência de controle de acesso por perfil; ","")),"DPIA não indicado: Processo de baixa criticidade."))</f>
      </c>
    </row>
    <row x14ac:dyDescent="0.25" r="860" customHeight="1" ht="15.75">
      <c r="A860" s="46"/>
      <c r="B860" s="6"/>
      <c r="C860" s="11"/>
      <c r="D860" s="11"/>
      <c r="E860" s="11"/>
      <c r="F860" s="29"/>
      <c r="G860" s="11"/>
      <c r="H860" s="11"/>
      <c r="I860" s="29"/>
      <c r="J860" s="11"/>
      <c r="K860" s="29"/>
      <c r="L860" s="11"/>
      <c r="M860" s="11"/>
      <c r="N860" s="11"/>
      <c r="O860" s="29"/>
      <c r="P860" s="29"/>
      <c r="Q860" s="11"/>
      <c r="R860" s="29"/>
      <c r="S860" s="11"/>
      <c r="T860" s="6"/>
      <c r="U860" s="29"/>
      <c r="V860" s="11"/>
      <c r="W860" s="11"/>
      <c r="X860" s="29"/>
      <c r="Y860" s="11"/>
      <c r="Z860" s="29"/>
      <c r="AA860" s="29"/>
      <c r="AB860" s="11"/>
      <c r="AC860" s="11"/>
      <c r="AD860" s="29"/>
      <c r="AE860" s="11"/>
      <c r="AF860" s="29"/>
      <c r="AG860" s="11"/>
      <c r="AH860" s="29"/>
      <c r="AI860" s="11"/>
      <c r="AJ860" s="29"/>
      <c r="AK860" s="29"/>
      <c r="AL860" s="29"/>
      <c r="AM860" s="11"/>
      <c r="AN860" s="29"/>
      <c r="AO860" s="29"/>
      <c r="AP860" s="6"/>
      <c r="AQ860" s="113">
        <f>IF(AND(I860="",K860="",AF860="",AL860="",AN860="",O860=""),"",IF(OR(I860="SIM",K860="SIM",AF860="SIM",AL860="SIM",AN860="Dados pessoais",AN860="Dados sensíveis",AN860="Dados pessoais e sensíveis",O860="Acima de 10.000 titulares por mês"),"SIM - Alta criticidade",IF((IF(I860="SIM",2,0)+IF(K860="SIM",2,0)+IF(AF860="SIM",2,0)+IF(OR(AN860="Dados pessoais",AN860="Dados sensíveis",AN860="Dados pessoais e sensíveis"),2,0)+IF(O860="De 1.001 a 10.000 titulares por mês",1,0)+IF(AA860="SIM",1,0)+IF(R860="SIM",1,0)+IF(AL860="SIM",1,0)+IF(AJ860="NÃO",1,0))&gt;=5,"SIM - Alta criticidade",IF((IF(I860="SIM",2,0)+IF(K860="SIM",2,0)+IF(AF860="SIM",2,0)+IF(OR(AN860="Dados pessoais",AN860="Dados sensíveis",AN860="Dados pessoais e sensíveis"),2,0)+IF(O860="De 1.001 a 10.000 titulares por mês",1,0)+IF(AA860="SIM",1,0)+IF(R860="SIM",1,0)+IF(AL860="SIM",1,0)+IF(AJ860="NÃO",1,0))&gt;=3,"Avaliação necessária","NÃO"))))</f>
      </c>
      <c r="AR860" s="11"/>
      <c r="AS860" s="113">
        <f>IF(AND(I860="",K860="",AF860="",AL860="",AN860="",O860=""),"",IF(OR(I860="SIM",K860="SIM",AF860="SIM",AL860="SIM",OR(AN860="Dados pessoais",AN860="Dados sensíveis",AN860="Dados pessoais e sensíveis"),O860="Acima de 10.000 titulares por mês",(IF(I860="SIM",2,0)+IF(K860="SIM",2,0)+IF(AF860="SIM",2,0)+IF(OR(AN860="Dados pessoais",AN860="Dados sensíveis",AN860="Dados pessoais e sensíveis"),2,0)+IF(O860="De 1.001 a 10.000 titulares por mês",1,0)+IF(AA860="SIM",1,0)+IF(R860="SIM",1,0)+IF(AL860="SIM",1,0)+IF(AJ860="NÃO",1,0))&gt;=3),"DPIA indicado ou em avaliação em razão de: " &amp; TRIM(IF(I860="SIM","tratamento de dados sensíveis; ","") &amp; IF(K860="SIM","utilização de dados de menores; ","") &amp; IF(AF860="SIM","transferência internacional de dados; ","") &amp; IF(AL860="SIM","utilização de inteligência artificial; ","") &amp; IF(OR(AN860="Dados pessoais",AN860="Dados sensíveis",AN860="Dados pessoais e sensíveis"),"dados inseridos em IA; ","") &amp; IF(O860="Acima de 10.000 titulares por mês","volume crítico de titulares; ","") &amp; IF(O860="De 1.001 a 10.000 titulares por mês","volume moderado de titulares; ","") &amp; IF(AA860="SIM","compartilhamento com terceiros; ","") &amp; IF(R860="SIM","compartilhamento com órgãos governamentais; ","") &amp; IF(AJ860="NÃO","ausência de controle de acesso por perfil; ","")),"DPIA não indicado: Processo de baixa criticidade."))</f>
      </c>
    </row>
    <row x14ac:dyDescent="0.25" r="861" customHeight="1" ht="15.75">
      <c r="A861" s="46"/>
      <c r="B861" s="6"/>
      <c r="C861" s="11"/>
      <c r="D861" s="11"/>
      <c r="E861" s="11"/>
      <c r="F861" s="29"/>
      <c r="G861" s="11"/>
      <c r="H861" s="11"/>
      <c r="I861" s="29"/>
      <c r="J861" s="11"/>
      <c r="K861" s="29"/>
      <c r="L861" s="11"/>
      <c r="M861" s="11"/>
      <c r="N861" s="11"/>
      <c r="O861" s="29"/>
      <c r="P861" s="29"/>
      <c r="Q861" s="11"/>
      <c r="R861" s="29"/>
      <c r="S861" s="11"/>
      <c r="T861" s="6"/>
      <c r="U861" s="29"/>
      <c r="V861" s="11"/>
      <c r="W861" s="11"/>
      <c r="X861" s="29"/>
      <c r="Y861" s="11"/>
      <c r="Z861" s="29"/>
      <c r="AA861" s="29"/>
      <c r="AB861" s="11"/>
      <c r="AC861" s="11"/>
      <c r="AD861" s="29"/>
      <c r="AE861" s="11"/>
      <c r="AF861" s="29"/>
      <c r="AG861" s="11"/>
      <c r="AH861" s="29"/>
      <c r="AI861" s="11"/>
      <c r="AJ861" s="29"/>
      <c r="AK861" s="29"/>
      <c r="AL861" s="29"/>
      <c r="AM861" s="11"/>
      <c r="AN861" s="29"/>
      <c r="AO861" s="29"/>
      <c r="AP861" s="6"/>
      <c r="AQ861" s="113">
        <f>IF(AND(I861="",K861="",AF861="",AL861="",AN861="",O861=""),"",IF(OR(I861="SIM",K861="SIM",AF861="SIM",AL861="SIM",AN861="Dados pessoais",AN861="Dados sensíveis",AN861="Dados pessoais e sensíveis",O861="Acima de 10.000 titulares por mês"),"SIM - Alta criticidade",IF((IF(I861="SIM",2,0)+IF(K861="SIM",2,0)+IF(AF861="SIM",2,0)+IF(OR(AN861="Dados pessoais",AN861="Dados sensíveis",AN861="Dados pessoais e sensíveis"),2,0)+IF(O861="De 1.001 a 10.000 titulares por mês",1,0)+IF(AA861="SIM",1,0)+IF(R861="SIM",1,0)+IF(AL861="SIM",1,0)+IF(AJ861="NÃO",1,0))&gt;=5,"SIM - Alta criticidade",IF((IF(I861="SIM",2,0)+IF(K861="SIM",2,0)+IF(AF861="SIM",2,0)+IF(OR(AN861="Dados pessoais",AN861="Dados sensíveis",AN861="Dados pessoais e sensíveis"),2,0)+IF(O861="De 1.001 a 10.000 titulares por mês",1,0)+IF(AA861="SIM",1,0)+IF(R861="SIM",1,0)+IF(AL861="SIM",1,0)+IF(AJ861="NÃO",1,0))&gt;=3,"Avaliação necessária","NÃO"))))</f>
      </c>
      <c r="AR861" s="11"/>
      <c r="AS861" s="113">
        <f>IF(AND(I861="",K861="",AF861="",AL861="",AN861="",O861=""),"",IF(OR(I861="SIM",K861="SIM",AF861="SIM",AL861="SIM",OR(AN861="Dados pessoais",AN861="Dados sensíveis",AN861="Dados pessoais e sensíveis"),O861="Acima de 10.000 titulares por mês",(IF(I861="SIM",2,0)+IF(K861="SIM",2,0)+IF(AF861="SIM",2,0)+IF(OR(AN861="Dados pessoais",AN861="Dados sensíveis",AN861="Dados pessoais e sensíveis"),2,0)+IF(O861="De 1.001 a 10.000 titulares por mês",1,0)+IF(AA861="SIM",1,0)+IF(R861="SIM",1,0)+IF(AL861="SIM",1,0)+IF(AJ861="NÃO",1,0))&gt;=3),"DPIA indicado ou em avaliação em razão de: " &amp; TRIM(IF(I861="SIM","tratamento de dados sensíveis; ","") &amp; IF(K861="SIM","utilização de dados de menores; ","") &amp; IF(AF861="SIM","transferência internacional de dados; ","") &amp; IF(AL861="SIM","utilização de inteligência artificial; ","") &amp; IF(OR(AN861="Dados pessoais",AN861="Dados sensíveis",AN861="Dados pessoais e sensíveis"),"dados inseridos em IA; ","") &amp; IF(O861="Acima de 10.000 titulares por mês","volume crítico de titulares; ","") &amp; IF(O861="De 1.001 a 10.000 titulares por mês","volume moderado de titulares; ","") &amp; IF(AA861="SIM","compartilhamento com terceiros; ","") &amp; IF(R861="SIM","compartilhamento com órgãos governamentais; ","") &amp; IF(AJ861="NÃO","ausência de controle de acesso por perfil; ","")),"DPIA não indicado: Processo de baixa criticidade."))</f>
      </c>
    </row>
    <row x14ac:dyDescent="0.25" r="862" customHeight="1" ht="15.75">
      <c r="A862" s="46"/>
      <c r="B862" s="6"/>
      <c r="C862" s="11"/>
      <c r="D862" s="11"/>
      <c r="E862" s="11"/>
      <c r="F862" s="29"/>
      <c r="G862" s="11"/>
      <c r="H862" s="11"/>
      <c r="I862" s="29"/>
      <c r="J862" s="11"/>
      <c r="K862" s="29"/>
      <c r="L862" s="11"/>
      <c r="M862" s="11"/>
      <c r="N862" s="11"/>
      <c r="O862" s="29"/>
      <c r="P862" s="29"/>
      <c r="Q862" s="11"/>
      <c r="R862" s="29"/>
      <c r="S862" s="11"/>
      <c r="T862" s="6"/>
      <c r="U862" s="29"/>
      <c r="V862" s="11"/>
      <c r="W862" s="11"/>
      <c r="X862" s="29"/>
      <c r="Y862" s="11"/>
      <c r="Z862" s="29"/>
      <c r="AA862" s="29"/>
      <c r="AB862" s="11"/>
      <c r="AC862" s="11"/>
      <c r="AD862" s="29"/>
      <c r="AE862" s="11"/>
      <c r="AF862" s="29"/>
      <c r="AG862" s="11"/>
      <c r="AH862" s="29"/>
      <c r="AI862" s="11"/>
      <c r="AJ862" s="29"/>
      <c r="AK862" s="29"/>
      <c r="AL862" s="29"/>
      <c r="AM862" s="11"/>
      <c r="AN862" s="29"/>
      <c r="AO862" s="29"/>
      <c r="AP862" s="6"/>
      <c r="AQ862" s="113">
        <f>IF(AND(I862="",K862="",AF862="",AL862="",AN862="",O862=""),"",IF(OR(I862="SIM",K862="SIM",AF862="SIM",AL862="SIM",AN862="Dados pessoais",AN862="Dados sensíveis",AN862="Dados pessoais e sensíveis",O862="Acima de 10.000 titulares por mês"),"SIM - Alta criticidade",IF((IF(I862="SIM",2,0)+IF(K862="SIM",2,0)+IF(AF862="SIM",2,0)+IF(OR(AN862="Dados pessoais",AN862="Dados sensíveis",AN862="Dados pessoais e sensíveis"),2,0)+IF(O862="De 1.001 a 10.000 titulares por mês",1,0)+IF(AA862="SIM",1,0)+IF(R862="SIM",1,0)+IF(AL862="SIM",1,0)+IF(AJ862="NÃO",1,0))&gt;=5,"SIM - Alta criticidade",IF((IF(I862="SIM",2,0)+IF(K862="SIM",2,0)+IF(AF862="SIM",2,0)+IF(OR(AN862="Dados pessoais",AN862="Dados sensíveis",AN862="Dados pessoais e sensíveis"),2,0)+IF(O862="De 1.001 a 10.000 titulares por mês",1,0)+IF(AA862="SIM",1,0)+IF(R862="SIM",1,0)+IF(AL862="SIM",1,0)+IF(AJ862="NÃO",1,0))&gt;=3,"Avaliação necessária","NÃO"))))</f>
      </c>
      <c r="AR862" s="11"/>
      <c r="AS862" s="113">
        <f>IF(AND(I862="",K862="",AF862="",AL862="",AN862="",O862=""),"",IF(OR(I862="SIM",K862="SIM",AF862="SIM",AL862="SIM",OR(AN862="Dados pessoais",AN862="Dados sensíveis",AN862="Dados pessoais e sensíveis"),O862="Acima de 10.000 titulares por mês",(IF(I862="SIM",2,0)+IF(K862="SIM",2,0)+IF(AF862="SIM",2,0)+IF(OR(AN862="Dados pessoais",AN862="Dados sensíveis",AN862="Dados pessoais e sensíveis"),2,0)+IF(O862="De 1.001 a 10.000 titulares por mês",1,0)+IF(AA862="SIM",1,0)+IF(R862="SIM",1,0)+IF(AL862="SIM",1,0)+IF(AJ862="NÃO",1,0))&gt;=3),"DPIA indicado ou em avaliação em razão de: " &amp; TRIM(IF(I862="SIM","tratamento de dados sensíveis; ","") &amp; IF(K862="SIM","utilização de dados de menores; ","") &amp; IF(AF862="SIM","transferência internacional de dados; ","") &amp; IF(AL862="SIM","utilização de inteligência artificial; ","") &amp; IF(OR(AN862="Dados pessoais",AN862="Dados sensíveis",AN862="Dados pessoais e sensíveis"),"dados inseridos em IA; ","") &amp; IF(O862="Acima de 10.000 titulares por mês","volume crítico de titulares; ","") &amp; IF(O862="De 1.001 a 10.000 titulares por mês","volume moderado de titulares; ","") &amp; IF(AA862="SIM","compartilhamento com terceiros; ","") &amp; IF(R862="SIM","compartilhamento com órgãos governamentais; ","") &amp; IF(AJ862="NÃO","ausência de controle de acesso por perfil; ","")),"DPIA não indicado: Processo de baixa criticidade."))</f>
      </c>
    </row>
    <row x14ac:dyDescent="0.25" r="863" customHeight="1" ht="15.75">
      <c r="A863" s="46"/>
      <c r="B863" s="6"/>
      <c r="C863" s="11"/>
      <c r="D863" s="11"/>
      <c r="E863" s="11"/>
      <c r="F863" s="29"/>
      <c r="G863" s="11"/>
      <c r="H863" s="11"/>
      <c r="I863" s="29"/>
      <c r="J863" s="11"/>
      <c r="K863" s="29"/>
      <c r="L863" s="11"/>
      <c r="M863" s="11"/>
      <c r="N863" s="11"/>
      <c r="O863" s="29"/>
      <c r="P863" s="29"/>
      <c r="Q863" s="11"/>
      <c r="R863" s="29"/>
      <c r="S863" s="11"/>
      <c r="T863" s="6"/>
      <c r="U863" s="29"/>
      <c r="V863" s="11"/>
      <c r="W863" s="11"/>
      <c r="X863" s="29"/>
      <c r="Y863" s="11"/>
      <c r="Z863" s="29"/>
      <c r="AA863" s="29"/>
      <c r="AB863" s="11"/>
      <c r="AC863" s="11"/>
      <c r="AD863" s="29"/>
      <c r="AE863" s="11"/>
      <c r="AF863" s="29"/>
      <c r="AG863" s="11"/>
      <c r="AH863" s="29"/>
      <c r="AI863" s="11"/>
      <c r="AJ863" s="29"/>
      <c r="AK863" s="29"/>
      <c r="AL863" s="29"/>
      <c r="AM863" s="11"/>
      <c r="AN863" s="29"/>
      <c r="AO863" s="29"/>
      <c r="AP863" s="6"/>
      <c r="AQ863" s="113">
        <f>IF(AND(I863="",K863="",AF863="",AL863="",AN863="",O863=""),"",IF(OR(I863="SIM",K863="SIM",AF863="SIM",AL863="SIM",AN863="Dados pessoais",AN863="Dados sensíveis",AN863="Dados pessoais e sensíveis",O863="Acima de 10.000 titulares por mês"),"SIM - Alta criticidade",IF((IF(I863="SIM",2,0)+IF(K863="SIM",2,0)+IF(AF863="SIM",2,0)+IF(OR(AN863="Dados pessoais",AN863="Dados sensíveis",AN863="Dados pessoais e sensíveis"),2,0)+IF(O863="De 1.001 a 10.000 titulares por mês",1,0)+IF(AA863="SIM",1,0)+IF(R863="SIM",1,0)+IF(AL863="SIM",1,0)+IF(AJ863="NÃO",1,0))&gt;=5,"SIM - Alta criticidade",IF((IF(I863="SIM",2,0)+IF(K863="SIM",2,0)+IF(AF863="SIM",2,0)+IF(OR(AN863="Dados pessoais",AN863="Dados sensíveis",AN863="Dados pessoais e sensíveis"),2,0)+IF(O863="De 1.001 a 10.000 titulares por mês",1,0)+IF(AA863="SIM",1,0)+IF(R863="SIM",1,0)+IF(AL863="SIM",1,0)+IF(AJ863="NÃO",1,0))&gt;=3,"Avaliação necessária","NÃO"))))</f>
      </c>
      <c r="AR863" s="11"/>
      <c r="AS863" s="113">
        <f>IF(AND(I863="",K863="",AF863="",AL863="",AN863="",O863=""),"",IF(OR(I863="SIM",K863="SIM",AF863="SIM",AL863="SIM",OR(AN863="Dados pessoais",AN863="Dados sensíveis",AN863="Dados pessoais e sensíveis"),O863="Acima de 10.000 titulares por mês",(IF(I863="SIM",2,0)+IF(K863="SIM",2,0)+IF(AF863="SIM",2,0)+IF(OR(AN863="Dados pessoais",AN863="Dados sensíveis",AN863="Dados pessoais e sensíveis"),2,0)+IF(O863="De 1.001 a 10.000 titulares por mês",1,0)+IF(AA863="SIM",1,0)+IF(R863="SIM",1,0)+IF(AL863="SIM",1,0)+IF(AJ863="NÃO",1,0))&gt;=3),"DPIA indicado ou em avaliação em razão de: " &amp; TRIM(IF(I863="SIM","tratamento de dados sensíveis; ","") &amp; IF(K863="SIM","utilização de dados de menores; ","") &amp; IF(AF863="SIM","transferência internacional de dados; ","") &amp; IF(AL863="SIM","utilização de inteligência artificial; ","") &amp; IF(OR(AN863="Dados pessoais",AN863="Dados sensíveis",AN863="Dados pessoais e sensíveis"),"dados inseridos em IA; ","") &amp; IF(O863="Acima de 10.000 titulares por mês","volume crítico de titulares; ","") &amp; IF(O863="De 1.001 a 10.000 titulares por mês","volume moderado de titulares; ","") &amp; IF(AA863="SIM","compartilhamento com terceiros; ","") &amp; IF(R863="SIM","compartilhamento com órgãos governamentais; ","") &amp; IF(AJ863="NÃO","ausência de controle de acesso por perfil; ","")),"DPIA não indicado: Processo de baixa criticidade."))</f>
      </c>
    </row>
    <row x14ac:dyDescent="0.25" r="864" customHeight="1" ht="15.75">
      <c r="A864" s="46"/>
      <c r="B864" s="6"/>
      <c r="C864" s="11"/>
      <c r="D864" s="11"/>
      <c r="E864" s="11"/>
      <c r="F864" s="29"/>
      <c r="G864" s="11"/>
      <c r="H864" s="11"/>
      <c r="I864" s="29"/>
      <c r="J864" s="11"/>
      <c r="K864" s="29"/>
      <c r="L864" s="11"/>
      <c r="M864" s="11"/>
      <c r="N864" s="11"/>
      <c r="O864" s="29"/>
      <c r="P864" s="29"/>
      <c r="Q864" s="11"/>
      <c r="R864" s="29"/>
      <c r="S864" s="11"/>
      <c r="T864" s="6"/>
      <c r="U864" s="29"/>
      <c r="V864" s="11"/>
      <c r="W864" s="11"/>
      <c r="X864" s="29"/>
      <c r="Y864" s="11"/>
      <c r="Z864" s="29"/>
      <c r="AA864" s="29"/>
      <c r="AB864" s="11"/>
      <c r="AC864" s="11"/>
      <c r="AD864" s="29"/>
      <c r="AE864" s="11"/>
      <c r="AF864" s="29"/>
      <c r="AG864" s="11"/>
      <c r="AH864" s="29"/>
      <c r="AI864" s="11"/>
      <c r="AJ864" s="29"/>
      <c r="AK864" s="29"/>
      <c r="AL864" s="29"/>
      <c r="AM864" s="11"/>
      <c r="AN864" s="29"/>
      <c r="AO864" s="29"/>
      <c r="AP864" s="6"/>
      <c r="AQ864" s="113">
        <f>IF(AND(I864="",K864="",AF864="",AL864="",AN864="",O864=""),"",IF(OR(I864="SIM",K864="SIM",AF864="SIM",AL864="SIM",AN864="Dados pessoais",AN864="Dados sensíveis",AN864="Dados pessoais e sensíveis",O864="Acima de 10.000 titulares por mês"),"SIM - Alta criticidade",IF((IF(I864="SIM",2,0)+IF(K864="SIM",2,0)+IF(AF864="SIM",2,0)+IF(OR(AN864="Dados pessoais",AN864="Dados sensíveis",AN864="Dados pessoais e sensíveis"),2,0)+IF(O864="De 1.001 a 10.000 titulares por mês",1,0)+IF(AA864="SIM",1,0)+IF(R864="SIM",1,0)+IF(AL864="SIM",1,0)+IF(AJ864="NÃO",1,0))&gt;=5,"SIM - Alta criticidade",IF((IF(I864="SIM",2,0)+IF(K864="SIM",2,0)+IF(AF864="SIM",2,0)+IF(OR(AN864="Dados pessoais",AN864="Dados sensíveis",AN864="Dados pessoais e sensíveis"),2,0)+IF(O864="De 1.001 a 10.000 titulares por mês",1,0)+IF(AA864="SIM",1,0)+IF(R864="SIM",1,0)+IF(AL864="SIM",1,0)+IF(AJ864="NÃO",1,0))&gt;=3,"Avaliação necessária","NÃO"))))</f>
      </c>
      <c r="AR864" s="11"/>
      <c r="AS864" s="113">
        <f>IF(AND(I864="",K864="",AF864="",AL864="",AN864="",O864=""),"",IF(OR(I864="SIM",K864="SIM",AF864="SIM",AL864="SIM",OR(AN864="Dados pessoais",AN864="Dados sensíveis",AN864="Dados pessoais e sensíveis"),O864="Acima de 10.000 titulares por mês",(IF(I864="SIM",2,0)+IF(K864="SIM",2,0)+IF(AF864="SIM",2,0)+IF(OR(AN864="Dados pessoais",AN864="Dados sensíveis",AN864="Dados pessoais e sensíveis"),2,0)+IF(O864="De 1.001 a 10.000 titulares por mês",1,0)+IF(AA864="SIM",1,0)+IF(R864="SIM",1,0)+IF(AL864="SIM",1,0)+IF(AJ864="NÃO",1,0))&gt;=3),"DPIA indicado ou em avaliação em razão de: " &amp; TRIM(IF(I864="SIM","tratamento de dados sensíveis; ","") &amp; IF(K864="SIM","utilização de dados de menores; ","") &amp; IF(AF864="SIM","transferência internacional de dados; ","") &amp; IF(AL864="SIM","utilização de inteligência artificial; ","") &amp; IF(OR(AN864="Dados pessoais",AN864="Dados sensíveis",AN864="Dados pessoais e sensíveis"),"dados inseridos em IA; ","") &amp; IF(O864="Acima de 10.000 titulares por mês","volume crítico de titulares; ","") &amp; IF(O864="De 1.001 a 10.000 titulares por mês","volume moderado de titulares; ","") &amp; IF(AA864="SIM","compartilhamento com terceiros; ","") &amp; IF(R864="SIM","compartilhamento com órgãos governamentais; ","") &amp; IF(AJ864="NÃO","ausência de controle de acesso por perfil; ","")),"DPIA não indicado: Processo de baixa criticidade."))</f>
      </c>
    </row>
    <row x14ac:dyDescent="0.25" r="865" customHeight="1" ht="15.75">
      <c r="A865" s="46"/>
      <c r="B865" s="6"/>
      <c r="C865" s="11"/>
      <c r="D865" s="11"/>
      <c r="E865" s="11"/>
      <c r="F865" s="29"/>
      <c r="G865" s="11"/>
      <c r="H865" s="11"/>
      <c r="I865" s="29"/>
      <c r="J865" s="11"/>
      <c r="K865" s="29"/>
      <c r="L865" s="11"/>
      <c r="M865" s="11"/>
      <c r="N865" s="11"/>
      <c r="O865" s="29"/>
      <c r="P865" s="29"/>
      <c r="Q865" s="11"/>
      <c r="R865" s="29"/>
      <c r="S865" s="11"/>
      <c r="T865" s="6"/>
      <c r="U865" s="29"/>
      <c r="V865" s="11"/>
      <c r="W865" s="11"/>
      <c r="X865" s="29"/>
      <c r="Y865" s="11"/>
      <c r="Z865" s="29"/>
      <c r="AA865" s="29"/>
      <c r="AB865" s="11"/>
      <c r="AC865" s="11"/>
      <c r="AD865" s="29"/>
      <c r="AE865" s="11"/>
      <c r="AF865" s="29"/>
      <c r="AG865" s="11"/>
      <c r="AH865" s="29"/>
      <c r="AI865" s="11"/>
      <c r="AJ865" s="29"/>
      <c r="AK865" s="29"/>
      <c r="AL865" s="29"/>
      <c r="AM865" s="11"/>
      <c r="AN865" s="29"/>
      <c r="AO865" s="29"/>
      <c r="AP865" s="6"/>
      <c r="AQ865" s="113">
        <f>IF(AND(I865="",K865="",AF865="",AL865="",AN865="",O865=""),"",IF(OR(I865="SIM",K865="SIM",AF865="SIM",AL865="SIM",AN865="Dados pessoais",AN865="Dados sensíveis",AN865="Dados pessoais e sensíveis",O865="Acima de 10.000 titulares por mês"),"SIM - Alta criticidade",IF((IF(I865="SIM",2,0)+IF(K865="SIM",2,0)+IF(AF865="SIM",2,0)+IF(OR(AN865="Dados pessoais",AN865="Dados sensíveis",AN865="Dados pessoais e sensíveis"),2,0)+IF(O865="De 1.001 a 10.000 titulares por mês",1,0)+IF(AA865="SIM",1,0)+IF(R865="SIM",1,0)+IF(AL865="SIM",1,0)+IF(AJ865="NÃO",1,0))&gt;=5,"SIM - Alta criticidade",IF((IF(I865="SIM",2,0)+IF(K865="SIM",2,0)+IF(AF865="SIM",2,0)+IF(OR(AN865="Dados pessoais",AN865="Dados sensíveis",AN865="Dados pessoais e sensíveis"),2,0)+IF(O865="De 1.001 a 10.000 titulares por mês",1,0)+IF(AA865="SIM",1,0)+IF(R865="SIM",1,0)+IF(AL865="SIM",1,0)+IF(AJ865="NÃO",1,0))&gt;=3,"Avaliação necessária","NÃO"))))</f>
      </c>
      <c r="AR865" s="11"/>
      <c r="AS865" s="113">
        <f>IF(AND(I865="",K865="",AF865="",AL865="",AN865="",O865=""),"",IF(OR(I865="SIM",K865="SIM",AF865="SIM",AL865="SIM",OR(AN865="Dados pessoais",AN865="Dados sensíveis",AN865="Dados pessoais e sensíveis"),O865="Acima de 10.000 titulares por mês",(IF(I865="SIM",2,0)+IF(K865="SIM",2,0)+IF(AF865="SIM",2,0)+IF(OR(AN865="Dados pessoais",AN865="Dados sensíveis",AN865="Dados pessoais e sensíveis"),2,0)+IF(O865="De 1.001 a 10.000 titulares por mês",1,0)+IF(AA865="SIM",1,0)+IF(R865="SIM",1,0)+IF(AL865="SIM",1,0)+IF(AJ865="NÃO",1,0))&gt;=3),"DPIA indicado ou em avaliação em razão de: " &amp; TRIM(IF(I865="SIM","tratamento de dados sensíveis; ","") &amp; IF(K865="SIM","utilização de dados de menores; ","") &amp; IF(AF865="SIM","transferência internacional de dados; ","") &amp; IF(AL865="SIM","utilização de inteligência artificial; ","") &amp; IF(OR(AN865="Dados pessoais",AN865="Dados sensíveis",AN865="Dados pessoais e sensíveis"),"dados inseridos em IA; ","") &amp; IF(O865="Acima de 10.000 titulares por mês","volume crítico de titulares; ","") &amp; IF(O865="De 1.001 a 10.000 titulares por mês","volume moderado de titulares; ","") &amp; IF(AA865="SIM","compartilhamento com terceiros; ","") &amp; IF(R865="SIM","compartilhamento com órgãos governamentais; ","") &amp; IF(AJ865="NÃO","ausência de controle de acesso por perfil; ","")),"DPIA não indicado: Processo de baixa criticidade."))</f>
      </c>
    </row>
    <row x14ac:dyDescent="0.25" r="866" customHeight="1" ht="15.75">
      <c r="A866" s="46"/>
      <c r="B866" s="6"/>
      <c r="C866" s="11"/>
      <c r="D866" s="11"/>
      <c r="E866" s="11"/>
      <c r="F866" s="29"/>
      <c r="G866" s="11"/>
      <c r="H866" s="11"/>
      <c r="I866" s="29"/>
      <c r="J866" s="11"/>
      <c r="K866" s="29"/>
      <c r="L866" s="11"/>
      <c r="M866" s="11"/>
      <c r="N866" s="11"/>
      <c r="O866" s="29"/>
      <c r="P866" s="29"/>
      <c r="Q866" s="11"/>
      <c r="R866" s="29"/>
      <c r="S866" s="11"/>
      <c r="T866" s="6"/>
      <c r="U866" s="29"/>
      <c r="V866" s="11"/>
      <c r="W866" s="11"/>
      <c r="X866" s="29"/>
      <c r="Y866" s="11"/>
      <c r="Z866" s="29"/>
      <c r="AA866" s="29"/>
      <c r="AB866" s="11"/>
      <c r="AC866" s="11"/>
      <c r="AD866" s="29"/>
      <c r="AE866" s="11"/>
      <c r="AF866" s="29"/>
      <c r="AG866" s="11"/>
      <c r="AH866" s="29"/>
      <c r="AI866" s="11"/>
      <c r="AJ866" s="29"/>
      <c r="AK866" s="29"/>
      <c r="AL866" s="29"/>
      <c r="AM866" s="11"/>
      <c r="AN866" s="29"/>
      <c r="AO866" s="29"/>
      <c r="AP866" s="6"/>
      <c r="AQ866" s="113">
        <f>IF(AND(I866="",K866="",AF866="",AL866="",AN866="",O866=""),"",IF(OR(I866="SIM",K866="SIM",AF866="SIM",AL866="SIM",AN866="Dados pessoais",AN866="Dados sensíveis",AN866="Dados pessoais e sensíveis",O866="Acima de 10.000 titulares por mês"),"SIM - Alta criticidade",IF((IF(I866="SIM",2,0)+IF(K866="SIM",2,0)+IF(AF866="SIM",2,0)+IF(OR(AN866="Dados pessoais",AN866="Dados sensíveis",AN866="Dados pessoais e sensíveis"),2,0)+IF(O866="De 1.001 a 10.000 titulares por mês",1,0)+IF(AA866="SIM",1,0)+IF(R866="SIM",1,0)+IF(AL866="SIM",1,0)+IF(AJ866="NÃO",1,0))&gt;=5,"SIM - Alta criticidade",IF((IF(I866="SIM",2,0)+IF(K866="SIM",2,0)+IF(AF866="SIM",2,0)+IF(OR(AN866="Dados pessoais",AN866="Dados sensíveis",AN866="Dados pessoais e sensíveis"),2,0)+IF(O866="De 1.001 a 10.000 titulares por mês",1,0)+IF(AA866="SIM",1,0)+IF(R866="SIM",1,0)+IF(AL866="SIM",1,0)+IF(AJ866="NÃO",1,0))&gt;=3,"Avaliação necessária","NÃO"))))</f>
      </c>
      <c r="AR866" s="11"/>
      <c r="AS866" s="113">
        <f>IF(AND(I866="",K866="",AF866="",AL866="",AN866="",O866=""),"",IF(OR(I866="SIM",K866="SIM",AF866="SIM",AL866="SIM",OR(AN866="Dados pessoais",AN866="Dados sensíveis",AN866="Dados pessoais e sensíveis"),O866="Acima de 10.000 titulares por mês",(IF(I866="SIM",2,0)+IF(K866="SIM",2,0)+IF(AF866="SIM",2,0)+IF(OR(AN866="Dados pessoais",AN866="Dados sensíveis",AN866="Dados pessoais e sensíveis"),2,0)+IF(O866="De 1.001 a 10.000 titulares por mês",1,0)+IF(AA866="SIM",1,0)+IF(R866="SIM",1,0)+IF(AL866="SIM",1,0)+IF(AJ866="NÃO",1,0))&gt;=3),"DPIA indicado ou em avaliação em razão de: " &amp; TRIM(IF(I866="SIM","tratamento de dados sensíveis; ","") &amp; IF(K866="SIM","utilização de dados de menores; ","") &amp; IF(AF866="SIM","transferência internacional de dados; ","") &amp; IF(AL866="SIM","utilização de inteligência artificial; ","") &amp; IF(OR(AN866="Dados pessoais",AN866="Dados sensíveis",AN866="Dados pessoais e sensíveis"),"dados inseridos em IA; ","") &amp; IF(O866="Acima de 10.000 titulares por mês","volume crítico de titulares; ","") &amp; IF(O866="De 1.001 a 10.000 titulares por mês","volume moderado de titulares; ","") &amp; IF(AA866="SIM","compartilhamento com terceiros; ","") &amp; IF(R866="SIM","compartilhamento com órgãos governamentais; ","") &amp; IF(AJ866="NÃO","ausência de controle de acesso por perfil; ","")),"DPIA não indicado: Processo de baixa criticidade."))</f>
      </c>
    </row>
    <row x14ac:dyDescent="0.25" r="867" customHeight="1" ht="15.75">
      <c r="A867" s="46"/>
      <c r="B867" s="6"/>
      <c r="C867" s="11"/>
      <c r="D867" s="11"/>
      <c r="E867" s="11"/>
      <c r="F867" s="29"/>
      <c r="G867" s="11"/>
      <c r="H867" s="11"/>
      <c r="I867" s="29"/>
      <c r="J867" s="11"/>
      <c r="K867" s="29"/>
      <c r="L867" s="11"/>
      <c r="M867" s="11"/>
      <c r="N867" s="11"/>
      <c r="O867" s="29"/>
      <c r="P867" s="29"/>
      <c r="Q867" s="11"/>
      <c r="R867" s="29"/>
      <c r="S867" s="11"/>
      <c r="T867" s="6"/>
      <c r="U867" s="29"/>
      <c r="V867" s="11"/>
      <c r="W867" s="11"/>
      <c r="X867" s="29"/>
      <c r="Y867" s="11"/>
      <c r="Z867" s="29"/>
      <c r="AA867" s="29"/>
      <c r="AB867" s="11"/>
      <c r="AC867" s="11"/>
      <c r="AD867" s="29"/>
      <c r="AE867" s="11"/>
      <c r="AF867" s="29"/>
      <c r="AG867" s="11"/>
      <c r="AH867" s="29"/>
      <c r="AI867" s="11"/>
      <c r="AJ867" s="29"/>
      <c r="AK867" s="29"/>
      <c r="AL867" s="29"/>
      <c r="AM867" s="11"/>
      <c r="AN867" s="29"/>
      <c r="AO867" s="29"/>
      <c r="AP867" s="6"/>
      <c r="AQ867" s="113">
        <f>IF(AND(I867="",K867="",AF867="",AL867="",AN867="",O867=""),"",IF(OR(I867="SIM",K867="SIM",AF867="SIM",AL867="SIM",AN867="Dados pessoais",AN867="Dados sensíveis",AN867="Dados pessoais e sensíveis",O867="Acima de 10.000 titulares por mês"),"SIM - Alta criticidade",IF((IF(I867="SIM",2,0)+IF(K867="SIM",2,0)+IF(AF867="SIM",2,0)+IF(OR(AN867="Dados pessoais",AN867="Dados sensíveis",AN867="Dados pessoais e sensíveis"),2,0)+IF(O867="De 1.001 a 10.000 titulares por mês",1,0)+IF(AA867="SIM",1,0)+IF(R867="SIM",1,0)+IF(AL867="SIM",1,0)+IF(AJ867="NÃO",1,0))&gt;=5,"SIM - Alta criticidade",IF((IF(I867="SIM",2,0)+IF(K867="SIM",2,0)+IF(AF867="SIM",2,0)+IF(OR(AN867="Dados pessoais",AN867="Dados sensíveis",AN867="Dados pessoais e sensíveis"),2,0)+IF(O867="De 1.001 a 10.000 titulares por mês",1,0)+IF(AA867="SIM",1,0)+IF(R867="SIM",1,0)+IF(AL867="SIM",1,0)+IF(AJ867="NÃO",1,0))&gt;=3,"Avaliação necessária","NÃO"))))</f>
      </c>
      <c r="AR867" s="11"/>
      <c r="AS867" s="113">
        <f>IF(AND(I867="",K867="",AF867="",AL867="",AN867="",O867=""),"",IF(OR(I867="SIM",K867="SIM",AF867="SIM",AL867="SIM",OR(AN867="Dados pessoais",AN867="Dados sensíveis",AN867="Dados pessoais e sensíveis"),O867="Acima de 10.000 titulares por mês",(IF(I867="SIM",2,0)+IF(K867="SIM",2,0)+IF(AF867="SIM",2,0)+IF(OR(AN867="Dados pessoais",AN867="Dados sensíveis",AN867="Dados pessoais e sensíveis"),2,0)+IF(O867="De 1.001 a 10.000 titulares por mês",1,0)+IF(AA867="SIM",1,0)+IF(R867="SIM",1,0)+IF(AL867="SIM",1,0)+IF(AJ867="NÃO",1,0))&gt;=3),"DPIA indicado ou em avaliação em razão de: " &amp; TRIM(IF(I867="SIM","tratamento de dados sensíveis; ","") &amp; IF(K867="SIM","utilização de dados de menores; ","") &amp; IF(AF867="SIM","transferência internacional de dados; ","") &amp; IF(AL867="SIM","utilização de inteligência artificial; ","") &amp; IF(OR(AN867="Dados pessoais",AN867="Dados sensíveis",AN867="Dados pessoais e sensíveis"),"dados inseridos em IA; ","") &amp; IF(O867="Acima de 10.000 titulares por mês","volume crítico de titulares; ","") &amp; IF(O867="De 1.001 a 10.000 titulares por mês","volume moderado de titulares; ","") &amp; IF(AA867="SIM","compartilhamento com terceiros; ","") &amp; IF(R867="SIM","compartilhamento com órgãos governamentais; ","") &amp; IF(AJ867="NÃO","ausência de controle de acesso por perfil; ","")),"DPIA não indicado: Processo de baixa criticidade."))</f>
      </c>
    </row>
    <row x14ac:dyDescent="0.25" r="868" customHeight="1" ht="15.75">
      <c r="A868" s="46"/>
      <c r="B868" s="6"/>
      <c r="C868" s="11"/>
      <c r="D868" s="11"/>
      <c r="E868" s="11"/>
      <c r="F868" s="29"/>
      <c r="G868" s="11"/>
      <c r="H868" s="11"/>
      <c r="I868" s="29"/>
      <c r="J868" s="11"/>
      <c r="K868" s="29"/>
      <c r="L868" s="11"/>
      <c r="M868" s="11"/>
      <c r="N868" s="11"/>
      <c r="O868" s="29"/>
      <c r="P868" s="29"/>
      <c r="Q868" s="11"/>
      <c r="R868" s="29"/>
      <c r="S868" s="11"/>
      <c r="T868" s="6"/>
      <c r="U868" s="29"/>
      <c r="V868" s="11"/>
      <c r="W868" s="11"/>
      <c r="X868" s="29"/>
      <c r="Y868" s="11"/>
      <c r="Z868" s="29"/>
      <c r="AA868" s="29"/>
      <c r="AB868" s="11"/>
      <c r="AC868" s="11"/>
      <c r="AD868" s="29"/>
      <c r="AE868" s="11"/>
      <c r="AF868" s="29"/>
      <c r="AG868" s="11"/>
      <c r="AH868" s="29"/>
      <c r="AI868" s="11"/>
      <c r="AJ868" s="29"/>
      <c r="AK868" s="29"/>
      <c r="AL868" s="29"/>
      <c r="AM868" s="11"/>
      <c r="AN868" s="29"/>
      <c r="AO868" s="29"/>
      <c r="AP868" s="6"/>
      <c r="AQ868" s="113">
        <f>IF(AND(I868="",K868="",AF868="",AL868="",AN868="",O868=""),"",IF(OR(I868="SIM",K868="SIM",AF868="SIM",AL868="SIM",AN868="Dados pessoais",AN868="Dados sensíveis",AN868="Dados pessoais e sensíveis",O868="Acima de 10.000 titulares por mês"),"SIM - Alta criticidade",IF((IF(I868="SIM",2,0)+IF(K868="SIM",2,0)+IF(AF868="SIM",2,0)+IF(OR(AN868="Dados pessoais",AN868="Dados sensíveis",AN868="Dados pessoais e sensíveis"),2,0)+IF(O868="De 1.001 a 10.000 titulares por mês",1,0)+IF(AA868="SIM",1,0)+IF(R868="SIM",1,0)+IF(AL868="SIM",1,0)+IF(AJ868="NÃO",1,0))&gt;=5,"SIM - Alta criticidade",IF((IF(I868="SIM",2,0)+IF(K868="SIM",2,0)+IF(AF868="SIM",2,0)+IF(OR(AN868="Dados pessoais",AN868="Dados sensíveis",AN868="Dados pessoais e sensíveis"),2,0)+IF(O868="De 1.001 a 10.000 titulares por mês",1,0)+IF(AA868="SIM",1,0)+IF(R868="SIM",1,0)+IF(AL868="SIM",1,0)+IF(AJ868="NÃO",1,0))&gt;=3,"Avaliação necessária","NÃO"))))</f>
      </c>
      <c r="AR868" s="11"/>
      <c r="AS868" s="113">
        <f>IF(AND(I868="",K868="",AF868="",AL868="",AN868="",O868=""),"",IF(OR(I868="SIM",K868="SIM",AF868="SIM",AL868="SIM",OR(AN868="Dados pessoais",AN868="Dados sensíveis",AN868="Dados pessoais e sensíveis"),O868="Acima de 10.000 titulares por mês",(IF(I868="SIM",2,0)+IF(K868="SIM",2,0)+IF(AF868="SIM",2,0)+IF(OR(AN868="Dados pessoais",AN868="Dados sensíveis",AN868="Dados pessoais e sensíveis"),2,0)+IF(O868="De 1.001 a 10.000 titulares por mês",1,0)+IF(AA868="SIM",1,0)+IF(R868="SIM",1,0)+IF(AL868="SIM",1,0)+IF(AJ868="NÃO",1,0))&gt;=3),"DPIA indicado ou em avaliação em razão de: " &amp; TRIM(IF(I868="SIM","tratamento de dados sensíveis; ","") &amp; IF(K868="SIM","utilização de dados de menores; ","") &amp; IF(AF868="SIM","transferência internacional de dados; ","") &amp; IF(AL868="SIM","utilização de inteligência artificial; ","") &amp; IF(OR(AN868="Dados pessoais",AN868="Dados sensíveis",AN868="Dados pessoais e sensíveis"),"dados inseridos em IA; ","") &amp; IF(O868="Acima de 10.000 titulares por mês","volume crítico de titulares; ","") &amp; IF(O868="De 1.001 a 10.000 titulares por mês","volume moderado de titulares; ","") &amp; IF(AA868="SIM","compartilhamento com terceiros; ","") &amp; IF(R868="SIM","compartilhamento com órgãos governamentais; ","") &amp; IF(AJ868="NÃO","ausência de controle de acesso por perfil; ","")),"DPIA não indicado: Processo de baixa criticidade."))</f>
      </c>
    </row>
    <row x14ac:dyDescent="0.25" r="869" customHeight="1" ht="15.75">
      <c r="A869" s="46"/>
      <c r="B869" s="6"/>
      <c r="C869" s="11"/>
      <c r="D869" s="11"/>
      <c r="E869" s="11"/>
      <c r="F869" s="29"/>
      <c r="G869" s="11"/>
      <c r="H869" s="11"/>
      <c r="I869" s="29"/>
      <c r="J869" s="11"/>
      <c r="K869" s="29"/>
      <c r="L869" s="11"/>
      <c r="M869" s="11"/>
      <c r="N869" s="11"/>
      <c r="O869" s="29"/>
      <c r="P869" s="29"/>
      <c r="Q869" s="11"/>
      <c r="R869" s="29"/>
      <c r="S869" s="11"/>
      <c r="T869" s="6"/>
      <c r="U869" s="29"/>
      <c r="V869" s="11"/>
      <c r="W869" s="11"/>
      <c r="X869" s="29"/>
      <c r="Y869" s="11"/>
      <c r="Z869" s="29"/>
      <c r="AA869" s="29"/>
      <c r="AB869" s="11"/>
      <c r="AC869" s="11"/>
      <c r="AD869" s="29"/>
      <c r="AE869" s="11"/>
      <c r="AF869" s="29"/>
      <c r="AG869" s="11"/>
      <c r="AH869" s="29"/>
      <c r="AI869" s="11"/>
      <c r="AJ869" s="29"/>
      <c r="AK869" s="29"/>
      <c r="AL869" s="29"/>
      <c r="AM869" s="11"/>
      <c r="AN869" s="29"/>
      <c r="AO869" s="29"/>
      <c r="AP869" s="6"/>
      <c r="AQ869" s="113">
        <f>IF(AND(I869="",K869="",AF869="",AL869="",AN869="",O869=""),"",IF(OR(I869="SIM",K869="SIM",AF869="SIM",AL869="SIM",AN869="Dados pessoais",AN869="Dados sensíveis",AN869="Dados pessoais e sensíveis",O869="Acima de 10.000 titulares por mês"),"SIM - Alta criticidade",IF((IF(I869="SIM",2,0)+IF(K869="SIM",2,0)+IF(AF869="SIM",2,0)+IF(OR(AN869="Dados pessoais",AN869="Dados sensíveis",AN869="Dados pessoais e sensíveis"),2,0)+IF(O869="De 1.001 a 10.000 titulares por mês",1,0)+IF(AA869="SIM",1,0)+IF(R869="SIM",1,0)+IF(AL869="SIM",1,0)+IF(AJ869="NÃO",1,0))&gt;=5,"SIM - Alta criticidade",IF((IF(I869="SIM",2,0)+IF(K869="SIM",2,0)+IF(AF869="SIM",2,0)+IF(OR(AN869="Dados pessoais",AN869="Dados sensíveis",AN869="Dados pessoais e sensíveis"),2,0)+IF(O869="De 1.001 a 10.000 titulares por mês",1,0)+IF(AA869="SIM",1,0)+IF(R869="SIM",1,0)+IF(AL869="SIM",1,0)+IF(AJ869="NÃO",1,0))&gt;=3,"Avaliação necessária","NÃO"))))</f>
      </c>
      <c r="AR869" s="11"/>
      <c r="AS869" s="113">
        <f>IF(AND(I869="",K869="",AF869="",AL869="",AN869="",O869=""),"",IF(OR(I869="SIM",K869="SIM",AF869="SIM",AL869="SIM",OR(AN869="Dados pessoais",AN869="Dados sensíveis",AN869="Dados pessoais e sensíveis"),O869="Acima de 10.000 titulares por mês",(IF(I869="SIM",2,0)+IF(K869="SIM",2,0)+IF(AF869="SIM",2,0)+IF(OR(AN869="Dados pessoais",AN869="Dados sensíveis",AN869="Dados pessoais e sensíveis"),2,0)+IF(O869="De 1.001 a 10.000 titulares por mês",1,0)+IF(AA869="SIM",1,0)+IF(R869="SIM",1,0)+IF(AL869="SIM",1,0)+IF(AJ869="NÃO",1,0))&gt;=3),"DPIA indicado ou em avaliação em razão de: " &amp; TRIM(IF(I869="SIM","tratamento de dados sensíveis; ","") &amp; IF(K869="SIM","utilização de dados de menores; ","") &amp; IF(AF869="SIM","transferência internacional de dados; ","") &amp; IF(AL869="SIM","utilização de inteligência artificial; ","") &amp; IF(OR(AN869="Dados pessoais",AN869="Dados sensíveis",AN869="Dados pessoais e sensíveis"),"dados inseridos em IA; ","") &amp; IF(O869="Acima de 10.000 titulares por mês","volume crítico de titulares; ","") &amp; IF(O869="De 1.001 a 10.000 titulares por mês","volume moderado de titulares; ","") &amp; IF(AA869="SIM","compartilhamento com terceiros; ","") &amp; IF(R869="SIM","compartilhamento com órgãos governamentais; ","") &amp; IF(AJ869="NÃO","ausência de controle de acesso por perfil; ","")),"DPIA não indicado: Processo de baixa criticidade."))</f>
      </c>
    </row>
    <row x14ac:dyDescent="0.25" r="870" customHeight="1" ht="15.75">
      <c r="A870" s="46"/>
      <c r="B870" s="6"/>
      <c r="C870" s="11"/>
      <c r="D870" s="11"/>
      <c r="E870" s="11"/>
      <c r="F870" s="29"/>
      <c r="G870" s="11"/>
      <c r="H870" s="11"/>
      <c r="I870" s="29"/>
      <c r="J870" s="11"/>
      <c r="K870" s="29"/>
      <c r="L870" s="11"/>
      <c r="M870" s="11"/>
      <c r="N870" s="11"/>
      <c r="O870" s="29"/>
      <c r="P870" s="29"/>
      <c r="Q870" s="11"/>
      <c r="R870" s="29"/>
      <c r="S870" s="11"/>
      <c r="T870" s="6"/>
      <c r="U870" s="29"/>
      <c r="V870" s="11"/>
      <c r="W870" s="11"/>
      <c r="X870" s="29"/>
      <c r="Y870" s="11"/>
      <c r="Z870" s="29"/>
      <c r="AA870" s="29"/>
      <c r="AB870" s="11"/>
      <c r="AC870" s="11"/>
      <c r="AD870" s="29"/>
      <c r="AE870" s="11"/>
      <c r="AF870" s="29"/>
      <c r="AG870" s="11"/>
      <c r="AH870" s="29"/>
      <c r="AI870" s="11"/>
      <c r="AJ870" s="29"/>
      <c r="AK870" s="29"/>
      <c r="AL870" s="29"/>
      <c r="AM870" s="11"/>
      <c r="AN870" s="29"/>
      <c r="AO870" s="29"/>
      <c r="AP870" s="6"/>
      <c r="AQ870" s="113">
        <f>IF(AND(I870="",K870="",AF870="",AL870="",AN870="",O870=""),"",IF(OR(I870="SIM",K870="SIM",AF870="SIM",AL870="SIM",AN870="Dados pessoais",AN870="Dados sensíveis",AN870="Dados pessoais e sensíveis",O870="Acima de 10.000 titulares por mês"),"SIM - Alta criticidade",IF((IF(I870="SIM",2,0)+IF(K870="SIM",2,0)+IF(AF870="SIM",2,0)+IF(OR(AN870="Dados pessoais",AN870="Dados sensíveis",AN870="Dados pessoais e sensíveis"),2,0)+IF(O870="De 1.001 a 10.000 titulares por mês",1,0)+IF(AA870="SIM",1,0)+IF(R870="SIM",1,0)+IF(AL870="SIM",1,0)+IF(AJ870="NÃO",1,0))&gt;=5,"SIM - Alta criticidade",IF((IF(I870="SIM",2,0)+IF(K870="SIM",2,0)+IF(AF870="SIM",2,0)+IF(OR(AN870="Dados pessoais",AN870="Dados sensíveis",AN870="Dados pessoais e sensíveis"),2,0)+IF(O870="De 1.001 a 10.000 titulares por mês",1,0)+IF(AA870="SIM",1,0)+IF(R870="SIM",1,0)+IF(AL870="SIM",1,0)+IF(AJ870="NÃO",1,0))&gt;=3,"Avaliação necessária","NÃO"))))</f>
      </c>
      <c r="AR870" s="11"/>
      <c r="AS870" s="113">
        <f>IF(AND(I870="",K870="",AF870="",AL870="",AN870="",O870=""),"",IF(OR(I870="SIM",K870="SIM",AF870="SIM",AL870="SIM",OR(AN870="Dados pessoais",AN870="Dados sensíveis",AN870="Dados pessoais e sensíveis"),O870="Acima de 10.000 titulares por mês",(IF(I870="SIM",2,0)+IF(K870="SIM",2,0)+IF(AF870="SIM",2,0)+IF(OR(AN870="Dados pessoais",AN870="Dados sensíveis",AN870="Dados pessoais e sensíveis"),2,0)+IF(O870="De 1.001 a 10.000 titulares por mês",1,0)+IF(AA870="SIM",1,0)+IF(R870="SIM",1,0)+IF(AL870="SIM",1,0)+IF(AJ870="NÃO",1,0))&gt;=3),"DPIA indicado ou em avaliação em razão de: " &amp; TRIM(IF(I870="SIM","tratamento de dados sensíveis; ","") &amp; IF(K870="SIM","utilização de dados de menores; ","") &amp; IF(AF870="SIM","transferência internacional de dados; ","") &amp; IF(AL870="SIM","utilização de inteligência artificial; ","") &amp; IF(OR(AN870="Dados pessoais",AN870="Dados sensíveis",AN870="Dados pessoais e sensíveis"),"dados inseridos em IA; ","") &amp; IF(O870="Acima de 10.000 titulares por mês","volume crítico de titulares; ","") &amp; IF(O870="De 1.001 a 10.000 titulares por mês","volume moderado de titulares; ","") &amp; IF(AA870="SIM","compartilhamento com terceiros; ","") &amp; IF(R870="SIM","compartilhamento com órgãos governamentais; ","") &amp; IF(AJ870="NÃO","ausência de controle de acesso por perfil; ","")),"DPIA não indicado: Processo de baixa criticidade."))</f>
      </c>
    </row>
    <row x14ac:dyDescent="0.25" r="871" customHeight="1" ht="15.75">
      <c r="A871" s="46"/>
      <c r="B871" s="6"/>
      <c r="C871" s="11"/>
      <c r="D871" s="11"/>
      <c r="E871" s="11"/>
      <c r="F871" s="29"/>
      <c r="G871" s="11"/>
      <c r="H871" s="11"/>
      <c r="I871" s="29"/>
      <c r="J871" s="11"/>
      <c r="K871" s="29"/>
      <c r="L871" s="11"/>
      <c r="M871" s="11"/>
      <c r="N871" s="11"/>
      <c r="O871" s="29"/>
      <c r="P871" s="29"/>
      <c r="Q871" s="11"/>
      <c r="R871" s="29"/>
      <c r="S871" s="11"/>
      <c r="T871" s="6"/>
      <c r="U871" s="29"/>
      <c r="V871" s="11"/>
      <c r="W871" s="11"/>
      <c r="X871" s="29"/>
      <c r="Y871" s="11"/>
      <c r="Z871" s="29"/>
      <c r="AA871" s="29"/>
      <c r="AB871" s="11"/>
      <c r="AC871" s="11"/>
      <c r="AD871" s="29"/>
      <c r="AE871" s="11"/>
      <c r="AF871" s="29"/>
      <c r="AG871" s="11"/>
      <c r="AH871" s="29"/>
      <c r="AI871" s="11"/>
      <c r="AJ871" s="29"/>
      <c r="AK871" s="29"/>
      <c r="AL871" s="29"/>
      <c r="AM871" s="11"/>
      <c r="AN871" s="29"/>
      <c r="AO871" s="29"/>
      <c r="AP871" s="6"/>
      <c r="AQ871" s="113">
        <f>IF(AND(I871="",K871="",AF871="",AL871="",AN871="",O871=""),"",IF(OR(I871="SIM",K871="SIM",AF871="SIM",AL871="SIM",AN871="Dados pessoais",AN871="Dados sensíveis",AN871="Dados pessoais e sensíveis",O871="Acima de 10.000 titulares por mês"),"SIM - Alta criticidade",IF((IF(I871="SIM",2,0)+IF(K871="SIM",2,0)+IF(AF871="SIM",2,0)+IF(OR(AN871="Dados pessoais",AN871="Dados sensíveis",AN871="Dados pessoais e sensíveis"),2,0)+IF(O871="De 1.001 a 10.000 titulares por mês",1,0)+IF(AA871="SIM",1,0)+IF(R871="SIM",1,0)+IF(AL871="SIM",1,0)+IF(AJ871="NÃO",1,0))&gt;=5,"SIM - Alta criticidade",IF((IF(I871="SIM",2,0)+IF(K871="SIM",2,0)+IF(AF871="SIM",2,0)+IF(OR(AN871="Dados pessoais",AN871="Dados sensíveis",AN871="Dados pessoais e sensíveis"),2,0)+IF(O871="De 1.001 a 10.000 titulares por mês",1,0)+IF(AA871="SIM",1,0)+IF(R871="SIM",1,0)+IF(AL871="SIM",1,0)+IF(AJ871="NÃO",1,0))&gt;=3,"Avaliação necessária","NÃO"))))</f>
      </c>
      <c r="AR871" s="11"/>
      <c r="AS871" s="113">
        <f>IF(AND(I871="",K871="",AF871="",AL871="",AN871="",O871=""),"",IF(OR(I871="SIM",K871="SIM",AF871="SIM",AL871="SIM",OR(AN871="Dados pessoais",AN871="Dados sensíveis",AN871="Dados pessoais e sensíveis"),O871="Acima de 10.000 titulares por mês",(IF(I871="SIM",2,0)+IF(K871="SIM",2,0)+IF(AF871="SIM",2,0)+IF(OR(AN871="Dados pessoais",AN871="Dados sensíveis",AN871="Dados pessoais e sensíveis"),2,0)+IF(O871="De 1.001 a 10.000 titulares por mês",1,0)+IF(AA871="SIM",1,0)+IF(R871="SIM",1,0)+IF(AL871="SIM",1,0)+IF(AJ871="NÃO",1,0))&gt;=3),"DPIA indicado ou em avaliação em razão de: " &amp; TRIM(IF(I871="SIM","tratamento de dados sensíveis; ","") &amp; IF(K871="SIM","utilização de dados de menores; ","") &amp; IF(AF871="SIM","transferência internacional de dados; ","") &amp; IF(AL871="SIM","utilização de inteligência artificial; ","") &amp; IF(OR(AN871="Dados pessoais",AN871="Dados sensíveis",AN871="Dados pessoais e sensíveis"),"dados inseridos em IA; ","") &amp; IF(O871="Acima de 10.000 titulares por mês","volume crítico de titulares; ","") &amp; IF(O871="De 1.001 a 10.000 titulares por mês","volume moderado de titulares; ","") &amp; IF(AA871="SIM","compartilhamento com terceiros; ","") &amp; IF(R871="SIM","compartilhamento com órgãos governamentais; ","") &amp; IF(AJ871="NÃO","ausência de controle de acesso por perfil; ","")),"DPIA não indicado: Processo de baixa criticidade."))</f>
      </c>
    </row>
    <row x14ac:dyDescent="0.25" r="872" customHeight="1" ht="15.75">
      <c r="A872" s="46"/>
      <c r="B872" s="6"/>
      <c r="C872" s="11"/>
      <c r="D872" s="11"/>
      <c r="E872" s="11"/>
      <c r="F872" s="29"/>
      <c r="G872" s="11"/>
      <c r="H872" s="11"/>
      <c r="I872" s="29"/>
      <c r="J872" s="11"/>
      <c r="K872" s="29"/>
      <c r="L872" s="11"/>
      <c r="M872" s="11"/>
      <c r="N872" s="11"/>
      <c r="O872" s="29"/>
      <c r="P872" s="29"/>
      <c r="Q872" s="11"/>
      <c r="R872" s="29"/>
      <c r="S872" s="11"/>
      <c r="T872" s="6"/>
      <c r="U872" s="29"/>
      <c r="V872" s="11"/>
      <c r="W872" s="11"/>
      <c r="X872" s="29"/>
      <c r="Y872" s="11"/>
      <c r="Z872" s="29"/>
      <c r="AA872" s="29"/>
      <c r="AB872" s="11"/>
      <c r="AC872" s="11"/>
      <c r="AD872" s="29"/>
      <c r="AE872" s="11"/>
      <c r="AF872" s="29"/>
      <c r="AG872" s="11"/>
      <c r="AH872" s="29"/>
      <c r="AI872" s="11"/>
      <c r="AJ872" s="29"/>
      <c r="AK872" s="29"/>
      <c r="AL872" s="29"/>
      <c r="AM872" s="11"/>
      <c r="AN872" s="29"/>
      <c r="AO872" s="29"/>
      <c r="AP872" s="6"/>
      <c r="AQ872" s="113">
        <f>IF(AND(I872="",K872="",AF872="",AL872="",AN872="",O872=""),"",IF(OR(I872="SIM",K872="SIM",AF872="SIM",AL872="SIM",AN872="Dados pessoais",AN872="Dados sensíveis",AN872="Dados pessoais e sensíveis",O872="Acima de 10.000 titulares por mês"),"SIM - Alta criticidade",IF((IF(I872="SIM",2,0)+IF(K872="SIM",2,0)+IF(AF872="SIM",2,0)+IF(OR(AN872="Dados pessoais",AN872="Dados sensíveis",AN872="Dados pessoais e sensíveis"),2,0)+IF(O872="De 1.001 a 10.000 titulares por mês",1,0)+IF(AA872="SIM",1,0)+IF(R872="SIM",1,0)+IF(AL872="SIM",1,0)+IF(AJ872="NÃO",1,0))&gt;=5,"SIM - Alta criticidade",IF((IF(I872="SIM",2,0)+IF(K872="SIM",2,0)+IF(AF872="SIM",2,0)+IF(OR(AN872="Dados pessoais",AN872="Dados sensíveis",AN872="Dados pessoais e sensíveis"),2,0)+IF(O872="De 1.001 a 10.000 titulares por mês",1,0)+IF(AA872="SIM",1,0)+IF(R872="SIM",1,0)+IF(AL872="SIM",1,0)+IF(AJ872="NÃO",1,0))&gt;=3,"Avaliação necessária","NÃO"))))</f>
      </c>
      <c r="AR872" s="11"/>
      <c r="AS872" s="113">
        <f>IF(AND(I872="",K872="",AF872="",AL872="",AN872="",O872=""),"",IF(OR(I872="SIM",K872="SIM",AF872="SIM",AL872="SIM",OR(AN872="Dados pessoais",AN872="Dados sensíveis",AN872="Dados pessoais e sensíveis"),O872="Acima de 10.000 titulares por mês",(IF(I872="SIM",2,0)+IF(K872="SIM",2,0)+IF(AF872="SIM",2,0)+IF(OR(AN872="Dados pessoais",AN872="Dados sensíveis",AN872="Dados pessoais e sensíveis"),2,0)+IF(O872="De 1.001 a 10.000 titulares por mês",1,0)+IF(AA872="SIM",1,0)+IF(R872="SIM",1,0)+IF(AL872="SIM",1,0)+IF(AJ872="NÃO",1,0))&gt;=3),"DPIA indicado ou em avaliação em razão de: " &amp; TRIM(IF(I872="SIM","tratamento de dados sensíveis; ","") &amp; IF(K872="SIM","utilização de dados de menores; ","") &amp; IF(AF872="SIM","transferência internacional de dados; ","") &amp; IF(AL872="SIM","utilização de inteligência artificial; ","") &amp; IF(OR(AN872="Dados pessoais",AN872="Dados sensíveis",AN872="Dados pessoais e sensíveis"),"dados inseridos em IA; ","") &amp; IF(O872="Acima de 10.000 titulares por mês","volume crítico de titulares; ","") &amp; IF(O872="De 1.001 a 10.000 titulares por mês","volume moderado de titulares; ","") &amp; IF(AA872="SIM","compartilhamento com terceiros; ","") &amp; IF(R872="SIM","compartilhamento com órgãos governamentais; ","") &amp; IF(AJ872="NÃO","ausência de controle de acesso por perfil; ","")),"DPIA não indicado: Processo de baixa criticidade."))</f>
      </c>
    </row>
    <row x14ac:dyDescent="0.25" r="873" customHeight="1" ht="15.75">
      <c r="A873" s="46"/>
      <c r="B873" s="6"/>
      <c r="C873" s="11"/>
      <c r="D873" s="11"/>
      <c r="E873" s="11"/>
      <c r="F873" s="29"/>
      <c r="G873" s="11"/>
      <c r="H873" s="11"/>
      <c r="I873" s="29"/>
      <c r="J873" s="11"/>
      <c r="K873" s="29"/>
      <c r="L873" s="11"/>
      <c r="M873" s="11"/>
      <c r="N873" s="11"/>
      <c r="O873" s="29"/>
      <c r="P873" s="29"/>
      <c r="Q873" s="11"/>
      <c r="R873" s="29"/>
      <c r="S873" s="11"/>
      <c r="T873" s="6"/>
      <c r="U873" s="29"/>
      <c r="V873" s="11"/>
      <c r="W873" s="11"/>
      <c r="X873" s="29"/>
      <c r="Y873" s="11"/>
      <c r="Z873" s="29"/>
      <c r="AA873" s="29"/>
      <c r="AB873" s="11"/>
      <c r="AC873" s="11"/>
      <c r="AD873" s="29"/>
      <c r="AE873" s="11"/>
      <c r="AF873" s="29"/>
      <c r="AG873" s="11"/>
      <c r="AH873" s="29"/>
      <c r="AI873" s="11"/>
      <c r="AJ873" s="29"/>
      <c r="AK873" s="29"/>
      <c r="AL873" s="29"/>
      <c r="AM873" s="11"/>
      <c r="AN873" s="29"/>
      <c r="AO873" s="29"/>
      <c r="AP873" s="6"/>
      <c r="AQ873" s="113">
        <f>IF(AND(I873="",K873="",AF873="",AL873="",AN873="",O873=""),"",IF(OR(I873="SIM",K873="SIM",AF873="SIM",AL873="SIM",AN873="Dados pessoais",AN873="Dados sensíveis",AN873="Dados pessoais e sensíveis",O873="Acima de 10.000 titulares por mês"),"SIM - Alta criticidade",IF((IF(I873="SIM",2,0)+IF(K873="SIM",2,0)+IF(AF873="SIM",2,0)+IF(OR(AN873="Dados pessoais",AN873="Dados sensíveis",AN873="Dados pessoais e sensíveis"),2,0)+IF(O873="De 1.001 a 10.000 titulares por mês",1,0)+IF(AA873="SIM",1,0)+IF(R873="SIM",1,0)+IF(AL873="SIM",1,0)+IF(AJ873="NÃO",1,0))&gt;=5,"SIM - Alta criticidade",IF((IF(I873="SIM",2,0)+IF(K873="SIM",2,0)+IF(AF873="SIM",2,0)+IF(OR(AN873="Dados pessoais",AN873="Dados sensíveis",AN873="Dados pessoais e sensíveis"),2,0)+IF(O873="De 1.001 a 10.000 titulares por mês",1,0)+IF(AA873="SIM",1,0)+IF(R873="SIM",1,0)+IF(AL873="SIM",1,0)+IF(AJ873="NÃO",1,0))&gt;=3,"Avaliação necessária","NÃO"))))</f>
      </c>
      <c r="AR873" s="11"/>
      <c r="AS873" s="113">
        <f>IF(AND(I873="",K873="",AF873="",AL873="",AN873="",O873=""),"",IF(OR(I873="SIM",K873="SIM",AF873="SIM",AL873="SIM",OR(AN873="Dados pessoais",AN873="Dados sensíveis",AN873="Dados pessoais e sensíveis"),O873="Acima de 10.000 titulares por mês",(IF(I873="SIM",2,0)+IF(K873="SIM",2,0)+IF(AF873="SIM",2,0)+IF(OR(AN873="Dados pessoais",AN873="Dados sensíveis",AN873="Dados pessoais e sensíveis"),2,0)+IF(O873="De 1.001 a 10.000 titulares por mês",1,0)+IF(AA873="SIM",1,0)+IF(R873="SIM",1,0)+IF(AL873="SIM",1,0)+IF(AJ873="NÃO",1,0))&gt;=3),"DPIA indicado ou em avaliação em razão de: " &amp; TRIM(IF(I873="SIM","tratamento de dados sensíveis; ","") &amp; IF(K873="SIM","utilização de dados de menores; ","") &amp; IF(AF873="SIM","transferência internacional de dados; ","") &amp; IF(AL873="SIM","utilização de inteligência artificial; ","") &amp; IF(OR(AN873="Dados pessoais",AN873="Dados sensíveis",AN873="Dados pessoais e sensíveis"),"dados inseridos em IA; ","") &amp; IF(O873="Acima de 10.000 titulares por mês","volume crítico de titulares; ","") &amp; IF(O873="De 1.001 a 10.000 titulares por mês","volume moderado de titulares; ","") &amp; IF(AA873="SIM","compartilhamento com terceiros; ","") &amp; IF(R873="SIM","compartilhamento com órgãos governamentais; ","") &amp; IF(AJ873="NÃO","ausência de controle de acesso por perfil; ","")),"DPIA não indicado: Processo de baixa criticidade."))</f>
      </c>
    </row>
    <row x14ac:dyDescent="0.25" r="874" customHeight="1" ht="15.75">
      <c r="A874" s="46"/>
      <c r="B874" s="6"/>
      <c r="C874" s="11"/>
      <c r="D874" s="11"/>
      <c r="E874" s="11"/>
      <c r="F874" s="29"/>
      <c r="G874" s="11"/>
      <c r="H874" s="11"/>
      <c r="I874" s="29"/>
      <c r="J874" s="11"/>
      <c r="K874" s="29"/>
      <c r="L874" s="11"/>
      <c r="M874" s="11"/>
      <c r="N874" s="11"/>
      <c r="O874" s="29"/>
      <c r="P874" s="29"/>
      <c r="Q874" s="11"/>
      <c r="R874" s="29"/>
      <c r="S874" s="11"/>
      <c r="T874" s="6"/>
      <c r="U874" s="29"/>
      <c r="V874" s="11"/>
      <c r="W874" s="11"/>
      <c r="X874" s="29"/>
      <c r="Y874" s="11"/>
      <c r="Z874" s="29"/>
      <c r="AA874" s="29"/>
      <c r="AB874" s="11"/>
      <c r="AC874" s="11"/>
      <c r="AD874" s="29"/>
      <c r="AE874" s="11"/>
      <c r="AF874" s="29"/>
      <c r="AG874" s="11"/>
      <c r="AH874" s="29"/>
      <c r="AI874" s="11"/>
      <c r="AJ874" s="29"/>
      <c r="AK874" s="29"/>
      <c r="AL874" s="29"/>
      <c r="AM874" s="11"/>
      <c r="AN874" s="29"/>
      <c r="AO874" s="29"/>
      <c r="AP874" s="6"/>
      <c r="AQ874" s="113">
        <f>IF(AND(I874="",K874="",AF874="",AL874="",AN874="",O874=""),"",IF(OR(I874="SIM",K874="SIM",AF874="SIM",AL874="SIM",AN874="Dados pessoais",AN874="Dados sensíveis",AN874="Dados pessoais e sensíveis",O874="Acima de 10.000 titulares por mês"),"SIM - Alta criticidade",IF((IF(I874="SIM",2,0)+IF(K874="SIM",2,0)+IF(AF874="SIM",2,0)+IF(OR(AN874="Dados pessoais",AN874="Dados sensíveis",AN874="Dados pessoais e sensíveis"),2,0)+IF(O874="De 1.001 a 10.000 titulares por mês",1,0)+IF(AA874="SIM",1,0)+IF(R874="SIM",1,0)+IF(AL874="SIM",1,0)+IF(AJ874="NÃO",1,0))&gt;=5,"SIM - Alta criticidade",IF((IF(I874="SIM",2,0)+IF(K874="SIM",2,0)+IF(AF874="SIM",2,0)+IF(OR(AN874="Dados pessoais",AN874="Dados sensíveis",AN874="Dados pessoais e sensíveis"),2,0)+IF(O874="De 1.001 a 10.000 titulares por mês",1,0)+IF(AA874="SIM",1,0)+IF(R874="SIM",1,0)+IF(AL874="SIM",1,0)+IF(AJ874="NÃO",1,0))&gt;=3,"Avaliação necessária","NÃO"))))</f>
      </c>
      <c r="AR874" s="11"/>
      <c r="AS874" s="113">
        <f>IF(AND(I874="",K874="",AF874="",AL874="",AN874="",O874=""),"",IF(OR(I874="SIM",K874="SIM",AF874="SIM",AL874="SIM",OR(AN874="Dados pessoais",AN874="Dados sensíveis",AN874="Dados pessoais e sensíveis"),O874="Acima de 10.000 titulares por mês",(IF(I874="SIM",2,0)+IF(K874="SIM",2,0)+IF(AF874="SIM",2,0)+IF(OR(AN874="Dados pessoais",AN874="Dados sensíveis",AN874="Dados pessoais e sensíveis"),2,0)+IF(O874="De 1.001 a 10.000 titulares por mês",1,0)+IF(AA874="SIM",1,0)+IF(R874="SIM",1,0)+IF(AL874="SIM",1,0)+IF(AJ874="NÃO",1,0))&gt;=3),"DPIA indicado ou em avaliação em razão de: " &amp; TRIM(IF(I874="SIM","tratamento de dados sensíveis; ","") &amp; IF(K874="SIM","utilização de dados de menores; ","") &amp; IF(AF874="SIM","transferência internacional de dados; ","") &amp; IF(AL874="SIM","utilização de inteligência artificial; ","") &amp; IF(OR(AN874="Dados pessoais",AN874="Dados sensíveis",AN874="Dados pessoais e sensíveis"),"dados inseridos em IA; ","") &amp; IF(O874="Acima de 10.000 titulares por mês","volume crítico de titulares; ","") &amp; IF(O874="De 1.001 a 10.000 titulares por mês","volume moderado de titulares; ","") &amp; IF(AA874="SIM","compartilhamento com terceiros; ","") &amp; IF(R874="SIM","compartilhamento com órgãos governamentais; ","") &amp; IF(AJ874="NÃO","ausência de controle de acesso por perfil; ","")),"DPIA não indicado: Processo de baixa criticidade."))</f>
      </c>
    </row>
    <row x14ac:dyDescent="0.25" r="875" customHeight="1" ht="15.75">
      <c r="A875" s="46"/>
      <c r="B875" s="6"/>
      <c r="C875" s="11"/>
      <c r="D875" s="11"/>
      <c r="E875" s="11"/>
      <c r="F875" s="29"/>
      <c r="G875" s="11"/>
      <c r="H875" s="11"/>
      <c r="I875" s="29"/>
      <c r="J875" s="11"/>
      <c r="K875" s="29"/>
      <c r="L875" s="11"/>
      <c r="M875" s="11"/>
      <c r="N875" s="11"/>
      <c r="O875" s="29"/>
      <c r="P875" s="29"/>
      <c r="Q875" s="11"/>
      <c r="R875" s="29"/>
      <c r="S875" s="11"/>
      <c r="T875" s="6"/>
      <c r="U875" s="29"/>
      <c r="V875" s="11"/>
      <c r="W875" s="11"/>
      <c r="X875" s="29"/>
      <c r="Y875" s="11"/>
      <c r="Z875" s="29"/>
      <c r="AA875" s="29"/>
      <c r="AB875" s="11"/>
      <c r="AC875" s="11"/>
      <c r="AD875" s="29"/>
      <c r="AE875" s="11"/>
      <c r="AF875" s="29"/>
      <c r="AG875" s="11"/>
      <c r="AH875" s="29"/>
      <c r="AI875" s="11"/>
      <c r="AJ875" s="29"/>
      <c r="AK875" s="29"/>
      <c r="AL875" s="29"/>
      <c r="AM875" s="11"/>
      <c r="AN875" s="29"/>
      <c r="AO875" s="29"/>
      <c r="AP875" s="6"/>
      <c r="AQ875" s="113">
        <f>IF(AND(I875="",K875="",AF875="",AL875="",AN875="",O875=""),"",IF(OR(I875="SIM",K875="SIM",AF875="SIM",AL875="SIM",AN875="Dados pessoais",AN875="Dados sensíveis",AN875="Dados pessoais e sensíveis",O875="Acima de 10.000 titulares por mês"),"SIM - Alta criticidade",IF((IF(I875="SIM",2,0)+IF(K875="SIM",2,0)+IF(AF875="SIM",2,0)+IF(OR(AN875="Dados pessoais",AN875="Dados sensíveis",AN875="Dados pessoais e sensíveis"),2,0)+IF(O875="De 1.001 a 10.000 titulares por mês",1,0)+IF(AA875="SIM",1,0)+IF(R875="SIM",1,0)+IF(AL875="SIM",1,0)+IF(AJ875="NÃO",1,0))&gt;=5,"SIM - Alta criticidade",IF((IF(I875="SIM",2,0)+IF(K875="SIM",2,0)+IF(AF875="SIM",2,0)+IF(OR(AN875="Dados pessoais",AN875="Dados sensíveis",AN875="Dados pessoais e sensíveis"),2,0)+IF(O875="De 1.001 a 10.000 titulares por mês",1,0)+IF(AA875="SIM",1,0)+IF(R875="SIM",1,0)+IF(AL875="SIM",1,0)+IF(AJ875="NÃO",1,0))&gt;=3,"Avaliação necessária","NÃO"))))</f>
      </c>
      <c r="AR875" s="11"/>
      <c r="AS875" s="113">
        <f>IF(AND(I875="",K875="",AF875="",AL875="",AN875="",O875=""),"",IF(OR(I875="SIM",K875="SIM",AF875="SIM",AL875="SIM",OR(AN875="Dados pessoais",AN875="Dados sensíveis",AN875="Dados pessoais e sensíveis"),O875="Acima de 10.000 titulares por mês",(IF(I875="SIM",2,0)+IF(K875="SIM",2,0)+IF(AF875="SIM",2,0)+IF(OR(AN875="Dados pessoais",AN875="Dados sensíveis",AN875="Dados pessoais e sensíveis"),2,0)+IF(O875="De 1.001 a 10.000 titulares por mês",1,0)+IF(AA875="SIM",1,0)+IF(R875="SIM",1,0)+IF(AL875="SIM",1,0)+IF(AJ875="NÃO",1,0))&gt;=3),"DPIA indicado ou em avaliação em razão de: " &amp; TRIM(IF(I875="SIM","tratamento de dados sensíveis; ","") &amp; IF(K875="SIM","utilização de dados de menores; ","") &amp; IF(AF875="SIM","transferência internacional de dados; ","") &amp; IF(AL875="SIM","utilização de inteligência artificial; ","") &amp; IF(OR(AN875="Dados pessoais",AN875="Dados sensíveis",AN875="Dados pessoais e sensíveis"),"dados inseridos em IA; ","") &amp; IF(O875="Acima de 10.000 titulares por mês","volume crítico de titulares; ","") &amp; IF(O875="De 1.001 a 10.000 titulares por mês","volume moderado de titulares; ","") &amp; IF(AA875="SIM","compartilhamento com terceiros; ","") &amp; IF(R875="SIM","compartilhamento com órgãos governamentais; ","") &amp; IF(AJ875="NÃO","ausência de controle de acesso por perfil; ","")),"DPIA não indicado: Processo de baixa criticidade."))</f>
      </c>
    </row>
    <row x14ac:dyDescent="0.25" r="876" customHeight="1" ht="15.75">
      <c r="A876" s="46"/>
      <c r="B876" s="6"/>
      <c r="C876" s="11"/>
      <c r="D876" s="11"/>
      <c r="E876" s="11"/>
      <c r="F876" s="29"/>
      <c r="G876" s="11"/>
      <c r="H876" s="11"/>
      <c r="I876" s="29"/>
      <c r="J876" s="11"/>
      <c r="K876" s="29"/>
      <c r="L876" s="11"/>
      <c r="M876" s="11"/>
      <c r="N876" s="11"/>
      <c r="O876" s="29"/>
      <c r="P876" s="29"/>
      <c r="Q876" s="11"/>
      <c r="R876" s="29"/>
      <c r="S876" s="11"/>
      <c r="T876" s="6"/>
      <c r="U876" s="29"/>
      <c r="V876" s="11"/>
      <c r="W876" s="11"/>
      <c r="X876" s="29"/>
      <c r="Y876" s="11"/>
      <c r="Z876" s="29"/>
      <c r="AA876" s="29"/>
      <c r="AB876" s="11"/>
      <c r="AC876" s="11"/>
      <c r="AD876" s="29"/>
      <c r="AE876" s="11"/>
      <c r="AF876" s="29"/>
      <c r="AG876" s="11"/>
      <c r="AH876" s="29"/>
      <c r="AI876" s="11"/>
      <c r="AJ876" s="29"/>
      <c r="AK876" s="29"/>
      <c r="AL876" s="29"/>
      <c r="AM876" s="11"/>
      <c r="AN876" s="29"/>
      <c r="AO876" s="29"/>
      <c r="AP876" s="6"/>
      <c r="AQ876" s="113">
        <f>IF(AND(I876="",K876="",AF876="",AL876="",AN876="",O876=""),"",IF(OR(I876="SIM",K876="SIM",AF876="SIM",AL876="SIM",AN876="Dados pessoais",AN876="Dados sensíveis",AN876="Dados pessoais e sensíveis",O876="Acima de 10.000 titulares por mês"),"SIM - Alta criticidade",IF((IF(I876="SIM",2,0)+IF(K876="SIM",2,0)+IF(AF876="SIM",2,0)+IF(OR(AN876="Dados pessoais",AN876="Dados sensíveis",AN876="Dados pessoais e sensíveis"),2,0)+IF(O876="De 1.001 a 10.000 titulares por mês",1,0)+IF(AA876="SIM",1,0)+IF(R876="SIM",1,0)+IF(AL876="SIM",1,0)+IF(AJ876="NÃO",1,0))&gt;=5,"SIM - Alta criticidade",IF((IF(I876="SIM",2,0)+IF(K876="SIM",2,0)+IF(AF876="SIM",2,0)+IF(OR(AN876="Dados pessoais",AN876="Dados sensíveis",AN876="Dados pessoais e sensíveis"),2,0)+IF(O876="De 1.001 a 10.000 titulares por mês",1,0)+IF(AA876="SIM",1,0)+IF(R876="SIM",1,0)+IF(AL876="SIM",1,0)+IF(AJ876="NÃO",1,0))&gt;=3,"Avaliação necessária","NÃO"))))</f>
      </c>
      <c r="AR876" s="11"/>
      <c r="AS876" s="113">
        <f>IF(AND(I876="",K876="",AF876="",AL876="",AN876="",O876=""),"",IF(OR(I876="SIM",K876="SIM",AF876="SIM",AL876="SIM",OR(AN876="Dados pessoais",AN876="Dados sensíveis",AN876="Dados pessoais e sensíveis"),O876="Acima de 10.000 titulares por mês",(IF(I876="SIM",2,0)+IF(K876="SIM",2,0)+IF(AF876="SIM",2,0)+IF(OR(AN876="Dados pessoais",AN876="Dados sensíveis",AN876="Dados pessoais e sensíveis"),2,0)+IF(O876="De 1.001 a 10.000 titulares por mês",1,0)+IF(AA876="SIM",1,0)+IF(R876="SIM",1,0)+IF(AL876="SIM",1,0)+IF(AJ876="NÃO",1,0))&gt;=3),"DPIA indicado ou em avaliação em razão de: " &amp; TRIM(IF(I876="SIM","tratamento de dados sensíveis; ","") &amp; IF(K876="SIM","utilização de dados de menores; ","") &amp; IF(AF876="SIM","transferência internacional de dados; ","") &amp; IF(AL876="SIM","utilização de inteligência artificial; ","") &amp; IF(OR(AN876="Dados pessoais",AN876="Dados sensíveis",AN876="Dados pessoais e sensíveis"),"dados inseridos em IA; ","") &amp; IF(O876="Acima de 10.000 titulares por mês","volume crítico de titulares; ","") &amp; IF(O876="De 1.001 a 10.000 titulares por mês","volume moderado de titulares; ","") &amp; IF(AA876="SIM","compartilhamento com terceiros; ","") &amp; IF(R876="SIM","compartilhamento com órgãos governamentais; ","") &amp; IF(AJ876="NÃO","ausência de controle de acesso por perfil; ","")),"DPIA não indicado: Processo de baixa criticidade."))</f>
      </c>
    </row>
    <row x14ac:dyDescent="0.25" r="877" customHeight="1" ht="15.75">
      <c r="A877" s="46"/>
      <c r="B877" s="6"/>
      <c r="C877" s="11"/>
      <c r="D877" s="11"/>
      <c r="E877" s="11"/>
      <c r="F877" s="29"/>
      <c r="G877" s="11"/>
      <c r="H877" s="11"/>
      <c r="I877" s="29"/>
      <c r="J877" s="11"/>
      <c r="K877" s="29"/>
      <c r="L877" s="11"/>
      <c r="M877" s="11"/>
      <c r="N877" s="11"/>
      <c r="O877" s="29"/>
      <c r="P877" s="29"/>
      <c r="Q877" s="11"/>
      <c r="R877" s="29"/>
      <c r="S877" s="11"/>
      <c r="T877" s="6"/>
      <c r="U877" s="29"/>
      <c r="V877" s="11"/>
      <c r="W877" s="11"/>
      <c r="X877" s="29"/>
      <c r="Y877" s="11"/>
      <c r="Z877" s="29"/>
      <c r="AA877" s="29"/>
      <c r="AB877" s="11"/>
      <c r="AC877" s="11"/>
      <c r="AD877" s="29"/>
      <c r="AE877" s="11"/>
      <c r="AF877" s="29"/>
      <c r="AG877" s="11"/>
      <c r="AH877" s="29"/>
      <c r="AI877" s="11"/>
      <c r="AJ877" s="29"/>
      <c r="AK877" s="29"/>
      <c r="AL877" s="29"/>
      <c r="AM877" s="11"/>
      <c r="AN877" s="29"/>
      <c r="AO877" s="29"/>
      <c r="AP877" s="6"/>
      <c r="AQ877" s="113">
        <f>IF(AND(I877="",K877="",AF877="",AL877="",AN877="",O877=""),"",IF(OR(I877="SIM",K877="SIM",AF877="SIM",AL877="SIM",AN877="Dados pessoais",AN877="Dados sensíveis",AN877="Dados pessoais e sensíveis",O877="Acima de 10.000 titulares por mês"),"SIM - Alta criticidade",IF((IF(I877="SIM",2,0)+IF(K877="SIM",2,0)+IF(AF877="SIM",2,0)+IF(OR(AN877="Dados pessoais",AN877="Dados sensíveis",AN877="Dados pessoais e sensíveis"),2,0)+IF(O877="De 1.001 a 10.000 titulares por mês",1,0)+IF(AA877="SIM",1,0)+IF(R877="SIM",1,0)+IF(AL877="SIM",1,0)+IF(AJ877="NÃO",1,0))&gt;=5,"SIM - Alta criticidade",IF((IF(I877="SIM",2,0)+IF(K877="SIM",2,0)+IF(AF877="SIM",2,0)+IF(OR(AN877="Dados pessoais",AN877="Dados sensíveis",AN877="Dados pessoais e sensíveis"),2,0)+IF(O877="De 1.001 a 10.000 titulares por mês",1,0)+IF(AA877="SIM",1,0)+IF(R877="SIM",1,0)+IF(AL877="SIM",1,0)+IF(AJ877="NÃO",1,0))&gt;=3,"Avaliação necessária","NÃO"))))</f>
      </c>
      <c r="AR877" s="11"/>
      <c r="AS877" s="113">
        <f>IF(AND(I877="",K877="",AF877="",AL877="",AN877="",O877=""),"",IF(OR(I877="SIM",K877="SIM",AF877="SIM",AL877="SIM",OR(AN877="Dados pessoais",AN877="Dados sensíveis",AN877="Dados pessoais e sensíveis"),O877="Acima de 10.000 titulares por mês",(IF(I877="SIM",2,0)+IF(K877="SIM",2,0)+IF(AF877="SIM",2,0)+IF(OR(AN877="Dados pessoais",AN877="Dados sensíveis",AN877="Dados pessoais e sensíveis"),2,0)+IF(O877="De 1.001 a 10.000 titulares por mês",1,0)+IF(AA877="SIM",1,0)+IF(R877="SIM",1,0)+IF(AL877="SIM",1,0)+IF(AJ877="NÃO",1,0))&gt;=3),"DPIA indicado ou em avaliação em razão de: " &amp; TRIM(IF(I877="SIM","tratamento de dados sensíveis; ","") &amp; IF(K877="SIM","utilização de dados de menores; ","") &amp; IF(AF877="SIM","transferência internacional de dados; ","") &amp; IF(AL877="SIM","utilização de inteligência artificial; ","") &amp; IF(OR(AN877="Dados pessoais",AN877="Dados sensíveis",AN877="Dados pessoais e sensíveis"),"dados inseridos em IA; ","") &amp; IF(O877="Acima de 10.000 titulares por mês","volume crítico de titulares; ","") &amp; IF(O877="De 1.001 a 10.000 titulares por mês","volume moderado de titulares; ","") &amp; IF(AA877="SIM","compartilhamento com terceiros; ","") &amp; IF(R877="SIM","compartilhamento com órgãos governamentais; ","") &amp; IF(AJ877="NÃO","ausência de controle de acesso por perfil; ","")),"DPIA não indicado: Processo de baixa criticidade."))</f>
      </c>
    </row>
    <row x14ac:dyDescent="0.25" r="878" customHeight="1" ht="15.75">
      <c r="A878" s="46"/>
      <c r="B878" s="6"/>
      <c r="C878" s="11"/>
      <c r="D878" s="11"/>
      <c r="E878" s="11"/>
      <c r="F878" s="29"/>
      <c r="G878" s="11"/>
      <c r="H878" s="11"/>
      <c r="I878" s="29"/>
      <c r="J878" s="11"/>
      <c r="K878" s="29"/>
      <c r="L878" s="11"/>
      <c r="M878" s="11"/>
      <c r="N878" s="11"/>
      <c r="O878" s="29"/>
      <c r="P878" s="29"/>
      <c r="Q878" s="11"/>
      <c r="R878" s="29"/>
      <c r="S878" s="11"/>
      <c r="T878" s="6"/>
      <c r="U878" s="29"/>
      <c r="V878" s="11"/>
      <c r="W878" s="11"/>
      <c r="X878" s="29"/>
      <c r="Y878" s="11"/>
      <c r="Z878" s="29"/>
      <c r="AA878" s="29"/>
      <c r="AB878" s="11"/>
      <c r="AC878" s="11"/>
      <c r="AD878" s="29"/>
      <c r="AE878" s="11"/>
      <c r="AF878" s="29"/>
      <c r="AG878" s="11"/>
      <c r="AH878" s="29"/>
      <c r="AI878" s="11"/>
      <c r="AJ878" s="29"/>
      <c r="AK878" s="29"/>
      <c r="AL878" s="29"/>
      <c r="AM878" s="11"/>
      <c r="AN878" s="29"/>
      <c r="AO878" s="29"/>
      <c r="AP878" s="6"/>
      <c r="AQ878" s="113">
        <f>IF(AND(I878="",K878="",AF878="",AL878="",AN878="",O878=""),"",IF(OR(I878="SIM",K878="SIM",AF878="SIM",AL878="SIM",AN878="Dados pessoais",AN878="Dados sensíveis",AN878="Dados pessoais e sensíveis",O878="Acima de 10.000 titulares por mês"),"SIM - Alta criticidade",IF((IF(I878="SIM",2,0)+IF(K878="SIM",2,0)+IF(AF878="SIM",2,0)+IF(OR(AN878="Dados pessoais",AN878="Dados sensíveis",AN878="Dados pessoais e sensíveis"),2,0)+IF(O878="De 1.001 a 10.000 titulares por mês",1,0)+IF(AA878="SIM",1,0)+IF(R878="SIM",1,0)+IF(AL878="SIM",1,0)+IF(AJ878="NÃO",1,0))&gt;=5,"SIM - Alta criticidade",IF((IF(I878="SIM",2,0)+IF(K878="SIM",2,0)+IF(AF878="SIM",2,0)+IF(OR(AN878="Dados pessoais",AN878="Dados sensíveis",AN878="Dados pessoais e sensíveis"),2,0)+IF(O878="De 1.001 a 10.000 titulares por mês",1,0)+IF(AA878="SIM",1,0)+IF(R878="SIM",1,0)+IF(AL878="SIM",1,0)+IF(AJ878="NÃO",1,0))&gt;=3,"Avaliação necessária","NÃO"))))</f>
      </c>
      <c r="AR878" s="11"/>
      <c r="AS878" s="113">
        <f>IF(AND(I878="",K878="",AF878="",AL878="",AN878="",O878=""),"",IF(OR(I878="SIM",K878="SIM",AF878="SIM",AL878="SIM",OR(AN878="Dados pessoais",AN878="Dados sensíveis",AN878="Dados pessoais e sensíveis"),O878="Acima de 10.000 titulares por mês",(IF(I878="SIM",2,0)+IF(K878="SIM",2,0)+IF(AF878="SIM",2,0)+IF(OR(AN878="Dados pessoais",AN878="Dados sensíveis",AN878="Dados pessoais e sensíveis"),2,0)+IF(O878="De 1.001 a 10.000 titulares por mês",1,0)+IF(AA878="SIM",1,0)+IF(R878="SIM",1,0)+IF(AL878="SIM",1,0)+IF(AJ878="NÃO",1,0))&gt;=3),"DPIA indicado ou em avaliação em razão de: " &amp; TRIM(IF(I878="SIM","tratamento de dados sensíveis; ","") &amp; IF(K878="SIM","utilização de dados de menores; ","") &amp; IF(AF878="SIM","transferência internacional de dados; ","") &amp; IF(AL878="SIM","utilização de inteligência artificial; ","") &amp; IF(OR(AN878="Dados pessoais",AN878="Dados sensíveis",AN878="Dados pessoais e sensíveis"),"dados inseridos em IA; ","") &amp; IF(O878="Acima de 10.000 titulares por mês","volume crítico de titulares; ","") &amp; IF(O878="De 1.001 a 10.000 titulares por mês","volume moderado de titulares; ","") &amp; IF(AA878="SIM","compartilhamento com terceiros; ","") &amp; IF(R878="SIM","compartilhamento com órgãos governamentais; ","") &amp; IF(AJ878="NÃO","ausência de controle de acesso por perfil; ","")),"DPIA não indicado: Processo de baixa criticidade."))</f>
      </c>
    </row>
    <row x14ac:dyDescent="0.25" r="879" customHeight="1" ht="15.75">
      <c r="A879" s="46"/>
      <c r="B879" s="6"/>
      <c r="C879" s="11"/>
      <c r="D879" s="11"/>
      <c r="E879" s="11"/>
      <c r="F879" s="29"/>
      <c r="G879" s="11"/>
      <c r="H879" s="11"/>
      <c r="I879" s="29"/>
      <c r="J879" s="11"/>
      <c r="K879" s="29"/>
      <c r="L879" s="11"/>
      <c r="M879" s="11"/>
      <c r="N879" s="11"/>
      <c r="O879" s="29"/>
      <c r="P879" s="29"/>
      <c r="Q879" s="11"/>
      <c r="R879" s="29"/>
      <c r="S879" s="11"/>
      <c r="T879" s="6"/>
      <c r="U879" s="29"/>
      <c r="V879" s="11"/>
      <c r="W879" s="11"/>
      <c r="X879" s="29"/>
      <c r="Y879" s="11"/>
      <c r="Z879" s="29"/>
      <c r="AA879" s="29"/>
      <c r="AB879" s="11"/>
      <c r="AC879" s="11"/>
      <c r="AD879" s="29"/>
      <c r="AE879" s="11"/>
      <c r="AF879" s="29"/>
      <c r="AG879" s="11"/>
      <c r="AH879" s="29"/>
      <c r="AI879" s="11"/>
      <c r="AJ879" s="29"/>
      <c r="AK879" s="29"/>
      <c r="AL879" s="29"/>
      <c r="AM879" s="11"/>
      <c r="AN879" s="29"/>
      <c r="AO879" s="29"/>
      <c r="AP879" s="6"/>
      <c r="AQ879" s="113">
        <f>IF(AND(I879="",K879="",AF879="",AL879="",AN879="",O879=""),"",IF(OR(I879="SIM",K879="SIM",AF879="SIM",AL879="SIM",AN879="Dados pessoais",AN879="Dados sensíveis",AN879="Dados pessoais e sensíveis",O879="Acima de 10.000 titulares por mês"),"SIM - Alta criticidade",IF((IF(I879="SIM",2,0)+IF(K879="SIM",2,0)+IF(AF879="SIM",2,0)+IF(OR(AN879="Dados pessoais",AN879="Dados sensíveis",AN879="Dados pessoais e sensíveis"),2,0)+IF(O879="De 1.001 a 10.000 titulares por mês",1,0)+IF(AA879="SIM",1,0)+IF(R879="SIM",1,0)+IF(AL879="SIM",1,0)+IF(AJ879="NÃO",1,0))&gt;=5,"SIM - Alta criticidade",IF((IF(I879="SIM",2,0)+IF(K879="SIM",2,0)+IF(AF879="SIM",2,0)+IF(OR(AN879="Dados pessoais",AN879="Dados sensíveis",AN879="Dados pessoais e sensíveis"),2,0)+IF(O879="De 1.001 a 10.000 titulares por mês",1,0)+IF(AA879="SIM",1,0)+IF(R879="SIM",1,0)+IF(AL879="SIM",1,0)+IF(AJ879="NÃO",1,0))&gt;=3,"Avaliação necessária","NÃO"))))</f>
      </c>
      <c r="AR879" s="11"/>
      <c r="AS879" s="113">
        <f>IF(AND(I879="",K879="",AF879="",AL879="",AN879="",O879=""),"",IF(OR(I879="SIM",K879="SIM",AF879="SIM",AL879="SIM",OR(AN879="Dados pessoais",AN879="Dados sensíveis",AN879="Dados pessoais e sensíveis"),O879="Acima de 10.000 titulares por mês",(IF(I879="SIM",2,0)+IF(K879="SIM",2,0)+IF(AF879="SIM",2,0)+IF(OR(AN879="Dados pessoais",AN879="Dados sensíveis",AN879="Dados pessoais e sensíveis"),2,0)+IF(O879="De 1.001 a 10.000 titulares por mês",1,0)+IF(AA879="SIM",1,0)+IF(R879="SIM",1,0)+IF(AL879="SIM",1,0)+IF(AJ879="NÃO",1,0))&gt;=3),"DPIA indicado ou em avaliação em razão de: " &amp; TRIM(IF(I879="SIM","tratamento de dados sensíveis; ","") &amp; IF(K879="SIM","utilização de dados de menores; ","") &amp; IF(AF879="SIM","transferência internacional de dados; ","") &amp; IF(AL879="SIM","utilização de inteligência artificial; ","") &amp; IF(OR(AN879="Dados pessoais",AN879="Dados sensíveis",AN879="Dados pessoais e sensíveis"),"dados inseridos em IA; ","") &amp; IF(O879="Acima de 10.000 titulares por mês","volume crítico de titulares; ","") &amp; IF(O879="De 1.001 a 10.000 titulares por mês","volume moderado de titulares; ","") &amp; IF(AA879="SIM","compartilhamento com terceiros; ","") &amp; IF(R879="SIM","compartilhamento com órgãos governamentais; ","") &amp; IF(AJ879="NÃO","ausência de controle de acesso por perfil; ","")),"DPIA não indicado: Processo de baixa criticidade."))</f>
      </c>
    </row>
    <row x14ac:dyDescent="0.25" r="880" customHeight="1" ht="15.75">
      <c r="A880" s="46"/>
      <c r="B880" s="6"/>
      <c r="C880" s="11"/>
      <c r="D880" s="11"/>
      <c r="E880" s="11"/>
      <c r="F880" s="29"/>
      <c r="G880" s="11"/>
      <c r="H880" s="11"/>
      <c r="I880" s="29"/>
      <c r="J880" s="11"/>
      <c r="K880" s="29"/>
      <c r="L880" s="11"/>
      <c r="M880" s="11"/>
      <c r="N880" s="11"/>
      <c r="O880" s="29"/>
      <c r="P880" s="29"/>
      <c r="Q880" s="11"/>
      <c r="R880" s="29"/>
      <c r="S880" s="11"/>
      <c r="T880" s="6"/>
      <c r="U880" s="29"/>
      <c r="V880" s="11"/>
      <c r="W880" s="11"/>
      <c r="X880" s="29"/>
      <c r="Y880" s="11"/>
      <c r="Z880" s="29"/>
      <c r="AA880" s="29"/>
      <c r="AB880" s="11"/>
      <c r="AC880" s="11"/>
      <c r="AD880" s="29"/>
      <c r="AE880" s="11"/>
      <c r="AF880" s="29"/>
      <c r="AG880" s="11"/>
      <c r="AH880" s="29"/>
      <c r="AI880" s="11"/>
      <c r="AJ880" s="29"/>
      <c r="AK880" s="29"/>
      <c r="AL880" s="29"/>
      <c r="AM880" s="11"/>
      <c r="AN880" s="29"/>
      <c r="AO880" s="29"/>
      <c r="AP880" s="6"/>
      <c r="AQ880" s="113">
        <f>IF(AND(I880="",K880="",AF880="",AL880="",AN880="",O880=""),"",IF(OR(I880="SIM",K880="SIM",AF880="SIM",AL880="SIM",AN880="Dados pessoais",AN880="Dados sensíveis",AN880="Dados pessoais e sensíveis",O880="Acima de 10.000 titulares por mês"),"SIM - Alta criticidade",IF((IF(I880="SIM",2,0)+IF(K880="SIM",2,0)+IF(AF880="SIM",2,0)+IF(OR(AN880="Dados pessoais",AN880="Dados sensíveis",AN880="Dados pessoais e sensíveis"),2,0)+IF(O880="De 1.001 a 10.000 titulares por mês",1,0)+IF(AA880="SIM",1,0)+IF(R880="SIM",1,0)+IF(AL880="SIM",1,0)+IF(AJ880="NÃO",1,0))&gt;=5,"SIM - Alta criticidade",IF((IF(I880="SIM",2,0)+IF(K880="SIM",2,0)+IF(AF880="SIM",2,0)+IF(OR(AN880="Dados pessoais",AN880="Dados sensíveis",AN880="Dados pessoais e sensíveis"),2,0)+IF(O880="De 1.001 a 10.000 titulares por mês",1,0)+IF(AA880="SIM",1,0)+IF(R880="SIM",1,0)+IF(AL880="SIM",1,0)+IF(AJ880="NÃO",1,0))&gt;=3,"Avaliação necessária","NÃO"))))</f>
      </c>
      <c r="AR880" s="11"/>
      <c r="AS880" s="113">
        <f>IF(AND(I880="",K880="",AF880="",AL880="",AN880="",O880=""),"",IF(OR(I880="SIM",K880="SIM",AF880="SIM",AL880="SIM",OR(AN880="Dados pessoais",AN880="Dados sensíveis",AN880="Dados pessoais e sensíveis"),O880="Acima de 10.000 titulares por mês",(IF(I880="SIM",2,0)+IF(K880="SIM",2,0)+IF(AF880="SIM",2,0)+IF(OR(AN880="Dados pessoais",AN880="Dados sensíveis",AN880="Dados pessoais e sensíveis"),2,0)+IF(O880="De 1.001 a 10.000 titulares por mês",1,0)+IF(AA880="SIM",1,0)+IF(R880="SIM",1,0)+IF(AL880="SIM",1,0)+IF(AJ880="NÃO",1,0))&gt;=3),"DPIA indicado ou em avaliação em razão de: " &amp; TRIM(IF(I880="SIM","tratamento de dados sensíveis; ","") &amp; IF(K880="SIM","utilização de dados de menores; ","") &amp; IF(AF880="SIM","transferência internacional de dados; ","") &amp; IF(AL880="SIM","utilização de inteligência artificial; ","") &amp; IF(OR(AN880="Dados pessoais",AN880="Dados sensíveis",AN880="Dados pessoais e sensíveis"),"dados inseridos em IA; ","") &amp; IF(O880="Acima de 10.000 titulares por mês","volume crítico de titulares; ","") &amp; IF(O880="De 1.001 a 10.000 titulares por mês","volume moderado de titulares; ","") &amp; IF(AA880="SIM","compartilhamento com terceiros; ","") &amp; IF(R880="SIM","compartilhamento com órgãos governamentais; ","") &amp; IF(AJ880="NÃO","ausência de controle de acesso por perfil; ","")),"DPIA não indicado: Processo de baixa criticidade."))</f>
      </c>
    </row>
    <row x14ac:dyDescent="0.25" r="881" customHeight="1" ht="15.75">
      <c r="A881" s="46"/>
      <c r="B881" s="6"/>
      <c r="C881" s="11"/>
      <c r="D881" s="11"/>
      <c r="E881" s="11"/>
      <c r="F881" s="29"/>
      <c r="G881" s="11"/>
      <c r="H881" s="11"/>
      <c r="I881" s="29"/>
      <c r="J881" s="11"/>
      <c r="K881" s="29"/>
      <c r="L881" s="11"/>
      <c r="M881" s="11"/>
      <c r="N881" s="11"/>
      <c r="O881" s="29"/>
      <c r="P881" s="29"/>
      <c r="Q881" s="11"/>
      <c r="R881" s="29"/>
      <c r="S881" s="11"/>
      <c r="T881" s="6"/>
      <c r="U881" s="29"/>
      <c r="V881" s="11"/>
      <c r="W881" s="11"/>
      <c r="X881" s="29"/>
      <c r="Y881" s="11"/>
      <c r="Z881" s="29"/>
      <c r="AA881" s="29"/>
      <c r="AB881" s="11"/>
      <c r="AC881" s="11"/>
      <c r="AD881" s="29"/>
      <c r="AE881" s="11"/>
      <c r="AF881" s="29"/>
      <c r="AG881" s="11"/>
      <c r="AH881" s="29"/>
      <c r="AI881" s="11"/>
      <c r="AJ881" s="29"/>
      <c r="AK881" s="29"/>
      <c r="AL881" s="29"/>
      <c r="AM881" s="11"/>
      <c r="AN881" s="29"/>
      <c r="AO881" s="29"/>
      <c r="AP881" s="6"/>
      <c r="AQ881" s="113">
        <f>IF(AND(I881="",K881="",AF881="",AL881="",AN881="",O881=""),"",IF(OR(I881="SIM",K881="SIM",AF881="SIM",AL881="SIM",AN881="Dados pessoais",AN881="Dados sensíveis",AN881="Dados pessoais e sensíveis",O881="Acima de 10.000 titulares por mês"),"SIM - Alta criticidade",IF((IF(I881="SIM",2,0)+IF(K881="SIM",2,0)+IF(AF881="SIM",2,0)+IF(OR(AN881="Dados pessoais",AN881="Dados sensíveis",AN881="Dados pessoais e sensíveis"),2,0)+IF(O881="De 1.001 a 10.000 titulares por mês",1,0)+IF(AA881="SIM",1,0)+IF(R881="SIM",1,0)+IF(AL881="SIM",1,0)+IF(AJ881="NÃO",1,0))&gt;=5,"SIM - Alta criticidade",IF((IF(I881="SIM",2,0)+IF(K881="SIM",2,0)+IF(AF881="SIM",2,0)+IF(OR(AN881="Dados pessoais",AN881="Dados sensíveis",AN881="Dados pessoais e sensíveis"),2,0)+IF(O881="De 1.001 a 10.000 titulares por mês",1,0)+IF(AA881="SIM",1,0)+IF(R881="SIM",1,0)+IF(AL881="SIM",1,0)+IF(AJ881="NÃO",1,0))&gt;=3,"Avaliação necessária","NÃO"))))</f>
      </c>
      <c r="AR881" s="11"/>
      <c r="AS881" s="113">
        <f>IF(AND(I881="",K881="",AF881="",AL881="",AN881="",O881=""),"",IF(OR(I881="SIM",K881="SIM",AF881="SIM",AL881="SIM",OR(AN881="Dados pessoais",AN881="Dados sensíveis",AN881="Dados pessoais e sensíveis"),O881="Acima de 10.000 titulares por mês",(IF(I881="SIM",2,0)+IF(K881="SIM",2,0)+IF(AF881="SIM",2,0)+IF(OR(AN881="Dados pessoais",AN881="Dados sensíveis",AN881="Dados pessoais e sensíveis"),2,0)+IF(O881="De 1.001 a 10.000 titulares por mês",1,0)+IF(AA881="SIM",1,0)+IF(R881="SIM",1,0)+IF(AL881="SIM",1,0)+IF(AJ881="NÃO",1,0))&gt;=3),"DPIA indicado ou em avaliação em razão de: " &amp; TRIM(IF(I881="SIM","tratamento de dados sensíveis; ","") &amp; IF(K881="SIM","utilização de dados de menores; ","") &amp; IF(AF881="SIM","transferência internacional de dados; ","") &amp; IF(AL881="SIM","utilização de inteligência artificial; ","") &amp; IF(OR(AN881="Dados pessoais",AN881="Dados sensíveis",AN881="Dados pessoais e sensíveis"),"dados inseridos em IA; ","") &amp; IF(O881="Acima de 10.000 titulares por mês","volume crítico de titulares; ","") &amp; IF(O881="De 1.001 a 10.000 titulares por mês","volume moderado de titulares; ","") &amp; IF(AA881="SIM","compartilhamento com terceiros; ","") &amp; IF(R881="SIM","compartilhamento com órgãos governamentais; ","") &amp; IF(AJ881="NÃO","ausência de controle de acesso por perfil; ","")),"DPIA não indicado: Processo de baixa criticidade."))</f>
      </c>
    </row>
    <row x14ac:dyDescent="0.25" r="882" customHeight="1" ht="15.75">
      <c r="A882" s="46"/>
      <c r="B882" s="6"/>
      <c r="C882" s="11"/>
      <c r="D882" s="11"/>
      <c r="E882" s="11"/>
      <c r="F882" s="29"/>
      <c r="G882" s="11"/>
      <c r="H882" s="11"/>
      <c r="I882" s="29"/>
      <c r="J882" s="11"/>
      <c r="K882" s="29"/>
      <c r="L882" s="11"/>
      <c r="M882" s="11"/>
      <c r="N882" s="11"/>
      <c r="O882" s="29"/>
      <c r="P882" s="29"/>
      <c r="Q882" s="11"/>
      <c r="R882" s="29"/>
      <c r="S882" s="11"/>
      <c r="T882" s="6"/>
      <c r="U882" s="29"/>
      <c r="V882" s="11"/>
      <c r="W882" s="11"/>
      <c r="X882" s="29"/>
      <c r="Y882" s="11"/>
      <c r="Z882" s="29"/>
      <c r="AA882" s="29"/>
      <c r="AB882" s="11"/>
      <c r="AC882" s="11"/>
      <c r="AD882" s="29"/>
      <c r="AE882" s="11"/>
      <c r="AF882" s="29"/>
      <c r="AG882" s="11"/>
      <c r="AH882" s="29"/>
      <c r="AI882" s="11"/>
      <c r="AJ882" s="29"/>
      <c r="AK882" s="29"/>
      <c r="AL882" s="29"/>
      <c r="AM882" s="11"/>
      <c r="AN882" s="29"/>
      <c r="AO882" s="29"/>
      <c r="AP882" s="6"/>
      <c r="AQ882" s="113">
        <f>IF(AND(I882="",K882="",AF882="",AL882="",AN882="",O882=""),"",IF(OR(I882="SIM",K882="SIM",AF882="SIM",AL882="SIM",AN882="Dados pessoais",AN882="Dados sensíveis",AN882="Dados pessoais e sensíveis",O882="Acima de 10.000 titulares por mês"),"SIM - Alta criticidade",IF((IF(I882="SIM",2,0)+IF(K882="SIM",2,0)+IF(AF882="SIM",2,0)+IF(OR(AN882="Dados pessoais",AN882="Dados sensíveis",AN882="Dados pessoais e sensíveis"),2,0)+IF(O882="De 1.001 a 10.000 titulares por mês",1,0)+IF(AA882="SIM",1,0)+IF(R882="SIM",1,0)+IF(AL882="SIM",1,0)+IF(AJ882="NÃO",1,0))&gt;=5,"SIM - Alta criticidade",IF((IF(I882="SIM",2,0)+IF(K882="SIM",2,0)+IF(AF882="SIM",2,0)+IF(OR(AN882="Dados pessoais",AN882="Dados sensíveis",AN882="Dados pessoais e sensíveis"),2,0)+IF(O882="De 1.001 a 10.000 titulares por mês",1,0)+IF(AA882="SIM",1,0)+IF(R882="SIM",1,0)+IF(AL882="SIM",1,0)+IF(AJ882="NÃO",1,0))&gt;=3,"Avaliação necessária","NÃO"))))</f>
      </c>
      <c r="AR882" s="11"/>
      <c r="AS882" s="113">
        <f>IF(AND(I882="",K882="",AF882="",AL882="",AN882="",O882=""),"",IF(OR(I882="SIM",K882="SIM",AF882="SIM",AL882="SIM",OR(AN882="Dados pessoais",AN882="Dados sensíveis",AN882="Dados pessoais e sensíveis"),O882="Acima de 10.000 titulares por mês",(IF(I882="SIM",2,0)+IF(K882="SIM",2,0)+IF(AF882="SIM",2,0)+IF(OR(AN882="Dados pessoais",AN882="Dados sensíveis",AN882="Dados pessoais e sensíveis"),2,0)+IF(O882="De 1.001 a 10.000 titulares por mês",1,0)+IF(AA882="SIM",1,0)+IF(R882="SIM",1,0)+IF(AL882="SIM",1,0)+IF(AJ882="NÃO",1,0))&gt;=3),"DPIA indicado ou em avaliação em razão de: " &amp; TRIM(IF(I882="SIM","tratamento de dados sensíveis; ","") &amp; IF(K882="SIM","utilização de dados de menores; ","") &amp; IF(AF882="SIM","transferência internacional de dados; ","") &amp; IF(AL882="SIM","utilização de inteligência artificial; ","") &amp; IF(OR(AN882="Dados pessoais",AN882="Dados sensíveis",AN882="Dados pessoais e sensíveis"),"dados inseridos em IA; ","") &amp; IF(O882="Acima de 10.000 titulares por mês","volume crítico de titulares; ","") &amp; IF(O882="De 1.001 a 10.000 titulares por mês","volume moderado de titulares; ","") &amp; IF(AA882="SIM","compartilhamento com terceiros; ","") &amp; IF(R882="SIM","compartilhamento com órgãos governamentais; ","") &amp; IF(AJ882="NÃO","ausência de controle de acesso por perfil; ","")),"DPIA não indicado: Processo de baixa criticidade."))</f>
      </c>
    </row>
    <row x14ac:dyDescent="0.25" r="883" customHeight="1" ht="15.75">
      <c r="A883" s="46"/>
      <c r="B883" s="6"/>
      <c r="C883" s="11"/>
      <c r="D883" s="11"/>
      <c r="E883" s="11"/>
      <c r="F883" s="29"/>
      <c r="G883" s="11"/>
      <c r="H883" s="11"/>
      <c r="I883" s="29"/>
      <c r="J883" s="11"/>
      <c r="K883" s="29"/>
      <c r="L883" s="11"/>
      <c r="M883" s="11"/>
      <c r="N883" s="11"/>
      <c r="O883" s="29"/>
      <c r="P883" s="29"/>
      <c r="Q883" s="11"/>
      <c r="R883" s="29"/>
      <c r="S883" s="11"/>
      <c r="T883" s="6"/>
      <c r="U883" s="29"/>
      <c r="V883" s="11"/>
      <c r="W883" s="11"/>
      <c r="X883" s="29"/>
      <c r="Y883" s="11"/>
      <c r="Z883" s="29"/>
      <c r="AA883" s="29"/>
      <c r="AB883" s="11"/>
      <c r="AC883" s="11"/>
      <c r="AD883" s="29"/>
      <c r="AE883" s="11"/>
      <c r="AF883" s="29"/>
      <c r="AG883" s="11"/>
      <c r="AH883" s="29"/>
      <c r="AI883" s="11"/>
      <c r="AJ883" s="29"/>
      <c r="AK883" s="29"/>
      <c r="AL883" s="29"/>
      <c r="AM883" s="11"/>
      <c r="AN883" s="29"/>
      <c r="AO883" s="29"/>
      <c r="AP883" s="6"/>
      <c r="AQ883" s="113">
        <f>IF(AND(I883="",K883="",AF883="",AL883="",AN883="",O883=""),"",IF(OR(I883="SIM",K883="SIM",AF883="SIM",AL883="SIM",AN883="Dados pessoais",AN883="Dados sensíveis",AN883="Dados pessoais e sensíveis",O883="Acima de 10.000 titulares por mês"),"SIM - Alta criticidade",IF((IF(I883="SIM",2,0)+IF(K883="SIM",2,0)+IF(AF883="SIM",2,0)+IF(OR(AN883="Dados pessoais",AN883="Dados sensíveis",AN883="Dados pessoais e sensíveis"),2,0)+IF(O883="De 1.001 a 10.000 titulares por mês",1,0)+IF(AA883="SIM",1,0)+IF(R883="SIM",1,0)+IF(AL883="SIM",1,0)+IF(AJ883="NÃO",1,0))&gt;=5,"SIM - Alta criticidade",IF((IF(I883="SIM",2,0)+IF(K883="SIM",2,0)+IF(AF883="SIM",2,0)+IF(OR(AN883="Dados pessoais",AN883="Dados sensíveis",AN883="Dados pessoais e sensíveis"),2,0)+IF(O883="De 1.001 a 10.000 titulares por mês",1,0)+IF(AA883="SIM",1,0)+IF(R883="SIM",1,0)+IF(AL883="SIM",1,0)+IF(AJ883="NÃO",1,0))&gt;=3,"Avaliação necessária","NÃO"))))</f>
      </c>
      <c r="AR883" s="11"/>
      <c r="AS883" s="113">
        <f>IF(AND(I883="",K883="",AF883="",AL883="",AN883="",O883=""),"",IF(OR(I883="SIM",K883="SIM",AF883="SIM",AL883="SIM",OR(AN883="Dados pessoais",AN883="Dados sensíveis",AN883="Dados pessoais e sensíveis"),O883="Acima de 10.000 titulares por mês",(IF(I883="SIM",2,0)+IF(K883="SIM",2,0)+IF(AF883="SIM",2,0)+IF(OR(AN883="Dados pessoais",AN883="Dados sensíveis",AN883="Dados pessoais e sensíveis"),2,0)+IF(O883="De 1.001 a 10.000 titulares por mês",1,0)+IF(AA883="SIM",1,0)+IF(R883="SIM",1,0)+IF(AL883="SIM",1,0)+IF(AJ883="NÃO",1,0))&gt;=3),"DPIA indicado ou em avaliação em razão de: " &amp; TRIM(IF(I883="SIM","tratamento de dados sensíveis; ","") &amp; IF(K883="SIM","utilização de dados de menores; ","") &amp; IF(AF883="SIM","transferência internacional de dados; ","") &amp; IF(AL883="SIM","utilização de inteligência artificial; ","") &amp; IF(OR(AN883="Dados pessoais",AN883="Dados sensíveis",AN883="Dados pessoais e sensíveis"),"dados inseridos em IA; ","") &amp; IF(O883="Acima de 10.000 titulares por mês","volume crítico de titulares; ","") &amp; IF(O883="De 1.001 a 10.000 titulares por mês","volume moderado de titulares; ","") &amp; IF(AA883="SIM","compartilhamento com terceiros; ","") &amp; IF(R883="SIM","compartilhamento com órgãos governamentais; ","") &amp; IF(AJ883="NÃO","ausência de controle de acesso por perfil; ","")),"DPIA não indicado: Processo de baixa criticidade."))</f>
      </c>
    </row>
    <row x14ac:dyDescent="0.25" r="884" customHeight="1" ht="15.75">
      <c r="A884" s="46"/>
      <c r="B884" s="6"/>
      <c r="C884" s="11"/>
      <c r="D884" s="11"/>
      <c r="E884" s="11"/>
      <c r="F884" s="29"/>
      <c r="G884" s="11"/>
      <c r="H884" s="11"/>
      <c r="I884" s="29"/>
      <c r="J884" s="11"/>
      <c r="K884" s="29"/>
      <c r="L884" s="11"/>
      <c r="M884" s="11"/>
      <c r="N884" s="11"/>
      <c r="O884" s="29"/>
      <c r="P884" s="29"/>
      <c r="Q884" s="11"/>
      <c r="R884" s="29"/>
      <c r="S884" s="11"/>
      <c r="T884" s="6"/>
      <c r="U884" s="29"/>
      <c r="V884" s="11"/>
      <c r="W884" s="11"/>
      <c r="X884" s="29"/>
      <c r="Y884" s="11"/>
      <c r="Z884" s="29"/>
      <c r="AA884" s="29"/>
      <c r="AB884" s="11"/>
      <c r="AC884" s="11"/>
      <c r="AD884" s="29"/>
      <c r="AE884" s="11"/>
      <c r="AF884" s="29"/>
      <c r="AG884" s="11"/>
      <c r="AH884" s="29"/>
      <c r="AI884" s="11"/>
      <c r="AJ884" s="29"/>
      <c r="AK884" s="29"/>
      <c r="AL884" s="29"/>
      <c r="AM884" s="11"/>
      <c r="AN884" s="29"/>
      <c r="AO884" s="29"/>
      <c r="AP884" s="6"/>
      <c r="AQ884" s="113">
        <f>IF(AND(I884="",K884="",AF884="",AL884="",AN884="",O884=""),"",IF(OR(I884="SIM",K884="SIM",AF884="SIM",AL884="SIM",AN884="Dados pessoais",AN884="Dados sensíveis",AN884="Dados pessoais e sensíveis",O884="Acima de 10.000 titulares por mês"),"SIM - Alta criticidade",IF((IF(I884="SIM",2,0)+IF(K884="SIM",2,0)+IF(AF884="SIM",2,0)+IF(OR(AN884="Dados pessoais",AN884="Dados sensíveis",AN884="Dados pessoais e sensíveis"),2,0)+IF(O884="De 1.001 a 10.000 titulares por mês",1,0)+IF(AA884="SIM",1,0)+IF(R884="SIM",1,0)+IF(AL884="SIM",1,0)+IF(AJ884="NÃO",1,0))&gt;=5,"SIM - Alta criticidade",IF((IF(I884="SIM",2,0)+IF(K884="SIM",2,0)+IF(AF884="SIM",2,0)+IF(OR(AN884="Dados pessoais",AN884="Dados sensíveis",AN884="Dados pessoais e sensíveis"),2,0)+IF(O884="De 1.001 a 10.000 titulares por mês",1,0)+IF(AA884="SIM",1,0)+IF(R884="SIM",1,0)+IF(AL884="SIM",1,0)+IF(AJ884="NÃO",1,0))&gt;=3,"Avaliação necessária","NÃO"))))</f>
      </c>
      <c r="AR884" s="11"/>
      <c r="AS884" s="113">
        <f>IF(AND(I884="",K884="",AF884="",AL884="",AN884="",O884=""),"",IF(OR(I884="SIM",K884="SIM",AF884="SIM",AL884="SIM",OR(AN884="Dados pessoais",AN884="Dados sensíveis",AN884="Dados pessoais e sensíveis"),O884="Acima de 10.000 titulares por mês",(IF(I884="SIM",2,0)+IF(K884="SIM",2,0)+IF(AF884="SIM",2,0)+IF(OR(AN884="Dados pessoais",AN884="Dados sensíveis",AN884="Dados pessoais e sensíveis"),2,0)+IF(O884="De 1.001 a 10.000 titulares por mês",1,0)+IF(AA884="SIM",1,0)+IF(R884="SIM",1,0)+IF(AL884="SIM",1,0)+IF(AJ884="NÃO",1,0))&gt;=3),"DPIA indicado ou em avaliação em razão de: " &amp; TRIM(IF(I884="SIM","tratamento de dados sensíveis; ","") &amp; IF(K884="SIM","utilização de dados de menores; ","") &amp; IF(AF884="SIM","transferência internacional de dados; ","") &amp; IF(AL884="SIM","utilização de inteligência artificial; ","") &amp; IF(OR(AN884="Dados pessoais",AN884="Dados sensíveis",AN884="Dados pessoais e sensíveis"),"dados inseridos em IA; ","") &amp; IF(O884="Acima de 10.000 titulares por mês","volume crítico de titulares; ","") &amp; IF(O884="De 1.001 a 10.000 titulares por mês","volume moderado de titulares; ","") &amp; IF(AA884="SIM","compartilhamento com terceiros; ","") &amp; IF(R884="SIM","compartilhamento com órgãos governamentais; ","") &amp; IF(AJ884="NÃO","ausência de controle de acesso por perfil; ","")),"DPIA não indicado: Processo de baixa criticidade."))</f>
      </c>
    </row>
    <row x14ac:dyDescent="0.25" r="885" customHeight="1" ht="15.75">
      <c r="A885" s="46"/>
      <c r="B885" s="6"/>
      <c r="C885" s="11"/>
      <c r="D885" s="11"/>
      <c r="E885" s="11"/>
      <c r="F885" s="29"/>
      <c r="G885" s="11"/>
      <c r="H885" s="11"/>
      <c r="I885" s="29"/>
      <c r="J885" s="11"/>
      <c r="K885" s="29"/>
      <c r="L885" s="11"/>
      <c r="M885" s="11"/>
      <c r="N885" s="11"/>
      <c r="O885" s="29"/>
      <c r="P885" s="29"/>
      <c r="Q885" s="11"/>
      <c r="R885" s="29"/>
      <c r="S885" s="11"/>
      <c r="T885" s="6"/>
      <c r="U885" s="29"/>
      <c r="V885" s="11"/>
      <c r="W885" s="11"/>
      <c r="X885" s="29"/>
      <c r="Y885" s="11"/>
      <c r="Z885" s="29"/>
      <c r="AA885" s="29"/>
      <c r="AB885" s="11"/>
      <c r="AC885" s="11"/>
      <c r="AD885" s="29"/>
      <c r="AE885" s="11"/>
      <c r="AF885" s="29"/>
      <c r="AG885" s="11"/>
      <c r="AH885" s="29"/>
      <c r="AI885" s="11"/>
      <c r="AJ885" s="29"/>
      <c r="AK885" s="29"/>
      <c r="AL885" s="29"/>
      <c r="AM885" s="11"/>
      <c r="AN885" s="29"/>
      <c r="AO885" s="29"/>
      <c r="AP885" s="6"/>
      <c r="AQ885" s="113">
        <f>IF(AND(I885="",K885="",AF885="",AL885="",AN885="",O885=""),"",IF(OR(I885="SIM",K885="SIM",AF885="SIM",AL885="SIM",AN885="Dados pessoais",AN885="Dados sensíveis",AN885="Dados pessoais e sensíveis",O885="Acima de 10.000 titulares por mês"),"SIM - Alta criticidade",IF((IF(I885="SIM",2,0)+IF(K885="SIM",2,0)+IF(AF885="SIM",2,0)+IF(OR(AN885="Dados pessoais",AN885="Dados sensíveis",AN885="Dados pessoais e sensíveis"),2,0)+IF(O885="De 1.001 a 10.000 titulares por mês",1,0)+IF(AA885="SIM",1,0)+IF(R885="SIM",1,0)+IF(AL885="SIM",1,0)+IF(AJ885="NÃO",1,0))&gt;=5,"SIM - Alta criticidade",IF((IF(I885="SIM",2,0)+IF(K885="SIM",2,0)+IF(AF885="SIM",2,0)+IF(OR(AN885="Dados pessoais",AN885="Dados sensíveis",AN885="Dados pessoais e sensíveis"),2,0)+IF(O885="De 1.001 a 10.000 titulares por mês",1,0)+IF(AA885="SIM",1,0)+IF(R885="SIM",1,0)+IF(AL885="SIM",1,0)+IF(AJ885="NÃO",1,0))&gt;=3,"Avaliação necessária","NÃO"))))</f>
      </c>
      <c r="AR885" s="11"/>
      <c r="AS885" s="113">
        <f>IF(AND(I885="",K885="",AF885="",AL885="",AN885="",O885=""),"",IF(OR(I885="SIM",K885="SIM",AF885="SIM",AL885="SIM",OR(AN885="Dados pessoais",AN885="Dados sensíveis",AN885="Dados pessoais e sensíveis"),O885="Acima de 10.000 titulares por mês",(IF(I885="SIM",2,0)+IF(K885="SIM",2,0)+IF(AF885="SIM",2,0)+IF(OR(AN885="Dados pessoais",AN885="Dados sensíveis",AN885="Dados pessoais e sensíveis"),2,0)+IF(O885="De 1.001 a 10.000 titulares por mês",1,0)+IF(AA885="SIM",1,0)+IF(R885="SIM",1,0)+IF(AL885="SIM",1,0)+IF(AJ885="NÃO",1,0))&gt;=3),"DPIA indicado ou em avaliação em razão de: " &amp; TRIM(IF(I885="SIM","tratamento de dados sensíveis; ","") &amp; IF(K885="SIM","utilização de dados de menores; ","") &amp; IF(AF885="SIM","transferência internacional de dados; ","") &amp; IF(AL885="SIM","utilização de inteligência artificial; ","") &amp; IF(OR(AN885="Dados pessoais",AN885="Dados sensíveis",AN885="Dados pessoais e sensíveis"),"dados inseridos em IA; ","") &amp; IF(O885="Acima de 10.000 titulares por mês","volume crítico de titulares; ","") &amp; IF(O885="De 1.001 a 10.000 titulares por mês","volume moderado de titulares; ","") &amp; IF(AA885="SIM","compartilhamento com terceiros; ","") &amp; IF(R885="SIM","compartilhamento com órgãos governamentais; ","") &amp; IF(AJ885="NÃO","ausência de controle de acesso por perfil; ","")),"DPIA não indicado: Processo de baixa criticidade."))</f>
      </c>
    </row>
    <row x14ac:dyDescent="0.25" r="886" customHeight="1" ht="15.75">
      <c r="A886" s="46"/>
      <c r="B886" s="6"/>
      <c r="C886" s="11"/>
      <c r="D886" s="11"/>
      <c r="E886" s="11"/>
      <c r="F886" s="29"/>
      <c r="G886" s="11"/>
      <c r="H886" s="11"/>
      <c r="I886" s="29"/>
      <c r="J886" s="11"/>
      <c r="K886" s="29"/>
      <c r="L886" s="11"/>
      <c r="M886" s="11"/>
      <c r="N886" s="11"/>
      <c r="O886" s="29"/>
      <c r="P886" s="29"/>
      <c r="Q886" s="11"/>
      <c r="R886" s="29"/>
      <c r="S886" s="11"/>
      <c r="T886" s="6"/>
      <c r="U886" s="29"/>
      <c r="V886" s="11"/>
      <c r="W886" s="11"/>
      <c r="X886" s="29"/>
      <c r="Y886" s="11"/>
      <c r="Z886" s="29"/>
      <c r="AA886" s="29"/>
      <c r="AB886" s="11"/>
      <c r="AC886" s="11"/>
      <c r="AD886" s="29"/>
      <c r="AE886" s="11"/>
      <c r="AF886" s="29"/>
      <c r="AG886" s="11"/>
      <c r="AH886" s="29"/>
      <c r="AI886" s="11"/>
      <c r="AJ886" s="29"/>
      <c r="AK886" s="29"/>
      <c r="AL886" s="29"/>
      <c r="AM886" s="11"/>
      <c r="AN886" s="29"/>
      <c r="AO886" s="29"/>
      <c r="AP886" s="6"/>
      <c r="AQ886" s="113">
        <f>IF(AND(I886="",K886="",AF886="",AL886="",AN886="",O886=""),"",IF(OR(I886="SIM",K886="SIM",AF886="SIM",AL886="SIM",AN886="Dados pessoais",AN886="Dados sensíveis",AN886="Dados pessoais e sensíveis",O886="Acima de 10.000 titulares por mês"),"SIM - Alta criticidade",IF((IF(I886="SIM",2,0)+IF(K886="SIM",2,0)+IF(AF886="SIM",2,0)+IF(OR(AN886="Dados pessoais",AN886="Dados sensíveis",AN886="Dados pessoais e sensíveis"),2,0)+IF(O886="De 1.001 a 10.000 titulares por mês",1,0)+IF(AA886="SIM",1,0)+IF(R886="SIM",1,0)+IF(AL886="SIM",1,0)+IF(AJ886="NÃO",1,0))&gt;=5,"SIM - Alta criticidade",IF((IF(I886="SIM",2,0)+IF(K886="SIM",2,0)+IF(AF886="SIM",2,0)+IF(OR(AN886="Dados pessoais",AN886="Dados sensíveis",AN886="Dados pessoais e sensíveis"),2,0)+IF(O886="De 1.001 a 10.000 titulares por mês",1,0)+IF(AA886="SIM",1,0)+IF(R886="SIM",1,0)+IF(AL886="SIM",1,0)+IF(AJ886="NÃO",1,0))&gt;=3,"Avaliação necessária","NÃO"))))</f>
      </c>
      <c r="AR886" s="11"/>
      <c r="AS886" s="113">
        <f>IF(AND(I886="",K886="",AF886="",AL886="",AN886="",O886=""),"",IF(OR(I886="SIM",K886="SIM",AF886="SIM",AL886="SIM",OR(AN886="Dados pessoais",AN886="Dados sensíveis",AN886="Dados pessoais e sensíveis"),O886="Acima de 10.000 titulares por mês",(IF(I886="SIM",2,0)+IF(K886="SIM",2,0)+IF(AF886="SIM",2,0)+IF(OR(AN886="Dados pessoais",AN886="Dados sensíveis",AN886="Dados pessoais e sensíveis"),2,0)+IF(O886="De 1.001 a 10.000 titulares por mês",1,0)+IF(AA886="SIM",1,0)+IF(R886="SIM",1,0)+IF(AL886="SIM",1,0)+IF(AJ886="NÃO",1,0))&gt;=3),"DPIA indicado ou em avaliação em razão de: " &amp; TRIM(IF(I886="SIM","tratamento de dados sensíveis; ","") &amp; IF(K886="SIM","utilização de dados de menores; ","") &amp; IF(AF886="SIM","transferência internacional de dados; ","") &amp; IF(AL886="SIM","utilização de inteligência artificial; ","") &amp; IF(OR(AN886="Dados pessoais",AN886="Dados sensíveis",AN886="Dados pessoais e sensíveis"),"dados inseridos em IA; ","") &amp; IF(O886="Acima de 10.000 titulares por mês","volume crítico de titulares; ","") &amp; IF(O886="De 1.001 a 10.000 titulares por mês","volume moderado de titulares; ","") &amp; IF(AA886="SIM","compartilhamento com terceiros; ","") &amp; IF(R886="SIM","compartilhamento com órgãos governamentais; ","") &amp; IF(AJ886="NÃO","ausência de controle de acesso por perfil; ","")),"DPIA não indicado: Processo de baixa criticidade."))</f>
      </c>
    </row>
    <row x14ac:dyDescent="0.25" r="887" customHeight="1" ht="15.75">
      <c r="A887" s="46"/>
      <c r="B887" s="6"/>
      <c r="C887" s="11"/>
      <c r="D887" s="11"/>
      <c r="E887" s="11"/>
      <c r="F887" s="29"/>
      <c r="G887" s="11"/>
      <c r="H887" s="11"/>
      <c r="I887" s="29"/>
      <c r="J887" s="11"/>
      <c r="K887" s="29"/>
      <c r="L887" s="11"/>
      <c r="M887" s="11"/>
      <c r="N887" s="11"/>
      <c r="O887" s="29"/>
      <c r="P887" s="29"/>
      <c r="Q887" s="11"/>
      <c r="R887" s="29"/>
      <c r="S887" s="11"/>
      <c r="T887" s="6"/>
      <c r="U887" s="29"/>
      <c r="V887" s="11"/>
      <c r="W887" s="11"/>
      <c r="X887" s="29"/>
      <c r="Y887" s="11"/>
      <c r="Z887" s="29"/>
      <c r="AA887" s="29"/>
      <c r="AB887" s="11"/>
      <c r="AC887" s="11"/>
      <c r="AD887" s="29"/>
      <c r="AE887" s="11"/>
      <c r="AF887" s="29"/>
      <c r="AG887" s="11"/>
      <c r="AH887" s="29"/>
      <c r="AI887" s="11"/>
      <c r="AJ887" s="29"/>
      <c r="AK887" s="29"/>
      <c r="AL887" s="29"/>
      <c r="AM887" s="11"/>
      <c r="AN887" s="29"/>
      <c r="AO887" s="29"/>
      <c r="AP887" s="6"/>
      <c r="AQ887" s="113">
        <f>IF(AND(I887="",K887="",AF887="",AL887="",AN887="",O887=""),"",IF(OR(I887="SIM",K887="SIM",AF887="SIM",AL887="SIM",AN887="Dados pessoais",AN887="Dados sensíveis",AN887="Dados pessoais e sensíveis",O887="Acima de 10.000 titulares por mês"),"SIM - Alta criticidade",IF((IF(I887="SIM",2,0)+IF(K887="SIM",2,0)+IF(AF887="SIM",2,0)+IF(OR(AN887="Dados pessoais",AN887="Dados sensíveis",AN887="Dados pessoais e sensíveis"),2,0)+IF(O887="De 1.001 a 10.000 titulares por mês",1,0)+IF(AA887="SIM",1,0)+IF(R887="SIM",1,0)+IF(AL887="SIM",1,0)+IF(AJ887="NÃO",1,0))&gt;=5,"SIM - Alta criticidade",IF((IF(I887="SIM",2,0)+IF(K887="SIM",2,0)+IF(AF887="SIM",2,0)+IF(OR(AN887="Dados pessoais",AN887="Dados sensíveis",AN887="Dados pessoais e sensíveis"),2,0)+IF(O887="De 1.001 a 10.000 titulares por mês",1,0)+IF(AA887="SIM",1,0)+IF(R887="SIM",1,0)+IF(AL887="SIM",1,0)+IF(AJ887="NÃO",1,0))&gt;=3,"Avaliação necessária","NÃO"))))</f>
      </c>
      <c r="AR887" s="11"/>
      <c r="AS887" s="113">
        <f>IF(AND(I887="",K887="",AF887="",AL887="",AN887="",O887=""),"",IF(OR(I887="SIM",K887="SIM",AF887="SIM",AL887="SIM",OR(AN887="Dados pessoais",AN887="Dados sensíveis",AN887="Dados pessoais e sensíveis"),O887="Acima de 10.000 titulares por mês",(IF(I887="SIM",2,0)+IF(K887="SIM",2,0)+IF(AF887="SIM",2,0)+IF(OR(AN887="Dados pessoais",AN887="Dados sensíveis",AN887="Dados pessoais e sensíveis"),2,0)+IF(O887="De 1.001 a 10.000 titulares por mês",1,0)+IF(AA887="SIM",1,0)+IF(R887="SIM",1,0)+IF(AL887="SIM",1,0)+IF(AJ887="NÃO",1,0))&gt;=3),"DPIA indicado ou em avaliação em razão de: " &amp; TRIM(IF(I887="SIM","tratamento de dados sensíveis; ","") &amp; IF(K887="SIM","utilização de dados de menores; ","") &amp; IF(AF887="SIM","transferência internacional de dados; ","") &amp; IF(AL887="SIM","utilização de inteligência artificial; ","") &amp; IF(OR(AN887="Dados pessoais",AN887="Dados sensíveis",AN887="Dados pessoais e sensíveis"),"dados inseridos em IA; ","") &amp; IF(O887="Acima de 10.000 titulares por mês","volume crítico de titulares; ","") &amp; IF(O887="De 1.001 a 10.000 titulares por mês","volume moderado de titulares; ","") &amp; IF(AA887="SIM","compartilhamento com terceiros; ","") &amp; IF(R887="SIM","compartilhamento com órgãos governamentais; ","") &amp; IF(AJ887="NÃO","ausência de controle de acesso por perfil; ","")),"DPIA não indicado: Processo de baixa criticidade."))</f>
      </c>
    </row>
    <row x14ac:dyDescent="0.25" r="888" customHeight="1" ht="15.75">
      <c r="A888" s="46"/>
      <c r="B888" s="6"/>
      <c r="C888" s="11"/>
      <c r="D888" s="11"/>
      <c r="E888" s="11"/>
      <c r="F888" s="29"/>
      <c r="G888" s="11"/>
      <c r="H888" s="11"/>
      <c r="I888" s="29"/>
      <c r="J888" s="11"/>
      <c r="K888" s="29"/>
      <c r="L888" s="11"/>
      <c r="M888" s="11"/>
      <c r="N888" s="11"/>
      <c r="O888" s="29"/>
      <c r="P888" s="29"/>
      <c r="Q888" s="11"/>
      <c r="R888" s="29"/>
      <c r="S888" s="11"/>
      <c r="T888" s="6"/>
      <c r="U888" s="29"/>
      <c r="V888" s="11"/>
      <c r="W888" s="11"/>
      <c r="X888" s="29"/>
      <c r="Y888" s="11"/>
      <c r="Z888" s="29"/>
      <c r="AA888" s="29"/>
      <c r="AB888" s="11"/>
      <c r="AC888" s="11"/>
      <c r="AD888" s="29"/>
      <c r="AE888" s="11"/>
      <c r="AF888" s="29"/>
      <c r="AG888" s="11"/>
      <c r="AH888" s="29"/>
      <c r="AI888" s="11"/>
      <c r="AJ888" s="29"/>
      <c r="AK888" s="29"/>
      <c r="AL888" s="29"/>
      <c r="AM888" s="11"/>
      <c r="AN888" s="29"/>
      <c r="AO888" s="29"/>
      <c r="AP888" s="6"/>
      <c r="AQ888" s="113">
        <f>IF(AND(I888="",K888="",AF888="",AL888="",AN888="",O888=""),"",IF(OR(I888="SIM",K888="SIM",AF888="SIM",AL888="SIM",AN888="Dados pessoais",AN888="Dados sensíveis",AN888="Dados pessoais e sensíveis",O888="Acima de 10.000 titulares por mês"),"SIM - Alta criticidade",IF((IF(I888="SIM",2,0)+IF(K888="SIM",2,0)+IF(AF888="SIM",2,0)+IF(OR(AN888="Dados pessoais",AN888="Dados sensíveis",AN888="Dados pessoais e sensíveis"),2,0)+IF(O888="De 1.001 a 10.000 titulares por mês",1,0)+IF(AA888="SIM",1,0)+IF(R888="SIM",1,0)+IF(AL888="SIM",1,0)+IF(AJ888="NÃO",1,0))&gt;=5,"SIM - Alta criticidade",IF((IF(I888="SIM",2,0)+IF(K888="SIM",2,0)+IF(AF888="SIM",2,0)+IF(OR(AN888="Dados pessoais",AN888="Dados sensíveis",AN888="Dados pessoais e sensíveis"),2,0)+IF(O888="De 1.001 a 10.000 titulares por mês",1,0)+IF(AA888="SIM",1,0)+IF(R888="SIM",1,0)+IF(AL888="SIM",1,0)+IF(AJ888="NÃO",1,0))&gt;=3,"Avaliação necessária","NÃO"))))</f>
      </c>
      <c r="AR888" s="11"/>
      <c r="AS888" s="113">
        <f>IF(AND(I888="",K888="",AF888="",AL888="",AN888="",O888=""),"",IF(OR(I888="SIM",K888="SIM",AF888="SIM",AL888="SIM",OR(AN888="Dados pessoais",AN888="Dados sensíveis",AN888="Dados pessoais e sensíveis"),O888="Acima de 10.000 titulares por mês",(IF(I888="SIM",2,0)+IF(K888="SIM",2,0)+IF(AF888="SIM",2,0)+IF(OR(AN888="Dados pessoais",AN888="Dados sensíveis",AN888="Dados pessoais e sensíveis"),2,0)+IF(O888="De 1.001 a 10.000 titulares por mês",1,0)+IF(AA888="SIM",1,0)+IF(R888="SIM",1,0)+IF(AL888="SIM",1,0)+IF(AJ888="NÃO",1,0))&gt;=3),"DPIA indicado ou em avaliação em razão de: " &amp; TRIM(IF(I888="SIM","tratamento de dados sensíveis; ","") &amp; IF(K888="SIM","utilização de dados de menores; ","") &amp; IF(AF888="SIM","transferência internacional de dados; ","") &amp; IF(AL888="SIM","utilização de inteligência artificial; ","") &amp; IF(OR(AN888="Dados pessoais",AN888="Dados sensíveis",AN888="Dados pessoais e sensíveis"),"dados inseridos em IA; ","") &amp; IF(O888="Acima de 10.000 titulares por mês","volume crítico de titulares; ","") &amp; IF(O888="De 1.001 a 10.000 titulares por mês","volume moderado de titulares; ","") &amp; IF(AA888="SIM","compartilhamento com terceiros; ","") &amp; IF(R888="SIM","compartilhamento com órgãos governamentais; ","") &amp; IF(AJ888="NÃO","ausência de controle de acesso por perfil; ","")),"DPIA não indicado: Processo de baixa criticidade."))</f>
      </c>
    </row>
    <row x14ac:dyDescent="0.25" r="889" customHeight="1" ht="15.75">
      <c r="A889" s="46"/>
      <c r="B889" s="6"/>
      <c r="C889" s="11"/>
      <c r="D889" s="11"/>
      <c r="E889" s="11"/>
      <c r="F889" s="29"/>
      <c r="G889" s="11"/>
      <c r="H889" s="11"/>
      <c r="I889" s="29"/>
      <c r="J889" s="11"/>
      <c r="K889" s="29"/>
      <c r="L889" s="11"/>
      <c r="M889" s="11"/>
      <c r="N889" s="11"/>
      <c r="O889" s="29"/>
      <c r="P889" s="29"/>
      <c r="Q889" s="11"/>
      <c r="R889" s="29"/>
      <c r="S889" s="11"/>
      <c r="T889" s="6"/>
      <c r="U889" s="29"/>
      <c r="V889" s="11"/>
      <c r="W889" s="11"/>
      <c r="X889" s="29"/>
      <c r="Y889" s="11"/>
      <c r="Z889" s="29"/>
      <c r="AA889" s="29"/>
      <c r="AB889" s="11"/>
      <c r="AC889" s="11"/>
      <c r="AD889" s="29"/>
      <c r="AE889" s="11"/>
      <c r="AF889" s="29"/>
      <c r="AG889" s="11"/>
      <c r="AH889" s="29"/>
      <c r="AI889" s="11"/>
      <c r="AJ889" s="29"/>
      <c r="AK889" s="29"/>
      <c r="AL889" s="29"/>
      <c r="AM889" s="11"/>
      <c r="AN889" s="29"/>
      <c r="AO889" s="29"/>
      <c r="AP889" s="6"/>
      <c r="AQ889" s="113">
        <f>IF(AND(I889="",K889="",AF889="",AL889="",AN889="",O889=""),"",IF(OR(I889="SIM",K889="SIM",AF889="SIM",AL889="SIM",AN889="Dados pessoais",AN889="Dados sensíveis",AN889="Dados pessoais e sensíveis",O889="Acima de 10.000 titulares por mês"),"SIM - Alta criticidade",IF((IF(I889="SIM",2,0)+IF(K889="SIM",2,0)+IF(AF889="SIM",2,0)+IF(OR(AN889="Dados pessoais",AN889="Dados sensíveis",AN889="Dados pessoais e sensíveis"),2,0)+IF(O889="De 1.001 a 10.000 titulares por mês",1,0)+IF(AA889="SIM",1,0)+IF(R889="SIM",1,0)+IF(AL889="SIM",1,0)+IF(AJ889="NÃO",1,0))&gt;=5,"SIM - Alta criticidade",IF((IF(I889="SIM",2,0)+IF(K889="SIM",2,0)+IF(AF889="SIM",2,0)+IF(OR(AN889="Dados pessoais",AN889="Dados sensíveis",AN889="Dados pessoais e sensíveis"),2,0)+IF(O889="De 1.001 a 10.000 titulares por mês",1,0)+IF(AA889="SIM",1,0)+IF(R889="SIM",1,0)+IF(AL889="SIM",1,0)+IF(AJ889="NÃO",1,0))&gt;=3,"Avaliação necessária","NÃO"))))</f>
      </c>
      <c r="AR889" s="11"/>
      <c r="AS889" s="113">
        <f>IF(AND(I889="",K889="",AF889="",AL889="",AN889="",O889=""),"",IF(OR(I889="SIM",K889="SIM",AF889="SIM",AL889="SIM",OR(AN889="Dados pessoais",AN889="Dados sensíveis",AN889="Dados pessoais e sensíveis"),O889="Acima de 10.000 titulares por mês",(IF(I889="SIM",2,0)+IF(K889="SIM",2,0)+IF(AF889="SIM",2,0)+IF(OR(AN889="Dados pessoais",AN889="Dados sensíveis",AN889="Dados pessoais e sensíveis"),2,0)+IF(O889="De 1.001 a 10.000 titulares por mês",1,0)+IF(AA889="SIM",1,0)+IF(R889="SIM",1,0)+IF(AL889="SIM",1,0)+IF(AJ889="NÃO",1,0))&gt;=3),"DPIA indicado ou em avaliação em razão de: " &amp; TRIM(IF(I889="SIM","tratamento de dados sensíveis; ","") &amp; IF(K889="SIM","utilização de dados de menores; ","") &amp; IF(AF889="SIM","transferência internacional de dados; ","") &amp; IF(AL889="SIM","utilização de inteligência artificial; ","") &amp; IF(OR(AN889="Dados pessoais",AN889="Dados sensíveis",AN889="Dados pessoais e sensíveis"),"dados inseridos em IA; ","") &amp; IF(O889="Acima de 10.000 titulares por mês","volume crítico de titulares; ","") &amp; IF(O889="De 1.001 a 10.000 titulares por mês","volume moderado de titulares; ","") &amp; IF(AA889="SIM","compartilhamento com terceiros; ","") &amp; IF(R889="SIM","compartilhamento com órgãos governamentais; ","") &amp; IF(AJ889="NÃO","ausência de controle de acesso por perfil; ","")),"DPIA não indicado: Processo de baixa criticidade."))</f>
      </c>
    </row>
    <row x14ac:dyDescent="0.25" r="890" customHeight="1" ht="15.75">
      <c r="A890" s="46"/>
      <c r="B890" s="6"/>
      <c r="C890" s="11"/>
      <c r="D890" s="11"/>
      <c r="E890" s="11"/>
      <c r="F890" s="29"/>
      <c r="G890" s="11"/>
      <c r="H890" s="11"/>
      <c r="I890" s="29"/>
      <c r="J890" s="11"/>
      <c r="K890" s="29"/>
      <c r="L890" s="11"/>
      <c r="M890" s="11"/>
      <c r="N890" s="11"/>
      <c r="O890" s="29"/>
      <c r="P890" s="29"/>
      <c r="Q890" s="11"/>
      <c r="R890" s="29"/>
      <c r="S890" s="11"/>
      <c r="T890" s="6"/>
      <c r="U890" s="29"/>
      <c r="V890" s="11"/>
      <c r="W890" s="11"/>
      <c r="X890" s="29"/>
      <c r="Y890" s="11"/>
      <c r="Z890" s="29"/>
      <c r="AA890" s="29"/>
      <c r="AB890" s="11"/>
      <c r="AC890" s="11"/>
      <c r="AD890" s="29"/>
      <c r="AE890" s="11"/>
      <c r="AF890" s="29"/>
      <c r="AG890" s="11"/>
      <c r="AH890" s="29"/>
      <c r="AI890" s="11"/>
      <c r="AJ890" s="29"/>
      <c r="AK890" s="29"/>
      <c r="AL890" s="29"/>
      <c r="AM890" s="11"/>
      <c r="AN890" s="29"/>
      <c r="AO890" s="29"/>
      <c r="AP890" s="6"/>
      <c r="AQ890" s="113">
        <f>IF(AND(I890="",K890="",AF890="",AL890="",AN890="",O890=""),"",IF(OR(I890="SIM",K890="SIM",AF890="SIM",AL890="SIM",AN890="Dados pessoais",AN890="Dados sensíveis",AN890="Dados pessoais e sensíveis",O890="Acima de 10.000 titulares por mês"),"SIM - Alta criticidade",IF((IF(I890="SIM",2,0)+IF(K890="SIM",2,0)+IF(AF890="SIM",2,0)+IF(OR(AN890="Dados pessoais",AN890="Dados sensíveis",AN890="Dados pessoais e sensíveis"),2,0)+IF(O890="De 1.001 a 10.000 titulares por mês",1,0)+IF(AA890="SIM",1,0)+IF(R890="SIM",1,0)+IF(AL890="SIM",1,0)+IF(AJ890="NÃO",1,0))&gt;=5,"SIM - Alta criticidade",IF((IF(I890="SIM",2,0)+IF(K890="SIM",2,0)+IF(AF890="SIM",2,0)+IF(OR(AN890="Dados pessoais",AN890="Dados sensíveis",AN890="Dados pessoais e sensíveis"),2,0)+IF(O890="De 1.001 a 10.000 titulares por mês",1,0)+IF(AA890="SIM",1,0)+IF(R890="SIM",1,0)+IF(AL890="SIM",1,0)+IF(AJ890="NÃO",1,0))&gt;=3,"Avaliação necessária","NÃO"))))</f>
      </c>
      <c r="AR890" s="11"/>
      <c r="AS890" s="113">
        <f>IF(AND(I890="",K890="",AF890="",AL890="",AN890="",O890=""),"",IF(OR(I890="SIM",K890="SIM",AF890="SIM",AL890="SIM",OR(AN890="Dados pessoais",AN890="Dados sensíveis",AN890="Dados pessoais e sensíveis"),O890="Acima de 10.000 titulares por mês",(IF(I890="SIM",2,0)+IF(K890="SIM",2,0)+IF(AF890="SIM",2,0)+IF(OR(AN890="Dados pessoais",AN890="Dados sensíveis",AN890="Dados pessoais e sensíveis"),2,0)+IF(O890="De 1.001 a 10.000 titulares por mês",1,0)+IF(AA890="SIM",1,0)+IF(R890="SIM",1,0)+IF(AL890="SIM",1,0)+IF(AJ890="NÃO",1,0))&gt;=3),"DPIA indicado ou em avaliação em razão de: " &amp; TRIM(IF(I890="SIM","tratamento de dados sensíveis; ","") &amp; IF(K890="SIM","utilização de dados de menores; ","") &amp; IF(AF890="SIM","transferência internacional de dados; ","") &amp; IF(AL890="SIM","utilização de inteligência artificial; ","") &amp; IF(OR(AN890="Dados pessoais",AN890="Dados sensíveis",AN890="Dados pessoais e sensíveis"),"dados inseridos em IA; ","") &amp; IF(O890="Acima de 10.000 titulares por mês","volume crítico de titulares; ","") &amp; IF(O890="De 1.001 a 10.000 titulares por mês","volume moderado de titulares; ","") &amp; IF(AA890="SIM","compartilhamento com terceiros; ","") &amp; IF(R890="SIM","compartilhamento com órgãos governamentais; ","") &amp; IF(AJ890="NÃO","ausência de controle de acesso por perfil; ","")),"DPIA não indicado: Processo de baixa criticidade."))</f>
      </c>
    </row>
    <row x14ac:dyDescent="0.25" r="891" customHeight="1" ht="15.75">
      <c r="A891" s="46"/>
      <c r="B891" s="6"/>
      <c r="C891" s="11"/>
      <c r="D891" s="11"/>
      <c r="E891" s="11"/>
      <c r="F891" s="29"/>
      <c r="G891" s="11"/>
      <c r="H891" s="11"/>
      <c r="I891" s="29"/>
      <c r="J891" s="11"/>
      <c r="K891" s="29"/>
      <c r="L891" s="11"/>
      <c r="M891" s="11"/>
      <c r="N891" s="11"/>
      <c r="O891" s="29"/>
      <c r="P891" s="29"/>
      <c r="Q891" s="11"/>
      <c r="R891" s="29"/>
      <c r="S891" s="11"/>
      <c r="T891" s="6"/>
      <c r="U891" s="29"/>
      <c r="V891" s="11"/>
      <c r="W891" s="11"/>
      <c r="X891" s="29"/>
      <c r="Y891" s="11"/>
      <c r="Z891" s="29"/>
      <c r="AA891" s="29"/>
      <c r="AB891" s="11"/>
      <c r="AC891" s="11"/>
      <c r="AD891" s="29"/>
      <c r="AE891" s="11"/>
      <c r="AF891" s="29"/>
      <c r="AG891" s="11"/>
      <c r="AH891" s="29"/>
      <c r="AI891" s="11"/>
      <c r="AJ891" s="29"/>
      <c r="AK891" s="29"/>
      <c r="AL891" s="29"/>
      <c r="AM891" s="11"/>
      <c r="AN891" s="29"/>
      <c r="AO891" s="29"/>
      <c r="AP891" s="6"/>
      <c r="AQ891" s="113">
        <f>IF(AND(I891="",K891="",AF891="",AL891="",AN891="",O891=""),"",IF(OR(I891="SIM",K891="SIM",AF891="SIM",AL891="SIM",AN891="Dados pessoais",AN891="Dados sensíveis",AN891="Dados pessoais e sensíveis",O891="Acima de 10.000 titulares por mês"),"SIM - Alta criticidade",IF((IF(I891="SIM",2,0)+IF(K891="SIM",2,0)+IF(AF891="SIM",2,0)+IF(OR(AN891="Dados pessoais",AN891="Dados sensíveis",AN891="Dados pessoais e sensíveis"),2,0)+IF(O891="De 1.001 a 10.000 titulares por mês",1,0)+IF(AA891="SIM",1,0)+IF(R891="SIM",1,0)+IF(AL891="SIM",1,0)+IF(AJ891="NÃO",1,0))&gt;=5,"SIM - Alta criticidade",IF((IF(I891="SIM",2,0)+IF(K891="SIM",2,0)+IF(AF891="SIM",2,0)+IF(OR(AN891="Dados pessoais",AN891="Dados sensíveis",AN891="Dados pessoais e sensíveis"),2,0)+IF(O891="De 1.001 a 10.000 titulares por mês",1,0)+IF(AA891="SIM",1,0)+IF(R891="SIM",1,0)+IF(AL891="SIM",1,0)+IF(AJ891="NÃO",1,0))&gt;=3,"Avaliação necessária","NÃO"))))</f>
      </c>
      <c r="AR891" s="11"/>
      <c r="AS891" s="113">
        <f>IF(AND(I891="",K891="",AF891="",AL891="",AN891="",O891=""),"",IF(OR(I891="SIM",K891="SIM",AF891="SIM",AL891="SIM",OR(AN891="Dados pessoais",AN891="Dados sensíveis",AN891="Dados pessoais e sensíveis"),O891="Acima de 10.000 titulares por mês",(IF(I891="SIM",2,0)+IF(K891="SIM",2,0)+IF(AF891="SIM",2,0)+IF(OR(AN891="Dados pessoais",AN891="Dados sensíveis",AN891="Dados pessoais e sensíveis"),2,0)+IF(O891="De 1.001 a 10.000 titulares por mês",1,0)+IF(AA891="SIM",1,0)+IF(R891="SIM",1,0)+IF(AL891="SIM",1,0)+IF(AJ891="NÃO",1,0))&gt;=3),"DPIA indicado ou em avaliação em razão de: " &amp; TRIM(IF(I891="SIM","tratamento de dados sensíveis; ","") &amp; IF(K891="SIM","utilização de dados de menores; ","") &amp; IF(AF891="SIM","transferência internacional de dados; ","") &amp; IF(AL891="SIM","utilização de inteligência artificial; ","") &amp; IF(OR(AN891="Dados pessoais",AN891="Dados sensíveis",AN891="Dados pessoais e sensíveis"),"dados inseridos em IA; ","") &amp; IF(O891="Acima de 10.000 titulares por mês","volume crítico de titulares; ","") &amp; IF(O891="De 1.001 a 10.000 titulares por mês","volume moderado de titulares; ","") &amp; IF(AA891="SIM","compartilhamento com terceiros; ","") &amp; IF(R891="SIM","compartilhamento com órgãos governamentais; ","") &amp; IF(AJ891="NÃO","ausência de controle de acesso por perfil; ","")),"DPIA não indicado: Processo de baixa criticidade."))</f>
      </c>
    </row>
    <row x14ac:dyDescent="0.25" r="892" customHeight="1" ht="15.75">
      <c r="A892" s="46"/>
      <c r="B892" s="6"/>
      <c r="C892" s="11"/>
      <c r="D892" s="11"/>
      <c r="E892" s="11"/>
      <c r="F892" s="29"/>
      <c r="G892" s="11"/>
      <c r="H892" s="11"/>
      <c r="I892" s="29"/>
      <c r="J892" s="11"/>
      <c r="K892" s="29"/>
      <c r="L892" s="11"/>
      <c r="M892" s="11"/>
      <c r="N892" s="11"/>
      <c r="O892" s="29"/>
      <c r="P892" s="29"/>
      <c r="Q892" s="11"/>
      <c r="R892" s="29"/>
      <c r="S892" s="11"/>
      <c r="T892" s="6"/>
      <c r="U892" s="29"/>
      <c r="V892" s="11"/>
      <c r="W892" s="11"/>
      <c r="X892" s="29"/>
      <c r="Y892" s="11"/>
      <c r="Z892" s="29"/>
      <c r="AA892" s="29"/>
      <c r="AB892" s="11"/>
      <c r="AC892" s="11"/>
      <c r="AD892" s="29"/>
      <c r="AE892" s="11"/>
      <c r="AF892" s="29"/>
      <c r="AG892" s="11"/>
      <c r="AH892" s="29"/>
      <c r="AI892" s="11"/>
      <c r="AJ892" s="29"/>
      <c r="AK892" s="29"/>
      <c r="AL892" s="29"/>
      <c r="AM892" s="11"/>
      <c r="AN892" s="29"/>
      <c r="AO892" s="29"/>
      <c r="AP892" s="6"/>
      <c r="AQ892" s="113">
        <f>IF(AND(I892="",K892="",AF892="",AL892="",AN892="",O892=""),"",IF(OR(I892="SIM",K892="SIM",AF892="SIM",AL892="SIM",AN892="Dados pessoais",AN892="Dados sensíveis",AN892="Dados pessoais e sensíveis",O892="Acima de 10.000 titulares por mês"),"SIM - Alta criticidade",IF((IF(I892="SIM",2,0)+IF(K892="SIM",2,0)+IF(AF892="SIM",2,0)+IF(OR(AN892="Dados pessoais",AN892="Dados sensíveis",AN892="Dados pessoais e sensíveis"),2,0)+IF(O892="De 1.001 a 10.000 titulares por mês",1,0)+IF(AA892="SIM",1,0)+IF(R892="SIM",1,0)+IF(AL892="SIM",1,0)+IF(AJ892="NÃO",1,0))&gt;=5,"SIM - Alta criticidade",IF((IF(I892="SIM",2,0)+IF(K892="SIM",2,0)+IF(AF892="SIM",2,0)+IF(OR(AN892="Dados pessoais",AN892="Dados sensíveis",AN892="Dados pessoais e sensíveis"),2,0)+IF(O892="De 1.001 a 10.000 titulares por mês",1,0)+IF(AA892="SIM",1,0)+IF(R892="SIM",1,0)+IF(AL892="SIM",1,0)+IF(AJ892="NÃO",1,0))&gt;=3,"Avaliação necessária","NÃO"))))</f>
      </c>
      <c r="AR892" s="11"/>
      <c r="AS892" s="113">
        <f>IF(AND(I892="",K892="",AF892="",AL892="",AN892="",O892=""),"",IF(OR(I892="SIM",K892="SIM",AF892="SIM",AL892="SIM",OR(AN892="Dados pessoais",AN892="Dados sensíveis",AN892="Dados pessoais e sensíveis"),O892="Acima de 10.000 titulares por mês",(IF(I892="SIM",2,0)+IF(K892="SIM",2,0)+IF(AF892="SIM",2,0)+IF(OR(AN892="Dados pessoais",AN892="Dados sensíveis",AN892="Dados pessoais e sensíveis"),2,0)+IF(O892="De 1.001 a 10.000 titulares por mês",1,0)+IF(AA892="SIM",1,0)+IF(R892="SIM",1,0)+IF(AL892="SIM",1,0)+IF(AJ892="NÃO",1,0))&gt;=3),"DPIA indicado ou em avaliação em razão de: " &amp; TRIM(IF(I892="SIM","tratamento de dados sensíveis; ","") &amp; IF(K892="SIM","utilização de dados de menores; ","") &amp; IF(AF892="SIM","transferência internacional de dados; ","") &amp; IF(AL892="SIM","utilização de inteligência artificial; ","") &amp; IF(OR(AN892="Dados pessoais",AN892="Dados sensíveis",AN892="Dados pessoais e sensíveis"),"dados inseridos em IA; ","") &amp; IF(O892="Acima de 10.000 titulares por mês","volume crítico de titulares; ","") &amp; IF(O892="De 1.001 a 10.000 titulares por mês","volume moderado de titulares; ","") &amp; IF(AA892="SIM","compartilhamento com terceiros; ","") &amp; IF(R892="SIM","compartilhamento com órgãos governamentais; ","") &amp; IF(AJ892="NÃO","ausência de controle de acesso por perfil; ","")),"DPIA não indicado: Processo de baixa criticidade."))</f>
      </c>
    </row>
    <row x14ac:dyDescent="0.25" r="893" customHeight="1" ht="15.75">
      <c r="A893" s="46"/>
      <c r="B893" s="6"/>
      <c r="C893" s="11"/>
      <c r="D893" s="11"/>
      <c r="E893" s="11"/>
      <c r="F893" s="29"/>
      <c r="G893" s="11"/>
      <c r="H893" s="11"/>
      <c r="I893" s="29"/>
      <c r="J893" s="11"/>
      <c r="K893" s="29"/>
      <c r="L893" s="11"/>
      <c r="M893" s="11"/>
      <c r="N893" s="11"/>
      <c r="O893" s="29"/>
      <c r="P893" s="29"/>
      <c r="Q893" s="11"/>
      <c r="R893" s="29"/>
      <c r="S893" s="11"/>
      <c r="T893" s="6"/>
      <c r="U893" s="29"/>
      <c r="V893" s="11"/>
      <c r="W893" s="11"/>
      <c r="X893" s="29"/>
      <c r="Y893" s="11"/>
      <c r="Z893" s="29"/>
      <c r="AA893" s="29"/>
      <c r="AB893" s="11"/>
      <c r="AC893" s="11"/>
      <c r="AD893" s="29"/>
      <c r="AE893" s="11"/>
      <c r="AF893" s="29"/>
      <c r="AG893" s="11"/>
      <c r="AH893" s="29"/>
      <c r="AI893" s="11"/>
      <c r="AJ893" s="29"/>
      <c r="AK893" s="29"/>
      <c r="AL893" s="29"/>
      <c r="AM893" s="11"/>
      <c r="AN893" s="29"/>
      <c r="AO893" s="29"/>
      <c r="AP893" s="6"/>
      <c r="AQ893" s="113">
        <f>IF(AND(I893="",K893="",AF893="",AL893="",AN893="",O893=""),"",IF(OR(I893="SIM",K893="SIM",AF893="SIM",AL893="SIM",AN893="Dados pessoais",AN893="Dados sensíveis",AN893="Dados pessoais e sensíveis",O893="Acima de 10.000 titulares por mês"),"SIM - Alta criticidade",IF((IF(I893="SIM",2,0)+IF(K893="SIM",2,0)+IF(AF893="SIM",2,0)+IF(OR(AN893="Dados pessoais",AN893="Dados sensíveis",AN893="Dados pessoais e sensíveis"),2,0)+IF(O893="De 1.001 a 10.000 titulares por mês",1,0)+IF(AA893="SIM",1,0)+IF(R893="SIM",1,0)+IF(AL893="SIM",1,0)+IF(AJ893="NÃO",1,0))&gt;=5,"SIM - Alta criticidade",IF((IF(I893="SIM",2,0)+IF(K893="SIM",2,0)+IF(AF893="SIM",2,0)+IF(OR(AN893="Dados pessoais",AN893="Dados sensíveis",AN893="Dados pessoais e sensíveis"),2,0)+IF(O893="De 1.001 a 10.000 titulares por mês",1,0)+IF(AA893="SIM",1,0)+IF(R893="SIM",1,0)+IF(AL893="SIM",1,0)+IF(AJ893="NÃO",1,0))&gt;=3,"Avaliação necessária","NÃO"))))</f>
      </c>
      <c r="AR893" s="11"/>
      <c r="AS893" s="113">
        <f>IF(AND(I893="",K893="",AF893="",AL893="",AN893="",O893=""),"",IF(OR(I893="SIM",K893="SIM",AF893="SIM",AL893="SIM",OR(AN893="Dados pessoais",AN893="Dados sensíveis",AN893="Dados pessoais e sensíveis"),O893="Acima de 10.000 titulares por mês",(IF(I893="SIM",2,0)+IF(K893="SIM",2,0)+IF(AF893="SIM",2,0)+IF(OR(AN893="Dados pessoais",AN893="Dados sensíveis",AN893="Dados pessoais e sensíveis"),2,0)+IF(O893="De 1.001 a 10.000 titulares por mês",1,0)+IF(AA893="SIM",1,0)+IF(R893="SIM",1,0)+IF(AL893="SIM",1,0)+IF(AJ893="NÃO",1,0))&gt;=3),"DPIA indicado ou em avaliação em razão de: " &amp; TRIM(IF(I893="SIM","tratamento de dados sensíveis; ","") &amp; IF(K893="SIM","utilização de dados de menores; ","") &amp; IF(AF893="SIM","transferência internacional de dados; ","") &amp; IF(AL893="SIM","utilização de inteligência artificial; ","") &amp; IF(OR(AN893="Dados pessoais",AN893="Dados sensíveis",AN893="Dados pessoais e sensíveis"),"dados inseridos em IA; ","") &amp; IF(O893="Acima de 10.000 titulares por mês","volume crítico de titulares; ","") &amp; IF(O893="De 1.001 a 10.000 titulares por mês","volume moderado de titulares; ","") &amp; IF(AA893="SIM","compartilhamento com terceiros; ","") &amp; IF(R893="SIM","compartilhamento com órgãos governamentais; ","") &amp; IF(AJ893="NÃO","ausência de controle de acesso por perfil; ","")),"DPIA não indicado: Processo de baixa criticidade."))</f>
      </c>
    </row>
    <row x14ac:dyDescent="0.25" r="894" customHeight="1" ht="15.75">
      <c r="A894" s="46"/>
      <c r="B894" s="6"/>
      <c r="C894" s="11"/>
      <c r="D894" s="11"/>
      <c r="E894" s="11"/>
      <c r="F894" s="29"/>
      <c r="G894" s="11"/>
      <c r="H894" s="11"/>
      <c r="I894" s="29"/>
      <c r="J894" s="11"/>
      <c r="K894" s="29"/>
      <c r="L894" s="11"/>
      <c r="M894" s="11"/>
      <c r="N894" s="11"/>
      <c r="O894" s="29"/>
      <c r="P894" s="29"/>
      <c r="Q894" s="11"/>
      <c r="R894" s="29"/>
      <c r="S894" s="11"/>
      <c r="T894" s="6"/>
      <c r="U894" s="29"/>
      <c r="V894" s="11"/>
      <c r="W894" s="11"/>
      <c r="X894" s="29"/>
      <c r="Y894" s="11"/>
      <c r="Z894" s="29"/>
      <c r="AA894" s="29"/>
      <c r="AB894" s="11"/>
      <c r="AC894" s="11"/>
      <c r="AD894" s="29"/>
      <c r="AE894" s="11"/>
      <c r="AF894" s="29"/>
      <c r="AG894" s="11"/>
      <c r="AH894" s="29"/>
      <c r="AI894" s="11"/>
      <c r="AJ894" s="29"/>
      <c r="AK894" s="29"/>
      <c r="AL894" s="29"/>
      <c r="AM894" s="11"/>
      <c r="AN894" s="29"/>
      <c r="AO894" s="29"/>
      <c r="AP894" s="6"/>
      <c r="AQ894" s="113">
        <f>IF(AND(I894="",K894="",AF894="",AL894="",AN894="",O894=""),"",IF(OR(I894="SIM",K894="SIM",AF894="SIM",AL894="SIM",AN894="Dados pessoais",AN894="Dados sensíveis",AN894="Dados pessoais e sensíveis",O894="Acima de 10.000 titulares por mês"),"SIM - Alta criticidade",IF((IF(I894="SIM",2,0)+IF(K894="SIM",2,0)+IF(AF894="SIM",2,0)+IF(OR(AN894="Dados pessoais",AN894="Dados sensíveis",AN894="Dados pessoais e sensíveis"),2,0)+IF(O894="De 1.001 a 10.000 titulares por mês",1,0)+IF(AA894="SIM",1,0)+IF(R894="SIM",1,0)+IF(AL894="SIM",1,0)+IF(AJ894="NÃO",1,0))&gt;=5,"SIM - Alta criticidade",IF((IF(I894="SIM",2,0)+IF(K894="SIM",2,0)+IF(AF894="SIM",2,0)+IF(OR(AN894="Dados pessoais",AN894="Dados sensíveis",AN894="Dados pessoais e sensíveis"),2,0)+IF(O894="De 1.001 a 10.000 titulares por mês",1,0)+IF(AA894="SIM",1,0)+IF(R894="SIM",1,0)+IF(AL894="SIM",1,0)+IF(AJ894="NÃO",1,0))&gt;=3,"Avaliação necessária","NÃO"))))</f>
      </c>
      <c r="AR894" s="11"/>
      <c r="AS894" s="113">
        <f>IF(AND(I894="",K894="",AF894="",AL894="",AN894="",O894=""),"",IF(OR(I894="SIM",K894="SIM",AF894="SIM",AL894="SIM",OR(AN894="Dados pessoais",AN894="Dados sensíveis",AN894="Dados pessoais e sensíveis"),O894="Acima de 10.000 titulares por mês",(IF(I894="SIM",2,0)+IF(K894="SIM",2,0)+IF(AF894="SIM",2,0)+IF(OR(AN894="Dados pessoais",AN894="Dados sensíveis",AN894="Dados pessoais e sensíveis"),2,0)+IF(O894="De 1.001 a 10.000 titulares por mês",1,0)+IF(AA894="SIM",1,0)+IF(R894="SIM",1,0)+IF(AL894="SIM",1,0)+IF(AJ894="NÃO",1,0))&gt;=3),"DPIA indicado ou em avaliação em razão de: " &amp; TRIM(IF(I894="SIM","tratamento de dados sensíveis; ","") &amp; IF(K894="SIM","utilização de dados de menores; ","") &amp; IF(AF894="SIM","transferência internacional de dados; ","") &amp; IF(AL894="SIM","utilização de inteligência artificial; ","") &amp; IF(OR(AN894="Dados pessoais",AN894="Dados sensíveis",AN894="Dados pessoais e sensíveis"),"dados inseridos em IA; ","") &amp; IF(O894="Acima de 10.000 titulares por mês","volume crítico de titulares; ","") &amp; IF(O894="De 1.001 a 10.000 titulares por mês","volume moderado de titulares; ","") &amp; IF(AA894="SIM","compartilhamento com terceiros; ","") &amp; IF(R894="SIM","compartilhamento com órgãos governamentais; ","") &amp; IF(AJ894="NÃO","ausência de controle de acesso por perfil; ","")),"DPIA não indicado: Processo de baixa criticidade."))</f>
      </c>
    </row>
    <row x14ac:dyDescent="0.25" r="895" customHeight="1" ht="15.75">
      <c r="A895" s="46"/>
      <c r="B895" s="6"/>
      <c r="C895" s="11"/>
      <c r="D895" s="11"/>
      <c r="E895" s="11"/>
      <c r="F895" s="29"/>
      <c r="G895" s="11"/>
      <c r="H895" s="11"/>
      <c r="I895" s="29"/>
      <c r="J895" s="11"/>
      <c r="K895" s="29"/>
      <c r="L895" s="11"/>
      <c r="M895" s="11"/>
      <c r="N895" s="11"/>
      <c r="O895" s="29"/>
      <c r="P895" s="29"/>
      <c r="Q895" s="11"/>
      <c r="R895" s="29"/>
      <c r="S895" s="11"/>
      <c r="T895" s="6"/>
      <c r="U895" s="29"/>
      <c r="V895" s="11"/>
      <c r="W895" s="11"/>
      <c r="X895" s="29"/>
      <c r="Y895" s="11"/>
      <c r="Z895" s="29"/>
      <c r="AA895" s="29"/>
      <c r="AB895" s="11"/>
      <c r="AC895" s="11"/>
      <c r="AD895" s="29"/>
      <c r="AE895" s="11"/>
      <c r="AF895" s="29"/>
      <c r="AG895" s="11"/>
      <c r="AH895" s="29"/>
      <c r="AI895" s="11"/>
      <c r="AJ895" s="29"/>
      <c r="AK895" s="29"/>
      <c r="AL895" s="29"/>
      <c r="AM895" s="11"/>
      <c r="AN895" s="29"/>
      <c r="AO895" s="29"/>
      <c r="AP895" s="6"/>
      <c r="AQ895" s="113">
        <f>IF(AND(I895="",K895="",AF895="",AL895="",AN895="",O895=""),"",IF(OR(I895="SIM",K895="SIM",AF895="SIM",AL895="SIM",AN895="Dados pessoais",AN895="Dados sensíveis",AN895="Dados pessoais e sensíveis",O895="Acima de 10.000 titulares por mês"),"SIM - Alta criticidade",IF((IF(I895="SIM",2,0)+IF(K895="SIM",2,0)+IF(AF895="SIM",2,0)+IF(OR(AN895="Dados pessoais",AN895="Dados sensíveis",AN895="Dados pessoais e sensíveis"),2,0)+IF(O895="De 1.001 a 10.000 titulares por mês",1,0)+IF(AA895="SIM",1,0)+IF(R895="SIM",1,0)+IF(AL895="SIM",1,0)+IF(AJ895="NÃO",1,0))&gt;=5,"SIM - Alta criticidade",IF((IF(I895="SIM",2,0)+IF(K895="SIM",2,0)+IF(AF895="SIM",2,0)+IF(OR(AN895="Dados pessoais",AN895="Dados sensíveis",AN895="Dados pessoais e sensíveis"),2,0)+IF(O895="De 1.001 a 10.000 titulares por mês",1,0)+IF(AA895="SIM",1,0)+IF(R895="SIM",1,0)+IF(AL895="SIM",1,0)+IF(AJ895="NÃO",1,0))&gt;=3,"Avaliação necessária","NÃO"))))</f>
      </c>
      <c r="AR895" s="11"/>
      <c r="AS895" s="113">
        <f>IF(AND(I895="",K895="",AF895="",AL895="",AN895="",O895=""),"",IF(OR(I895="SIM",K895="SIM",AF895="SIM",AL895="SIM",OR(AN895="Dados pessoais",AN895="Dados sensíveis",AN895="Dados pessoais e sensíveis"),O895="Acima de 10.000 titulares por mês",(IF(I895="SIM",2,0)+IF(K895="SIM",2,0)+IF(AF895="SIM",2,0)+IF(OR(AN895="Dados pessoais",AN895="Dados sensíveis",AN895="Dados pessoais e sensíveis"),2,0)+IF(O895="De 1.001 a 10.000 titulares por mês",1,0)+IF(AA895="SIM",1,0)+IF(R895="SIM",1,0)+IF(AL895="SIM",1,0)+IF(AJ895="NÃO",1,0))&gt;=3),"DPIA indicado ou em avaliação em razão de: " &amp; TRIM(IF(I895="SIM","tratamento de dados sensíveis; ","") &amp; IF(K895="SIM","utilização de dados de menores; ","") &amp; IF(AF895="SIM","transferência internacional de dados; ","") &amp; IF(AL895="SIM","utilização de inteligência artificial; ","") &amp; IF(OR(AN895="Dados pessoais",AN895="Dados sensíveis",AN895="Dados pessoais e sensíveis"),"dados inseridos em IA; ","") &amp; IF(O895="Acima de 10.000 titulares por mês","volume crítico de titulares; ","") &amp; IF(O895="De 1.001 a 10.000 titulares por mês","volume moderado de titulares; ","") &amp; IF(AA895="SIM","compartilhamento com terceiros; ","") &amp; IF(R895="SIM","compartilhamento com órgãos governamentais; ","") &amp; IF(AJ895="NÃO","ausência de controle de acesso por perfil; ","")),"DPIA não indicado: Processo de baixa criticidade."))</f>
      </c>
    </row>
    <row x14ac:dyDescent="0.25" r="896" customHeight="1" ht="15.75">
      <c r="A896" s="46"/>
      <c r="B896" s="6"/>
      <c r="C896" s="11"/>
      <c r="D896" s="11"/>
      <c r="E896" s="11"/>
      <c r="F896" s="29"/>
      <c r="G896" s="11"/>
      <c r="H896" s="11"/>
      <c r="I896" s="29"/>
      <c r="J896" s="11"/>
      <c r="K896" s="29"/>
      <c r="L896" s="11"/>
      <c r="M896" s="11"/>
      <c r="N896" s="11"/>
      <c r="O896" s="29"/>
      <c r="P896" s="29"/>
      <c r="Q896" s="11"/>
      <c r="R896" s="29"/>
      <c r="S896" s="11"/>
      <c r="T896" s="6"/>
      <c r="U896" s="29"/>
      <c r="V896" s="11"/>
      <c r="W896" s="11"/>
      <c r="X896" s="29"/>
      <c r="Y896" s="11"/>
      <c r="Z896" s="29"/>
      <c r="AA896" s="29"/>
      <c r="AB896" s="11"/>
      <c r="AC896" s="11"/>
      <c r="AD896" s="29"/>
      <c r="AE896" s="11"/>
      <c r="AF896" s="29"/>
      <c r="AG896" s="11"/>
      <c r="AH896" s="29"/>
      <c r="AI896" s="11"/>
      <c r="AJ896" s="29"/>
      <c r="AK896" s="29"/>
      <c r="AL896" s="29"/>
      <c r="AM896" s="11"/>
      <c r="AN896" s="29"/>
      <c r="AO896" s="29"/>
      <c r="AP896" s="6"/>
      <c r="AQ896" s="113">
        <f>IF(AND(I896="",K896="",AF896="",AL896="",AN896="",O896=""),"",IF(OR(I896="SIM",K896="SIM",AF896="SIM",AL896="SIM",AN896="Dados pessoais",AN896="Dados sensíveis",AN896="Dados pessoais e sensíveis",O896="Acima de 10.000 titulares por mês"),"SIM - Alta criticidade",IF((IF(I896="SIM",2,0)+IF(K896="SIM",2,0)+IF(AF896="SIM",2,0)+IF(OR(AN896="Dados pessoais",AN896="Dados sensíveis",AN896="Dados pessoais e sensíveis"),2,0)+IF(O896="De 1.001 a 10.000 titulares por mês",1,0)+IF(AA896="SIM",1,0)+IF(R896="SIM",1,0)+IF(AL896="SIM",1,0)+IF(AJ896="NÃO",1,0))&gt;=5,"SIM - Alta criticidade",IF((IF(I896="SIM",2,0)+IF(K896="SIM",2,0)+IF(AF896="SIM",2,0)+IF(OR(AN896="Dados pessoais",AN896="Dados sensíveis",AN896="Dados pessoais e sensíveis"),2,0)+IF(O896="De 1.001 a 10.000 titulares por mês",1,0)+IF(AA896="SIM",1,0)+IF(R896="SIM",1,0)+IF(AL896="SIM",1,0)+IF(AJ896="NÃO",1,0))&gt;=3,"Avaliação necessária","NÃO"))))</f>
      </c>
      <c r="AR896" s="11"/>
      <c r="AS896" s="113">
        <f>IF(AND(I896="",K896="",AF896="",AL896="",AN896="",O896=""),"",IF(OR(I896="SIM",K896="SIM",AF896="SIM",AL896="SIM",OR(AN896="Dados pessoais",AN896="Dados sensíveis",AN896="Dados pessoais e sensíveis"),O896="Acima de 10.000 titulares por mês",(IF(I896="SIM",2,0)+IF(K896="SIM",2,0)+IF(AF896="SIM",2,0)+IF(OR(AN896="Dados pessoais",AN896="Dados sensíveis",AN896="Dados pessoais e sensíveis"),2,0)+IF(O896="De 1.001 a 10.000 titulares por mês",1,0)+IF(AA896="SIM",1,0)+IF(R896="SIM",1,0)+IF(AL896="SIM",1,0)+IF(AJ896="NÃO",1,0))&gt;=3),"DPIA indicado ou em avaliação em razão de: " &amp; TRIM(IF(I896="SIM","tratamento de dados sensíveis; ","") &amp; IF(K896="SIM","utilização de dados de menores; ","") &amp; IF(AF896="SIM","transferência internacional de dados; ","") &amp; IF(AL896="SIM","utilização de inteligência artificial; ","") &amp; IF(OR(AN896="Dados pessoais",AN896="Dados sensíveis",AN896="Dados pessoais e sensíveis"),"dados inseridos em IA; ","") &amp; IF(O896="Acima de 10.000 titulares por mês","volume crítico de titulares; ","") &amp; IF(O896="De 1.001 a 10.000 titulares por mês","volume moderado de titulares; ","") &amp; IF(AA896="SIM","compartilhamento com terceiros; ","") &amp; IF(R896="SIM","compartilhamento com órgãos governamentais; ","") &amp; IF(AJ896="NÃO","ausência de controle de acesso por perfil; ","")),"DPIA não indicado: Processo de baixa criticidade."))</f>
      </c>
    </row>
    <row x14ac:dyDescent="0.25" r="897" customHeight="1" ht="15.75">
      <c r="A897" s="46"/>
      <c r="B897" s="6"/>
      <c r="C897" s="11"/>
      <c r="D897" s="11"/>
      <c r="E897" s="11"/>
      <c r="F897" s="29"/>
      <c r="G897" s="11"/>
      <c r="H897" s="11"/>
      <c r="I897" s="29"/>
      <c r="J897" s="11"/>
      <c r="K897" s="29"/>
      <c r="L897" s="11"/>
      <c r="M897" s="11"/>
      <c r="N897" s="11"/>
      <c r="O897" s="29"/>
      <c r="P897" s="29"/>
      <c r="Q897" s="11"/>
      <c r="R897" s="29"/>
      <c r="S897" s="11"/>
      <c r="T897" s="6"/>
      <c r="U897" s="29"/>
      <c r="V897" s="11"/>
      <c r="W897" s="11"/>
      <c r="X897" s="29"/>
      <c r="Y897" s="11"/>
      <c r="Z897" s="29"/>
      <c r="AA897" s="29"/>
      <c r="AB897" s="11"/>
      <c r="AC897" s="11"/>
      <c r="AD897" s="29"/>
      <c r="AE897" s="11"/>
      <c r="AF897" s="29"/>
      <c r="AG897" s="11"/>
      <c r="AH897" s="29"/>
      <c r="AI897" s="11"/>
      <c r="AJ897" s="29"/>
      <c r="AK897" s="29"/>
      <c r="AL897" s="29"/>
      <c r="AM897" s="11"/>
      <c r="AN897" s="29"/>
      <c r="AO897" s="29"/>
      <c r="AP897" s="6"/>
      <c r="AQ897" s="113">
        <f>IF(AND(I897="",K897="",AF897="",AL897="",AN897="",O897=""),"",IF(OR(I897="SIM",K897="SIM",AF897="SIM",AL897="SIM",AN897="Dados pessoais",AN897="Dados sensíveis",AN897="Dados pessoais e sensíveis",O897="Acima de 10.000 titulares por mês"),"SIM - Alta criticidade",IF((IF(I897="SIM",2,0)+IF(K897="SIM",2,0)+IF(AF897="SIM",2,0)+IF(OR(AN897="Dados pessoais",AN897="Dados sensíveis",AN897="Dados pessoais e sensíveis"),2,0)+IF(O897="De 1.001 a 10.000 titulares por mês",1,0)+IF(AA897="SIM",1,0)+IF(R897="SIM",1,0)+IF(AL897="SIM",1,0)+IF(AJ897="NÃO",1,0))&gt;=5,"SIM - Alta criticidade",IF((IF(I897="SIM",2,0)+IF(K897="SIM",2,0)+IF(AF897="SIM",2,0)+IF(OR(AN897="Dados pessoais",AN897="Dados sensíveis",AN897="Dados pessoais e sensíveis"),2,0)+IF(O897="De 1.001 a 10.000 titulares por mês",1,0)+IF(AA897="SIM",1,0)+IF(R897="SIM",1,0)+IF(AL897="SIM",1,0)+IF(AJ897="NÃO",1,0))&gt;=3,"Avaliação necessária","NÃO"))))</f>
      </c>
      <c r="AR897" s="11"/>
      <c r="AS897" s="113">
        <f>IF(AND(I897="",K897="",AF897="",AL897="",AN897="",O897=""),"",IF(OR(I897="SIM",K897="SIM",AF897="SIM",AL897="SIM",OR(AN897="Dados pessoais",AN897="Dados sensíveis",AN897="Dados pessoais e sensíveis"),O897="Acima de 10.000 titulares por mês",(IF(I897="SIM",2,0)+IF(K897="SIM",2,0)+IF(AF897="SIM",2,0)+IF(OR(AN897="Dados pessoais",AN897="Dados sensíveis",AN897="Dados pessoais e sensíveis"),2,0)+IF(O897="De 1.001 a 10.000 titulares por mês",1,0)+IF(AA897="SIM",1,0)+IF(R897="SIM",1,0)+IF(AL897="SIM",1,0)+IF(AJ897="NÃO",1,0))&gt;=3),"DPIA indicado ou em avaliação em razão de: " &amp; TRIM(IF(I897="SIM","tratamento de dados sensíveis; ","") &amp; IF(K897="SIM","utilização de dados de menores; ","") &amp; IF(AF897="SIM","transferência internacional de dados; ","") &amp; IF(AL897="SIM","utilização de inteligência artificial; ","") &amp; IF(OR(AN897="Dados pessoais",AN897="Dados sensíveis",AN897="Dados pessoais e sensíveis"),"dados inseridos em IA; ","") &amp; IF(O897="Acima de 10.000 titulares por mês","volume crítico de titulares; ","") &amp; IF(O897="De 1.001 a 10.000 titulares por mês","volume moderado de titulares; ","") &amp; IF(AA897="SIM","compartilhamento com terceiros; ","") &amp; IF(R897="SIM","compartilhamento com órgãos governamentais; ","") &amp; IF(AJ897="NÃO","ausência de controle de acesso por perfil; ","")),"DPIA não indicado: Processo de baixa criticidade."))</f>
      </c>
    </row>
    <row x14ac:dyDescent="0.25" r="898" customHeight="1" ht="15.75">
      <c r="A898" s="46"/>
      <c r="B898" s="6"/>
      <c r="C898" s="11"/>
      <c r="D898" s="11"/>
      <c r="E898" s="11"/>
      <c r="F898" s="29"/>
      <c r="G898" s="11"/>
      <c r="H898" s="11"/>
      <c r="I898" s="29"/>
      <c r="J898" s="11"/>
      <c r="K898" s="29"/>
      <c r="L898" s="11"/>
      <c r="M898" s="11"/>
      <c r="N898" s="11"/>
      <c r="O898" s="29"/>
      <c r="P898" s="29"/>
      <c r="Q898" s="11"/>
      <c r="R898" s="29"/>
      <c r="S898" s="11"/>
      <c r="T898" s="6"/>
      <c r="U898" s="29"/>
      <c r="V898" s="11"/>
      <c r="W898" s="11"/>
      <c r="X898" s="29"/>
      <c r="Y898" s="11"/>
      <c r="Z898" s="29"/>
      <c r="AA898" s="29"/>
      <c r="AB898" s="11"/>
      <c r="AC898" s="11"/>
      <c r="AD898" s="29"/>
      <c r="AE898" s="11"/>
      <c r="AF898" s="29"/>
      <c r="AG898" s="11"/>
      <c r="AH898" s="29"/>
      <c r="AI898" s="11"/>
      <c r="AJ898" s="29"/>
      <c r="AK898" s="29"/>
      <c r="AL898" s="29"/>
      <c r="AM898" s="11"/>
      <c r="AN898" s="29"/>
      <c r="AO898" s="29"/>
      <c r="AP898" s="6"/>
      <c r="AQ898" s="113">
        <f>IF(AND(I898="",K898="",AF898="",AL898="",AN898="",O898=""),"",IF(OR(I898="SIM",K898="SIM",AF898="SIM",AL898="SIM",AN898="Dados pessoais",AN898="Dados sensíveis",AN898="Dados pessoais e sensíveis",O898="Acima de 10.000 titulares por mês"),"SIM - Alta criticidade",IF((IF(I898="SIM",2,0)+IF(K898="SIM",2,0)+IF(AF898="SIM",2,0)+IF(OR(AN898="Dados pessoais",AN898="Dados sensíveis",AN898="Dados pessoais e sensíveis"),2,0)+IF(O898="De 1.001 a 10.000 titulares por mês",1,0)+IF(AA898="SIM",1,0)+IF(R898="SIM",1,0)+IF(AL898="SIM",1,0)+IF(AJ898="NÃO",1,0))&gt;=5,"SIM - Alta criticidade",IF((IF(I898="SIM",2,0)+IF(K898="SIM",2,0)+IF(AF898="SIM",2,0)+IF(OR(AN898="Dados pessoais",AN898="Dados sensíveis",AN898="Dados pessoais e sensíveis"),2,0)+IF(O898="De 1.001 a 10.000 titulares por mês",1,0)+IF(AA898="SIM",1,0)+IF(R898="SIM",1,0)+IF(AL898="SIM",1,0)+IF(AJ898="NÃO",1,0))&gt;=3,"Avaliação necessária","NÃO"))))</f>
      </c>
      <c r="AR898" s="11"/>
      <c r="AS898" s="113">
        <f>IF(AND(I898="",K898="",AF898="",AL898="",AN898="",O898=""),"",IF(OR(I898="SIM",K898="SIM",AF898="SIM",AL898="SIM",OR(AN898="Dados pessoais",AN898="Dados sensíveis",AN898="Dados pessoais e sensíveis"),O898="Acima de 10.000 titulares por mês",(IF(I898="SIM",2,0)+IF(K898="SIM",2,0)+IF(AF898="SIM",2,0)+IF(OR(AN898="Dados pessoais",AN898="Dados sensíveis",AN898="Dados pessoais e sensíveis"),2,0)+IF(O898="De 1.001 a 10.000 titulares por mês",1,0)+IF(AA898="SIM",1,0)+IF(R898="SIM",1,0)+IF(AL898="SIM",1,0)+IF(AJ898="NÃO",1,0))&gt;=3),"DPIA indicado ou em avaliação em razão de: " &amp; TRIM(IF(I898="SIM","tratamento de dados sensíveis; ","") &amp; IF(K898="SIM","utilização de dados de menores; ","") &amp; IF(AF898="SIM","transferência internacional de dados; ","") &amp; IF(AL898="SIM","utilização de inteligência artificial; ","") &amp; IF(OR(AN898="Dados pessoais",AN898="Dados sensíveis",AN898="Dados pessoais e sensíveis"),"dados inseridos em IA; ","") &amp; IF(O898="Acima de 10.000 titulares por mês","volume crítico de titulares; ","") &amp; IF(O898="De 1.001 a 10.000 titulares por mês","volume moderado de titulares; ","") &amp; IF(AA898="SIM","compartilhamento com terceiros; ","") &amp; IF(R898="SIM","compartilhamento com órgãos governamentais; ","") &amp; IF(AJ898="NÃO","ausência de controle de acesso por perfil; ","")),"DPIA não indicado: Processo de baixa criticidade."))</f>
      </c>
    </row>
    <row x14ac:dyDescent="0.25" r="899" customHeight="1" ht="15.75">
      <c r="A899" s="46"/>
      <c r="B899" s="6"/>
      <c r="C899" s="11"/>
      <c r="D899" s="11"/>
      <c r="E899" s="11"/>
      <c r="F899" s="29"/>
      <c r="G899" s="11"/>
      <c r="H899" s="11"/>
      <c r="I899" s="29"/>
      <c r="J899" s="11"/>
      <c r="K899" s="29"/>
      <c r="L899" s="11"/>
      <c r="M899" s="11"/>
      <c r="N899" s="11"/>
      <c r="O899" s="29"/>
      <c r="P899" s="29"/>
      <c r="Q899" s="11"/>
      <c r="R899" s="29"/>
      <c r="S899" s="11"/>
      <c r="T899" s="6"/>
      <c r="U899" s="29"/>
      <c r="V899" s="11"/>
      <c r="W899" s="11"/>
      <c r="X899" s="29"/>
      <c r="Y899" s="11"/>
      <c r="Z899" s="29"/>
      <c r="AA899" s="29"/>
      <c r="AB899" s="11"/>
      <c r="AC899" s="11"/>
      <c r="AD899" s="29"/>
      <c r="AE899" s="11"/>
      <c r="AF899" s="29"/>
      <c r="AG899" s="11"/>
      <c r="AH899" s="29"/>
      <c r="AI899" s="11"/>
      <c r="AJ899" s="29"/>
      <c r="AK899" s="29"/>
      <c r="AL899" s="29"/>
      <c r="AM899" s="11"/>
      <c r="AN899" s="29"/>
      <c r="AO899" s="29"/>
      <c r="AP899" s="6"/>
      <c r="AQ899" s="113">
        <f>IF(AND(I899="",K899="",AF899="",AL899="",AN899="",O899=""),"",IF(OR(I899="SIM",K899="SIM",AF899="SIM",AL899="SIM",AN899="Dados pessoais",AN899="Dados sensíveis",AN899="Dados pessoais e sensíveis",O899="Acima de 10.000 titulares por mês"),"SIM - Alta criticidade",IF((IF(I899="SIM",2,0)+IF(K899="SIM",2,0)+IF(AF899="SIM",2,0)+IF(OR(AN899="Dados pessoais",AN899="Dados sensíveis",AN899="Dados pessoais e sensíveis"),2,0)+IF(O899="De 1.001 a 10.000 titulares por mês",1,0)+IF(AA899="SIM",1,0)+IF(R899="SIM",1,0)+IF(AL899="SIM",1,0)+IF(AJ899="NÃO",1,0))&gt;=5,"SIM - Alta criticidade",IF((IF(I899="SIM",2,0)+IF(K899="SIM",2,0)+IF(AF899="SIM",2,0)+IF(OR(AN899="Dados pessoais",AN899="Dados sensíveis",AN899="Dados pessoais e sensíveis"),2,0)+IF(O899="De 1.001 a 10.000 titulares por mês",1,0)+IF(AA899="SIM",1,0)+IF(R899="SIM",1,0)+IF(AL899="SIM",1,0)+IF(AJ899="NÃO",1,0))&gt;=3,"Avaliação necessária","NÃO"))))</f>
      </c>
      <c r="AR899" s="11"/>
      <c r="AS899" s="113">
        <f>IF(AND(I899="",K899="",AF899="",AL899="",AN899="",O899=""),"",IF(OR(I899="SIM",K899="SIM",AF899="SIM",AL899="SIM",OR(AN899="Dados pessoais",AN899="Dados sensíveis",AN899="Dados pessoais e sensíveis"),O899="Acima de 10.000 titulares por mês",(IF(I899="SIM",2,0)+IF(K899="SIM",2,0)+IF(AF899="SIM",2,0)+IF(OR(AN899="Dados pessoais",AN899="Dados sensíveis",AN899="Dados pessoais e sensíveis"),2,0)+IF(O899="De 1.001 a 10.000 titulares por mês",1,0)+IF(AA899="SIM",1,0)+IF(R899="SIM",1,0)+IF(AL899="SIM",1,0)+IF(AJ899="NÃO",1,0))&gt;=3),"DPIA indicado ou em avaliação em razão de: " &amp; TRIM(IF(I899="SIM","tratamento de dados sensíveis; ","") &amp; IF(K899="SIM","utilização de dados de menores; ","") &amp; IF(AF899="SIM","transferência internacional de dados; ","") &amp; IF(AL899="SIM","utilização de inteligência artificial; ","") &amp; IF(OR(AN899="Dados pessoais",AN899="Dados sensíveis",AN899="Dados pessoais e sensíveis"),"dados inseridos em IA; ","") &amp; IF(O899="Acima de 10.000 titulares por mês","volume crítico de titulares; ","") &amp; IF(O899="De 1.001 a 10.000 titulares por mês","volume moderado de titulares; ","") &amp; IF(AA899="SIM","compartilhamento com terceiros; ","") &amp; IF(R899="SIM","compartilhamento com órgãos governamentais; ","") &amp; IF(AJ899="NÃO","ausência de controle de acesso por perfil; ","")),"DPIA não indicado: Processo de baixa criticidade."))</f>
      </c>
    </row>
    <row x14ac:dyDescent="0.25" r="900" customHeight="1" ht="15.75">
      <c r="A900" s="46"/>
      <c r="B900" s="6"/>
      <c r="C900" s="11"/>
      <c r="D900" s="11"/>
      <c r="E900" s="11"/>
      <c r="F900" s="29"/>
      <c r="G900" s="11"/>
      <c r="H900" s="11"/>
      <c r="I900" s="29"/>
      <c r="J900" s="11"/>
      <c r="K900" s="29"/>
      <c r="L900" s="11"/>
      <c r="M900" s="11"/>
      <c r="N900" s="11"/>
      <c r="O900" s="29"/>
      <c r="P900" s="29"/>
      <c r="Q900" s="11"/>
      <c r="R900" s="29"/>
      <c r="S900" s="11"/>
      <c r="T900" s="6"/>
      <c r="U900" s="29"/>
      <c r="V900" s="11"/>
      <c r="W900" s="11"/>
      <c r="X900" s="29"/>
      <c r="Y900" s="11"/>
      <c r="Z900" s="29"/>
      <c r="AA900" s="29"/>
      <c r="AB900" s="11"/>
      <c r="AC900" s="11"/>
      <c r="AD900" s="29"/>
      <c r="AE900" s="11"/>
      <c r="AF900" s="29"/>
      <c r="AG900" s="11"/>
      <c r="AH900" s="29"/>
      <c r="AI900" s="11"/>
      <c r="AJ900" s="29"/>
      <c r="AK900" s="29"/>
      <c r="AL900" s="29"/>
      <c r="AM900" s="11"/>
      <c r="AN900" s="29"/>
      <c r="AO900" s="29"/>
      <c r="AP900" s="6"/>
      <c r="AQ900" s="113">
        <f>IF(AND(I900="",K900="",AF900="",AL900="",AN900="",O900=""),"",IF(OR(I900="SIM",K900="SIM",AF900="SIM",AL900="SIM",AN900="Dados pessoais",AN900="Dados sensíveis",AN900="Dados pessoais e sensíveis",O900="Acima de 10.000 titulares por mês"),"SIM - Alta criticidade",IF((IF(I900="SIM",2,0)+IF(K900="SIM",2,0)+IF(AF900="SIM",2,0)+IF(OR(AN900="Dados pessoais",AN900="Dados sensíveis",AN900="Dados pessoais e sensíveis"),2,0)+IF(O900="De 1.001 a 10.000 titulares por mês",1,0)+IF(AA900="SIM",1,0)+IF(R900="SIM",1,0)+IF(AL900="SIM",1,0)+IF(AJ900="NÃO",1,0))&gt;=5,"SIM - Alta criticidade",IF((IF(I900="SIM",2,0)+IF(K900="SIM",2,0)+IF(AF900="SIM",2,0)+IF(OR(AN900="Dados pessoais",AN900="Dados sensíveis",AN900="Dados pessoais e sensíveis"),2,0)+IF(O900="De 1.001 a 10.000 titulares por mês",1,0)+IF(AA900="SIM",1,0)+IF(R900="SIM",1,0)+IF(AL900="SIM",1,0)+IF(AJ900="NÃO",1,0))&gt;=3,"Avaliação necessária","NÃO"))))</f>
      </c>
      <c r="AR900" s="11"/>
      <c r="AS900" s="113">
        <f>IF(AND(I900="",K900="",AF900="",AL900="",AN900="",O900=""),"",IF(OR(I900="SIM",K900="SIM",AF900="SIM",AL900="SIM",OR(AN900="Dados pessoais",AN900="Dados sensíveis",AN900="Dados pessoais e sensíveis"),O900="Acima de 10.000 titulares por mês",(IF(I900="SIM",2,0)+IF(K900="SIM",2,0)+IF(AF900="SIM",2,0)+IF(OR(AN900="Dados pessoais",AN900="Dados sensíveis",AN900="Dados pessoais e sensíveis"),2,0)+IF(O900="De 1.001 a 10.000 titulares por mês",1,0)+IF(AA900="SIM",1,0)+IF(R900="SIM",1,0)+IF(AL900="SIM",1,0)+IF(AJ900="NÃO",1,0))&gt;=3),"DPIA indicado ou em avaliação em razão de: " &amp; TRIM(IF(I900="SIM","tratamento de dados sensíveis; ","") &amp; IF(K900="SIM","utilização de dados de menores; ","") &amp; IF(AF900="SIM","transferência internacional de dados; ","") &amp; IF(AL900="SIM","utilização de inteligência artificial; ","") &amp; IF(OR(AN900="Dados pessoais",AN900="Dados sensíveis",AN900="Dados pessoais e sensíveis"),"dados inseridos em IA; ","") &amp; IF(O900="Acima de 10.000 titulares por mês","volume crítico de titulares; ","") &amp; IF(O900="De 1.001 a 10.000 titulares por mês","volume moderado de titulares; ","") &amp; IF(AA900="SIM","compartilhamento com terceiros; ","") &amp; IF(R900="SIM","compartilhamento com órgãos governamentais; ","") &amp; IF(AJ900="NÃO","ausência de controle de acesso por perfil; ","")),"DPIA não indicado: Processo de baixa criticidade."))</f>
      </c>
    </row>
    <row x14ac:dyDescent="0.25" r="901" customHeight="1" ht="15.75">
      <c r="A901" s="46"/>
      <c r="B901" s="6"/>
      <c r="C901" s="11"/>
      <c r="D901" s="11"/>
      <c r="E901" s="11"/>
      <c r="F901" s="29"/>
      <c r="G901" s="11"/>
      <c r="H901" s="11"/>
      <c r="I901" s="29"/>
      <c r="J901" s="11"/>
      <c r="K901" s="29"/>
      <c r="L901" s="11"/>
      <c r="M901" s="11"/>
      <c r="N901" s="11"/>
      <c r="O901" s="29"/>
      <c r="P901" s="29"/>
      <c r="Q901" s="11"/>
      <c r="R901" s="29"/>
      <c r="S901" s="11"/>
      <c r="T901" s="6"/>
      <c r="U901" s="29"/>
      <c r="V901" s="11"/>
      <c r="W901" s="11"/>
      <c r="X901" s="29"/>
      <c r="Y901" s="11"/>
      <c r="Z901" s="29"/>
      <c r="AA901" s="29"/>
      <c r="AB901" s="11"/>
      <c r="AC901" s="11"/>
      <c r="AD901" s="29"/>
      <c r="AE901" s="11"/>
      <c r="AF901" s="29"/>
      <c r="AG901" s="11"/>
      <c r="AH901" s="29"/>
      <c r="AI901" s="11"/>
      <c r="AJ901" s="29"/>
      <c r="AK901" s="29"/>
      <c r="AL901" s="29"/>
      <c r="AM901" s="11"/>
      <c r="AN901" s="29"/>
      <c r="AO901" s="29"/>
      <c r="AP901" s="6"/>
      <c r="AQ901" s="113">
        <f>IF(AND(I901="",K901="",AF901="",AL901="",AN901="",O901=""),"",IF(OR(I901="SIM",K901="SIM",AF901="SIM",AL901="SIM",AN901="Dados pessoais",AN901="Dados sensíveis",AN901="Dados pessoais e sensíveis",O901="Acima de 10.000 titulares por mês"),"SIM - Alta criticidade",IF((IF(I901="SIM",2,0)+IF(K901="SIM",2,0)+IF(AF901="SIM",2,0)+IF(OR(AN901="Dados pessoais",AN901="Dados sensíveis",AN901="Dados pessoais e sensíveis"),2,0)+IF(O901="De 1.001 a 10.000 titulares por mês",1,0)+IF(AA901="SIM",1,0)+IF(R901="SIM",1,0)+IF(AL901="SIM",1,0)+IF(AJ901="NÃO",1,0))&gt;=5,"SIM - Alta criticidade",IF((IF(I901="SIM",2,0)+IF(K901="SIM",2,0)+IF(AF901="SIM",2,0)+IF(OR(AN901="Dados pessoais",AN901="Dados sensíveis",AN901="Dados pessoais e sensíveis"),2,0)+IF(O901="De 1.001 a 10.000 titulares por mês",1,0)+IF(AA901="SIM",1,0)+IF(R901="SIM",1,0)+IF(AL901="SIM",1,0)+IF(AJ901="NÃO",1,0))&gt;=3,"Avaliação necessária","NÃO"))))</f>
      </c>
      <c r="AR901" s="11"/>
      <c r="AS901" s="113">
        <f>IF(AND(I901="",K901="",AF901="",AL901="",AN901="",O901=""),"",IF(OR(I901="SIM",K901="SIM",AF901="SIM",AL901="SIM",OR(AN901="Dados pessoais",AN901="Dados sensíveis",AN901="Dados pessoais e sensíveis"),O901="Acima de 10.000 titulares por mês",(IF(I901="SIM",2,0)+IF(K901="SIM",2,0)+IF(AF901="SIM",2,0)+IF(OR(AN901="Dados pessoais",AN901="Dados sensíveis",AN901="Dados pessoais e sensíveis"),2,0)+IF(O901="De 1.001 a 10.000 titulares por mês",1,0)+IF(AA901="SIM",1,0)+IF(R901="SIM",1,0)+IF(AL901="SIM",1,0)+IF(AJ901="NÃO",1,0))&gt;=3),"DPIA indicado ou em avaliação em razão de: " &amp; TRIM(IF(I901="SIM","tratamento de dados sensíveis; ","") &amp; IF(K901="SIM","utilização de dados de menores; ","") &amp; IF(AF901="SIM","transferência internacional de dados; ","") &amp; IF(AL901="SIM","utilização de inteligência artificial; ","") &amp; IF(OR(AN901="Dados pessoais",AN901="Dados sensíveis",AN901="Dados pessoais e sensíveis"),"dados inseridos em IA; ","") &amp; IF(O901="Acima de 10.000 titulares por mês","volume crítico de titulares; ","") &amp; IF(O901="De 1.001 a 10.000 titulares por mês","volume moderado de titulares; ","") &amp; IF(AA901="SIM","compartilhamento com terceiros; ","") &amp; IF(R901="SIM","compartilhamento com órgãos governamentais; ","") &amp; IF(AJ901="NÃO","ausência de controle de acesso por perfil; ","")),"DPIA não indicado: Processo de baixa criticidade."))</f>
      </c>
    </row>
    <row x14ac:dyDescent="0.25" r="902" customHeight="1" ht="15.75">
      <c r="A902" s="46"/>
      <c r="B902" s="6"/>
      <c r="C902" s="11"/>
      <c r="D902" s="11"/>
      <c r="E902" s="11"/>
      <c r="F902" s="29"/>
      <c r="G902" s="11"/>
      <c r="H902" s="11"/>
      <c r="I902" s="29"/>
      <c r="J902" s="11"/>
      <c r="K902" s="29"/>
      <c r="L902" s="11"/>
      <c r="M902" s="11"/>
      <c r="N902" s="11"/>
      <c r="O902" s="29"/>
      <c r="P902" s="29"/>
      <c r="Q902" s="11"/>
      <c r="R902" s="29"/>
      <c r="S902" s="11"/>
      <c r="T902" s="6"/>
      <c r="U902" s="29"/>
      <c r="V902" s="11"/>
      <c r="W902" s="11"/>
      <c r="X902" s="29"/>
      <c r="Y902" s="11"/>
      <c r="Z902" s="29"/>
      <c r="AA902" s="29"/>
      <c r="AB902" s="11"/>
      <c r="AC902" s="11"/>
      <c r="AD902" s="29"/>
      <c r="AE902" s="11"/>
      <c r="AF902" s="29"/>
      <c r="AG902" s="11"/>
      <c r="AH902" s="29"/>
      <c r="AI902" s="11"/>
      <c r="AJ902" s="29"/>
      <c r="AK902" s="29"/>
      <c r="AL902" s="29"/>
      <c r="AM902" s="11"/>
      <c r="AN902" s="29"/>
      <c r="AO902" s="29"/>
      <c r="AP902" s="6"/>
      <c r="AQ902" s="113">
        <f>IF(AND(I902="",K902="",AF902="",AL902="",AN902="",O902=""),"",IF(OR(I902="SIM",K902="SIM",AF902="SIM",AL902="SIM",AN902="Dados pessoais",AN902="Dados sensíveis",AN902="Dados pessoais e sensíveis",O902="Acima de 10.000 titulares por mês"),"SIM - Alta criticidade",IF((IF(I902="SIM",2,0)+IF(K902="SIM",2,0)+IF(AF902="SIM",2,0)+IF(OR(AN902="Dados pessoais",AN902="Dados sensíveis",AN902="Dados pessoais e sensíveis"),2,0)+IF(O902="De 1.001 a 10.000 titulares por mês",1,0)+IF(AA902="SIM",1,0)+IF(R902="SIM",1,0)+IF(AL902="SIM",1,0)+IF(AJ902="NÃO",1,0))&gt;=5,"SIM - Alta criticidade",IF((IF(I902="SIM",2,0)+IF(K902="SIM",2,0)+IF(AF902="SIM",2,0)+IF(OR(AN902="Dados pessoais",AN902="Dados sensíveis",AN902="Dados pessoais e sensíveis"),2,0)+IF(O902="De 1.001 a 10.000 titulares por mês",1,0)+IF(AA902="SIM",1,0)+IF(R902="SIM",1,0)+IF(AL902="SIM",1,0)+IF(AJ902="NÃO",1,0))&gt;=3,"Avaliação necessária","NÃO"))))</f>
      </c>
      <c r="AR902" s="11"/>
      <c r="AS902" s="113">
        <f>IF(AND(I902="",K902="",AF902="",AL902="",AN902="",O902=""),"",IF(OR(I902="SIM",K902="SIM",AF902="SIM",AL902="SIM",OR(AN902="Dados pessoais",AN902="Dados sensíveis",AN902="Dados pessoais e sensíveis"),O902="Acima de 10.000 titulares por mês",(IF(I902="SIM",2,0)+IF(K902="SIM",2,0)+IF(AF902="SIM",2,0)+IF(OR(AN902="Dados pessoais",AN902="Dados sensíveis",AN902="Dados pessoais e sensíveis"),2,0)+IF(O902="De 1.001 a 10.000 titulares por mês",1,0)+IF(AA902="SIM",1,0)+IF(R902="SIM",1,0)+IF(AL902="SIM",1,0)+IF(AJ902="NÃO",1,0))&gt;=3),"DPIA indicado ou em avaliação em razão de: " &amp; TRIM(IF(I902="SIM","tratamento de dados sensíveis; ","") &amp; IF(K902="SIM","utilização de dados de menores; ","") &amp; IF(AF902="SIM","transferência internacional de dados; ","") &amp; IF(AL902="SIM","utilização de inteligência artificial; ","") &amp; IF(OR(AN902="Dados pessoais",AN902="Dados sensíveis",AN902="Dados pessoais e sensíveis"),"dados inseridos em IA; ","") &amp; IF(O902="Acima de 10.000 titulares por mês","volume crítico de titulares; ","") &amp; IF(O902="De 1.001 a 10.000 titulares por mês","volume moderado de titulares; ","") &amp; IF(AA902="SIM","compartilhamento com terceiros; ","") &amp; IF(R902="SIM","compartilhamento com órgãos governamentais; ","") &amp; IF(AJ902="NÃO","ausência de controle de acesso por perfil; ","")),"DPIA não indicado: Processo de baixa criticidade."))</f>
      </c>
    </row>
    <row x14ac:dyDescent="0.25" r="903" customHeight="1" ht="15.75">
      <c r="A903" s="46"/>
      <c r="B903" s="6"/>
      <c r="C903" s="11"/>
      <c r="D903" s="11"/>
      <c r="E903" s="11"/>
      <c r="F903" s="29"/>
      <c r="G903" s="11"/>
      <c r="H903" s="11"/>
      <c r="I903" s="29"/>
      <c r="J903" s="11"/>
      <c r="K903" s="29"/>
      <c r="L903" s="11"/>
      <c r="M903" s="11"/>
      <c r="N903" s="11"/>
      <c r="O903" s="29"/>
      <c r="P903" s="29"/>
      <c r="Q903" s="11"/>
      <c r="R903" s="29"/>
      <c r="S903" s="11"/>
      <c r="T903" s="6"/>
      <c r="U903" s="29"/>
      <c r="V903" s="11"/>
      <c r="W903" s="11"/>
      <c r="X903" s="29"/>
      <c r="Y903" s="11"/>
      <c r="Z903" s="29"/>
      <c r="AA903" s="29"/>
      <c r="AB903" s="11"/>
      <c r="AC903" s="11"/>
      <c r="AD903" s="29"/>
      <c r="AE903" s="11"/>
      <c r="AF903" s="29"/>
      <c r="AG903" s="11"/>
      <c r="AH903" s="29"/>
      <c r="AI903" s="11"/>
      <c r="AJ903" s="29"/>
      <c r="AK903" s="29"/>
      <c r="AL903" s="29"/>
      <c r="AM903" s="11"/>
      <c r="AN903" s="29"/>
      <c r="AO903" s="29"/>
      <c r="AP903" s="6"/>
      <c r="AQ903" s="113">
        <f>IF(AND(I903="",K903="",AF903="",AL903="",AN903="",O903=""),"",IF(OR(I903="SIM",K903="SIM",AF903="SIM",AL903="SIM",AN903="Dados pessoais",AN903="Dados sensíveis",AN903="Dados pessoais e sensíveis",O903="Acima de 10.000 titulares por mês"),"SIM - Alta criticidade",IF((IF(I903="SIM",2,0)+IF(K903="SIM",2,0)+IF(AF903="SIM",2,0)+IF(OR(AN903="Dados pessoais",AN903="Dados sensíveis",AN903="Dados pessoais e sensíveis"),2,0)+IF(O903="De 1.001 a 10.000 titulares por mês",1,0)+IF(AA903="SIM",1,0)+IF(R903="SIM",1,0)+IF(AL903="SIM",1,0)+IF(AJ903="NÃO",1,0))&gt;=5,"SIM - Alta criticidade",IF((IF(I903="SIM",2,0)+IF(K903="SIM",2,0)+IF(AF903="SIM",2,0)+IF(OR(AN903="Dados pessoais",AN903="Dados sensíveis",AN903="Dados pessoais e sensíveis"),2,0)+IF(O903="De 1.001 a 10.000 titulares por mês",1,0)+IF(AA903="SIM",1,0)+IF(R903="SIM",1,0)+IF(AL903="SIM",1,0)+IF(AJ903="NÃO",1,0))&gt;=3,"Avaliação necessária","NÃO"))))</f>
      </c>
      <c r="AR903" s="11"/>
      <c r="AS903" s="113">
        <f>IF(AND(I903="",K903="",AF903="",AL903="",AN903="",O903=""),"",IF(OR(I903="SIM",K903="SIM",AF903="SIM",AL903="SIM",OR(AN903="Dados pessoais",AN903="Dados sensíveis",AN903="Dados pessoais e sensíveis"),O903="Acima de 10.000 titulares por mês",(IF(I903="SIM",2,0)+IF(K903="SIM",2,0)+IF(AF903="SIM",2,0)+IF(OR(AN903="Dados pessoais",AN903="Dados sensíveis",AN903="Dados pessoais e sensíveis"),2,0)+IF(O903="De 1.001 a 10.000 titulares por mês",1,0)+IF(AA903="SIM",1,0)+IF(R903="SIM",1,0)+IF(AL903="SIM",1,0)+IF(AJ903="NÃO",1,0))&gt;=3),"DPIA indicado ou em avaliação em razão de: " &amp; TRIM(IF(I903="SIM","tratamento de dados sensíveis; ","") &amp; IF(K903="SIM","utilização de dados de menores; ","") &amp; IF(AF903="SIM","transferência internacional de dados; ","") &amp; IF(AL903="SIM","utilização de inteligência artificial; ","") &amp; IF(OR(AN903="Dados pessoais",AN903="Dados sensíveis",AN903="Dados pessoais e sensíveis"),"dados inseridos em IA; ","") &amp; IF(O903="Acima de 10.000 titulares por mês","volume crítico de titulares; ","") &amp; IF(O903="De 1.001 a 10.000 titulares por mês","volume moderado de titulares; ","") &amp; IF(AA903="SIM","compartilhamento com terceiros; ","") &amp; IF(R903="SIM","compartilhamento com órgãos governamentais; ","") &amp; IF(AJ903="NÃO","ausência de controle de acesso por perfil; ","")),"DPIA não indicado: Processo de baixa criticidade."))</f>
      </c>
    </row>
    <row x14ac:dyDescent="0.25" r="904" customHeight="1" ht="15.75">
      <c r="A904" s="46"/>
      <c r="B904" s="6"/>
      <c r="C904" s="11"/>
      <c r="D904" s="11"/>
      <c r="E904" s="11"/>
      <c r="F904" s="29"/>
      <c r="G904" s="11"/>
      <c r="H904" s="11"/>
      <c r="I904" s="29"/>
      <c r="J904" s="11"/>
      <c r="K904" s="29"/>
      <c r="L904" s="11"/>
      <c r="M904" s="11"/>
      <c r="N904" s="11"/>
      <c r="O904" s="29"/>
      <c r="P904" s="29"/>
      <c r="Q904" s="11"/>
      <c r="R904" s="29"/>
      <c r="S904" s="11"/>
      <c r="T904" s="6"/>
      <c r="U904" s="29"/>
      <c r="V904" s="11"/>
      <c r="W904" s="11"/>
      <c r="X904" s="29"/>
      <c r="Y904" s="11"/>
      <c r="Z904" s="29"/>
      <c r="AA904" s="29"/>
      <c r="AB904" s="11"/>
      <c r="AC904" s="11"/>
      <c r="AD904" s="29"/>
      <c r="AE904" s="11"/>
      <c r="AF904" s="29"/>
      <c r="AG904" s="11"/>
      <c r="AH904" s="29"/>
      <c r="AI904" s="11"/>
      <c r="AJ904" s="29"/>
      <c r="AK904" s="29"/>
      <c r="AL904" s="29"/>
      <c r="AM904" s="11"/>
      <c r="AN904" s="29"/>
      <c r="AO904" s="29"/>
      <c r="AP904" s="6"/>
      <c r="AQ904" s="113">
        <f>IF(AND(I904="",K904="",AF904="",AL904="",AN904="",O904=""),"",IF(OR(I904="SIM",K904="SIM",AF904="SIM",AL904="SIM",AN904="Dados pessoais",AN904="Dados sensíveis",AN904="Dados pessoais e sensíveis",O904="Acima de 10.000 titulares por mês"),"SIM - Alta criticidade",IF((IF(I904="SIM",2,0)+IF(K904="SIM",2,0)+IF(AF904="SIM",2,0)+IF(OR(AN904="Dados pessoais",AN904="Dados sensíveis",AN904="Dados pessoais e sensíveis"),2,0)+IF(O904="De 1.001 a 10.000 titulares por mês",1,0)+IF(AA904="SIM",1,0)+IF(R904="SIM",1,0)+IF(AL904="SIM",1,0)+IF(AJ904="NÃO",1,0))&gt;=5,"SIM - Alta criticidade",IF((IF(I904="SIM",2,0)+IF(K904="SIM",2,0)+IF(AF904="SIM",2,0)+IF(OR(AN904="Dados pessoais",AN904="Dados sensíveis",AN904="Dados pessoais e sensíveis"),2,0)+IF(O904="De 1.001 a 10.000 titulares por mês",1,0)+IF(AA904="SIM",1,0)+IF(R904="SIM",1,0)+IF(AL904="SIM",1,0)+IF(AJ904="NÃO",1,0))&gt;=3,"Avaliação necessária","NÃO"))))</f>
      </c>
      <c r="AR904" s="11"/>
      <c r="AS904" s="113">
        <f>IF(AND(I904="",K904="",AF904="",AL904="",AN904="",O904=""),"",IF(OR(I904="SIM",K904="SIM",AF904="SIM",AL904="SIM",OR(AN904="Dados pessoais",AN904="Dados sensíveis",AN904="Dados pessoais e sensíveis"),O904="Acima de 10.000 titulares por mês",(IF(I904="SIM",2,0)+IF(K904="SIM",2,0)+IF(AF904="SIM",2,0)+IF(OR(AN904="Dados pessoais",AN904="Dados sensíveis",AN904="Dados pessoais e sensíveis"),2,0)+IF(O904="De 1.001 a 10.000 titulares por mês",1,0)+IF(AA904="SIM",1,0)+IF(R904="SIM",1,0)+IF(AL904="SIM",1,0)+IF(AJ904="NÃO",1,0))&gt;=3),"DPIA indicado ou em avaliação em razão de: " &amp; TRIM(IF(I904="SIM","tratamento de dados sensíveis; ","") &amp; IF(K904="SIM","utilização de dados de menores; ","") &amp; IF(AF904="SIM","transferência internacional de dados; ","") &amp; IF(AL904="SIM","utilização de inteligência artificial; ","") &amp; IF(OR(AN904="Dados pessoais",AN904="Dados sensíveis",AN904="Dados pessoais e sensíveis"),"dados inseridos em IA; ","") &amp; IF(O904="Acima de 10.000 titulares por mês","volume crítico de titulares; ","") &amp; IF(O904="De 1.001 a 10.000 titulares por mês","volume moderado de titulares; ","") &amp; IF(AA904="SIM","compartilhamento com terceiros; ","") &amp; IF(R904="SIM","compartilhamento com órgãos governamentais; ","") &amp; IF(AJ904="NÃO","ausência de controle de acesso por perfil; ","")),"DPIA não indicado: Processo de baixa criticidade."))</f>
      </c>
    </row>
    <row x14ac:dyDescent="0.25" r="905" customHeight="1" ht="15.75">
      <c r="A905" s="46"/>
      <c r="B905" s="6"/>
      <c r="C905" s="11"/>
      <c r="D905" s="11"/>
      <c r="E905" s="11"/>
      <c r="F905" s="29"/>
      <c r="G905" s="11"/>
      <c r="H905" s="11"/>
      <c r="I905" s="29"/>
      <c r="J905" s="11"/>
      <c r="K905" s="29"/>
      <c r="L905" s="11"/>
      <c r="M905" s="11"/>
      <c r="N905" s="11"/>
      <c r="O905" s="29"/>
      <c r="P905" s="29"/>
      <c r="Q905" s="11"/>
      <c r="R905" s="29"/>
      <c r="S905" s="11"/>
      <c r="T905" s="6"/>
      <c r="U905" s="29"/>
      <c r="V905" s="11"/>
      <c r="W905" s="11"/>
      <c r="X905" s="29"/>
      <c r="Y905" s="11"/>
      <c r="Z905" s="29"/>
      <c r="AA905" s="29"/>
      <c r="AB905" s="11"/>
      <c r="AC905" s="11"/>
      <c r="AD905" s="29"/>
      <c r="AE905" s="11"/>
      <c r="AF905" s="29"/>
      <c r="AG905" s="11"/>
      <c r="AH905" s="29"/>
      <c r="AI905" s="11"/>
      <c r="AJ905" s="29"/>
      <c r="AK905" s="29"/>
      <c r="AL905" s="29"/>
      <c r="AM905" s="11"/>
      <c r="AN905" s="29"/>
      <c r="AO905" s="29"/>
      <c r="AP905" s="6"/>
      <c r="AQ905" s="113">
        <f>IF(AND(I905="",K905="",AF905="",AL905="",AN905="",O905=""),"",IF(OR(I905="SIM",K905="SIM",AF905="SIM",AL905="SIM",AN905="Dados pessoais",AN905="Dados sensíveis",AN905="Dados pessoais e sensíveis",O905="Acima de 10.000 titulares por mês"),"SIM - Alta criticidade",IF((IF(I905="SIM",2,0)+IF(K905="SIM",2,0)+IF(AF905="SIM",2,0)+IF(OR(AN905="Dados pessoais",AN905="Dados sensíveis",AN905="Dados pessoais e sensíveis"),2,0)+IF(O905="De 1.001 a 10.000 titulares por mês",1,0)+IF(AA905="SIM",1,0)+IF(R905="SIM",1,0)+IF(AL905="SIM",1,0)+IF(AJ905="NÃO",1,0))&gt;=5,"SIM - Alta criticidade",IF((IF(I905="SIM",2,0)+IF(K905="SIM",2,0)+IF(AF905="SIM",2,0)+IF(OR(AN905="Dados pessoais",AN905="Dados sensíveis",AN905="Dados pessoais e sensíveis"),2,0)+IF(O905="De 1.001 a 10.000 titulares por mês",1,0)+IF(AA905="SIM",1,0)+IF(R905="SIM",1,0)+IF(AL905="SIM",1,0)+IF(AJ905="NÃO",1,0))&gt;=3,"Avaliação necessária","NÃO"))))</f>
      </c>
      <c r="AR905" s="11"/>
      <c r="AS905" s="113">
        <f>IF(AND(I905="",K905="",AF905="",AL905="",AN905="",O905=""),"",IF(OR(I905="SIM",K905="SIM",AF905="SIM",AL905="SIM",OR(AN905="Dados pessoais",AN905="Dados sensíveis",AN905="Dados pessoais e sensíveis"),O905="Acima de 10.000 titulares por mês",(IF(I905="SIM",2,0)+IF(K905="SIM",2,0)+IF(AF905="SIM",2,0)+IF(OR(AN905="Dados pessoais",AN905="Dados sensíveis",AN905="Dados pessoais e sensíveis"),2,0)+IF(O905="De 1.001 a 10.000 titulares por mês",1,0)+IF(AA905="SIM",1,0)+IF(R905="SIM",1,0)+IF(AL905="SIM",1,0)+IF(AJ905="NÃO",1,0))&gt;=3),"DPIA indicado ou em avaliação em razão de: " &amp; TRIM(IF(I905="SIM","tratamento de dados sensíveis; ","") &amp; IF(K905="SIM","utilização de dados de menores; ","") &amp; IF(AF905="SIM","transferência internacional de dados; ","") &amp; IF(AL905="SIM","utilização de inteligência artificial; ","") &amp; IF(OR(AN905="Dados pessoais",AN905="Dados sensíveis",AN905="Dados pessoais e sensíveis"),"dados inseridos em IA; ","") &amp; IF(O905="Acima de 10.000 titulares por mês","volume crítico de titulares; ","") &amp; IF(O905="De 1.001 a 10.000 titulares por mês","volume moderado de titulares; ","") &amp; IF(AA905="SIM","compartilhamento com terceiros; ","") &amp; IF(R905="SIM","compartilhamento com órgãos governamentais; ","") &amp; IF(AJ905="NÃO","ausência de controle de acesso por perfil; ","")),"DPIA não indicado: Processo de baixa criticidade."))</f>
      </c>
    </row>
    <row x14ac:dyDescent="0.25" r="906" customHeight="1" ht="15.75">
      <c r="A906" s="46"/>
      <c r="B906" s="6"/>
      <c r="C906" s="11"/>
      <c r="D906" s="11"/>
      <c r="E906" s="11"/>
      <c r="F906" s="29"/>
      <c r="G906" s="11"/>
      <c r="H906" s="11"/>
      <c r="I906" s="29"/>
      <c r="J906" s="11"/>
      <c r="K906" s="29"/>
      <c r="L906" s="11"/>
      <c r="M906" s="11"/>
      <c r="N906" s="11"/>
      <c r="O906" s="29"/>
      <c r="P906" s="29"/>
      <c r="Q906" s="11"/>
      <c r="R906" s="29"/>
      <c r="S906" s="11"/>
      <c r="T906" s="6"/>
      <c r="U906" s="29"/>
      <c r="V906" s="11"/>
      <c r="W906" s="11"/>
      <c r="X906" s="29"/>
      <c r="Y906" s="11"/>
      <c r="Z906" s="29"/>
      <c r="AA906" s="29"/>
      <c r="AB906" s="11"/>
      <c r="AC906" s="11"/>
      <c r="AD906" s="29"/>
      <c r="AE906" s="11"/>
      <c r="AF906" s="29"/>
      <c r="AG906" s="11"/>
      <c r="AH906" s="29"/>
      <c r="AI906" s="11"/>
      <c r="AJ906" s="29"/>
      <c r="AK906" s="29"/>
      <c r="AL906" s="29"/>
      <c r="AM906" s="11"/>
      <c r="AN906" s="29"/>
      <c r="AO906" s="29"/>
      <c r="AP906" s="6"/>
      <c r="AQ906" s="113">
        <f>IF(AND(I906="",K906="",AF906="",AL906="",AN906="",O906=""),"",IF(OR(I906="SIM",K906="SIM",AF906="SIM",AL906="SIM",AN906="Dados pessoais",AN906="Dados sensíveis",AN906="Dados pessoais e sensíveis",O906="Acima de 10.000 titulares por mês"),"SIM - Alta criticidade",IF((IF(I906="SIM",2,0)+IF(K906="SIM",2,0)+IF(AF906="SIM",2,0)+IF(OR(AN906="Dados pessoais",AN906="Dados sensíveis",AN906="Dados pessoais e sensíveis"),2,0)+IF(O906="De 1.001 a 10.000 titulares por mês",1,0)+IF(AA906="SIM",1,0)+IF(R906="SIM",1,0)+IF(AL906="SIM",1,0)+IF(AJ906="NÃO",1,0))&gt;=5,"SIM - Alta criticidade",IF((IF(I906="SIM",2,0)+IF(K906="SIM",2,0)+IF(AF906="SIM",2,0)+IF(OR(AN906="Dados pessoais",AN906="Dados sensíveis",AN906="Dados pessoais e sensíveis"),2,0)+IF(O906="De 1.001 a 10.000 titulares por mês",1,0)+IF(AA906="SIM",1,0)+IF(R906="SIM",1,0)+IF(AL906="SIM",1,0)+IF(AJ906="NÃO",1,0))&gt;=3,"Avaliação necessária","NÃO"))))</f>
      </c>
      <c r="AR906" s="11"/>
      <c r="AS906" s="113">
        <f>IF(AND(I906="",K906="",AF906="",AL906="",AN906="",O906=""),"",IF(OR(I906="SIM",K906="SIM",AF906="SIM",AL906="SIM",OR(AN906="Dados pessoais",AN906="Dados sensíveis",AN906="Dados pessoais e sensíveis"),O906="Acima de 10.000 titulares por mês",(IF(I906="SIM",2,0)+IF(K906="SIM",2,0)+IF(AF906="SIM",2,0)+IF(OR(AN906="Dados pessoais",AN906="Dados sensíveis",AN906="Dados pessoais e sensíveis"),2,0)+IF(O906="De 1.001 a 10.000 titulares por mês",1,0)+IF(AA906="SIM",1,0)+IF(R906="SIM",1,0)+IF(AL906="SIM",1,0)+IF(AJ906="NÃO",1,0))&gt;=3),"DPIA indicado ou em avaliação em razão de: " &amp; TRIM(IF(I906="SIM","tratamento de dados sensíveis; ","") &amp; IF(K906="SIM","utilização de dados de menores; ","") &amp; IF(AF906="SIM","transferência internacional de dados; ","") &amp; IF(AL906="SIM","utilização de inteligência artificial; ","") &amp; IF(OR(AN906="Dados pessoais",AN906="Dados sensíveis",AN906="Dados pessoais e sensíveis"),"dados inseridos em IA; ","") &amp; IF(O906="Acima de 10.000 titulares por mês","volume crítico de titulares; ","") &amp; IF(O906="De 1.001 a 10.000 titulares por mês","volume moderado de titulares; ","") &amp; IF(AA906="SIM","compartilhamento com terceiros; ","") &amp; IF(R906="SIM","compartilhamento com órgãos governamentais; ","") &amp; IF(AJ906="NÃO","ausência de controle de acesso por perfil; ","")),"DPIA não indicado: Processo de baixa criticidade."))</f>
      </c>
    </row>
    <row x14ac:dyDescent="0.25" r="907" customHeight="1" ht="15.75">
      <c r="A907" s="46"/>
      <c r="B907" s="6"/>
      <c r="C907" s="11"/>
      <c r="D907" s="11"/>
      <c r="E907" s="11"/>
      <c r="F907" s="29"/>
      <c r="G907" s="11"/>
      <c r="H907" s="11"/>
      <c r="I907" s="29"/>
      <c r="J907" s="11"/>
      <c r="K907" s="29"/>
      <c r="L907" s="11"/>
      <c r="M907" s="11"/>
      <c r="N907" s="11"/>
      <c r="O907" s="29"/>
      <c r="P907" s="29"/>
      <c r="Q907" s="11"/>
      <c r="R907" s="29"/>
      <c r="S907" s="11"/>
      <c r="T907" s="6"/>
      <c r="U907" s="29"/>
      <c r="V907" s="11"/>
      <c r="W907" s="11"/>
      <c r="X907" s="29"/>
      <c r="Y907" s="11"/>
      <c r="Z907" s="29"/>
      <c r="AA907" s="29"/>
      <c r="AB907" s="11"/>
      <c r="AC907" s="11"/>
      <c r="AD907" s="29"/>
      <c r="AE907" s="11"/>
      <c r="AF907" s="29"/>
      <c r="AG907" s="11"/>
      <c r="AH907" s="29"/>
      <c r="AI907" s="11"/>
      <c r="AJ907" s="29"/>
      <c r="AK907" s="29"/>
      <c r="AL907" s="29"/>
      <c r="AM907" s="11"/>
      <c r="AN907" s="29"/>
      <c r="AO907" s="29"/>
      <c r="AP907" s="6"/>
      <c r="AQ907" s="113">
        <f>IF(AND(I907="",K907="",AF907="",AL907="",AN907="",O907=""),"",IF(OR(I907="SIM",K907="SIM",AF907="SIM",AL907="SIM",AN907="Dados pessoais",AN907="Dados sensíveis",AN907="Dados pessoais e sensíveis",O907="Acima de 10.000 titulares por mês"),"SIM - Alta criticidade",IF((IF(I907="SIM",2,0)+IF(K907="SIM",2,0)+IF(AF907="SIM",2,0)+IF(OR(AN907="Dados pessoais",AN907="Dados sensíveis",AN907="Dados pessoais e sensíveis"),2,0)+IF(O907="De 1.001 a 10.000 titulares por mês",1,0)+IF(AA907="SIM",1,0)+IF(R907="SIM",1,0)+IF(AL907="SIM",1,0)+IF(AJ907="NÃO",1,0))&gt;=5,"SIM - Alta criticidade",IF((IF(I907="SIM",2,0)+IF(K907="SIM",2,0)+IF(AF907="SIM",2,0)+IF(OR(AN907="Dados pessoais",AN907="Dados sensíveis",AN907="Dados pessoais e sensíveis"),2,0)+IF(O907="De 1.001 a 10.000 titulares por mês",1,0)+IF(AA907="SIM",1,0)+IF(R907="SIM",1,0)+IF(AL907="SIM",1,0)+IF(AJ907="NÃO",1,0))&gt;=3,"Avaliação necessária","NÃO"))))</f>
      </c>
      <c r="AR907" s="11"/>
      <c r="AS907" s="113">
        <f>IF(AND(I907="",K907="",AF907="",AL907="",AN907="",O907=""),"",IF(OR(I907="SIM",K907="SIM",AF907="SIM",AL907="SIM",OR(AN907="Dados pessoais",AN907="Dados sensíveis",AN907="Dados pessoais e sensíveis"),O907="Acima de 10.000 titulares por mês",(IF(I907="SIM",2,0)+IF(K907="SIM",2,0)+IF(AF907="SIM",2,0)+IF(OR(AN907="Dados pessoais",AN907="Dados sensíveis",AN907="Dados pessoais e sensíveis"),2,0)+IF(O907="De 1.001 a 10.000 titulares por mês",1,0)+IF(AA907="SIM",1,0)+IF(R907="SIM",1,0)+IF(AL907="SIM",1,0)+IF(AJ907="NÃO",1,0))&gt;=3),"DPIA indicado ou em avaliação em razão de: " &amp; TRIM(IF(I907="SIM","tratamento de dados sensíveis; ","") &amp; IF(K907="SIM","utilização de dados de menores; ","") &amp; IF(AF907="SIM","transferência internacional de dados; ","") &amp; IF(AL907="SIM","utilização de inteligência artificial; ","") &amp; IF(OR(AN907="Dados pessoais",AN907="Dados sensíveis",AN907="Dados pessoais e sensíveis"),"dados inseridos em IA; ","") &amp; IF(O907="Acima de 10.000 titulares por mês","volume crítico de titulares; ","") &amp; IF(O907="De 1.001 a 10.000 titulares por mês","volume moderado de titulares; ","") &amp; IF(AA907="SIM","compartilhamento com terceiros; ","") &amp; IF(R907="SIM","compartilhamento com órgãos governamentais; ","") &amp; IF(AJ907="NÃO","ausência de controle de acesso por perfil; ","")),"DPIA não indicado: Processo de baixa criticidade."))</f>
      </c>
    </row>
    <row x14ac:dyDescent="0.25" r="908" customHeight="1" ht="15.75">
      <c r="A908" s="46"/>
      <c r="B908" s="6"/>
      <c r="C908" s="11"/>
      <c r="D908" s="11"/>
      <c r="E908" s="11"/>
      <c r="F908" s="29"/>
      <c r="G908" s="11"/>
      <c r="H908" s="11"/>
      <c r="I908" s="29"/>
      <c r="J908" s="11"/>
      <c r="K908" s="29"/>
      <c r="L908" s="11"/>
      <c r="M908" s="11"/>
      <c r="N908" s="11"/>
      <c r="O908" s="29"/>
      <c r="P908" s="29"/>
      <c r="Q908" s="11"/>
      <c r="R908" s="29"/>
      <c r="S908" s="11"/>
      <c r="T908" s="6"/>
      <c r="U908" s="29"/>
      <c r="V908" s="11"/>
      <c r="W908" s="11"/>
      <c r="X908" s="29"/>
      <c r="Y908" s="11"/>
      <c r="Z908" s="29"/>
      <c r="AA908" s="29"/>
      <c r="AB908" s="11"/>
      <c r="AC908" s="11"/>
      <c r="AD908" s="29"/>
      <c r="AE908" s="11"/>
      <c r="AF908" s="29"/>
      <c r="AG908" s="11"/>
      <c r="AH908" s="29"/>
      <c r="AI908" s="11"/>
      <c r="AJ908" s="29"/>
      <c r="AK908" s="29"/>
      <c r="AL908" s="29"/>
      <c r="AM908" s="11"/>
      <c r="AN908" s="29"/>
      <c r="AO908" s="29"/>
      <c r="AP908" s="6"/>
      <c r="AQ908" s="113">
        <f>IF(AND(I908="",K908="",AF908="",AL908="",AN908="",O908=""),"",IF(OR(I908="SIM",K908="SIM",AF908="SIM",AL908="SIM",AN908="Dados pessoais",AN908="Dados sensíveis",AN908="Dados pessoais e sensíveis",O908="Acima de 10.000 titulares por mês"),"SIM - Alta criticidade",IF((IF(I908="SIM",2,0)+IF(K908="SIM",2,0)+IF(AF908="SIM",2,0)+IF(OR(AN908="Dados pessoais",AN908="Dados sensíveis",AN908="Dados pessoais e sensíveis"),2,0)+IF(O908="De 1.001 a 10.000 titulares por mês",1,0)+IF(AA908="SIM",1,0)+IF(R908="SIM",1,0)+IF(AL908="SIM",1,0)+IF(AJ908="NÃO",1,0))&gt;=5,"SIM - Alta criticidade",IF((IF(I908="SIM",2,0)+IF(K908="SIM",2,0)+IF(AF908="SIM",2,0)+IF(OR(AN908="Dados pessoais",AN908="Dados sensíveis",AN908="Dados pessoais e sensíveis"),2,0)+IF(O908="De 1.001 a 10.000 titulares por mês",1,0)+IF(AA908="SIM",1,0)+IF(R908="SIM",1,0)+IF(AL908="SIM",1,0)+IF(AJ908="NÃO",1,0))&gt;=3,"Avaliação necessária","NÃO"))))</f>
      </c>
      <c r="AR908" s="11"/>
      <c r="AS908" s="113">
        <f>IF(AND(I908="",K908="",AF908="",AL908="",AN908="",O908=""),"",IF(OR(I908="SIM",K908="SIM",AF908="SIM",AL908="SIM",OR(AN908="Dados pessoais",AN908="Dados sensíveis",AN908="Dados pessoais e sensíveis"),O908="Acima de 10.000 titulares por mês",(IF(I908="SIM",2,0)+IF(K908="SIM",2,0)+IF(AF908="SIM",2,0)+IF(OR(AN908="Dados pessoais",AN908="Dados sensíveis",AN908="Dados pessoais e sensíveis"),2,0)+IF(O908="De 1.001 a 10.000 titulares por mês",1,0)+IF(AA908="SIM",1,0)+IF(R908="SIM",1,0)+IF(AL908="SIM",1,0)+IF(AJ908="NÃO",1,0))&gt;=3),"DPIA indicado ou em avaliação em razão de: " &amp; TRIM(IF(I908="SIM","tratamento de dados sensíveis; ","") &amp; IF(K908="SIM","utilização de dados de menores; ","") &amp; IF(AF908="SIM","transferência internacional de dados; ","") &amp; IF(AL908="SIM","utilização de inteligência artificial; ","") &amp; IF(OR(AN908="Dados pessoais",AN908="Dados sensíveis",AN908="Dados pessoais e sensíveis"),"dados inseridos em IA; ","") &amp; IF(O908="Acima de 10.000 titulares por mês","volume crítico de titulares; ","") &amp; IF(O908="De 1.001 a 10.000 titulares por mês","volume moderado de titulares; ","") &amp; IF(AA908="SIM","compartilhamento com terceiros; ","") &amp; IF(R908="SIM","compartilhamento com órgãos governamentais; ","") &amp; IF(AJ908="NÃO","ausência de controle de acesso por perfil; ","")),"DPIA não indicado: Processo de baixa criticidade."))</f>
      </c>
    </row>
    <row x14ac:dyDescent="0.25" r="909" customHeight="1" ht="15.75">
      <c r="A909" s="46"/>
      <c r="B909" s="6"/>
      <c r="C909" s="11"/>
      <c r="D909" s="11"/>
      <c r="E909" s="11"/>
      <c r="F909" s="29"/>
      <c r="G909" s="11"/>
      <c r="H909" s="11"/>
      <c r="I909" s="29"/>
      <c r="J909" s="11"/>
      <c r="K909" s="29"/>
      <c r="L909" s="11"/>
      <c r="M909" s="11"/>
      <c r="N909" s="11"/>
      <c r="O909" s="29"/>
      <c r="P909" s="29"/>
      <c r="Q909" s="11"/>
      <c r="R909" s="29"/>
      <c r="S909" s="11"/>
      <c r="T909" s="6"/>
      <c r="U909" s="29"/>
      <c r="V909" s="11"/>
      <c r="W909" s="11"/>
      <c r="X909" s="29"/>
      <c r="Y909" s="11"/>
      <c r="Z909" s="29"/>
      <c r="AA909" s="29"/>
      <c r="AB909" s="11"/>
      <c r="AC909" s="11"/>
      <c r="AD909" s="29"/>
      <c r="AE909" s="11"/>
      <c r="AF909" s="29"/>
      <c r="AG909" s="11"/>
      <c r="AH909" s="29"/>
      <c r="AI909" s="11"/>
      <c r="AJ909" s="29"/>
      <c r="AK909" s="29"/>
      <c r="AL909" s="29"/>
      <c r="AM909" s="11"/>
      <c r="AN909" s="29"/>
      <c r="AO909" s="29"/>
      <c r="AP909" s="6"/>
      <c r="AQ909" s="113">
        <f>IF(AND(I909="",K909="",AF909="",AL909="",AN909="",O909=""),"",IF(OR(I909="SIM",K909="SIM",AF909="SIM",AL909="SIM",AN909="Dados pessoais",AN909="Dados sensíveis",AN909="Dados pessoais e sensíveis",O909="Acima de 10.000 titulares por mês"),"SIM - Alta criticidade",IF((IF(I909="SIM",2,0)+IF(K909="SIM",2,0)+IF(AF909="SIM",2,0)+IF(OR(AN909="Dados pessoais",AN909="Dados sensíveis",AN909="Dados pessoais e sensíveis"),2,0)+IF(O909="De 1.001 a 10.000 titulares por mês",1,0)+IF(AA909="SIM",1,0)+IF(R909="SIM",1,0)+IF(AL909="SIM",1,0)+IF(AJ909="NÃO",1,0))&gt;=5,"SIM - Alta criticidade",IF((IF(I909="SIM",2,0)+IF(K909="SIM",2,0)+IF(AF909="SIM",2,0)+IF(OR(AN909="Dados pessoais",AN909="Dados sensíveis",AN909="Dados pessoais e sensíveis"),2,0)+IF(O909="De 1.001 a 10.000 titulares por mês",1,0)+IF(AA909="SIM",1,0)+IF(R909="SIM",1,0)+IF(AL909="SIM",1,0)+IF(AJ909="NÃO",1,0))&gt;=3,"Avaliação necessária","NÃO"))))</f>
      </c>
      <c r="AR909" s="11"/>
      <c r="AS909" s="113">
        <f>IF(AND(I909="",K909="",AF909="",AL909="",AN909="",O909=""),"",IF(OR(I909="SIM",K909="SIM",AF909="SIM",AL909="SIM",OR(AN909="Dados pessoais",AN909="Dados sensíveis",AN909="Dados pessoais e sensíveis"),O909="Acima de 10.000 titulares por mês",(IF(I909="SIM",2,0)+IF(K909="SIM",2,0)+IF(AF909="SIM",2,0)+IF(OR(AN909="Dados pessoais",AN909="Dados sensíveis",AN909="Dados pessoais e sensíveis"),2,0)+IF(O909="De 1.001 a 10.000 titulares por mês",1,0)+IF(AA909="SIM",1,0)+IF(R909="SIM",1,0)+IF(AL909="SIM",1,0)+IF(AJ909="NÃO",1,0))&gt;=3),"DPIA indicado ou em avaliação em razão de: " &amp; TRIM(IF(I909="SIM","tratamento de dados sensíveis; ","") &amp; IF(K909="SIM","utilização de dados de menores; ","") &amp; IF(AF909="SIM","transferência internacional de dados; ","") &amp; IF(AL909="SIM","utilização de inteligência artificial; ","") &amp; IF(OR(AN909="Dados pessoais",AN909="Dados sensíveis",AN909="Dados pessoais e sensíveis"),"dados inseridos em IA; ","") &amp; IF(O909="Acima de 10.000 titulares por mês","volume crítico de titulares; ","") &amp; IF(O909="De 1.001 a 10.000 titulares por mês","volume moderado de titulares; ","") &amp; IF(AA909="SIM","compartilhamento com terceiros; ","") &amp; IF(R909="SIM","compartilhamento com órgãos governamentais; ","") &amp; IF(AJ909="NÃO","ausência de controle de acesso por perfil; ","")),"DPIA não indicado: Processo de baixa criticidade."))</f>
      </c>
    </row>
    <row x14ac:dyDescent="0.25" r="910" customHeight="1" ht="15.75">
      <c r="A910" s="46"/>
      <c r="B910" s="6"/>
      <c r="C910" s="11"/>
      <c r="D910" s="11"/>
      <c r="E910" s="11"/>
      <c r="F910" s="29"/>
      <c r="G910" s="11"/>
      <c r="H910" s="11"/>
      <c r="I910" s="29"/>
      <c r="J910" s="11"/>
      <c r="K910" s="29"/>
      <c r="L910" s="11"/>
      <c r="M910" s="11"/>
      <c r="N910" s="11"/>
      <c r="O910" s="29"/>
      <c r="P910" s="29"/>
      <c r="Q910" s="11"/>
      <c r="R910" s="29"/>
      <c r="S910" s="11"/>
      <c r="T910" s="6"/>
      <c r="U910" s="29"/>
      <c r="V910" s="11"/>
      <c r="W910" s="11"/>
      <c r="X910" s="29"/>
      <c r="Y910" s="11"/>
      <c r="Z910" s="29"/>
      <c r="AA910" s="29"/>
      <c r="AB910" s="11"/>
      <c r="AC910" s="11"/>
      <c r="AD910" s="29"/>
      <c r="AE910" s="11"/>
      <c r="AF910" s="29"/>
      <c r="AG910" s="11"/>
      <c r="AH910" s="29"/>
      <c r="AI910" s="11"/>
      <c r="AJ910" s="29"/>
      <c r="AK910" s="29"/>
      <c r="AL910" s="29"/>
      <c r="AM910" s="11"/>
      <c r="AN910" s="29"/>
      <c r="AO910" s="29"/>
      <c r="AP910" s="6"/>
      <c r="AQ910" s="113">
        <f>IF(AND(I910="",K910="",AF910="",AL910="",AN910="",O910=""),"",IF(OR(I910="SIM",K910="SIM",AF910="SIM",AL910="SIM",AN910="Dados pessoais",AN910="Dados sensíveis",AN910="Dados pessoais e sensíveis",O910="Acima de 10.000 titulares por mês"),"SIM - Alta criticidade",IF((IF(I910="SIM",2,0)+IF(K910="SIM",2,0)+IF(AF910="SIM",2,0)+IF(OR(AN910="Dados pessoais",AN910="Dados sensíveis",AN910="Dados pessoais e sensíveis"),2,0)+IF(O910="De 1.001 a 10.000 titulares por mês",1,0)+IF(AA910="SIM",1,0)+IF(R910="SIM",1,0)+IF(AL910="SIM",1,0)+IF(AJ910="NÃO",1,0))&gt;=5,"SIM - Alta criticidade",IF((IF(I910="SIM",2,0)+IF(K910="SIM",2,0)+IF(AF910="SIM",2,0)+IF(OR(AN910="Dados pessoais",AN910="Dados sensíveis",AN910="Dados pessoais e sensíveis"),2,0)+IF(O910="De 1.001 a 10.000 titulares por mês",1,0)+IF(AA910="SIM",1,0)+IF(R910="SIM",1,0)+IF(AL910="SIM",1,0)+IF(AJ910="NÃO",1,0))&gt;=3,"Avaliação necessária","NÃO"))))</f>
      </c>
      <c r="AR910" s="11"/>
      <c r="AS910" s="113">
        <f>IF(AND(I910="",K910="",AF910="",AL910="",AN910="",O910=""),"",IF(OR(I910="SIM",K910="SIM",AF910="SIM",AL910="SIM",OR(AN910="Dados pessoais",AN910="Dados sensíveis",AN910="Dados pessoais e sensíveis"),O910="Acima de 10.000 titulares por mês",(IF(I910="SIM",2,0)+IF(K910="SIM",2,0)+IF(AF910="SIM",2,0)+IF(OR(AN910="Dados pessoais",AN910="Dados sensíveis",AN910="Dados pessoais e sensíveis"),2,0)+IF(O910="De 1.001 a 10.000 titulares por mês",1,0)+IF(AA910="SIM",1,0)+IF(R910="SIM",1,0)+IF(AL910="SIM",1,0)+IF(AJ910="NÃO",1,0))&gt;=3),"DPIA indicado ou em avaliação em razão de: " &amp; TRIM(IF(I910="SIM","tratamento de dados sensíveis; ","") &amp; IF(K910="SIM","utilização de dados de menores; ","") &amp; IF(AF910="SIM","transferência internacional de dados; ","") &amp; IF(AL910="SIM","utilização de inteligência artificial; ","") &amp; IF(OR(AN910="Dados pessoais",AN910="Dados sensíveis",AN910="Dados pessoais e sensíveis"),"dados inseridos em IA; ","") &amp; IF(O910="Acima de 10.000 titulares por mês","volume crítico de titulares; ","") &amp; IF(O910="De 1.001 a 10.000 titulares por mês","volume moderado de titulares; ","") &amp; IF(AA910="SIM","compartilhamento com terceiros; ","") &amp; IF(R910="SIM","compartilhamento com órgãos governamentais; ","") &amp; IF(AJ910="NÃO","ausência de controle de acesso por perfil; ","")),"DPIA não indicado: Processo de baixa criticidade."))</f>
      </c>
    </row>
    <row x14ac:dyDescent="0.25" r="911" customHeight="1" ht="15.75">
      <c r="A911" s="46"/>
      <c r="B911" s="6"/>
      <c r="C911" s="11"/>
      <c r="D911" s="11"/>
      <c r="E911" s="11"/>
      <c r="F911" s="29"/>
      <c r="G911" s="11"/>
      <c r="H911" s="11"/>
      <c r="I911" s="29"/>
      <c r="J911" s="11"/>
      <c r="K911" s="29"/>
      <c r="L911" s="11"/>
      <c r="M911" s="11"/>
      <c r="N911" s="11"/>
      <c r="O911" s="29"/>
      <c r="P911" s="29"/>
      <c r="Q911" s="11"/>
      <c r="R911" s="29"/>
      <c r="S911" s="11"/>
      <c r="T911" s="6"/>
      <c r="U911" s="29"/>
      <c r="V911" s="11"/>
      <c r="W911" s="11"/>
      <c r="X911" s="29"/>
      <c r="Y911" s="11"/>
      <c r="Z911" s="29"/>
      <c r="AA911" s="29"/>
      <c r="AB911" s="11"/>
      <c r="AC911" s="11"/>
      <c r="AD911" s="29"/>
      <c r="AE911" s="11"/>
      <c r="AF911" s="29"/>
      <c r="AG911" s="11"/>
      <c r="AH911" s="29"/>
      <c r="AI911" s="11"/>
      <c r="AJ911" s="29"/>
      <c r="AK911" s="29"/>
      <c r="AL911" s="29"/>
      <c r="AM911" s="11"/>
      <c r="AN911" s="29"/>
      <c r="AO911" s="29"/>
      <c r="AP911" s="6"/>
      <c r="AQ911" s="113">
        <f>IF(AND(I911="",K911="",AF911="",AL911="",AN911="",O911=""),"",IF(OR(I911="SIM",K911="SIM",AF911="SIM",AL911="SIM",AN911="Dados pessoais",AN911="Dados sensíveis",AN911="Dados pessoais e sensíveis",O911="Acima de 10.000 titulares por mês"),"SIM - Alta criticidade",IF((IF(I911="SIM",2,0)+IF(K911="SIM",2,0)+IF(AF911="SIM",2,0)+IF(OR(AN911="Dados pessoais",AN911="Dados sensíveis",AN911="Dados pessoais e sensíveis"),2,0)+IF(O911="De 1.001 a 10.000 titulares por mês",1,0)+IF(AA911="SIM",1,0)+IF(R911="SIM",1,0)+IF(AL911="SIM",1,0)+IF(AJ911="NÃO",1,0))&gt;=5,"SIM - Alta criticidade",IF((IF(I911="SIM",2,0)+IF(K911="SIM",2,0)+IF(AF911="SIM",2,0)+IF(OR(AN911="Dados pessoais",AN911="Dados sensíveis",AN911="Dados pessoais e sensíveis"),2,0)+IF(O911="De 1.001 a 10.000 titulares por mês",1,0)+IF(AA911="SIM",1,0)+IF(R911="SIM",1,0)+IF(AL911="SIM",1,0)+IF(AJ911="NÃO",1,0))&gt;=3,"Avaliação necessária","NÃO"))))</f>
      </c>
      <c r="AR911" s="11"/>
      <c r="AS911" s="113">
        <f>IF(AND(I911="",K911="",AF911="",AL911="",AN911="",O911=""),"",IF(OR(I911="SIM",K911="SIM",AF911="SIM",AL911="SIM",OR(AN911="Dados pessoais",AN911="Dados sensíveis",AN911="Dados pessoais e sensíveis"),O911="Acima de 10.000 titulares por mês",(IF(I911="SIM",2,0)+IF(K911="SIM",2,0)+IF(AF911="SIM",2,0)+IF(OR(AN911="Dados pessoais",AN911="Dados sensíveis",AN911="Dados pessoais e sensíveis"),2,0)+IF(O911="De 1.001 a 10.000 titulares por mês",1,0)+IF(AA911="SIM",1,0)+IF(R911="SIM",1,0)+IF(AL911="SIM",1,0)+IF(AJ911="NÃO",1,0))&gt;=3),"DPIA indicado ou em avaliação em razão de: " &amp; TRIM(IF(I911="SIM","tratamento de dados sensíveis; ","") &amp; IF(K911="SIM","utilização de dados de menores; ","") &amp; IF(AF911="SIM","transferência internacional de dados; ","") &amp; IF(AL911="SIM","utilização de inteligência artificial; ","") &amp; IF(OR(AN911="Dados pessoais",AN911="Dados sensíveis",AN911="Dados pessoais e sensíveis"),"dados inseridos em IA; ","") &amp; IF(O911="Acima de 10.000 titulares por mês","volume crítico de titulares; ","") &amp; IF(O911="De 1.001 a 10.000 titulares por mês","volume moderado de titulares; ","") &amp; IF(AA911="SIM","compartilhamento com terceiros; ","") &amp; IF(R911="SIM","compartilhamento com órgãos governamentais; ","") &amp; IF(AJ911="NÃO","ausência de controle de acesso por perfil; ","")),"DPIA não indicado: Processo de baixa criticidade."))</f>
      </c>
    </row>
    <row x14ac:dyDescent="0.25" r="912" customHeight="1" ht="15.75">
      <c r="A912" s="46"/>
      <c r="B912" s="6"/>
      <c r="C912" s="11"/>
      <c r="D912" s="11"/>
      <c r="E912" s="11"/>
      <c r="F912" s="29"/>
      <c r="G912" s="11"/>
      <c r="H912" s="11"/>
      <c r="I912" s="29"/>
      <c r="J912" s="11"/>
      <c r="K912" s="29"/>
      <c r="L912" s="11"/>
      <c r="M912" s="11"/>
      <c r="N912" s="11"/>
      <c r="O912" s="29"/>
      <c r="P912" s="29"/>
      <c r="Q912" s="11"/>
      <c r="R912" s="29"/>
      <c r="S912" s="11"/>
      <c r="T912" s="6"/>
      <c r="U912" s="29"/>
      <c r="V912" s="11"/>
      <c r="W912" s="11"/>
      <c r="X912" s="29"/>
      <c r="Y912" s="11"/>
      <c r="Z912" s="29"/>
      <c r="AA912" s="29"/>
      <c r="AB912" s="11"/>
      <c r="AC912" s="11"/>
      <c r="AD912" s="29"/>
      <c r="AE912" s="11"/>
      <c r="AF912" s="29"/>
      <c r="AG912" s="11"/>
      <c r="AH912" s="29"/>
      <c r="AI912" s="11"/>
      <c r="AJ912" s="29"/>
      <c r="AK912" s="29"/>
      <c r="AL912" s="29"/>
      <c r="AM912" s="11"/>
      <c r="AN912" s="29"/>
      <c r="AO912" s="29"/>
      <c r="AP912" s="6"/>
      <c r="AQ912" s="113">
        <f>IF(AND(I912="",K912="",AF912="",AL912="",AN912="",O912=""),"",IF(OR(I912="SIM",K912="SIM",AF912="SIM",AL912="SIM",AN912="Dados pessoais",AN912="Dados sensíveis",AN912="Dados pessoais e sensíveis",O912="Acima de 10.000 titulares por mês"),"SIM - Alta criticidade",IF((IF(I912="SIM",2,0)+IF(K912="SIM",2,0)+IF(AF912="SIM",2,0)+IF(OR(AN912="Dados pessoais",AN912="Dados sensíveis",AN912="Dados pessoais e sensíveis"),2,0)+IF(O912="De 1.001 a 10.000 titulares por mês",1,0)+IF(AA912="SIM",1,0)+IF(R912="SIM",1,0)+IF(AL912="SIM",1,0)+IF(AJ912="NÃO",1,0))&gt;=5,"SIM - Alta criticidade",IF((IF(I912="SIM",2,0)+IF(K912="SIM",2,0)+IF(AF912="SIM",2,0)+IF(OR(AN912="Dados pessoais",AN912="Dados sensíveis",AN912="Dados pessoais e sensíveis"),2,0)+IF(O912="De 1.001 a 10.000 titulares por mês",1,0)+IF(AA912="SIM",1,0)+IF(R912="SIM",1,0)+IF(AL912="SIM",1,0)+IF(AJ912="NÃO",1,0))&gt;=3,"Avaliação necessária","NÃO"))))</f>
      </c>
      <c r="AR912" s="11"/>
      <c r="AS912" s="113">
        <f>IF(AND(I912="",K912="",AF912="",AL912="",AN912="",O912=""),"",IF(OR(I912="SIM",K912="SIM",AF912="SIM",AL912="SIM",OR(AN912="Dados pessoais",AN912="Dados sensíveis",AN912="Dados pessoais e sensíveis"),O912="Acima de 10.000 titulares por mês",(IF(I912="SIM",2,0)+IF(K912="SIM",2,0)+IF(AF912="SIM",2,0)+IF(OR(AN912="Dados pessoais",AN912="Dados sensíveis",AN912="Dados pessoais e sensíveis"),2,0)+IF(O912="De 1.001 a 10.000 titulares por mês",1,0)+IF(AA912="SIM",1,0)+IF(R912="SIM",1,0)+IF(AL912="SIM",1,0)+IF(AJ912="NÃO",1,0))&gt;=3),"DPIA indicado ou em avaliação em razão de: " &amp; TRIM(IF(I912="SIM","tratamento de dados sensíveis; ","") &amp; IF(K912="SIM","utilização de dados de menores; ","") &amp; IF(AF912="SIM","transferência internacional de dados; ","") &amp; IF(AL912="SIM","utilização de inteligência artificial; ","") &amp; IF(OR(AN912="Dados pessoais",AN912="Dados sensíveis",AN912="Dados pessoais e sensíveis"),"dados inseridos em IA; ","") &amp; IF(O912="Acima de 10.000 titulares por mês","volume crítico de titulares; ","") &amp; IF(O912="De 1.001 a 10.000 titulares por mês","volume moderado de titulares; ","") &amp; IF(AA912="SIM","compartilhamento com terceiros; ","") &amp; IF(R912="SIM","compartilhamento com órgãos governamentais; ","") &amp; IF(AJ912="NÃO","ausência de controle de acesso por perfil; ","")),"DPIA não indicado: Processo de baixa criticidade."))</f>
      </c>
    </row>
    <row x14ac:dyDescent="0.25" r="913" customHeight="1" ht="15.75">
      <c r="A913" s="46"/>
      <c r="B913" s="6"/>
      <c r="C913" s="11"/>
      <c r="D913" s="11"/>
      <c r="E913" s="11"/>
      <c r="F913" s="29"/>
      <c r="G913" s="11"/>
      <c r="H913" s="11"/>
      <c r="I913" s="29"/>
      <c r="J913" s="11"/>
      <c r="K913" s="29"/>
      <c r="L913" s="11"/>
      <c r="M913" s="11"/>
      <c r="N913" s="11"/>
      <c r="O913" s="29"/>
      <c r="P913" s="29"/>
      <c r="Q913" s="11"/>
      <c r="R913" s="29"/>
      <c r="S913" s="11"/>
      <c r="T913" s="6"/>
      <c r="U913" s="29"/>
      <c r="V913" s="11"/>
      <c r="W913" s="11"/>
      <c r="X913" s="29"/>
      <c r="Y913" s="11"/>
      <c r="Z913" s="29"/>
      <c r="AA913" s="29"/>
      <c r="AB913" s="11"/>
      <c r="AC913" s="11"/>
      <c r="AD913" s="29"/>
      <c r="AE913" s="11"/>
      <c r="AF913" s="29"/>
      <c r="AG913" s="11"/>
      <c r="AH913" s="29"/>
      <c r="AI913" s="11"/>
      <c r="AJ913" s="29"/>
      <c r="AK913" s="29"/>
      <c r="AL913" s="29"/>
      <c r="AM913" s="11"/>
      <c r="AN913" s="29"/>
      <c r="AO913" s="29"/>
      <c r="AP913" s="6"/>
      <c r="AQ913" s="113">
        <f>IF(AND(I913="",K913="",AF913="",AL913="",AN913="",O913=""),"",IF(OR(I913="SIM",K913="SIM",AF913="SIM",AL913="SIM",AN913="Dados pessoais",AN913="Dados sensíveis",AN913="Dados pessoais e sensíveis",O913="Acima de 10.000 titulares por mês"),"SIM - Alta criticidade",IF((IF(I913="SIM",2,0)+IF(K913="SIM",2,0)+IF(AF913="SIM",2,0)+IF(OR(AN913="Dados pessoais",AN913="Dados sensíveis",AN913="Dados pessoais e sensíveis"),2,0)+IF(O913="De 1.001 a 10.000 titulares por mês",1,0)+IF(AA913="SIM",1,0)+IF(R913="SIM",1,0)+IF(AL913="SIM",1,0)+IF(AJ913="NÃO",1,0))&gt;=5,"SIM - Alta criticidade",IF((IF(I913="SIM",2,0)+IF(K913="SIM",2,0)+IF(AF913="SIM",2,0)+IF(OR(AN913="Dados pessoais",AN913="Dados sensíveis",AN913="Dados pessoais e sensíveis"),2,0)+IF(O913="De 1.001 a 10.000 titulares por mês",1,0)+IF(AA913="SIM",1,0)+IF(R913="SIM",1,0)+IF(AL913="SIM",1,0)+IF(AJ913="NÃO",1,0))&gt;=3,"Avaliação necessária","NÃO"))))</f>
      </c>
      <c r="AR913" s="11"/>
      <c r="AS913" s="113">
        <f>IF(AND(I913="",K913="",AF913="",AL913="",AN913="",O913=""),"",IF(OR(I913="SIM",K913="SIM",AF913="SIM",AL913="SIM",OR(AN913="Dados pessoais",AN913="Dados sensíveis",AN913="Dados pessoais e sensíveis"),O913="Acima de 10.000 titulares por mês",(IF(I913="SIM",2,0)+IF(K913="SIM",2,0)+IF(AF913="SIM",2,0)+IF(OR(AN913="Dados pessoais",AN913="Dados sensíveis",AN913="Dados pessoais e sensíveis"),2,0)+IF(O913="De 1.001 a 10.000 titulares por mês",1,0)+IF(AA913="SIM",1,0)+IF(R913="SIM",1,0)+IF(AL913="SIM",1,0)+IF(AJ913="NÃO",1,0))&gt;=3),"DPIA indicado ou em avaliação em razão de: " &amp; TRIM(IF(I913="SIM","tratamento de dados sensíveis; ","") &amp; IF(K913="SIM","utilização de dados de menores; ","") &amp; IF(AF913="SIM","transferência internacional de dados; ","") &amp; IF(AL913="SIM","utilização de inteligência artificial; ","") &amp; IF(OR(AN913="Dados pessoais",AN913="Dados sensíveis",AN913="Dados pessoais e sensíveis"),"dados inseridos em IA; ","") &amp; IF(O913="Acima de 10.000 titulares por mês","volume crítico de titulares; ","") &amp; IF(O913="De 1.001 a 10.000 titulares por mês","volume moderado de titulares; ","") &amp; IF(AA913="SIM","compartilhamento com terceiros; ","") &amp; IF(R913="SIM","compartilhamento com órgãos governamentais; ","") &amp; IF(AJ913="NÃO","ausência de controle de acesso por perfil; ","")),"DPIA não indicado: Processo de baixa criticidade."))</f>
      </c>
    </row>
    <row x14ac:dyDescent="0.25" r="914" customHeight="1" ht="15.75">
      <c r="A914" s="46"/>
      <c r="B914" s="6"/>
      <c r="C914" s="11"/>
      <c r="D914" s="11"/>
      <c r="E914" s="11"/>
      <c r="F914" s="29"/>
      <c r="G914" s="11"/>
      <c r="H914" s="11"/>
      <c r="I914" s="29"/>
      <c r="J914" s="11"/>
      <c r="K914" s="29"/>
      <c r="L914" s="11"/>
      <c r="M914" s="11"/>
      <c r="N914" s="11"/>
      <c r="O914" s="29"/>
      <c r="P914" s="29"/>
      <c r="Q914" s="11"/>
      <c r="R914" s="29"/>
      <c r="S914" s="11"/>
      <c r="T914" s="6"/>
      <c r="U914" s="29"/>
      <c r="V914" s="11"/>
      <c r="W914" s="11"/>
      <c r="X914" s="29"/>
      <c r="Y914" s="11"/>
      <c r="Z914" s="29"/>
      <c r="AA914" s="29"/>
      <c r="AB914" s="11"/>
      <c r="AC914" s="11"/>
      <c r="AD914" s="29"/>
      <c r="AE914" s="11"/>
      <c r="AF914" s="29"/>
      <c r="AG914" s="11"/>
      <c r="AH914" s="29"/>
      <c r="AI914" s="11"/>
      <c r="AJ914" s="29"/>
      <c r="AK914" s="29"/>
      <c r="AL914" s="29"/>
      <c r="AM914" s="11"/>
      <c r="AN914" s="29"/>
      <c r="AO914" s="29"/>
      <c r="AP914" s="6"/>
      <c r="AQ914" s="113">
        <f>IF(AND(I914="",K914="",AF914="",AL914="",AN914="",O914=""),"",IF(OR(I914="SIM",K914="SIM",AF914="SIM",AL914="SIM",AN914="Dados pessoais",AN914="Dados sensíveis",AN914="Dados pessoais e sensíveis",O914="Acima de 10.000 titulares por mês"),"SIM - Alta criticidade",IF((IF(I914="SIM",2,0)+IF(K914="SIM",2,0)+IF(AF914="SIM",2,0)+IF(OR(AN914="Dados pessoais",AN914="Dados sensíveis",AN914="Dados pessoais e sensíveis"),2,0)+IF(O914="De 1.001 a 10.000 titulares por mês",1,0)+IF(AA914="SIM",1,0)+IF(R914="SIM",1,0)+IF(AL914="SIM",1,0)+IF(AJ914="NÃO",1,0))&gt;=5,"SIM - Alta criticidade",IF((IF(I914="SIM",2,0)+IF(K914="SIM",2,0)+IF(AF914="SIM",2,0)+IF(OR(AN914="Dados pessoais",AN914="Dados sensíveis",AN914="Dados pessoais e sensíveis"),2,0)+IF(O914="De 1.001 a 10.000 titulares por mês",1,0)+IF(AA914="SIM",1,0)+IF(R914="SIM",1,0)+IF(AL914="SIM",1,0)+IF(AJ914="NÃO",1,0))&gt;=3,"Avaliação necessária","NÃO"))))</f>
      </c>
      <c r="AR914" s="11"/>
      <c r="AS914" s="113">
        <f>IF(AND(I914="",K914="",AF914="",AL914="",AN914="",O914=""),"",IF(OR(I914="SIM",K914="SIM",AF914="SIM",AL914="SIM",OR(AN914="Dados pessoais",AN914="Dados sensíveis",AN914="Dados pessoais e sensíveis"),O914="Acima de 10.000 titulares por mês",(IF(I914="SIM",2,0)+IF(K914="SIM",2,0)+IF(AF914="SIM",2,0)+IF(OR(AN914="Dados pessoais",AN914="Dados sensíveis",AN914="Dados pessoais e sensíveis"),2,0)+IF(O914="De 1.001 a 10.000 titulares por mês",1,0)+IF(AA914="SIM",1,0)+IF(R914="SIM",1,0)+IF(AL914="SIM",1,0)+IF(AJ914="NÃO",1,0))&gt;=3),"DPIA indicado ou em avaliação em razão de: " &amp; TRIM(IF(I914="SIM","tratamento de dados sensíveis; ","") &amp; IF(K914="SIM","utilização de dados de menores; ","") &amp; IF(AF914="SIM","transferência internacional de dados; ","") &amp; IF(AL914="SIM","utilização de inteligência artificial; ","") &amp; IF(OR(AN914="Dados pessoais",AN914="Dados sensíveis",AN914="Dados pessoais e sensíveis"),"dados inseridos em IA; ","") &amp; IF(O914="Acima de 10.000 titulares por mês","volume crítico de titulares; ","") &amp; IF(O914="De 1.001 a 10.000 titulares por mês","volume moderado de titulares; ","") &amp; IF(AA914="SIM","compartilhamento com terceiros; ","") &amp; IF(R914="SIM","compartilhamento com órgãos governamentais; ","") &amp; IF(AJ914="NÃO","ausência de controle de acesso por perfil; ","")),"DPIA não indicado: Processo de baixa criticidade."))</f>
      </c>
    </row>
    <row x14ac:dyDescent="0.25" r="915" customHeight="1" ht="15.75">
      <c r="A915" s="46"/>
      <c r="B915" s="6"/>
      <c r="C915" s="11"/>
      <c r="D915" s="11"/>
      <c r="E915" s="11"/>
      <c r="F915" s="29"/>
      <c r="G915" s="11"/>
      <c r="H915" s="11"/>
      <c r="I915" s="29"/>
      <c r="J915" s="11"/>
      <c r="K915" s="29"/>
      <c r="L915" s="11"/>
      <c r="M915" s="11"/>
      <c r="N915" s="11"/>
      <c r="O915" s="29"/>
      <c r="P915" s="29"/>
      <c r="Q915" s="11"/>
      <c r="R915" s="29"/>
      <c r="S915" s="11"/>
      <c r="T915" s="6"/>
      <c r="U915" s="29"/>
      <c r="V915" s="11"/>
      <c r="W915" s="11"/>
      <c r="X915" s="29"/>
      <c r="Y915" s="11"/>
      <c r="Z915" s="29"/>
      <c r="AA915" s="29"/>
      <c r="AB915" s="11"/>
      <c r="AC915" s="11"/>
      <c r="AD915" s="29"/>
      <c r="AE915" s="11"/>
      <c r="AF915" s="29"/>
      <c r="AG915" s="11"/>
      <c r="AH915" s="29"/>
      <c r="AI915" s="11"/>
      <c r="AJ915" s="29"/>
      <c r="AK915" s="29"/>
      <c r="AL915" s="29"/>
      <c r="AM915" s="11"/>
      <c r="AN915" s="29"/>
      <c r="AO915" s="29"/>
      <c r="AP915" s="6"/>
      <c r="AQ915" s="113">
        <f>IF(AND(I915="",K915="",AF915="",AL915="",AN915="",O915=""),"",IF(OR(I915="SIM",K915="SIM",AF915="SIM",AL915="SIM",AN915="Dados pessoais",AN915="Dados sensíveis",AN915="Dados pessoais e sensíveis",O915="Acima de 10.000 titulares por mês"),"SIM - Alta criticidade",IF((IF(I915="SIM",2,0)+IF(K915="SIM",2,0)+IF(AF915="SIM",2,0)+IF(OR(AN915="Dados pessoais",AN915="Dados sensíveis",AN915="Dados pessoais e sensíveis"),2,0)+IF(O915="De 1.001 a 10.000 titulares por mês",1,0)+IF(AA915="SIM",1,0)+IF(R915="SIM",1,0)+IF(AL915="SIM",1,0)+IF(AJ915="NÃO",1,0))&gt;=5,"SIM - Alta criticidade",IF((IF(I915="SIM",2,0)+IF(K915="SIM",2,0)+IF(AF915="SIM",2,0)+IF(OR(AN915="Dados pessoais",AN915="Dados sensíveis",AN915="Dados pessoais e sensíveis"),2,0)+IF(O915="De 1.001 a 10.000 titulares por mês",1,0)+IF(AA915="SIM",1,0)+IF(R915="SIM",1,0)+IF(AL915="SIM",1,0)+IF(AJ915="NÃO",1,0))&gt;=3,"Avaliação necessária","NÃO"))))</f>
      </c>
      <c r="AR915" s="11"/>
      <c r="AS915" s="113">
        <f>IF(AND(I915="",K915="",AF915="",AL915="",AN915="",O915=""),"",IF(OR(I915="SIM",K915="SIM",AF915="SIM",AL915="SIM",OR(AN915="Dados pessoais",AN915="Dados sensíveis",AN915="Dados pessoais e sensíveis"),O915="Acima de 10.000 titulares por mês",(IF(I915="SIM",2,0)+IF(K915="SIM",2,0)+IF(AF915="SIM",2,0)+IF(OR(AN915="Dados pessoais",AN915="Dados sensíveis",AN915="Dados pessoais e sensíveis"),2,0)+IF(O915="De 1.001 a 10.000 titulares por mês",1,0)+IF(AA915="SIM",1,0)+IF(R915="SIM",1,0)+IF(AL915="SIM",1,0)+IF(AJ915="NÃO",1,0))&gt;=3),"DPIA indicado ou em avaliação em razão de: " &amp; TRIM(IF(I915="SIM","tratamento de dados sensíveis; ","") &amp; IF(K915="SIM","utilização de dados de menores; ","") &amp; IF(AF915="SIM","transferência internacional de dados; ","") &amp; IF(AL915="SIM","utilização de inteligência artificial; ","") &amp; IF(OR(AN915="Dados pessoais",AN915="Dados sensíveis",AN915="Dados pessoais e sensíveis"),"dados inseridos em IA; ","") &amp; IF(O915="Acima de 10.000 titulares por mês","volume crítico de titulares; ","") &amp; IF(O915="De 1.001 a 10.000 titulares por mês","volume moderado de titulares; ","") &amp; IF(AA915="SIM","compartilhamento com terceiros; ","") &amp; IF(R915="SIM","compartilhamento com órgãos governamentais; ","") &amp; IF(AJ915="NÃO","ausência de controle de acesso por perfil; ","")),"DPIA não indicado: Processo de baixa criticidade."))</f>
      </c>
    </row>
    <row x14ac:dyDescent="0.25" r="916" customHeight="1" ht="15.75">
      <c r="A916" s="46"/>
      <c r="B916" s="6"/>
      <c r="C916" s="11"/>
      <c r="D916" s="11"/>
      <c r="E916" s="11"/>
      <c r="F916" s="29"/>
      <c r="G916" s="11"/>
      <c r="H916" s="11"/>
      <c r="I916" s="29"/>
      <c r="J916" s="11"/>
      <c r="K916" s="29"/>
      <c r="L916" s="11"/>
      <c r="M916" s="11"/>
      <c r="N916" s="11"/>
      <c r="O916" s="29"/>
      <c r="P916" s="29"/>
      <c r="Q916" s="11"/>
      <c r="R916" s="29"/>
      <c r="S916" s="11"/>
      <c r="T916" s="6"/>
      <c r="U916" s="29"/>
      <c r="V916" s="11"/>
      <c r="W916" s="11"/>
      <c r="X916" s="29"/>
      <c r="Y916" s="11"/>
      <c r="Z916" s="29"/>
      <c r="AA916" s="29"/>
      <c r="AB916" s="11"/>
      <c r="AC916" s="11"/>
      <c r="AD916" s="29"/>
      <c r="AE916" s="11"/>
      <c r="AF916" s="29"/>
      <c r="AG916" s="11"/>
      <c r="AH916" s="29"/>
      <c r="AI916" s="11"/>
      <c r="AJ916" s="29"/>
      <c r="AK916" s="29"/>
      <c r="AL916" s="29"/>
      <c r="AM916" s="11"/>
      <c r="AN916" s="29"/>
      <c r="AO916" s="29"/>
      <c r="AP916" s="6"/>
      <c r="AQ916" s="113">
        <f>IF(AND(I916="",K916="",AF916="",AL916="",AN916="",O916=""),"",IF(OR(I916="SIM",K916="SIM",AF916="SIM",AL916="SIM",AN916="Dados pessoais",AN916="Dados sensíveis",AN916="Dados pessoais e sensíveis",O916="Acima de 10.000 titulares por mês"),"SIM - Alta criticidade",IF((IF(I916="SIM",2,0)+IF(K916="SIM",2,0)+IF(AF916="SIM",2,0)+IF(OR(AN916="Dados pessoais",AN916="Dados sensíveis",AN916="Dados pessoais e sensíveis"),2,0)+IF(O916="De 1.001 a 10.000 titulares por mês",1,0)+IF(AA916="SIM",1,0)+IF(R916="SIM",1,0)+IF(AL916="SIM",1,0)+IF(AJ916="NÃO",1,0))&gt;=5,"SIM - Alta criticidade",IF((IF(I916="SIM",2,0)+IF(K916="SIM",2,0)+IF(AF916="SIM",2,0)+IF(OR(AN916="Dados pessoais",AN916="Dados sensíveis",AN916="Dados pessoais e sensíveis"),2,0)+IF(O916="De 1.001 a 10.000 titulares por mês",1,0)+IF(AA916="SIM",1,0)+IF(R916="SIM",1,0)+IF(AL916="SIM",1,0)+IF(AJ916="NÃO",1,0))&gt;=3,"Avaliação necessária","NÃO"))))</f>
      </c>
      <c r="AR916" s="11"/>
      <c r="AS916" s="113">
        <f>IF(AND(I916="",K916="",AF916="",AL916="",AN916="",O916=""),"",IF(OR(I916="SIM",K916="SIM",AF916="SIM",AL916="SIM",OR(AN916="Dados pessoais",AN916="Dados sensíveis",AN916="Dados pessoais e sensíveis"),O916="Acima de 10.000 titulares por mês",(IF(I916="SIM",2,0)+IF(K916="SIM",2,0)+IF(AF916="SIM",2,0)+IF(OR(AN916="Dados pessoais",AN916="Dados sensíveis",AN916="Dados pessoais e sensíveis"),2,0)+IF(O916="De 1.001 a 10.000 titulares por mês",1,0)+IF(AA916="SIM",1,0)+IF(R916="SIM",1,0)+IF(AL916="SIM",1,0)+IF(AJ916="NÃO",1,0))&gt;=3),"DPIA indicado ou em avaliação em razão de: " &amp; TRIM(IF(I916="SIM","tratamento de dados sensíveis; ","") &amp; IF(K916="SIM","utilização de dados de menores; ","") &amp; IF(AF916="SIM","transferência internacional de dados; ","") &amp; IF(AL916="SIM","utilização de inteligência artificial; ","") &amp; IF(OR(AN916="Dados pessoais",AN916="Dados sensíveis",AN916="Dados pessoais e sensíveis"),"dados inseridos em IA; ","") &amp; IF(O916="Acima de 10.000 titulares por mês","volume crítico de titulares; ","") &amp; IF(O916="De 1.001 a 10.000 titulares por mês","volume moderado de titulares; ","") &amp; IF(AA916="SIM","compartilhamento com terceiros; ","") &amp; IF(R916="SIM","compartilhamento com órgãos governamentais; ","") &amp; IF(AJ916="NÃO","ausência de controle de acesso por perfil; ","")),"DPIA não indicado: Processo de baixa criticidade."))</f>
      </c>
    </row>
    <row x14ac:dyDescent="0.25" r="917" customHeight="1" ht="15.75">
      <c r="A917" s="46"/>
      <c r="B917" s="6"/>
      <c r="C917" s="11"/>
      <c r="D917" s="11"/>
      <c r="E917" s="11"/>
      <c r="F917" s="29"/>
      <c r="G917" s="11"/>
      <c r="H917" s="11"/>
      <c r="I917" s="29"/>
      <c r="J917" s="11"/>
      <c r="K917" s="29"/>
      <c r="L917" s="11"/>
      <c r="M917" s="11"/>
      <c r="N917" s="11"/>
      <c r="O917" s="29"/>
      <c r="P917" s="29"/>
      <c r="Q917" s="11"/>
      <c r="R917" s="29"/>
      <c r="S917" s="11"/>
      <c r="T917" s="6"/>
      <c r="U917" s="29"/>
      <c r="V917" s="11"/>
      <c r="W917" s="11"/>
      <c r="X917" s="29"/>
      <c r="Y917" s="11"/>
      <c r="Z917" s="29"/>
      <c r="AA917" s="29"/>
      <c r="AB917" s="11"/>
      <c r="AC917" s="11"/>
      <c r="AD917" s="29"/>
      <c r="AE917" s="11"/>
      <c r="AF917" s="29"/>
      <c r="AG917" s="11"/>
      <c r="AH917" s="29"/>
      <c r="AI917" s="11"/>
      <c r="AJ917" s="29"/>
      <c r="AK917" s="29"/>
      <c r="AL917" s="29"/>
      <c r="AM917" s="11"/>
      <c r="AN917" s="29"/>
      <c r="AO917" s="29"/>
      <c r="AP917" s="6"/>
      <c r="AQ917" s="113">
        <f>IF(AND(I917="",K917="",AF917="",AL917="",AN917="",O917=""),"",IF(OR(I917="SIM",K917="SIM",AF917="SIM",AL917="SIM",AN917="Dados pessoais",AN917="Dados sensíveis",AN917="Dados pessoais e sensíveis",O917="Acima de 10.000 titulares por mês"),"SIM - Alta criticidade",IF((IF(I917="SIM",2,0)+IF(K917="SIM",2,0)+IF(AF917="SIM",2,0)+IF(OR(AN917="Dados pessoais",AN917="Dados sensíveis",AN917="Dados pessoais e sensíveis"),2,0)+IF(O917="De 1.001 a 10.000 titulares por mês",1,0)+IF(AA917="SIM",1,0)+IF(R917="SIM",1,0)+IF(AL917="SIM",1,0)+IF(AJ917="NÃO",1,0))&gt;=5,"SIM - Alta criticidade",IF((IF(I917="SIM",2,0)+IF(K917="SIM",2,0)+IF(AF917="SIM",2,0)+IF(OR(AN917="Dados pessoais",AN917="Dados sensíveis",AN917="Dados pessoais e sensíveis"),2,0)+IF(O917="De 1.001 a 10.000 titulares por mês",1,0)+IF(AA917="SIM",1,0)+IF(R917="SIM",1,0)+IF(AL917="SIM",1,0)+IF(AJ917="NÃO",1,0))&gt;=3,"Avaliação necessária","NÃO"))))</f>
      </c>
      <c r="AR917" s="11"/>
      <c r="AS917" s="113">
        <f>IF(AND(I917="",K917="",AF917="",AL917="",AN917="",O917=""),"",IF(OR(I917="SIM",K917="SIM",AF917="SIM",AL917="SIM",OR(AN917="Dados pessoais",AN917="Dados sensíveis",AN917="Dados pessoais e sensíveis"),O917="Acima de 10.000 titulares por mês",(IF(I917="SIM",2,0)+IF(K917="SIM",2,0)+IF(AF917="SIM",2,0)+IF(OR(AN917="Dados pessoais",AN917="Dados sensíveis",AN917="Dados pessoais e sensíveis"),2,0)+IF(O917="De 1.001 a 10.000 titulares por mês",1,0)+IF(AA917="SIM",1,0)+IF(R917="SIM",1,0)+IF(AL917="SIM",1,0)+IF(AJ917="NÃO",1,0))&gt;=3),"DPIA indicado ou em avaliação em razão de: " &amp; TRIM(IF(I917="SIM","tratamento de dados sensíveis; ","") &amp; IF(K917="SIM","utilização de dados de menores; ","") &amp; IF(AF917="SIM","transferência internacional de dados; ","") &amp; IF(AL917="SIM","utilização de inteligência artificial; ","") &amp; IF(OR(AN917="Dados pessoais",AN917="Dados sensíveis",AN917="Dados pessoais e sensíveis"),"dados inseridos em IA; ","") &amp; IF(O917="Acima de 10.000 titulares por mês","volume crítico de titulares; ","") &amp; IF(O917="De 1.001 a 10.000 titulares por mês","volume moderado de titulares; ","") &amp; IF(AA917="SIM","compartilhamento com terceiros; ","") &amp; IF(R917="SIM","compartilhamento com órgãos governamentais; ","") &amp; IF(AJ917="NÃO","ausência de controle de acesso por perfil; ","")),"DPIA não indicado: Processo de baixa criticidade."))</f>
      </c>
    </row>
    <row x14ac:dyDescent="0.25" r="918" customHeight="1" ht="15.75">
      <c r="A918" s="46"/>
      <c r="B918" s="6"/>
      <c r="C918" s="11"/>
      <c r="D918" s="11"/>
      <c r="E918" s="11"/>
      <c r="F918" s="29"/>
      <c r="G918" s="11"/>
      <c r="H918" s="11"/>
      <c r="I918" s="29"/>
      <c r="J918" s="11"/>
      <c r="K918" s="29"/>
      <c r="L918" s="11"/>
      <c r="M918" s="11"/>
      <c r="N918" s="11"/>
      <c r="O918" s="29"/>
      <c r="P918" s="29"/>
      <c r="Q918" s="11"/>
      <c r="R918" s="29"/>
      <c r="S918" s="11"/>
      <c r="T918" s="6"/>
      <c r="U918" s="29"/>
      <c r="V918" s="11"/>
      <c r="W918" s="11"/>
      <c r="X918" s="29"/>
      <c r="Y918" s="11"/>
      <c r="Z918" s="29"/>
      <c r="AA918" s="29"/>
      <c r="AB918" s="11"/>
      <c r="AC918" s="11"/>
      <c r="AD918" s="29"/>
      <c r="AE918" s="11"/>
      <c r="AF918" s="29"/>
      <c r="AG918" s="11"/>
      <c r="AH918" s="29"/>
      <c r="AI918" s="11"/>
      <c r="AJ918" s="29"/>
      <c r="AK918" s="29"/>
      <c r="AL918" s="29"/>
      <c r="AM918" s="11"/>
      <c r="AN918" s="29"/>
      <c r="AO918" s="29"/>
      <c r="AP918" s="6"/>
      <c r="AQ918" s="113">
        <f>IF(AND(I918="",K918="",AF918="",AL918="",AN918="",O918=""),"",IF(OR(I918="SIM",K918="SIM",AF918="SIM",AL918="SIM",AN918="Dados pessoais",AN918="Dados sensíveis",AN918="Dados pessoais e sensíveis",O918="Acima de 10.000 titulares por mês"),"SIM - Alta criticidade",IF((IF(I918="SIM",2,0)+IF(K918="SIM",2,0)+IF(AF918="SIM",2,0)+IF(OR(AN918="Dados pessoais",AN918="Dados sensíveis",AN918="Dados pessoais e sensíveis"),2,0)+IF(O918="De 1.001 a 10.000 titulares por mês",1,0)+IF(AA918="SIM",1,0)+IF(R918="SIM",1,0)+IF(AL918="SIM",1,0)+IF(AJ918="NÃO",1,0))&gt;=5,"SIM - Alta criticidade",IF((IF(I918="SIM",2,0)+IF(K918="SIM",2,0)+IF(AF918="SIM",2,0)+IF(OR(AN918="Dados pessoais",AN918="Dados sensíveis",AN918="Dados pessoais e sensíveis"),2,0)+IF(O918="De 1.001 a 10.000 titulares por mês",1,0)+IF(AA918="SIM",1,0)+IF(R918="SIM",1,0)+IF(AL918="SIM",1,0)+IF(AJ918="NÃO",1,0))&gt;=3,"Avaliação necessária","NÃO"))))</f>
      </c>
      <c r="AR918" s="11"/>
      <c r="AS918" s="113">
        <f>IF(AND(I918="",K918="",AF918="",AL918="",AN918="",O918=""),"",IF(OR(I918="SIM",K918="SIM",AF918="SIM",AL918="SIM",OR(AN918="Dados pessoais",AN918="Dados sensíveis",AN918="Dados pessoais e sensíveis"),O918="Acima de 10.000 titulares por mês",(IF(I918="SIM",2,0)+IF(K918="SIM",2,0)+IF(AF918="SIM",2,0)+IF(OR(AN918="Dados pessoais",AN918="Dados sensíveis",AN918="Dados pessoais e sensíveis"),2,0)+IF(O918="De 1.001 a 10.000 titulares por mês",1,0)+IF(AA918="SIM",1,0)+IF(R918="SIM",1,0)+IF(AL918="SIM",1,0)+IF(AJ918="NÃO",1,0))&gt;=3),"DPIA indicado ou em avaliação em razão de: " &amp; TRIM(IF(I918="SIM","tratamento de dados sensíveis; ","") &amp; IF(K918="SIM","utilização de dados de menores; ","") &amp; IF(AF918="SIM","transferência internacional de dados; ","") &amp; IF(AL918="SIM","utilização de inteligência artificial; ","") &amp; IF(OR(AN918="Dados pessoais",AN918="Dados sensíveis",AN918="Dados pessoais e sensíveis"),"dados inseridos em IA; ","") &amp; IF(O918="Acima de 10.000 titulares por mês","volume crítico de titulares; ","") &amp; IF(O918="De 1.001 a 10.000 titulares por mês","volume moderado de titulares; ","") &amp; IF(AA918="SIM","compartilhamento com terceiros; ","") &amp; IF(R918="SIM","compartilhamento com órgãos governamentais; ","") &amp; IF(AJ918="NÃO","ausência de controle de acesso por perfil; ","")),"DPIA não indicado: Processo de baixa criticidade."))</f>
      </c>
    </row>
    <row x14ac:dyDescent="0.25" r="919" customHeight="1" ht="15.75">
      <c r="A919" s="46"/>
      <c r="B919" s="6"/>
      <c r="C919" s="11"/>
      <c r="D919" s="11"/>
      <c r="E919" s="11"/>
      <c r="F919" s="29"/>
      <c r="G919" s="11"/>
      <c r="H919" s="11"/>
      <c r="I919" s="29"/>
      <c r="J919" s="11"/>
      <c r="K919" s="29"/>
      <c r="L919" s="11"/>
      <c r="M919" s="11"/>
      <c r="N919" s="11"/>
      <c r="O919" s="29"/>
      <c r="P919" s="29"/>
      <c r="Q919" s="11"/>
      <c r="R919" s="29"/>
      <c r="S919" s="11"/>
      <c r="T919" s="6"/>
      <c r="U919" s="29"/>
      <c r="V919" s="11"/>
      <c r="W919" s="11"/>
      <c r="X919" s="29"/>
      <c r="Y919" s="11"/>
      <c r="Z919" s="29"/>
      <c r="AA919" s="29"/>
      <c r="AB919" s="11"/>
      <c r="AC919" s="11"/>
      <c r="AD919" s="29"/>
      <c r="AE919" s="11"/>
      <c r="AF919" s="29"/>
      <c r="AG919" s="11"/>
      <c r="AH919" s="29"/>
      <c r="AI919" s="11"/>
      <c r="AJ919" s="29"/>
      <c r="AK919" s="29"/>
      <c r="AL919" s="29"/>
      <c r="AM919" s="11"/>
      <c r="AN919" s="29"/>
      <c r="AO919" s="29"/>
      <c r="AP919" s="6"/>
      <c r="AQ919" s="113">
        <f>IF(AND(I919="",K919="",AF919="",AL919="",AN919="",O919=""),"",IF(OR(I919="SIM",K919="SIM",AF919="SIM",AL919="SIM",AN919="Dados pessoais",AN919="Dados sensíveis",AN919="Dados pessoais e sensíveis",O919="Acima de 10.000 titulares por mês"),"SIM - Alta criticidade",IF((IF(I919="SIM",2,0)+IF(K919="SIM",2,0)+IF(AF919="SIM",2,0)+IF(OR(AN919="Dados pessoais",AN919="Dados sensíveis",AN919="Dados pessoais e sensíveis"),2,0)+IF(O919="De 1.001 a 10.000 titulares por mês",1,0)+IF(AA919="SIM",1,0)+IF(R919="SIM",1,0)+IF(AL919="SIM",1,0)+IF(AJ919="NÃO",1,0))&gt;=5,"SIM - Alta criticidade",IF((IF(I919="SIM",2,0)+IF(K919="SIM",2,0)+IF(AF919="SIM",2,0)+IF(OR(AN919="Dados pessoais",AN919="Dados sensíveis",AN919="Dados pessoais e sensíveis"),2,0)+IF(O919="De 1.001 a 10.000 titulares por mês",1,0)+IF(AA919="SIM",1,0)+IF(R919="SIM",1,0)+IF(AL919="SIM",1,0)+IF(AJ919="NÃO",1,0))&gt;=3,"Avaliação necessária","NÃO"))))</f>
      </c>
      <c r="AR919" s="11"/>
      <c r="AS919" s="113">
        <f>IF(AND(I919="",K919="",AF919="",AL919="",AN919="",O919=""),"",IF(OR(I919="SIM",K919="SIM",AF919="SIM",AL919="SIM",OR(AN919="Dados pessoais",AN919="Dados sensíveis",AN919="Dados pessoais e sensíveis"),O919="Acima de 10.000 titulares por mês",(IF(I919="SIM",2,0)+IF(K919="SIM",2,0)+IF(AF919="SIM",2,0)+IF(OR(AN919="Dados pessoais",AN919="Dados sensíveis",AN919="Dados pessoais e sensíveis"),2,0)+IF(O919="De 1.001 a 10.000 titulares por mês",1,0)+IF(AA919="SIM",1,0)+IF(R919="SIM",1,0)+IF(AL919="SIM",1,0)+IF(AJ919="NÃO",1,0))&gt;=3),"DPIA indicado ou em avaliação em razão de: " &amp; TRIM(IF(I919="SIM","tratamento de dados sensíveis; ","") &amp; IF(K919="SIM","utilização de dados de menores; ","") &amp; IF(AF919="SIM","transferência internacional de dados; ","") &amp; IF(AL919="SIM","utilização de inteligência artificial; ","") &amp; IF(OR(AN919="Dados pessoais",AN919="Dados sensíveis",AN919="Dados pessoais e sensíveis"),"dados inseridos em IA; ","") &amp; IF(O919="Acima de 10.000 titulares por mês","volume crítico de titulares; ","") &amp; IF(O919="De 1.001 a 10.000 titulares por mês","volume moderado de titulares; ","") &amp; IF(AA919="SIM","compartilhamento com terceiros; ","") &amp; IF(R919="SIM","compartilhamento com órgãos governamentais; ","") &amp; IF(AJ919="NÃO","ausência de controle de acesso por perfil; ","")),"DPIA não indicado: Processo de baixa criticidade."))</f>
      </c>
    </row>
    <row x14ac:dyDescent="0.25" r="920" customHeight="1" ht="15.75">
      <c r="A920" s="46"/>
      <c r="B920" s="6"/>
      <c r="C920" s="11"/>
      <c r="D920" s="11"/>
      <c r="E920" s="11"/>
      <c r="F920" s="29"/>
      <c r="G920" s="11"/>
      <c r="H920" s="11"/>
      <c r="I920" s="29"/>
      <c r="J920" s="11"/>
      <c r="K920" s="29"/>
      <c r="L920" s="11"/>
      <c r="M920" s="11"/>
      <c r="N920" s="11"/>
      <c r="O920" s="29"/>
      <c r="P920" s="29"/>
      <c r="Q920" s="11"/>
      <c r="R920" s="29"/>
      <c r="S920" s="11"/>
      <c r="T920" s="6"/>
      <c r="U920" s="29"/>
      <c r="V920" s="11"/>
      <c r="W920" s="11"/>
      <c r="X920" s="29"/>
      <c r="Y920" s="11"/>
      <c r="Z920" s="29"/>
      <c r="AA920" s="29"/>
      <c r="AB920" s="11"/>
      <c r="AC920" s="11"/>
      <c r="AD920" s="29"/>
      <c r="AE920" s="11"/>
      <c r="AF920" s="29"/>
      <c r="AG920" s="11"/>
      <c r="AH920" s="29"/>
      <c r="AI920" s="11"/>
      <c r="AJ920" s="29"/>
      <c r="AK920" s="29"/>
      <c r="AL920" s="29"/>
      <c r="AM920" s="11"/>
      <c r="AN920" s="29"/>
      <c r="AO920" s="29"/>
      <c r="AP920" s="6"/>
      <c r="AQ920" s="113">
        <f>IF(AND(I920="",K920="",AF920="",AL920="",AN920="",O920=""),"",IF(OR(I920="SIM",K920="SIM",AF920="SIM",AL920="SIM",AN920="Dados pessoais",AN920="Dados sensíveis",AN920="Dados pessoais e sensíveis",O920="Acima de 10.000 titulares por mês"),"SIM - Alta criticidade",IF((IF(I920="SIM",2,0)+IF(K920="SIM",2,0)+IF(AF920="SIM",2,0)+IF(OR(AN920="Dados pessoais",AN920="Dados sensíveis",AN920="Dados pessoais e sensíveis"),2,0)+IF(O920="De 1.001 a 10.000 titulares por mês",1,0)+IF(AA920="SIM",1,0)+IF(R920="SIM",1,0)+IF(AL920="SIM",1,0)+IF(AJ920="NÃO",1,0))&gt;=5,"SIM - Alta criticidade",IF((IF(I920="SIM",2,0)+IF(K920="SIM",2,0)+IF(AF920="SIM",2,0)+IF(OR(AN920="Dados pessoais",AN920="Dados sensíveis",AN920="Dados pessoais e sensíveis"),2,0)+IF(O920="De 1.001 a 10.000 titulares por mês",1,0)+IF(AA920="SIM",1,0)+IF(R920="SIM",1,0)+IF(AL920="SIM",1,0)+IF(AJ920="NÃO",1,0))&gt;=3,"Avaliação necessária","NÃO"))))</f>
      </c>
      <c r="AR920" s="11"/>
      <c r="AS920" s="113">
        <f>IF(AND(I920="",K920="",AF920="",AL920="",AN920="",O920=""),"",IF(OR(I920="SIM",K920="SIM",AF920="SIM",AL920="SIM",OR(AN920="Dados pessoais",AN920="Dados sensíveis",AN920="Dados pessoais e sensíveis"),O920="Acima de 10.000 titulares por mês",(IF(I920="SIM",2,0)+IF(K920="SIM",2,0)+IF(AF920="SIM",2,0)+IF(OR(AN920="Dados pessoais",AN920="Dados sensíveis",AN920="Dados pessoais e sensíveis"),2,0)+IF(O920="De 1.001 a 10.000 titulares por mês",1,0)+IF(AA920="SIM",1,0)+IF(R920="SIM",1,0)+IF(AL920="SIM",1,0)+IF(AJ920="NÃO",1,0))&gt;=3),"DPIA indicado ou em avaliação em razão de: " &amp; TRIM(IF(I920="SIM","tratamento de dados sensíveis; ","") &amp; IF(K920="SIM","utilização de dados de menores; ","") &amp; IF(AF920="SIM","transferência internacional de dados; ","") &amp; IF(AL920="SIM","utilização de inteligência artificial; ","") &amp; IF(OR(AN920="Dados pessoais",AN920="Dados sensíveis",AN920="Dados pessoais e sensíveis"),"dados inseridos em IA; ","") &amp; IF(O920="Acima de 10.000 titulares por mês","volume crítico de titulares; ","") &amp; IF(O920="De 1.001 a 10.000 titulares por mês","volume moderado de titulares; ","") &amp; IF(AA920="SIM","compartilhamento com terceiros; ","") &amp; IF(R920="SIM","compartilhamento com órgãos governamentais; ","") &amp; IF(AJ920="NÃO","ausência de controle de acesso por perfil; ","")),"DPIA não indicado: Processo de baixa criticidade."))</f>
      </c>
    </row>
    <row x14ac:dyDescent="0.25" r="921" customHeight="1" ht="15.75">
      <c r="A921" s="46"/>
      <c r="B921" s="6"/>
      <c r="C921" s="11"/>
      <c r="D921" s="11"/>
      <c r="E921" s="11"/>
      <c r="F921" s="29"/>
      <c r="G921" s="11"/>
      <c r="H921" s="11"/>
      <c r="I921" s="29"/>
      <c r="J921" s="11"/>
      <c r="K921" s="29"/>
      <c r="L921" s="11"/>
      <c r="M921" s="11"/>
      <c r="N921" s="11"/>
      <c r="O921" s="29"/>
      <c r="P921" s="29"/>
      <c r="Q921" s="11"/>
      <c r="R921" s="29"/>
      <c r="S921" s="11"/>
      <c r="T921" s="6"/>
      <c r="U921" s="29"/>
      <c r="V921" s="11"/>
      <c r="W921" s="11"/>
      <c r="X921" s="29"/>
      <c r="Y921" s="11"/>
      <c r="Z921" s="29"/>
      <c r="AA921" s="29"/>
      <c r="AB921" s="11"/>
      <c r="AC921" s="11"/>
      <c r="AD921" s="29"/>
      <c r="AE921" s="11"/>
      <c r="AF921" s="29"/>
      <c r="AG921" s="11"/>
      <c r="AH921" s="29"/>
      <c r="AI921" s="11"/>
      <c r="AJ921" s="29"/>
      <c r="AK921" s="29"/>
      <c r="AL921" s="29"/>
      <c r="AM921" s="11"/>
      <c r="AN921" s="29"/>
      <c r="AO921" s="29"/>
      <c r="AP921" s="6"/>
      <c r="AQ921" s="113">
        <f>IF(AND(I921="",K921="",AF921="",AL921="",AN921="",O921=""),"",IF(OR(I921="SIM",K921="SIM",AF921="SIM",AL921="SIM",AN921="Dados pessoais",AN921="Dados sensíveis",AN921="Dados pessoais e sensíveis",O921="Acima de 10.000 titulares por mês"),"SIM - Alta criticidade",IF((IF(I921="SIM",2,0)+IF(K921="SIM",2,0)+IF(AF921="SIM",2,0)+IF(OR(AN921="Dados pessoais",AN921="Dados sensíveis",AN921="Dados pessoais e sensíveis"),2,0)+IF(O921="De 1.001 a 10.000 titulares por mês",1,0)+IF(AA921="SIM",1,0)+IF(R921="SIM",1,0)+IF(AL921="SIM",1,0)+IF(AJ921="NÃO",1,0))&gt;=5,"SIM - Alta criticidade",IF((IF(I921="SIM",2,0)+IF(K921="SIM",2,0)+IF(AF921="SIM",2,0)+IF(OR(AN921="Dados pessoais",AN921="Dados sensíveis",AN921="Dados pessoais e sensíveis"),2,0)+IF(O921="De 1.001 a 10.000 titulares por mês",1,0)+IF(AA921="SIM",1,0)+IF(R921="SIM",1,0)+IF(AL921="SIM",1,0)+IF(AJ921="NÃO",1,0))&gt;=3,"Avaliação necessária","NÃO"))))</f>
      </c>
      <c r="AR921" s="11"/>
      <c r="AS921" s="113">
        <f>IF(AND(I921="",K921="",AF921="",AL921="",AN921="",O921=""),"",IF(OR(I921="SIM",K921="SIM",AF921="SIM",AL921="SIM",OR(AN921="Dados pessoais",AN921="Dados sensíveis",AN921="Dados pessoais e sensíveis"),O921="Acima de 10.000 titulares por mês",(IF(I921="SIM",2,0)+IF(K921="SIM",2,0)+IF(AF921="SIM",2,0)+IF(OR(AN921="Dados pessoais",AN921="Dados sensíveis",AN921="Dados pessoais e sensíveis"),2,0)+IF(O921="De 1.001 a 10.000 titulares por mês",1,0)+IF(AA921="SIM",1,0)+IF(R921="SIM",1,0)+IF(AL921="SIM",1,0)+IF(AJ921="NÃO",1,0))&gt;=3),"DPIA indicado ou em avaliação em razão de: " &amp; TRIM(IF(I921="SIM","tratamento de dados sensíveis; ","") &amp; IF(K921="SIM","utilização de dados de menores; ","") &amp; IF(AF921="SIM","transferência internacional de dados; ","") &amp; IF(AL921="SIM","utilização de inteligência artificial; ","") &amp; IF(OR(AN921="Dados pessoais",AN921="Dados sensíveis",AN921="Dados pessoais e sensíveis"),"dados inseridos em IA; ","") &amp; IF(O921="Acima de 10.000 titulares por mês","volume crítico de titulares; ","") &amp; IF(O921="De 1.001 a 10.000 titulares por mês","volume moderado de titulares; ","") &amp; IF(AA921="SIM","compartilhamento com terceiros; ","") &amp; IF(R921="SIM","compartilhamento com órgãos governamentais; ","") &amp; IF(AJ921="NÃO","ausência de controle de acesso por perfil; ","")),"DPIA não indicado: Processo de baixa criticidade."))</f>
      </c>
    </row>
    <row x14ac:dyDescent="0.25" r="922" customHeight="1" ht="15.75">
      <c r="A922" s="46"/>
      <c r="B922" s="6"/>
      <c r="C922" s="11"/>
      <c r="D922" s="11"/>
      <c r="E922" s="11"/>
      <c r="F922" s="29"/>
      <c r="G922" s="11"/>
      <c r="H922" s="11"/>
      <c r="I922" s="29"/>
      <c r="J922" s="11"/>
      <c r="K922" s="29"/>
      <c r="L922" s="11"/>
      <c r="M922" s="11"/>
      <c r="N922" s="11"/>
      <c r="O922" s="29"/>
      <c r="P922" s="29"/>
      <c r="Q922" s="11"/>
      <c r="R922" s="29"/>
      <c r="S922" s="11"/>
      <c r="T922" s="6"/>
      <c r="U922" s="29"/>
      <c r="V922" s="11"/>
      <c r="W922" s="11"/>
      <c r="X922" s="29"/>
      <c r="Y922" s="11"/>
      <c r="Z922" s="29"/>
      <c r="AA922" s="29"/>
      <c r="AB922" s="11"/>
      <c r="AC922" s="11"/>
      <c r="AD922" s="29"/>
      <c r="AE922" s="11"/>
      <c r="AF922" s="29"/>
      <c r="AG922" s="11"/>
      <c r="AH922" s="29"/>
      <c r="AI922" s="11"/>
      <c r="AJ922" s="29"/>
      <c r="AK922" s="29"/>
      <c r="AL922" s="29"/>
      <c r="AM922" s="11"/>
      <c r="AN922" s="29"/>
      <c r="AO922" s="29"/>
      <c r="AP922" s="6"/>
      <c r="AQ922" s="113">
        <f>IF(AND(I922="",K922="",AF922="",AL922="",AN922="",O922=""),"",IF(OR(I922="SIM",K922="SIM",AF922="SIM",AL922="SIM",AN922="Dados pessoais",AN922="Dados sensíveis",AN922="Dados pessoais e sensíveis",O922="Acima de 10.000 titulares por mês"),"SIM - Alta criticidade",IF((IF(I922="SIM",2,0)+IF(K922="SIM",2,0)+IF(AF922="SIM",2,0)+IF(OR(AN922="Dados pessoais",AN922="Dados sensíveis",AN922="Dados pessoais e sensíveis"),2,0)+IF(O922="De 1.001 a 10.000 titulares por mês",1,0)+IF(AA922="SIM",1,0)+IF(R922="SIM",1,0)+IF(AL922="SIM",1,0)+IF(AJ922="NÃO",1,0))&gt;=5,"SIM - Alta criticidade",IF((IF(I922="SIM",2,0)+IF(K922="SIM",2,0)+IF(AF922="SIM",2,0)+IF(OR(AN922="Dados pessoais",AN922="Dados sensíveis",AN922="Dados pessoais e sensíveis"),2,0)+IF(O922="De 1.001 a 10.000 titulares por mês",1,0)+IF(AA922="SIM",1,0)+IF(R922="SIM",1,0)+IF(AL922="SIM",1,0)+IF(AJ922="NÃO",1,0))&gt;=3,"Avaliação necessária","NÃO"))))</f>
      </c>
      <c r="AR922" s="11"/>
      <c r="AS922" s="113">
        <f>IF(AND(I922="",K922="",AF922="",AL922="",AN922="",O922=""),"",IF(OR(I922="SIM",K922="SIM",AF922="SIM",AL922="SIM",OR(AN922="Dados pessoais",AN922="Dados sensíveis",AN922="Dados pessoais e sensíveis"),O922="Acima de 10.000 titulares por mês",(IF(I922="SIM",2,0)+IF(K922="SIM",2,0)+IF(AF922="SIM",2,0)+IF(OR(AN922="Dados pessoais",AN922="Dados sensíveis",AN922="Dados pessoais e sensíveis"),2,0)+IF(O922="De 1.001 a 10.000 titulares por mês",1,0)+IF(AA922="SIM",1,0)+IF(R922="SIM",1,0)+IF(AL922="SIM",1,0)+IF(AJ922="NÃO",1,0))&gt;=3),"DPIA indicado ou em avaliação em razão de: " &amp; TRIM(IF(I922="SIM","tratamento de dados sensíveis; ","") &amp; IF(K922="SIM","utilização de dados de menores; ","") &amp; IF(AF922="SIM","transferência internacional de dados; ","") &amp; IF(AL922="SIM","utilização de inteligência artificial; ","") &amp; IF(OR(AN922="Dados pessoais",AN922="Dados sensíveis",AN922="Dados pessoais e sensíveis"),"dados inseridos em IA; ","") &amp; IF(O922="Acima de 10.000 titulares por mês","volume crítico de titulares; ","") &amp; IF(O922="De 1.001 a 10.000 titulares por mês","volume moderado de titulares; ","") &amp; IF(AA922="SIM","compartilhamento com terceiros; ","") &amp; IF(R922="SIM","compartilhamento com órgãos governamentais; ","") &amp; IF(AJ922="NÃO","ausência de controle de acesso por perfil; ","")),"DPIA não indicado: Processo de baixa criticidade."))</f>
      </c>
    </row>
    <row x14ac:dyDescent="0.25" r="923" customHeight="1" ht="15.75">
      <c r="A923" s="46"/>
      <c r="B923" s="6"/>
      <c r="C923" s="11"/>
      <c r="D923" s="11"/>
      <c r="E923" s="11"/>
      <c r="F923" s="29"/>
      <c r="G923" s="11"/>
      <c r="H923" s="11"/>
      <c r="I923" s="29"/>
      <c r="J923" s="11"/>
      <c r="K923" s="29"/>
      <c r="L923" s="11"/>
      <c r="M923" s="11"/>
      <c r="N923" s="11"/>
      <c r="O923" s="29"/>
      <c r="P923" s="29"/>
      <c r="Q923" s="11"/>
      <c r="R923" s="29"/>
      <c r="S923" s="11"/>
      <c r="T923" s="6"/>
      <c r="U923" s="29"/>
      <c r="V923" s="11"/>
      <c r="W923" s="11"/>
      <c r="X923" s="29"/>
      <c r="Y923" s="11"/>
      <c r="Z923" s="29"/>
      <c r="AA923" s="29"/>
      <c r="AB923" s="11"/>
      <c r="AC923" s="11"/>
      <c r="AD923" s="29"/>
      <c r="AE923" s="11"/>
      <c r="AF923" s="29"/>
      <c r="AG923" s="11"/>
      <c r="AH923" s="29"/>
      <c r="AI923" s="11"/>
      <c r="AJ923" s="29"/>
      <c r="AK923" s="29"/>
      <c r="AL923" s="29"/>
      <c r="AM923" s="11"/>
      <c r="AN923" s="29"/>
      <c r="AO923" s="29"/>
      <c r="AP923" s="6"/>
      <c r="AQ923" s="113">
        <f>IF(AND(I923="",K923="",AF923="",AL923="",AN923="",O923=""),"",IF(OR(I923="SIM",K923="SIM",AF923="SIM",AL923="SIM",AN923="Dados pessoais",AN923="Dados sensíveis",AN923="Dados pessoais e sensíveis",O923="Acima de 10.000 titulares por mês"),"SIM - Alta criticidade",IF((IF(I923="SIM",2,0)+IF(K923="SIM",2,0)+IF(AF923="SIM",2,0)+IF(OR(AN923="Dados pessoais",AN923="Dados sensíveis",AN923="Dados pessoais e sensíveis"),2,0)+IF(O923="De 1.001 a 10.000 titulares por mês",1,0)+IF(AA923="SIM",1,0)+IF(R923="SIM",1,0)+IF(AL923="SIM",1,0)+IF(AJ923="NÃO",1,0))&gt;=5,"SIM - Alta criticidade",IF((IF(I923="SIM",2,0)+IF(K923="SIM",2,0)+IF(AF923="SIM",2,0)+IF(OR(AN923="Dados pessoais",AN923="Dados sensíveis",AN923="Dados pessoais e sensíveis"),2,0)+IF(O923="De 1.001 a 10.000 titulares por mês",1,0)+IF(AA923="SIM",1,0)+IF(R923="SIM",1,0)+IF(AL923="SIM",1,0)+IF(AJ923="NÃO",1,0))&gt;=3,"Avaliação necessária","NÃO"))))</f>
      </c>
      <c r="AR923" s="11"/>
      <c r="AS923" s="113">
        <f>IF(AND(I923="",K923="",AF923="",AL923="",AN923="",O923=""),"",IF(OR(I923="SIM",K923="SIM",AF923="SIM",AL923="SIM",OR(AN923="Dados pessoais",AN923="Dados sensíveis",AN923="Dados pessoais e sensíveis"),O923="Acima de 10.000 titulares por mês",(IF(I923="SIM",2,0)+IF(K923="SIM",2,0)+IF(AF923="SIM",2,0)+IF(OR(AN923="Dados pessoais",AN923="Dados sensíveis",AN923="Dados pessoais e sensíveis"),2,0)+IF(O923="De 1.001 a 10.000 titulares por mês",1,0)+IF(AA923="SIM",1,0)+IF(R923="SIM",1,0)+IF(AL923="SIM",1,0)+IF(AJ923="NÃO",1,0))&gt;=3),"DPIA indicado ou em avaliação em razão de: " &amp; TRIM(IF(I923="SIM","tratamento de dados sensíveis; ","") &amp; IF(K923="SIM","utilização de dados de menores; ","") &amp; IF(AF923="SIM","transferência internacional de dados; ","") &amp; IF(AL923="SIM","utilização de inteligência artificial; ","") &amp; IF(OR(AN923="Dados pessoais",AN923="Dados sensíveis",AN923="Dados pessoais e sensíveis"),"dados inseridos em IA; ","") &amp; IF(O923="Acima de 10.000 titulares por mês","volume crítico de titulares; ","") &amp; IF(O923="De 1.001 a 10.000 titulares por mês","volume moderado de titulares; ","") &amp; IF(AA923="SIM","compartilhamento com terceiros; ","") &amp; IF(R923="SIM","compartilhamento com órgãos governamentais; ","") &amp; IF(AJ923="NÃO","ausência de controle de acesso por perfil; ","")),"DPIA não indicado: Processo de baixa criticidade."))</f>
      </c>
    </row>
    <row x14ac:dyDescent="0.25" r="924" customHeight="1" ht="15.75">
      <c r="A924" s="46"/>
      <c r="B924" s="6"/>
      <c r="C924" s="11"/>
      <c r="D924" s="11"/>
      <c r="E924" s="11"/>
      <c r="F924" s="29"/>
      <c r="G924" s="11"/>
      <c r="H924" s="11"/>
      <c r="I924" s="29"/>
      <c r="J924" s="11"/>
      <c r="K924" s="29"/>
      <c r="L924" s="11"/>
      <c r="M924" s="11"/>
      <c r="N924" s="11"/>
      <c r="O924" s="29"/>
      <c r="P924" s="29"/>
      <c r="Q924" s="11"/>
      <c r="R924" s="29"/>
      <c r="S924" s="11"/>
      <c r="T924" s="6"/>
      <c r="U924" s="29"/>
      <c r="V924" s="11"/>
      <c r="W924" s="11"/>
      <c r="X924" s="29"/>
      <c r="Y924" s="11"/>
      <c r="Z924" s="29"/>
      <c r="AA924" s="29"/>
      <c r="AB924" s="11"/>
      <c r="AC924" s="11"/>
      <c r="AD924" s="29"/>
      <c r="AE924" s="11"/>
      <c r="AF924" s="29"/>
      <c r="AG924" s="11"/>
      <c r="AH924" s="29"/>
      <c r="AI924" s="11"/>
      <c r="AJ924" s="29"/>
      <c r="AK924" s="29"/>
      <c r="AL924" s="29"/>
      <c r="AM924" s="11"/>
      <c r="AN924" s="29"/>
      <c r="AO924" s="29"/>
      <c r="AP924" s="6"/>
      <c r="AQ924" s="113">
        <f>IF(AND(I924="",K924="",AF924="",AL924="",AN924="",O924=""),"",IF(OR(I924="SIM",K924="SIM",AF924="SIM",AL924="SIM",AN924="Dados pessoais",AN924="Dados sensíveis",AN924="Dados pessoais e sensíveis",O924="Acima de 10.000 titulares por mês"),"SIM - Alta criticidade",IF((IF(I924="SIM",2,0)+IF(K924="SIM",2,0)+IF(AF924="SIM",2,0)+IF(OR(AN924="Dados pessoais",AN924="Dados sensíveis",AN924="Dados pessoais e sensíveis"),2,0)+IF(O924="De 1.001 a 10.000 titulares por mês",1,0)+IF(AA924="SIM",1,0)+IF(R924="SIM",1,0)+IF(AL924="SIM",1,0)+IF(AJ924="NÃO",1,0))&gt;=5,"SIM - Alta criticidade",IF((IF(I924="SIM",2,0)+IF(K924="SIM",2,0)+IF(AF924="SIM",2,0)+IF(OR(AN924="Dados pessoais",AN924="Dados sensíveis",AN924="Dados pessoais e sensíveis"),2,0)+IF(O924="De 1.001 a 10.000 titulares por mês",1,0)+IF(AA924="SIM",1,0)+IF(R924="SIM",1,0)+IF(AL924="SIM",1,0)+IF(AJ924="NÃO",1,0))&gt;=3,"Avaliação necessária","NÃO"))))</f>
      </c>
      <c r="AR924" s="11"/>
      <c r="AS924" s="113">
        <f>IF(AND(I924="",K924="",AF924="",AL924="",AN924="",O924=""),"",IF(OR(I924="SIM",K924="SIM",AF924="SIM",AL924="SIM",OR(AN924="Dados pessoais",AN924="Dados sensíveis",AN924="Dados pessoais e sensíveis"),O924="Acima de 10.000 titulares por mês",(IF(I924="SIM",2,0)+IF(K924="SIM",2,0)+IF(AF924="SIM",2,0)+IF(OR(AN924="Dados pessoais",AN924="Dados sensíveis",AN924="Dados pessoais e sensíveis"),2,0)+IF(O924="De 1.001 a 10.000 titulares por mês",1,0)+IF(AA924="SIM",1,0)+IF(R924="SIM",1,0)+IF(AL924="SIM",1,0)+IF(AJ924="NÃO",1,0))&gt;=3),"DPIA indicado ou em avaliação em razão de: " &amp; TRIM(IF(I924="SIM","tratamento de dados sensíveis; ","") &amp; IF(K924="SIM","utilização de dados de menores; ","") &amp; IF(AF924="SIM","transferência internacional de dados; ","") &amp; IF(AL924="SIM","utilização de inteligência artificial; ","") &amp; IF(OR(AN924="Dados pessoais",AN924="Dados sensíveis",AN924="Dados pessoais e sensíveis"),"dados inseridos em IA; ","") &amp; IF(O924="Acima de 10.000 titulares por mês","volume crítico de titulares; ","") &amp; IF(O924="De 1.001 a 10.000 titulares por mês","volume moderado de titulares; ","") &amp; IF(AA924="SIM","compartilhamento com terceiros; ","") &amp; IF(R924="SIM","compartilhamento com órgãos governamentais; ","") &amp; IF(AJ924="NÃO","ausência de controle de acesso por perfil; ","")),"DPIA não indicado: Processo de baixa criticidade."))</f>
      </c>
    </row>
    <row x14ac:dyDescent="0.25" r="925" customHeight="1" ht="15.75">
      <c r="A925" s="46"/>
      <c r="B925" s="6"/>
      <c r="C925" s="11"/>
      <c r="D925" s="11"/>
      <c r="E925" s="11"/>
      <c r="F925" s="29"/>
      <c r="G925" s="11"/>
      <c r="H925" s="11"/>
      <c r="I925" s="29"/>
      <c r="J925" s="11"/>
      <c r="K925" s="29"/>
      <c r="L925" s="11"/>
      <c r="M925" s="11"/>
      <c r="N925" s="11"/>
      <c r="O925" s="29"/>
      <c r="P925" s="29"/>
      <c r="Q925" s="11"/>
      <c r="R925" s="29"/>
      <c r="S925" s="11"/>
      <c r="T925" s="6"/>
      <c r="U925" s="29"/>
      <c r="V925" s="11"/>
      <c r="W925" s="11"/>
      <c r="X925" s="29"/>
      <c r="Y925" s="11"/>
      <c r="Z925" s="29"/>
      <c r="AA925" s="29"/>
      <c r="AB925" s="11"/>
      <c r="AC925" s="11"/>
      <c r="AD925" s="29"/>
      <c r="AE925" s="11"/>
      <c r="AF925" s="29"/>
      <c r="AG925" s="11"/>
      <c r="AH925" s="29"/>
      <c r="AI925" s="11"/>
      <c r="AJ925" s="29"/>
      <c r="AK925" s="29"/>
      <c r="AL925" s="29"/>
      <c r="AM925" s="11"/>
      <c r="AN925" s="29"/>
      <c r="AO925" s="29"/>
      <c r="AP925" s="6"/>
      <c r="AQ925" s="113">
        <f>IF(AND(I925="",K925="",AF925="",AL925="",AN925="",O925=""),"",IF(OR(I925="SIM",K925="SIM",AF925="SIM",AL925="SIM",AN925="Dados pessoais",AN925="Dados sensíveis",AN925="Dados pessoais e sensíveis",O925="Acima de 10.000 titulares por mês"),"SIM - Alta criticidade",IF((IF(I925="SIM",2,0)+IF(K925="SIM",2,0)+IF(AF925="SIM",2,0)+IF(OR(AN925="Dados pessoais",AN925="Dados sensíveis",AN925="Dados pessoais e sensíveis"),2,0)+IF(O925="De 1.001 a 10.000 titulares por mês",1,0)+IF(AA925="SIM",1,0)+IF(R925="SIM",1,0)+IF(AL925="SIM",1,0)+IF(AJ925="NÃO",1,0))&gt;=5,"SIM - Alta criticidade",IF((IF(I925="SIM",2,0)+IF(K925="SIM",2,0)+IF(AF925="SIM",2,0)+IF(OR(AN925="Dados pessoais",AN925="Dados sensíveis",AN925="Dados pessoais e sensíveis"),2,0)+IF(O925="De 1.001 a 10.000 titulares por mês",1,0)+IF(AA925="SIM",1,0)+IF(R925="SIM",1,0)+IF(AL925="SIM",1,0)+IF(AJ925="NÃO",1,0))&gt;=3,"Avaliação necessária","NÃO"))))</f>
      </c>
      <c r="AR925" s="11"/>
      <c r="AS925" s="113">
        <f>IF(AND(I925="",K925="",AF925="",AL925="",AN925="",O925=""),"",IF(OR(I925="SIM",K925="SIM",AF925="SIM",AL925="SIM",OR(AN925="Dados pessoais",AN925="Dados sensíveis",AN925="Dados pessoais e sensíveis"),O925="Acima de 10.000 titulares por mês",(IF(I925="SIM",2,0)+IF(K925="SIM",2,0)+IF(AF925="SIM",2,0)+IF(OR(AN925="Dados pessoais",AN925="Dados sensíveis",AN925="Dados pessoais e sensíveis"),2,0)+IF(O925="De 1.001 a 10.000 titulares por mês",1,0)+IF(AA925="SIM",1,0)+IF(R925="SIM",1,0)+IF(AL925="SIM",1,0)+IF(AJ925="NÃO",1,0))&gt;=3),"DPIA indicado ou em avaliação em razão de: " &amp; TRIM(IF(I925="SIM","tratamento de dados sensíveis; ","") &amp; IF(K925="SIM","utilização de dados de menores; ","") &amp; IF(AF925="SIM","transferência internacional de dados; ","") &amp; IF(AL925="SIM","utilização de inteligência artificial; ","") &amp; IF(OR(AN925="Dados pessoais",AN925="Dados sensíveis",AN925="Dados pessoais e sensíveis"),"dados inseridos em IA; ","") &amp; IF(O925="Acima de 10.000 titulares por mês","volume crítico de titulares; ","") &amp; IF(O925="De 1.001 a 10.000 titulares por mês","volume moderado de titulares; ","") &amp; IF(AA925="SIM","compartilhamento com terceiros; ","") &amp; IF(R925="SIM","compartilhamento com órgãos governamentais; ","") &amp; IF(AJ925="NÃO","ausência de controle de acesso por perfil; ","")),"DPIA não indicado: Processo de baixa criticidade."))</f>
      </c>
    </row>
    <row x14ac:dyDescent="0.25" r="926" customHeight="1" ht="15.75">
      <c r="A926" s="46"/>
      <c r="B926" s="6"/>
      <c r="C926" s="11"/>
      <c r="D926" s="11"/>
      <c r="E926" s="11"/>
      <c r="F926" s="29"/>
      <c r="G926" s="11"/>
      <c r="H926" s="11"/>
      <c r="I926" s="29"/>
      <c r="J926" s="11"/>
      <c r="K926" s="29"/>
      <c r="L926" s="11"/>
      <c r="M926" s="11"/>
      <c r="N926" s="11"/>
      <c r="O926" s="29"/>
      <c r="P926" s="29"/>
      <c r="Q926" s="11"/>
      <c r="R926" s="29"/>
      <c r="S926" s="11"/>
      <c r="T926" s="6"/>
      <c r="U926" s="29"/>
      <c r="V926" s="11"/>
      <c r="W926" s="11"/>
      <c r="X926" s="29"/>
      <c r="Y926" s="11"/>
      <c r="Z926" s="29"/>
      <c r="AA926" s="29"/>
      <c r="AB926" s="11"/>
      <c r="AC926" s="11"/>
      <c r="AD926" s="29"/>
      <c r="AE926" s="11"/>
      <c r="AF926" s="29"/>
      <c r="AG926" s="11"/>
      <c r="AH926" s="29"/>
      <c r="AI926" s="11"/>
      <c r="AJ926" s="29"/>
      <c r="AK926" s="29"/>
      <c r="AL926" s="29"/>
      <c r="AM926" s="11"/>
      <c r="AN926" s="29"/>
      <c r="AO926" s="29"/>
      <c r="AP926" s="6"/>
      <c r="AQ926" s="113">
        <f>IF(AND(I926="",K926="",AF926="",AL926="",AN926="",O926=""),"",IF(OR(I926="SIM",K926="SIM",AF926="SIM",AL926="SIM",AN926="Dados pessoais",AN926="Dados sensíveis",AN926="Dados pessoais e sensíveis",O926="Acima de 10.000 titulares por mês"),"SIM - Alta criticidade",IF((IF(I926="SIM",2,0)+IF(K926="SIM",2,0)+IF(AF926="SIM",2,0)+IF(OR(AN926="Dados pessoais",AN926="Dados sensíveis",AN926="Dados pessoais e sensíveis"),2,0)+IF(O926="De 1.001 a 10.000 titulares por mês",1,0)+IF(AA926="SIM",1,0)+IF(R926="SIM",1,0)+IF(AL926="SIM",1,0)+IF(AJ926="NÃO",1,0))&gt;=5,"SIM - Alta criticidade",IF((IF(I926="SIM",2,0)+IF(K926="SIM",2,0)+IF(AF926="SIM",2,0)+IF(OR(AN926="Dados pessoais",AN926="Dados sensíveis",AN926="Dados pessoais e sensíveis"),2,0)+IF(O926="De 1.001 a 10.000 titulares por mês",1,0)+IF(AA926="SIM",1,0)+IF(R926="SIM",1,0)+IF(AL926="SIM",1,0)+IF(AJ926="NÃO",1,0))&gt;=3,"Avaliação necessária","NÃO"))))</f>
      </c>
      <c r="AR926" s="11"/>
      <c r="AS926" s="113">
        <f>IF(AND(I926="",K926="",AF926="",AL926="",AN926="",O926=""),"",IF(OR(I926="SIM",K926="SIM",AF926="SIM",AL926="SIM",OR(AN926="Dados pessoais",AN926="Dados sensíveis",AN926="Dados pessoais e sensíveis"),O926="Acima de 10.000 titulares por mês",(IF(I926="SIM",2,0)+IF(K926="SIM",2,0)+IF(AF926="SIM",2,0)+IF(OR(AN926="Dados pessoais",AN926="Dados sensíveis",AN926="Dados pessoais e sensíveis"),2,0)+IF(O926="De 1.001 a 10.000 titulares por mês",1,0)+IF(AA926="SIM",1,0)+IF(R926="SIM",1,0)+IF(AL926="SIM",1,0)+IF(AJ926="NÃO",1,0))&gt;=3),"DPIA indicado ou em avaliação em razão de: " &amp; TRIM(IF(I926="SIM","tratamento de dados sensíveis; ","") &amp; IF(K926="SIM","utilização de dados de menores; ","") &amp; IF(AF926="SIM","transferência internacional de dados; ","") &amp; IF(AL926="SIM","utilização de inteligência artificial; ","") &amp; IF(OR(AN926="Dados pessoais",AN926="Dados sensíveis",AN926="Dados pessoais e sensíveis"),"dados inseridos em IA; ","") &amp; IF(O926="Acima de 10.000 titulares por mês","volume crítico de titulares; ","") &amp; IF(O926="De 1.001 a 10.000 titulares por mês","volume moderado de titulares; ","") &amp; IF(AA926="SIM","compartilhamento com terceiros; ","") &amp; IF(R926="SIM","compartilhamento com órgãos governamentais; ","") &amp; IF(AJ926="NÃO","ausência de controle de acesso por perfil; ","")),"DPIA não indicado: Processo de baixa criticidade."))</f>
      </c>
    </row>
    <row x14ac:dyDescent="0.25" r="927" customHeight="1" ht="15.75">
      <c r="A927" s="46"/>
      <c r="B927" s="6"/>
      <c r="C927" s="11"/>
      <c r="D927" s="11"/>
      <c r="E927" s="11"/>
      <c r="F927" s="29"/>
      <c r="G927" s="11"/>
      <c r="H927" s="11"/>
      <c r="I927" s="29"/>
      <c r="J927" s="11"/>
      <c r="K927" s="29"/>
      <c r="L927" s="11"/>
      <c r="M927" s="11"/>
      <c r="N927" s="11"/>
      <c r="O927" s="29"/>
      <c r="P927" s="29"/>
      <c r="Q927" s="11"/>
      <c r="R927" s="29"/>
      <c r="S927" s="11"/>
      <c r="T927" s="6"/>
      <c r="U927" s="29"/>
      <c r="V927" s="11"/>
      <c r="W927" s="11"/>
      <c r="X927" s="29"/>
      <c r="Y927" s="11"/>
      <c r="Z927" s="29"/>
      <c r="AA927" s="29"/>
      <c r="AB927" s="11"/>
      <c r="AC927" s="11"/>
      <c r="AD927" s="29"/>
      <c r="AE927" s="11"/>
      <c r="AF927" s="29"/>
      <c r="AG927" s="11"/>
      <c r="AH927" s="29"/>
      <c r="AI927" s="11"/>
      <c r="AJ927" s="29"/>
      <c r="AK927" s="29"/>
      <c r="AL927" s="29"/>
      <c r="AM927" s="11"/>
      <c r="AN927" s="29"/>
      <c r="AO927" s="29"/>
      <c r="AP927" s="6"/>
      <c r="AQ927" s="113">
        <f>IF(AND(I927="",K927="",AF927="",AL927="",AN927="",O927=""),"",IF(OR(I927="SIM",K927="SIM",AF927="SIM",AL927="SIM",AN927="Dados pessoais",AN927="Dados sensíveis",AN927="Dados pessoais e sensíveis",O927="Acima de 10.000 titulares por mês"),"SIM - Alta criticidade",IF((IF(I927="SIM",2,0)+IF(K927="SIM",2,0)+IF(AF927="SIM",2,0)+IF(OR(AN927="Dados pessoais",AN927="Dados sensíveis",AN927="Dados pessoais e sensíveis"),2,0)+IF(O927="De 1.001 a 10.000 titulares por mês",1,0)+IF(AA927="SIM",1,0)+IF(R927="SIM",1,0)+IF(AL927="SIM",1,0)+IF(AJ927="NÃO",1,0))&gt;=5,"SIM - Alta criticidade",IF((IF(I927="SIM",2,0)+IF(K927="SIM",2,0)+IF(AF927="SIM",2,0)+IF(OR(AN927="Dados pessoais",AN927="Dados sensíveis",AN927="Dados pessoais e sensíveis"),2,0)+IF(O927="De 1.001 a 10.000 titulares por mês",1,0)+IF(AA927="SIM",1,0)+IF(R927="SIM",1,0)+IF(AL927="SIM",1,0)+IF(AJ927="NÃO",1,0))&gt;=3,"Avaliação necessária","NÃO"))))</f>
      </c>
      <c r="AR927" s="11"/>
      <c r="AS927" s="113">
        <f>IF(AND(I927="",K927="",AF927="",AL927="",AN927="",O927=""),"",IF(OR(I927="SIM",K927="SIM",AF927="SIM",AL927="SIM",OR(AN927="Dados pessoais",AN927="Dados sensíveis",AN927="Dados pessoais e sensíveis"),O927="Acima de 10.000 titulares por mês",(IF(I927="SIM",2,0)+IF(K927="SIM",2,0)+IF(AF927="SIM",2,0)+IF(OR(AN927="Dados pessoais",AN927="Dados sensíveis",AN927="Dados pessoais e sensíveis"),2,0)+IF(O927="De 1.001 a 10.000 titulares por mês",1,0)+IF(AA927="SIM",1,0)+IF(R927="SIM",1,0)+IF(AL927="SIM",1,0)+IF(AJ927="NÃO",1,0))&gt;=3),"DPIA indicado ou em avaliação em razão de: " &amp; TRIM(IF(I927="SIM","tratamento de dados sensíveis; ","") &amp; IF(K927="SIM","utilização de dados de menores; ","") &amp; IF(AF927="SIM","transferência internacional de dados; ","") &amp; IF(AL927="SIM","utilização de inteligência artificial; ","") &amp; IF(OR(AN927="Dados pessoais",AN927="Dados sensíveis",AN927="Dados pessoais e sensíveis"),"dados inseridos em IA; ","") &amp; IF(O927="Acima de 10.000 titulares por mês","volume crítico de titulares; ","") &amp; IF(O927="De 1.001 a 10.000 titulares por mês","volume moderado de titulares; ","") &amp; IF(AA927="SIM","compartilhamento com terceiros; ","") &amp; IF(R927="SIM","compartilhamento com órgãos governamentais; ","") &amp; IF(AJ927="NÃO","ausência de controle de acesso por perfil; ","")),"DPIA não indicado: Processo de baixa criticidade."))</f>
      </c>
    </row>
    <row x14ac:dyDescent="0.25" r="928" customHeight="1" ht="15.75">
      <c r="A928" s="46"/>
      <c r="B928" s="6"/>
      <c r="C928" s="11"/>
      <c r="D928" s="11"/>
      <c r="E928" s="11"/>
      <c r="F928" s="29"/>
      <c r="G928" s="11"/>
      <c r="H928" s="11"/>
      <c r="I928" s="29"/>
      <c r="J928" s="11"/>
      <c r="K928" s="29"/>
      <c r="L928" s="11"/>
      <c r="M928" s="11"/>
      <c r="N928" s="11"/>
      <c r="O928" s="29"/>
      <c r="P928" s="29"/>
      <c r="Q928" s="11"/>
      <c r="R928" s="29"/>
      <c r="S928" s="11"/>
      <c r="T928" s="6"/>
      <c r="U928" s="29"/>
      <c r="V928" s="11"/>
      <c r="W928" s="11"/>
      <c r="X928" s="29"/>
      <c r="Y928" s="11"/>
      <c r="Z928" s="29"/>
      <c r="AA928" s="29"/>
      <c r="AB928" s="11"/>
      <c r="AC928" s="11"/>
      <c r="AD928" s="29"/>
      <c r="AE928" s="11"/>
      <c r="AF928" s="29"/>
      <c r="AG928" s="11"/>
      <c r="AH928" s="29"/>
      <c r="AI928" s="11"/>
      <c r="AJ928" s="29"/>
      <c r="AK928" s="29"/>
      <c r="AL928" s="29"/>
      <c r="AM928" s="11"/>
      <c r="AN928" s="29"/>
      <c r="AO928" s="29"/>
      <c r="AP928" s="6"/>
      <c r="AQ928" s="113">
        <f>IF(AND(I928="",K928="",AF928="",AL928="",AN928="",O928=""),"",IF(OR(I928="SIM",K928="SIM",AF928="SIM",AL928="SIM",AN928="Dados pessoais",AN928="Dados sensíveis",AN928="Dados pessoais e sensíveis",O928="Acima de 10.000 titulares por mês"),"SIM - Alta criticidade",IF((IF(I928="SIM",2,0)+IF(K928="SIM",2,0)+IF(AF928="SIM",2,0)+IF(OR(AN928="Dados pessoais",AN928="Dados sensíveis",AN928="Dados pessoais e sensíveis"),2,0)+IF(O928="De 1.001 a 10.000 titulares por mês",1,0)+IF(AA928="SIM",1,0)+IF(R928="SIM",1,0)+IF(AL928="SIM",1,0)+IF(AJ928="NÃO",1,0))&gt;=5,"SIM - Alta criticidade",IF((IF(I928="SIM",2,0)+IF(K928="SIM",2,0)+IF(AF928="SIM",2,0)+IF(OR(AN928="Dados pessoais",AN928="Dados sensíveis",AN928="Dados pessoais e sensíveis"),2,0)+IF(O928="De 1.001 a 10.000 titulares por mês",1,0)+IF(AA928="SIM",1,0)+IF(R928="SIM",1,0)+IF(AL928="SIM",1,0)+IF(AJ928="NÃO",1,0))&gt;=3,"Avaliação necessária","NÃO"))))</f>
      </c>
      <c r="AR928" s="11"/>
      <c r="AS928" s="113">
        <f>IF(AND(I928="",K928="",AF928="",AL928="",AN928="",O928=""),"",IF(OR(I928="SIM",K928="SIM",AF928="SIM",AL928="SIM",OR(AN928="Dados pessoais",AN928="Dados sensíveis",AN928="Dados pessoais e sensíveis"),O928="Acima de 10.000 titulares por mês",(IF(I928="SIM",2,0)+IF(K928="SIM",2,0)+IF(AF928="SIM",2,0)+IF(OR(AN928="Dados pessoais",AN928="Dados sensíveis",AN928="Dados pessoais e sensíveis"),2,0)+IF(O928="De 1.001 a 10.000 titulares por mês",1,0)+IF(AA928="SIM",1,0)+IF(R928="SIM",1,0)+IF(AL928="SIM",1,0)+IF(AJ928="NÃO",1,0))&gt;=3),"DPIA indicado ou em avaliação em razão de: " &amp; TRIM(IF(I928="SIM","tratamento de dados sensíveis; ","") &amp; IF(K928="SIM","utilização de dados de menores; ","") &amp; IF(AF928="SIM","transferência internacional de dados; ","") &amp; IF(AL928="SIM","utilização de inteligência artificial; ","") &amp; IF(OR(AN928="Dados pessoais",AN928="Dados sensíveis",AN928="Dados pessoais e sensíveis"),"dados inseridos em IA; ","") &amp; IF(O928="Acima de 10.000 titulares por mês","volume crítico de titulares; ","") &amp; IF(O928="De 1.001 a 10.000 titulares por mês","volume moderado de titulares; ","") &amp; IF(AA928="SIM","compartilhamento com terceiros; ","") &amp; IF(R928="SIM","compartilhamento com órgãos governamentais; ","") &amp; IF(AJ928="NÃO","ausência de controle de acesso por perfil; ","")),"DPIA não indicado: Processo de baixa criticidade."))</f>
      </c>
    </row>
    <row x14ac:dyDescent="0.25" r="929" customHeight="1" ht="15.75">
      <c r="A929" s="46"/>
      <c r="B929" s="6"/>
      <c r="C929" s="11"/>
      <c r="D929" s="11"/>
      <c r="E929" s="11"/>
      <c r="F929" s="29"/>
      <c r="G929" s="11"/>
      <c r="H929" s="11"/>
      <c r="I929" s="29"/>
      <c r="J929" s="11"/>
      <c r="K929" s="29"/>
      <c r="L929" s="11"/>
      <c r="M929" s="11"/>
      <c r="N929" s="11"/>
      <c r="O929" s="29"/>
      <c r="P929" s="29"/>
      <c r="Q929" s="11"/>
      <c r="R929" s="29"/>
      <c r="S929" s="11"/>
      <c r="T929" s="6"/>
      <c r="U929" s="29"/>
      <c r="V929" s="11"/>
      <c r="W929" s="11"/>
      <c r="X929" s="29"/>
      <c r="Y929" s="11"/>
      <c r="Z929" s="29"/>
      <c r="AA929" s="29"/>
      <c r="AB929" s="11"/>
      <c r="AC929" s="11"/>
      <c r="AD929" s="29"/>
      <c r="AE929" s="11"/>
      <c r="AF929" s="29"/>
      <c r="AG929" s="11"/>
      <c r="AH929" s="29"/>
      <c r="AI929" s="11"/>
      <c r="AJ929" s="29"/>
      <c r="AK929" s="29"/>
      <c r="AL929" s="29"/>
      <c r="AM929" s="11"/>
      <c r="AN929" s="29"/>
      <c r="AO929" s="29"/>
      <c r="AP929" s="6"/>
      <c r="AQ929" s="113">
        <f>IF(AND(I929="",K929="",AF929="",AL929="",AN929="",O929=""),"",IF(OR(I929="SIM",K929="SIM",AF929="SIM",AL929="SIM",AN929="Dados pessoais",AN929="Dados sensíveis",AN929="Dados pessoais e sensíveis",O929="Acima de 10.000 titulares por mês"),"SIM - Alta criticidade",IF((IF(I929="SIM",2,0)+IF(K929="SIM",2,0)+IF(AF929="SIM",2,0)+IF(OR(AN929="Dados pessoais",AN929="Dados sensíveis",AN929="Dados pessoais e sensíveis"),2,0)+IF(O929="De 1.001 a 10.000 titulares por mês",1,0)+IF(AA929="SIM",1,0)+IF(R929="SIM",1,0)+IF(AL929="SIM",1,0)+IF(AJ929="NÃO",1,0))&gt;=5,"SIM - Alta criticidade",IF((IF(I929="SIM",2,0)+IF(K929="SIM",2,0)+IF(AF929="SIM",2,0)+IF(OR(AN929="Dados pessoais",AN929="Dados sensíveis",AN929="Dados pessoais e sensíveis"),2,0)+IF(O929="De 1.001 a 10.000 titulares por mês",1,0)+IF(AA929="SIM",1,0)+IF(R929="SIM",1,0)+IF(AL929="SIM",1,0)+IF(AJ929="NÃO",1,0))&gt;=3,"Avaliação necessária","NÃO"))))</f>
      </c>
      <c r="AR929" s="11"/>
      <c r="AS929" s="113">
        <f>IF(AND(I929="",K929="",AF929="",AL929="",AN929="",O929=""),"",IF(OR(I929="SIM",K929="SIM",AF929="SIM",AL929="SIM",OR(AN929="Dados pessoais",AN929="Dados sensíveis",AN929="Dados pessoais e sensíveis"),O929="Acima de 10.000 titulares por mês",(IF(I929="SIM",2,0)+IF(K929="SIM",2,0)+IF(AF929="SIM",2,0)+IF(OR(AN929="Dados pessoais",AN929="Dados sensíveis",AN929="Dados pessoais e sensíveis"),2,0)+IF(O929="De 1.001 a 10.000 titulares por mês",1,0)+IF(AA929="SIM",1,0)+IF(R929="SIM",1,0)+IF(AL929="SIM",1,0)+IF(AJ929="NÃO",1,0))&gt;=3),"DPIA indicado ou em avaliação em razão de: " &amp; TRIM(IF(I929="SIM","tratamento de dados sensíveis; ","") &amp; IF(K929="SIM","utilização de dados de menores; ","") &amp; IF(AF929="SIM","transferência internacional de dados; ","") &amp; IF(AL929="SIM","utilização de inteligência artificial; ","") &amp; IF(OR(AN929="Dados pessoais",AN929="Dados sensíveis",AN929="Dados pessoais e sensíveis"),"dados inseridos em IA; ","") &amp; IF(O929="Acima de 10.000 titulares por mês","volume crítico de titulares; ","") &amp; IF(O929="De 1.001 a 10.000 titulares por mês","volume moderado de titulares; ","") &amp; IF(AA929="SIM","compartilhamento com terceiros; ","") &amp; IF(R929="SIM","compartilhamento com órgãos governamentais; ","") &amp; IF(AJ929="NÃO","ausência de controle de acesso por perfil; ","")),"DPIA não indicado: Processo de baixa criticidade."))</f>
      </c>
    </row>
    <row x14ac:dyDescent="0.25" r="930" customHeight="1" ht="15.75">
      <c r="A930" s="46"/>
      <c r="B930" s="6"/>
      <c r="C930" s="11"/>
      <c r="D930" s="11"/>
      <c r="E930" s="11"/>
      <c r="F930" s="29"/>
      <c r="G930" s="11"/>
      <c r="H930" s="11"/>
      <c r="I930" s="29"/>
      <c r="J930" s="11"/>
      <c r="K930" s="29"/>
      <c r="L930" s="11"/>
      <c r="M930" s="11"/>
      <c r="N930" s="11"/>
      <c r="O930" s="29"/>
      <c r="P930" s="29"/>
      <c r="Q930" s="11"/>
      <c r="R930" s="29"/>
      <c r="S930" s="11"/>
      <c r="T930" s="6"/>
      <c r="U930" s="29"/>
      <c r="V930" s="11"/>
      <c r="W930" s="11"/>
      <c r="X930" s="29"/>
      <c r="Y930" s="11"/>
      <c r="Z930" s="29"/>
      <c r="AA930" s="29"/>
      <c r="AB930" s="11"/>
      <c r="AC930" s="11"/>
      <c r="AD930" s="29"/>
      <c r="AE930" s="11"/>
      <c r="AF930" s="29"/>
      <c r="AG930" s="11"/>
      <c r="AH930" s="29"/>
      <c r="AI930" s="11"/>
      <c r="AJ930" s="29"/>
      <c r="AK930" s="29"/>
      <c r="AL930" s="29"/>
      <c r="AM930" s="11"/>
      <c r="AN930" s="29"/>
      <c r="AO930" s="29"/>
      <c r="AP930" s="6"/>
      <c r="AQ930" s="113">
        <f>IF(AND(I930="",K930="",AF930="",AL930="",AN930="",O930=""),"",IF(OR(I930="SIM",K930="SIM",AF930="SIM",AL930="SIM",AN930="Dados pessoais",AN930="Dados sensíveis",AN930="Dados pessoais e sensíveis",O930="Acima de 10.000 titulares por mês"),"SIM - Alta criticidade",IF((IF(I930="SIM",2,0)+IF(K930="SIM",2,0)+IF(AF930="SIM",2,0)+IF(OR(AN930="Dados pessoais",AN930="Dados sensíveis",AN930="Dados pessoais e sensíveis"),2,0)+IF(O930="De 1.001 a 10.000 titulares por mês",1,0)+IF(AA930="SIM",1,0)+IF(R930="SIM",1,0)+IF(AL930="SIM",1,0)+IF(AJ930="NÃO",1,0))&gt;=5,"SIM - Alta criticidade",IF((IF(I930="SIM",2,0)+IF(K930="SIM",2,0)+IF(AF930="SIM",2,0)+IF(OR(AN930="Dados pessoais",AN930="Dados sensíveis",AN930="Dados pessoais e sensíveis"),2,0)+IF(O930="De 1.001 a 10.000 titulares por mês",1,0)+IF(AA930="SIM",1,0)+IF(R930="SIM",1,0)+IF(AL930="SIM",1,0)+IF(AJ930="NÃO",1,0))&gt;=3,"Avaliação necessária","NÃO"))))</f>
      </c>
      <c r="AR930" s="11"/>
      <c r="AS930" s="113">
        <f>IF(AND(I930="",K930="",AF930="",AL930="",AN930="",O930=""),"",IF(OR(I930="SIM",K930="SIM",AF930="SIM",AL930="SIM",OR(AN930="Dados pessoais",AN930="Dados sensíveis",AN930="Dados pessoais e sensíveis"),O930="Acima de 10.000 titulares por mês",(IF(I930="SIM",2,0)+IF(K930="SIM",2,0)+IF(AF930="SIM",2,0)+IF(OR(AN930="Dados pessoais",AN930="Dados sensíveis",AN930="Dados pessoais e sensíveis"),2,0)+IF(O930="De 1.001 a 10.000 titulares por mês",1,0)+IF(AA930="SIM",1,0)+IF(R930="SIM",1,0)+IF(AL930="SIM",1,0)+IF(AJ930="NÃO",1,0))&gt;=3),"DPIA indicado ou em avaliação em razão de: " &amp; TRIM(IF(I930="SIM","tratamento de dados sensíveis; ","") &amp; IF(K930="SIM","utilização de dados de menores; ","") &amp; IF(AF930="SIM","transferência internacional de dados; ","") &amp; IF(AL930="SIM","utilização de inteligência artificial; ","") &amp; IF(OR(AN930="Dados pessoais",AN930="Dados sensíveis",AN930="Dados pessoais e sensíveis"),"dados inseridos em IA; ","") &amp; IF(O930="Acima de 10.000 titulares por mês","volume crítico de titulares; ","") &amp; IF(O930="De 1.001 a 10.000 titulares por mês","volume moderado de titulares; ","") &amp; IF(AA930="SIM","compartilhamento com terceiros; ","") &amp; IF(R930="SIM","compartilhamento com órgãos governamentais; ","") &amp; IF(AJ930="NÃO","ausência de controle de acesso por perfil; ","")),"DPIA não indicado: Processo de baixa criticidade."))</f>
      </c>
    </row>
    <row x14ac:dyDescent="0.25" r="931" customHeight="1" ht="15.75">
      <c r="A931" s="46"/>
      <c r="B931" s="6"/>
      <c r="C931" s="11"/>
      <c r="D931" s="11"/>
      <c r="E931" s="11"/>
      <c r="F931" s="29"/>
      <c r="G931" s="11"/>
      <c r="H931" s="11"/>
      <c r="I931" s="29"/>
      <c r="J931" s="11"/>
      <c r="K931" s="29"/>
      <c r="L931" s="11"/>
      <c r="M931" s="11"/>
      <c r="N931" s="11"/>
      <c r="O931" s="29"/>
      <c r="P931" s="29"/>
      <c r="Q931" s="11"/>
      <c r="R931" s="29"/>
      <c r="S931" s="11"/>
      <c r="T931" s="6"/>
      <c r="U931" s="29"/>
      <c r="V931" s="11"/>
      <c r="W931" s="11"/>
      <c r="X931" s="29"/>
      <c r="Y931" s="11"/>
      <c r="Z931" s="29"/>
      <c r="AA931" s="29"/>
      <c r="AB931" s="11"/>
      <c r="AC931" s="11"/>
      <c r="AD931" s="29"/>
      <c r="AE931" s="11"/>
      <c r="AF931" s="29"/>
      <c r="AG931" s="11"/>
      <c r="AH931" s="29"/>
      <c r="AI931" s="11"/>
      <c r="AJ931" s="29"/>
      <c r="AK931" s="29"/>
      <c r="AL931" s="29"/>
      <c r="AM931" s="11"/>
      <c r="AN931" s="29"/>
      <c r="AO931" s="29"/>
      <c r="AP931" s="6"/>
      <c r="AQ931" s="113">
        <f>IF(AND(I931="",K931="",AF931="",AL931="",AN931="",O931=""),"",IF(OR(I931="SIM",K931="SIM",AF931="SIM",AL931="SIM",AN931="Dados pessoais",AN931="Dados sensíveis",AN931="Dados pessoais e sensíveis",O931="Acima de 10.000 titulares por mês"),"SIM - Alta criticidade",IF((IF(I931="SIM",2,0)+IF(K931="SIM",2,0)+IF(AF931="SIM",2,0)+IF(OR(AN931="Dados pessoais",AN931="Dados sensíveis",AN931="Dados pessoais e sensíveis"),2,0)+IF(O931="De 1.001 a 10.000 titulares por mês",1,0)+IF(AA931="SIM",1,0)+IF(R931="SIM",1,0)+IF(AL931="SIM",1,0)+IF(AJ931="NÃO",1,0))&gt;=5,"SIM - Alta criticidade",IF((IF(I931="SIM",2,0)+IF(K931="SIM",2,0)+IF(AF931="SIM",2,0)+IF(OR(AN931="Dados pessoais",AN931="Dados sensíveis",AN931="Dados pessoais e sensíveis"),2,0)+IF(O931="De 1.001 a 10.000 titulares por mês",1,0)+IF(AA931="SIM",1,0)+IF(R931="SIM",1,0)+IF(AL931="SIM",1,0)+IF(AJ931="NÃO",1,0))&gt;=3,"Avaliação necessária","NÃO"))))</f>
      </c>
      <c r="AR931" s="11"/>
      <c r="AS931" s="113">
        <f>IF(AND(I931="",K931="",AF931="",AL931="",AN931="",O931=""),"",IF(OR(I931="SIM",K931="SIM",AF931="SIM",AL931="SIM",OR(AN931="Dados pessoais",AN931="Dados sensíveis",AN931="Dados pessoais e sensíveis"),O931="Acima de 10.000 titulares por mês",(IF(I931="SIM",2,0)+IF(K931="SIM",2,0)+IF(AF931="SIM",2,0)+IF(OR(AN931="Dados pessoais",AN931="Dados sensíveis",AN931="Dados pessoais e sensíveis"),2,0)+IF(O931="De 1.001 a 10.000 titulares por mês",1,0)+IF(AA931="SIM",1,0)+IF(R931="SIM",1,0)+IF(AL931="SIM",1,0)+IF(AJ931="NÃO",1,0))&gt;=3),"DPIA indicado ou em avaliação em razão de: " &amp; TRIM(IF(I931="SIM","tratamento de dados sensíveis; ","") &amp; IF(K931="SIM","utilização de dados de menores; ","") &amp; IF(AF931="SIM","transferência internacional de dados; ","") &amp; IF(AL931="SIM","utilização de inteligência artificial; ","") &amp; IF(OR(AN931="Dados pessoais",AN931="Dados sensíveis",AN931="Dados pessoais e sensíveis"),"dados inseridos em IA; ","") &amp; IF(O931="Acima de 10.000 titulares por mês","volume crítico de titulares; ","") &amp; IF(O931="De 1.001 a 10.000 titulares por mês","volume moderado de titulares; ","") &amp; IF(AA931="SIM","compartilhamento com terceiros; ","") &amp; IF(R931="SIM","compartilhamento com órgãos governamentais; ","") &amp; IF(AJ931="NÃO","ausência de controle de acesso por perfil; ","")),"DPIA não indicado: Processo de baixa criticidade."))</f>
      </c>
    </row>
    <row x14ac:dyDescent="0.25" r="932" customHeight="1" ht="15.75">
      <c r="A932" s="46"/>
      <c r="B932" s="6"/>
      <c r="C932" s="11"/>
      <c r="D932" s="11"/>
      <c r="E932" s="11"/>
      <c r="F932" s="29"/>
      <c r="G932" s="11"/>
      <c r="H932" s="11"/>
      <c r="I932" s="29"/>
      <c r="J932" s="11"/>
      <c r="K932" s="29"/>
      <c r="L932" s="11"/>
      <c r="M932" s="11"/>
      <c r="N932" s="11"/>
      <c r="O932" s="29"/>
      <c r="P932" s="29"/>
      <c r="Q932" s="11"/>
      <c r="R932" s="29"/>
      <c r="S932" s="11"/>
      <c r="T932" s="6"/>
      <c r="U932" s="29"/>
      <c r="V932" s="11"/>
      <c r="W932" s="11"/>
      <c r="X932" s="29"/>
      <c r="Y932" s="11"/>
      <c r="Z932" s="29"/>
      <c r="AA932" s="29"/>
      <c r="AB932" s="11"/>
      <c r="AC932" s="11"/>
      <c r="AD932" s="29"/>
      <c r="AE932" s="11"/>
      <c r="AF932" s="29"/>
      <c r="AG932" s="11"/>
      <c r="AH932" s="29"/>
      <c r="AI932" s="11"/>
      <c r="AJ932" s="29"/>
      <c r="AK932" s="29"/>
      <c r="AL932" s="29"/>
      <c r="AM932" s="11"/>
      <c r="AN932" s="29"/>
      <c r="AO932" s="29"/>
      <c r="AP932" s="6"/>
      <c r="AQ932" s="113">
        <f>IF(AND(I932="",K932="",AF932="",AL932="",AN932="",O932=""),"",IF(OR(I932="SIM",K932="SIM",AF932="SIM",AL932="SIM",AN932="Dados pessoais",AN932="Dados sensíveis",AN932="Dados pessoais e sensíveis",O932="Acima de 10.000 titulares por mês"),"SIM - Alta criticidade",IF((IF(I932="SIM",2,0)+IF(K932="SIM",2,0)+IF(AF932="SIM",2,0)+IF(OR(AN932="Dados pessoais",AN932="Dados sensíveis",AN932="Dados pessoais e sensíveis"),2,0)+IF(O932="De 1.001 a 10.000 titulares por mês",1,0)+IF(AA932="SIM",1,0)+IF(R932="SIM",1,0)+IF(AL932="SIM",1,0)+IF(AJ932="NÃO",1,0))&gt;=5,"SIM - Alta criticidade",IF((IF(I932="SIM",2,0)+IF(K932="SIM",2,0)+IF(AF932="SIM",2,0)+IF(OR(AN932="Dados pessoais",AN932="Dados sensíveis",AN932="Dados pessoais e sensíveis"),2,0)+IF(O932="De 1.001 a 10.000 titulares por mês",1,0)+IF(AA932="SIM",1,0)+IF(R932="SIM",1,0)+IF(AL932="SIM",1,0)+IF(AJ932="NÃO",1,0))&gt;=3,"Avaliação necessária","NÃO"))))</f>
      </c>
      <c r="AR932" s="11"/>
      <c r="AS932" s="113">
        <f>IF(AND(I932="",K932="",AF932="",AL932="",AN932="",O932=""),"",IF(OR(I932="SIM",K932="SIM",AF932="SIM",AL932="SIM",OR(AN932="Dados pessoais",AN932="Dados sensíveis",AN932="Dados pessoais e sensíveis"),O932="Acima de 10.000 titulares por mês",(IF(I932="SIM",2,0)+IF(K932="SIM",2,0)+IF(AF932="SIM",2,0)+IF(OR(AN932="Dados pessoais",AN932="Dados sensíveis",AN932="Dados pessoais e sensíveis"),2,0)+IF(O932="De 1.001 a 10.000 titulares por mês",1,0)+IF(AA932="SIM",1,0)+IF(R932="SIM",1,0)+IF(AL932="SIM",1,0)+IF(AJ932="NÃO",1,0))&gt;=3),"DPIA indicado ou em avaliação em razão de: " &amp; TRIM(IF(I932="SIM","tratamento de dados sensíveis; ","") &amp; IF(K932="SIM","utilização de dados de menores; ","") &amp; IF(AF932="SIM","transferência internacional de dados; ","") &amp; IF(AL932="SIM","utilização de inteligência artificial; ","") &amp; IF(OR(AN932="Dados pessoais",AN932="Dados sensíveis",AN932="Dados pessoais e sensíveis"),"dados inseridos em IA; ","") &amp; IF(O932="Acima de 10.000 titulares por mês","volume crítico de titulares; ","") &amp; IF(O932="De 1.001 a 10.000 titulares por mês","volume moderado de titulares; ","") &amp; IF(AA932="SIM","compartilhamento com terceiros; ","") &amp; IF(R932="SIM","compartilhamento com órgãos governamentais; ","") &amp; IF(AJ932="NÃO","ausência de controle de acesso por perfil; ","")),"DPIA não indicado: Processo de baixa criticidade."))</f>
      </c>
    </row>
    <row x14ac:dyDescent="0.25" r="933" customHeight="1" ht="15.75">
      <c r="A933" s="46"/>
      <c r="B933" s="6"/>
      <c r="C933" s="11"/>
      <c r="D933" s="11"/>
      <c r="E933" s="11"/>
      <c r="F933" s="29"/>
      <c r="G933" s="11"/>
      <c r="H933" s="11"/>
      <c r="I933" s="29"/>
      <c r="J933" s="11"/>
      <c r="K933" s="29"/>
      <c r="L933" s="11"/>
      <c r="M933" s="11"/>
      <c r="N933" s="11"/>
      <c r="O933" s="29"/>
      <c r="P933" s="29"/>
      <c r="Q933" s="11"/>
      <c r="R933" s="29"/>
      <c r="S933" s="11"/>
      <c r="T933" s="6"/>
      <c r="U933" s="29"/>
      <c r="V933" s="11"/>
      <c r="W933" s="11"/>
      <c r="X933" s="29"/>
      <c r="Y933" s="11"/>
      <c r="Z933" s="29"/>
      <c r="AA933" s="29"/>
      <c r="AB933" s="11"/>
      <c r="AC933" s="11"/>
      <c r="AD933" s="29"/>
      <c r="AE933" s="11"/>
      <c r="AF933" s="29"/>
      <c r="AG933" s="11"/>
      <c r="AH933" s="29"/>
      <c r="AI933" s="11"/>
      <c r="AJ933" s="29"/>
      <c r="AK933" s="29"/>
      <c r="AL933" s="29"/>
      <c r="AM933" s="11"/>
      <c r="AN933" s="29"/>
      <c r="AO933" s="29"/>
      <c r="AP933" s="6"/>
      <c r="AQ933" s="113">
        <f>IF(AND(I933="",K933="",AF933="",AL933="",AN933="",O933=""),"",IF(OR(I933="SIM",K933="SIM",AF933="SIM",AL933="SIM",AN933="Dados pessoais",AN933="Dados sensíveis",AN933="Dados pessoais e sensíveis",O933="Acima de 10.000 titulares por mês"),"SIM - Alta criticidade",IF((IF(I933="SIM",2,0)+IF(K933="SIM",2,0)+IF(AF933="SIM",2,0)+IF(OR(AN933="Dados pessoais",AN933="Dados sensíveis",AN933="Dados pessoais e sensíveis"),2,0)+IF(O933="De 1.001 a 10.000 titulares por mês",1,0)+IF(AA933="SIM",1,0)+IF(R933="SIM",1,0)+IF(AL933="SIM",1,0)+IF(AJ933="NÃO",1,0))&gt;=5,"SIM - Alta criticidade",IF((IF(I933="SIM",2,0)+IF(K933="SIM",2,0)+IF(AF933="SIM",2,0)+IF(OR(AN933="Dados pessoais",AN933="Dados sensíveis",AN933="Dados pessoais e sensíveis"),2,0)+IF(O933="De 1.001 a 10.000 titulares por mês",1,0)+IF(AA933="SIM",1,0)+IF(R933="SIM",1,0)+IF(AL933="SIM",1,0)+IF(AJ933="NÃO",1,0))&gt;=3,"Avaliação necessária","NÃO"))))</f>
      </c>
      <c r="AR933" s="11"/>
      <c r="AS933" s="113">
        <f>IF(AND(I933="",K933="",AF933="",AL933="",AN933="",O933=""),"",IF(OR(I933="SIM",K933="SIM",AF933="SIM",AL933="SIM",OR(AN933="Dados pessoais",AN933="Dados sensíveis",AN933="Dados pessoais e sensíveis"),O933="Acima de 10.000 titulares por mês",(IF(I933="SIM",2,0)+IF(K933="SIM",2,0)+IF(AF933="SIM",2,0)+IF(OR(AN933="Dados pessoais",AN933="Dados sensíveis",AN933="Dados pessoais e sensíveis"),2,0)+IF(O933="De 1.001 a 10.000 titulares por mês",1,0)+IF(AA933="SIM",1,0)+IF(R933="SIM",1,0)+IF(AL933="SIM",1,0)+IF(AJ933="NÃO",1,0))&gt;=3),"DPIA indicado ou em avaliação em razão de: " &amp; TRIM(IF(I933="SIM","tratamento de dados sensíveis; ","") &amp; IF(K933="SIM","utilização de dados de menores; ","") &amp; IF(AF933="SIM","transferência internacional de dados; ","") &amp; IF(AL933="SIM","utilização de inteligência artificial; ","") &amp; IF(OR(AN933="Dados pessoais",AN933="Dados sensíveis",AN933="Dados pessoais e sensíveis"),"dados inseridos em IA; ","") &amp; IF(O933="Acima de 10.000 titulares por mês","volume crítico de titulares; ","") &amp; IF(O933="De 1.001 a 10.000 titulares por mês","volume moderado de titulares; ","") &amp; IF(AA933="SIM","compartilhamento com terceiros; ","") &amp; IF(R933="SIM","compartilhamento com órgãos governamentais; ","") &amp; IF(AJ933="NÃO","ausência de controle de acesso por perfil; ","")),"DPIA não indicado: Processo de baixa criticidade."))</f>
      </c>
    </row>
    <row x14ac:dyDescent="0.25" r="934" customHeight="1" ht="15.75">
      <c r="A934" s="46"/>
      <c r="B934" s="6"/>
      <c r="C934" s="11"/>
      <c r="D934" s="11"/>
      <c r="E934" s="11"/>
      <c r="F934" s="29"/>
      <c r="G934" s="11"/>
      <c r="H934" s="11"/>
      <c r="I934" s="29"/>
      <c r="J934" s="11"/>
      <c r="K934" s="29"/>
      <c r="L934" s="11"/>
      <c r="M934" s="11"/>
      <c r="N934" s="11"/>
      <c r="O934" s="29"/>
      <c r="P934" s="29"/>
      <c r="Q934" s="11"/>
      <c r="R934" s="29"/>
      <c r="S934" s="11"/>
      <c r="T934" s="6"/>
      <c r="U934" s="29"/>
      <c r="V934" s="11"/>
      <c r="W934" s="11"/>
      <c r="X934" s="29"/>
      <c r="Y934" s="11"/>
      <c r="Z934" s="29"/>
      <c r="AA934" s="29"/>
      <c r="AB934" s="11"/>
      <c r="AC934" s="11"/>
      <c r="AD934" s="29"/>
      <c r="AE934" s="11"/>
      <c r="AF934" s="29"/>
      <c r="AG934" s="11"/>
      <c r="AH934" s="29"/>
      <c r="AI934" s="11"/>
      <c r="AJ934" s="29"/>
      <c r="AK934" s="29"/>
      <c r="AL934" s="29"/>
      <c r="AM934" s="11"/>
      <c r="AN934" s="29"/>
      <c r="AO934" s="29"/>
      <c r="AP934" s="6"/>
      <c r="AQ934" s="113">
        <f>IF(AND(I934="",K934="",AF934="",AL934="",AN934="",O934=""),"",IF(OR(I934="SIM",K934="SIM",AF934="SIM",AL934="SIM",AN934="Dados pessoais",AN934="Dados sensíveis",AN934="Dados pessoais e sensíveis",O934="Acima de 10.000 titulares por mês"),"SIM - Alta criticidade",IF((IF(I934="SIM",2,0)+IF(K934="SIM",2,0)+IF(AF934="SIM",2,0)+IF(OR(AN934="Dados pessoais",AN934="Dados sensíveis",AN934="Dados pessoais e sensíveis"),2,0)+IF(O934="De 1.001 a 10.000 titulares por mês",1,0)+IF(AA934="SIM",1,0)+IF(R934="SIM",1,0)+IF(AL934="SIM",1,0)+IF(AJ934="NÃO",1,0))&gt;=5,"SIM - Alta criticidade",IF((IF(I934="SIM",2,0)+IF(K934="SIM",2,0)+IF(AF934="SIM",2,0)+IF(OR(AN934="Dados pessoais",AN934="Dados sensíveis",AN934="Dados pessoais e sensíveis"),2,0)+IF(O934="De 1.001 a 10.000 titulares por mês",1,0)+IF(AA934="SIM",1,0)+IF(R934="SIM",1,0)+IF(AL934="SIM",1,0)+IF(AJ934="NÃO",1,0))&gt;=3,"Avaliação necessária","NÃO"))))</f>
      </c>
      <c r="AR934" s="11"/>
      <c r="AS934" s="113">
        <f>IF(AND(I934="",K934="",AF934="",AL934="",AN934="",O934=""),"",IF(OR(I934="SIM",K934="SIM",AF934="SIM",AL934="SIM",OR(AN934="Dados pessoais",AN934="Dados sensíveis",AN934="Dados pessoais e sensíveis"),O934="Acima de 10.000 titulares por mês",(IF(I934="SIM",2,0)+IF(K934="SIM",2,0)+IF(AF934="SIM",2,0)+IF(OR(AN934="Dados pessoais",AN934="Dados sensíveis",AN934="Dados pessoais e sensíveis"),2,0)+IF(O934="De 1.001 a 10.000 titulares por mês",1,0)+IF(AA934="SIM",1,0)+IF(R934="SIM",1,0)+IF(AL934="SIM",1,0)+IF(AJ934="NÃO",1,0))&gt;=3),"DPIA indicado ou em avaliação em razão de: " &amp; TRIM(IF(I934="SIM","tratamento de dados sensíveis; ","") &amp; IF(K934="SIM","utilização de dados de menores; ","") &amp; IF(AF934="SIM","transferência internacional de dados; ","") &amp; IF(AL934="SIM","utilização de inteligência artificial; ","") &amp; IF(OR(AN934="Dados pessoais",AN934="Dados sensíveis",AN934="Dados pessoais e sensíveis"),"dados inseridos em IA; ","") &amp; IF(O934="Acima de 10.000 titulares por mês","volume crítico de titulares; ","") &amp; IF(O934="De 1.001 a 10.000 titulares por mês","volume moderado de titulares; ","") &amp; IF(AA934="SIM","compartilhamento com terceiros; ","") &amp; IF(R934="SIM","compartilhamento com órgãos governamentais; ","") &amp; IF(AJ934="NÃO","ausência de controle de acesso por perfil; ","")),"DPIA não indicado: Processo de baixa criticidade."))</f>
      </c>
    </row>
    <row x14ac:dyDescent="0.25" r="935" customHeight="1" ht="15.75">
      <c r="A935" s="46"/>
      <c r="B935" s="6"/>
      <c r="C935" s="11"/>
      <c r="D935" s="11"/>
      <c r="E935" s="11"/>
      <c r="F935" s="29"/>
      <c r="G935" s="11"/>
      <c r="H935" s="11"/>
      <c r="I935" s="29"/>
      <c r="J935" s="11"/>
      <c r="K935" s="29"/>
      <c r="L935" s="11"/>
      <c r="M935" s="11"/>
      <c r="N935" s="11"/>
      <c r="O935" s="29"/>
      <c r="P935" s="29"/>
      <c r="Q935" s="11"/>
      <c r="R935" s="29"/>
      <c r="S935" s="11"/>
      <c r="T935" s="6"/>
      <c r="U935" s="29"/>
      <c r="V935" s="11"/>
      <c r="W935" s="11"/>
      <c r="X935" s="29"/>
      <c r="Y935" s="11"/>
      <c r="Z935" s="29"/>
      <c r="AA935" s="29"/>
      <c r="AB935" s="11"/>
      <c r="AC935" s="11"/>
      <c r="AD935" s="29"/>
      <c r="AE935" s="11"/>
      <c r="AF935" s="29"/>
      <c r="AG935" s="11"/>
      <c r="AH935" s="29"/>
      <c r="AI935" s="11"/>
      <c r="AJ935" s="29"/>
      <c r="AK935" s="29"/>
      <c r="AL935" s="29"/>
      <c r="AM935" s="11"/>
      <c r="AN935" s="29"/>
      <c r="AO935" s="29"/>
      <c r="AP935" s="6"/>
      <c r="AQ935" s="113">
        <f>IF(AND(I935="",K935="",AF935="",AL935="",AN935="",O935=""),"",IF(OR(I935="SIM",K935="SIM",AF935="SIM",AL935="SIM",AN935="Dados pessoais",AN935="Dados sensíveis",AN935="Dados pessoais e sensíveis",O935="Acima de 10.000 titulares por mês"),"SIM - Alta criticidade",IF((IF(I935="SIM",2,0)+IF(K935="SIM",2,0)+IF(AF935="SIM",2,0)+IF(OR(AN935="Dados pessoais",AN935="Dados sensíveis",AN935="Dados pessoais e sensíveis"),2,0)+IF(O935="De 1.001 a 10.000 titulares por mês",1,0)+IF(AA935="SIM",1,0)+IF(R935="SIM",1,0)+IF(AL935="SIM",1,0)+IF(AJ935="NÃO",1,0))&gt;=5,"SIM - Alta criticidade",IF((IF(I935="SIM",2,0)+IF(K935="SIM",2,0)+IF(AF935="SIM",2,0)+IF(OR(AN935="Dados pessoais",AN935="Dados sensíveis",AN935="Dados pessoais e sensíveis"),2,0)+IF(O935="De 1.001 a 10.000 titulares por mês",1,0)+IF(AA935="SIM",1,0)+IF(R935="SIM",1,0)+IF(AL935="SIM",1,0)+IF(AJ935="NÃO",1,0))&gt;=3,"Avaliação necessária","NÃO"))))</f>
      </c>
      <c r="AR935" s="11"/>
      <c r="AS935" s="113">
        <f>IF(AND(I935="",K935="",AF935="",AL935="",AN935="",O935=""),"",IF(OR(I935="SIM",K935="SIM",AF935="SIM",AL935="SIM",OR(AN935="Dados pessoais",AN935="Dados sensíveis",AN935="Dados pessoais e sensíveis"),O935="Acima de 10.000 titulares por mês",(IF(I935="SIM",2,0)+IF(K935="SIM",2,0)+IF(AF935="SIM",2,0)+IF(OR(AN935="Dados pessoais",AN935="Dados sensíveis",AN935="Dados pessoais e sensíveis"),2,0)+IF(O935="De 1.001 a 10.000 titulares por mês",1,0)+IF(AA935="SIM",1,0)+IF(R935="SIM",1,0)+IF(AL935="SIM",1,0)+IF(AJ935="NÃO",1,0))&gt;=3),"DPIA indicado ou em avaliação em razão de: " &amp; TRIM(IF(I935="SIM","tratamento de dados sensíveis; ","") &amp; IF(K935="SIM","utilização de dados de menores; ","") &amp; IF(AF935="SIM","transferência internacional de dados; ","") &amp; IF(AL935="SIM","utilização de inteligência artificial; ","") &amp; IF(OR(AN935="Dados pessoais",AN935="Dados sensíveis",AN935="Dados pessoais e sensíveis"),"dados inseridos em IA; ","") &amp; IF(O935="Acima de 10.000 titulares por mês","volume crítico de titulares; ","") &amp; IF(O935="De 1.001 a 10.000 titulares por mês","volume moderado de titulares; ","") &amp; IF(AA935="SIM","compartilhamento com terceiros; ","") &amp; IF(R935="SIM","compartilhamento com órgãos governamentais; ","") &amp; IF(AJ935="NÃO","ausência de controle de acesso por perfil; ","")),"DPIA não indicado: Processo de baixa criticidade."))</f>
      </c>
    </row>
    <row x14ac:dyDescent="0.25" r="936" customHeight="1" ht="15.75">
      <c r="A936" s="46"/>
      <c r="B936" s="6"/>
      <c r="C936" s="11"/>
      <c r="D936" s="11"/>
      <c r="E936" s="11"/>
      <c r="F936" s="29"/>
      <c r="G936" s="11"/>
      <c r="H936" s="11"/>
      <c r="I936" s="29"/>
      <c r="J936" s="11"/>
      <c r="K936" s="29"/>
      <c r="L936" s="11"/>
      <c r="M936" s="11"/>
      <c r="N936" s="11"/>
      <c r="O936" s="29"/>
      <c r="P936" s="29"/>
      <c r="Q936" s="11"/>
      <c r="R936" s="29"/>
      <c r="S936" s="11"/>
      <c r="T936" s="6"/>
      <c r="U936" s="29"/>
      <c r="V936" s="11"/>
      <c r="W936" s="11"/>
      <c r="X936" s="29"/>
      <c r="Y936" s="11"/>
      <c r="Z936" s="29"/>
      <c r="AA936" s="29"/>
      <c r="AB936" s="11"/>
      <c r="AC936" s="11"/>
      <c r="AD936" s="29"/>
      <c r="AE936" s="11"/>
      <c r="AF936" s="29"/>
      <c r="AG936" s="11"/>
      <c r="AH936" s="29"/>
      <c r="AI936" s="11"/>
      <c r="AJ936" s="29"/>
      <c r="AK936" s="29"/>
      <c r="AL936" s="29"/>
      <c r="AM936" s="11"/>
      <c r="AN936" s="29"/>
      <c r="AO936" s="29"/>
      <c r="AP936" s="6"/>
      <c r="AQ936" s="113">
        <f>IF(AND(I936="",K936="",AF936="",AL936="",AN936="",O936=""),"",IF(OR(I936="SIM",K936="SIM",AF936="SIM",AL936="SIM",AN936="Dados pessoais",AN936="Dados sensíveis",AN936="Dados pessoais e sensíveis",O936="Acima de 10.000 titulares por mês"),"SIM - Alta criticidade",IF((IF(I936="SIM",2,0)+IF(K936="SIM",2,0)+IF(AF936="SIM",2,0)+IF(OR(AN936="Dados pessoais",AN936="Dados sensíveis",AN936="Dados pessoais e sensíveis"),2,0)+IF(O936="De 1.001 a 10.000 titulares por mês",1,0)+IF(AA936="SIM",1,0)+IF(R936="SIM",1,0)+IF(AL936="SIM",1,0)+IF(AJ936="NÃO",1,0))&gt;=5,"SIM - Alta criticidade",IF((IF(I936="SIM",2,0)+IF(K936="SIM",2,0)+IF(AF936="SIM",2,0)+IF(OR(AN936="Dados pessoais",AN936="Dados sensíveis",AN936="Dados pessoais e sensíveis"),2,0)+IF(O936="De 1.001 a 10.000 titulares por mês",1,0)+IF(AA936="SIM",1,0)+IF(R936="SIM",1,0)+IF(AL936="SIM",1,0)+IF(AJ936="NÃO",1,0))&gt;=3,"Avaliação necessária","NÃO"))))</f>
      </c>
      <c r="AR936" s="11"/>
      <c r="AS936" s="113">
        <f>IF(AND(I936="",K936="",AF936="",AL936="",AN936="",O936=""),"",IF(OR(I936="SIM",K936="SIM",AF936="SIM",AL936="SIM",OR(AN936="Dados pessoais",AN936="Dados sensíveis",AN936="Dados pessoais e sensíveis"),O936="Acima de 10.000 titulares por mês",(IF(I936="SIM",2,0)+IF(K936="SIM",2,0)+IF(AF936="SIM",2,0)+IF(OR(AN936="Dados pessoais",AN936="Dados sensíveis",AN936="Dados pessoais e sensíveis"),2,0)+IF(O936="De 1.001 a 10.000 titulares por mês",1,0)+IF(AA936="SIM",1,0)+IF(R936="SIM",1,0)+IF(AL936="SIM",1,0)+IF(AJ936="NÃO",1,0))&gt;=3),"DPIA indicado ou em avaliação em razão de: " &amp; TRIM(IF(I936="SIM","tratamento de dados sensíveis; ","") &amp; IF(K936="SIM","utilização de dados de menores; ","") &amp; IF(AF936="SIM","transferência internacional de dados; ","") &amp; IF(AL936="SIM","utilização de inteligência artificial; ","") &amp; IF(OR(AN936="Dados pessoais",AN936="Dados sensíveis",AN936="Dados pessoais e sensíveis"),"dados inseridos em IA; ","") &amp; IF(O936="Acima de 10.000 titulares por mês","volume crítico de titulares; ","") &amp; IF(O936="De 1.001 a 10.000 titulares por mês","volume moderado de titulares; ","") &amp; IF(AA936="SIM","compartilhamento com terceiros; ","") &amp; IF(R936="SIM","compartilhamento com órgãos governamentais; ","") &amp; IF(AJ936="NÃO","ausência de controle de acesso por perfil; ","")),"DPIA não indicado: Processo de baixa criticidade."))</f>
      </c>
    </row>
    <row x14ac:dyDescent="0.25" r="937" customHeight="1" ht="15.75">
      <c r="A937" s="46"/>
      <c r="B937" s="6"/>
      <c r="C937" s="11"/>
      <c r="D937" s="11"/>
      <c r="E937" s="11"/>
      <c r="F937" s="29"/>
      <c r="G937" s="11"/>
      <c r="H937" s="11"/>
      <c r="I937" s="29"/>
      <c r="J937" s="11"/>
      <c r="K937" s="29"/>
      <c r="L937" s="11"/>
      <c r="M937" s="11"/>
      <c r="N937" s="11"/>
      <c r="O937" s="29"/>
      <c r="P937" s="29"/>
      <c r="Q937" s="11"/>
      <c r="R937" s="29"/>
      <c r="S937" s="11"/>
      <c r="T937" s="6"/>
      <c r="U937" s="29"/>
      <c r="V937" s="11"/>
      <c r="W937" s="11"/>
      <c r="X937" s="29"/>
      <c r="Y937" s="11"/>
      <c r="Z937" s="29"/>
      <c r="AA937" s="29"/>
      <c r="AB937" s="11"/>
      <c r="AC937" s="11"/>
      <c r="AD937" s="29"/>
      <c r="AE937" s="11"/>
      <c r="AF937" s="29"/>
      <c r="AG937" s="11"/>
      <c r="AH937" s="29"/>
      <c r="AI937" s="11"/>
      <c r="AJ937" s="29"/>
      <c r="AK937" s="29"/>
      <c r="AL937" s="29"/>
      <c r="AM937" s="11"/>
      <c r="AN937" s="29"/>
      <c r="AO937" s="29"/>
      <c r="AP937" s="6"/>
      <c r="AQ937" s="113">
        <f>IF(AND(I937="",K937="",AF937="",AL937="",AN937="",O937=""),"",IF(OR(I937="SIM",K937="SIM",AF937="SIM",AL937="SIM",AN937="Dados pessoais",AN937="Dados sensíveis",AN937="Dados pessoais e sensíveis",O937="Acima de 10.000 titulares por mês"),"SIM - Alta criticidade",IF((IF(I937="SIM",2,0)+IF(K937="SIM",2,0)+IF(AF937="SIM",2,0)+IF(OR(AN937="Dados pessoais",AN937="Dados sensíveis",AN937="Dados pessoais e sensíveis"),2,0)+IF(O937="De 1.001 a 10.000 titulares por mês",1,0)+IF(AA937="SIM",1,0)+IF(R937="SIM",1,0)+IF(AL937="SIM",1,0)+IF(AJ937="NÃO",1,0))&gt;=5,"SIM - Alta criticidade",IF((IF(I937="SIM",2,0)+IF(K937="SIM",2,0)+IF(AF937="SIM",2,0)+IF(OR(AN937="Dados pessoais",AN937="Dados sensíveis",AN937="Dados pessoais e sensíveis"),2,0)+IF(O937="De 1.001 a 10.000 titulares por mês",1,0)+IF(AA937="SIM",1,0)+IF(R937="SIM",1,0)+IF(AL937="SIM",1,0)+IF(AJ937="NÃO",1,0))&gt;=3,"Avaliação necessária","NÃO"))))</f>
      </c>
      <c r="AR937" s="11"/>
      <c r="AS937" s="113">
        <f>IF(AND(I937="",K937="",AF937="",AL937="",AN937="",O937=""),"",IF(OR(I937="SIM",K937="SIM",AF937="SIM",AL937="SIM",OR(AN937="Dados pessoais",AN937="Dados sensíveis",AN937="Dados pessoais e sensíveis"),O937="Acima de 10.000 titulares por mês",(IF(I937="SIM",2,0)+IF(K937="SIM",2,0)+IF(AF937="SIM",2,0)+IF(OR(AN937="Dados pessoais",AN937="Dados sensíveis",AN937="Dados pessoais e sensíveis"),2,0)+IF(O937="De 1.001 a 10.000 titulares por mês",1,0)+IF(AA937="SIM",1,0)+IF(R937="SIM",1,0)+IF(AL937="SIM",1,0)+IF(AJ937="NÃO",1,0))&gt;=3),"DPIA indicado ou em avaliação em razão de: " &amp; TRIM(IF(I937="SIM","tratamento de dados sensíveis; ","") &amp; IF(K937="SIM","utilização de dados de menores; ","") &amp; IF(AF937="SIM","transferência internacional de dados; ","") &amp; IF(AL937="SIM","utilização de inteligência artificial; ","") &amp; IF(OR(AN937="Dados pessoais",AN937="Dados sensíveis",AN937="Dados pessoais e sensíveis"),"dados inseridos em IA; ","") &amp; IF(O937="Acima de 10.000 titulares por mês","volume crítico de titulares; ","") &amp; IF(O937="De 1.001 a 10.000 titulares por mês","volume moderado de titulares; ","") &amp; IF(AA937="SIM","compartilhamento com terceiros; ","") &amp; IF(R937="SIM","compartilhamento com órgãos governamentais; ","") &amp; IF(AJ937="NÃO","ausência de controle de acesso por perfil; ","")),"DPIA não indicado: Processo de baixa criticidade."))</f>
      </c>
    </row>
    <row x14ac:dyDescent="0.25" r="938" customHeight="1" ht="15.75">
      <c r="A938" s="46"/>
      <c r="B938" s="6"/>
      <c r="C938" s="11"/>
      <c r="D938" s="11"/>
      <c r="E938" s="11"/>
      <c r="F938" s="29"/>
      <c r="G938" s="11"/>
      <c r="H938" s="11"/>
      <c r="I938" s="29"/>
      <c r="J938" s="11"/>
      <c r="K938" s="29"/>
      <c r="L938" s="11"/>
      <c r="M938" s="11"/>
      <c r="N938" s="11"/>
      <c r="O938" s="29"/>
      <c r="P938" s="29"/>
      <c r="Q938" s="11"/>
      <c r="R938" s="29"/>
      <c r="S938" s="11"/>
      <c r="T938" s="6"/>
      <c r="U938" s="29"/>
      <c r="V938" s="11"/>
      <c r="W938" s="11"/>
      <c r="X938" s="29"/>
      <c r="Y938" s="11"/>
      <c r="Z938" s="29"/>
      <c r="AA938" s="29"/>
      <c r="AB938" s="11"/>
      <c r="AC938" s="11"/>
      <c r="AD938" s="29"/>
      <c r="AE938" s="11"/>
      <c r="AF938" s="29"/>
      <c r="AG938" s="11"/>
      <c r="AH938" s="29"/>
      <c r="AI938" s="11"/>
      <c r="AJ938" s="29"/>
      <c r="AK938" s="29"/>
      <c r="AL938" s="29"/>
      <c r="AM938" s="11"/>
      <c r="AN938" s="29"/>
      <c r="AO938" s="29"/>
      <c r="AP938" s="6"/>
      <c r="AQ938" s="113">
        <f>IF(AND(I938="",K938="",AF938="",AL938="",AN938="",O938=""),"",IF(OR(I938="SIM",K938="SIM",AF938="SIM",AL938="SIM",AN938="Dados pessoais",AN938="Dados sensíveis",AN938="Dados pessoais e sensíveis",O938="Acima de 10.000 titulares por mês"),"SIM - Alta criticidade",IF((IF(I938="SIM",2,0)+IF(K938="SIM",2,0)+IF(AF938="SIM",2,0)+IF(OR(AN938="Dados pessoais",AN938="Dados sensíveis",AN938="Dados pessoais e sensíveis"),2,0)+IF(O938="De 1.001 a 10.000 titulares por mês",1,0)+IF(AA938="SIM",1,0)+IF(R938="SIM",1,0)+IF(AL938="SIM",1,0)+IF(AJ938="NÃO",1,0))&gt;=5,"SIM - Alta criticidade",IF((IF(I938="SIM",2,0)+IF(K938="SIM",2,0)+IF(AF938="SIM",2,0)+IF(OR(AN938="Dados pessoais",AN938="Dados sensíveis",AN938="Dados pessoais e sensíveis"),2,0)+IF(O938="De 1.001 a 10.000 titulares por mês",1,0)+IF(AA938="SIM",1,0)+IF(R938="SIM",1,0)+IF(AL938="SIM",1,0)+IF(AJ938="NÃO",1,0))&gt;=3,"Avaliação necessária","NÃO"))))</f>
      </c>
      <c r="AR938" s="11"/>
      <c r="AS938" s="113">
        <f>IF(AND(I938="",K938="",AF938="",AL938="",AN938="",O938=""),"",IF(OR(I938="SIM",K938="SIM",AF938="SIM",AL938="SIM",OR(AN938="Dados pessoais",AN938="Dados sensíveis",AN938="Dados pessoais e sensíveis"),O938="Acima de 10.000 titulares por mês",(IF(I938="SIM",2,0)+IF(K938="SIM",2,0)+IF(AF938="SIM",2,0)+IF(OR(AN938="Dados pessoais",AN938="Dados sensíveis",AN938="Dados pessoais e sensíveis"),2,0)+IF(O938="De 1.001 a 10.000 titulares por mês",1,0)+IF(AA938="SIM",1,0)+IF(R938="SIM",1,0)+IF(AL938="SIM",1,0)+IF(AJ938="NÃO",1,0))&gt;=3),"DPIA indicado ou em avaliação em razão de: " &amp; TRIM(IF(I938="SIM","tratamento de dados sensíveis; ","") &amp; IF(K938="SIM","utilização de dados de menores; ","") &amp; IF(AF938="SIM","transferência internacional de dados; ","") &amp; IF(AL938="SIM","utilização de inteligência artificial; ","") &amp; IF(OR(AN938="Dados pessoais",AN938="Dados sensíveis",AN938="Dados pessoais e sensíveis"),"dados inseridos em IA; ","") &amp; IF(O938="Acima de 10.000 titulares por mês","volume crítico de titulares; ","") &amp; IF(O938="De 1.001 a 10.000 titulares por mês","volume moderado de titulares; ","") &amp; IF(AA938="SIM","compartilhamento com terceiros; ","") &amp; IF(R938="SIM","compartilhamento com órgãos governamentais; ","") &amp; IF(AJ938="NÃO","ausência de controle de acesso por perfil; ","")),"DPIA não indicado: Processo de baixa criticidade."))</f>
      </c>
    </row>
    <row x14ac:dyDescent="0.25" r="939" customHeight="1" ht="15.75">
      <c r="A939" s="46"/>
      <c r="B939" s="6"/>
      <c r="C939" s="11"/>
      <c r="D939" s="11"/>
      <c r="E939" s="11"/>
      <c r="F939" s="29"/>
      <c r="G939" s="11"/>
      <c r="H939" s="11"/>
      <c r="I939" s="29"/>
      <c r="J939" s="11"/>
      <c r="K939" s="29"/>
      <c r="L939" s="11"/>
      <c r="M939" s="11"/>
      <c r="N939" s="11"/>
      <c r="O939" s="29"/>
      <c r="P939" s="29"/>
      <c r="Q939" s="11"/>
      <c r="R939" s="29"/>
      <c r="S939" s="11"/>
      <c r="T939" s="6"/>
      <c r="U939" s="29"/>
      <c r="V939" s="11"/>
      <c r="W939" s="11"/>
      <c r="X939" s="29"/>
      <c r="Y939" s="11"/>
      <c r="Z939" s="29"/>
      <c r="AA939" s="29"/>
      <c r="AB939" s="11"/>
      <c r="AC939" s="11"/>
      <c r="AD939" s="29"/>
      <c r="AE939" s="11"/>
      <c r="AF939" s="29"/>
      <c r="AG939" s="11"/>
      <c r="AH939" s="29"/>
      <c r="AI939" s="11"/>
      <c r="AJ939" s="29"/>
      <c r="AK939" s="29"/>
      <c r="AL939" s="29"/>
      <c r="AM939" s="11"/>
      <c r="AN939" s="29"/>
      <c r="AO939" s="29"/>
      <c r="AP939" s="6"/>
      <c r="AQ939" s="113">
        <f>IF(AND(I939="",K939="",AF939="",AL939="",AN939="",O939=""),"",IF(OR(I939="SIM",K939="SIM",AF939="SIM",AL939="SIM",AN939="Dados pessoais",AN939="Dados sensíveis",AN939="Dados pessoais e sensíveis",O939="Acima de 10.000 titulares por mês"),"SIM - Alta criticidade",IF((IF(I939="SIM",2,0)+IF(K939="SIM",2,0)+IF(AF939="SIM",2,0)+IF(OR(AN939="Dados pessoais",AN939="Dados sensíveis",AN939="Dados pessoais e sensíveis"),2,0)+IF(O939="De 1.001 a 10.000 titulares por mês",1,0)+IF(AA939="SIM",1,0)+IF(R939="SIM",1,0)+IF(AL939="SIM",1,0)+IF(AJ939="NÃO",1,0))&gt;=5,"SIM - Alta criticidade",IF((IF(I939="SIM",2,0)+IF(K939="SIM",2,0)+IF(AF939="SIM",2,0)+IF(OR(AN939="Dados pessoais",AN939="Dados sensíveis",AN939="Dados pessoais e sensíveis"),2,0)+IF(O939="De 1.001 a 10.000 titulares por mês",1,0)+IF(AA939="SIM",1,0)+IF(R939="SIM",1,0)+IF(AL939="SIM",1,0)+IF(AJ939="NÃO",1,0))&gt;=3,"Avaliação necessária","NÃO"))))</f>
      </c>
      <c r="AR939" s="11"/>
      <c r="AS939" s="113">
        <f>IF(AND(I939="",K939="",AF939="",AL939="",AN939="",O939=""),"",IF(OR(I939="SIM",K939="SIM",AF939="SIM",AL939="SIM",OR(AN939="Dados pessoais",AN939="Dados sensíveis",AN939="Dados pessoais e sensíveis"),O939="Acima de 10.000 titulares por mês",(IF(I939="SIM",2,0)+IF(K939="SIM",2,0)+IF(AF939="SIM",2,0)+IF(OR(AN939="Dados pessoais",AN939="Dados sensíveis",AN939="Dados pessoais e sensíveis"),2,0)+IF(O939="De 1.001 a 10.000 titulares por mês",1,0)+IF(AA939="SIM",1,0)+IF(R939="SIM",1,0)+IF(AL939="SIM",1,0)+IF(AJ939="NÃO",1,0))&gt;=3),"DPIA indicado ou em avaliação em razão de: " &amp; TRIM(IF(I939="SIM","tratamento de dados sensíveis; ","") &amp; IF(K939="SIM","utilização de dados de menores; ","") &amp; IF(AF939="SIM","transferência internacional de dados; ","") &amp; IF(AL939="SIM","utilização de inteligência artificial; ","") &amp; IF(OR(AN939="Dados pessoais",AN939="Dados sensíveis",AN939="Dados pessoais e sensíveis"),"dados inseridos em IA; ","") &amp; IF(O939="Acima de 10.000 titulares por mês","volume crítico de titulares; ","") &amp; IF(O939="De 1.001 a 10.000 titulares por mês","volume moderado de titulares; ","") &amp; IF(AA939="SIM","compartilhamento com terceiros; ","") &amp; IF(R939="SIM","compartilhamento com órgãos governamentais; ","") &amp; IF(AJ939="NÃO","ausência de controle de acesso por perfil; ","")),"DPIA não indicado: Processo de baixa criticidade."))</f>
      </c>
    </row>
    <row x14ac:dyDescent="0.25" r="940" customHeight="1" ht="15.75">
      <c r="A940" s="46"/>
      <c r="B940" s="6"/>
      <c r="C940" s="11"/>
      <c r="D940" s="11"/>
      <c r="E940" s="11"/>
      <c r="F940" s="29"/>
      <c r="G940" s="11"/>
      <c r="H940" s="11"/>
      <c r="I940" s="29"/>
      <c r="J940" s="11"/>
      <c r="K940" s="29"/>
      <c r="L940" s="11"/>
      <c r="M940" s="11"/>
      <c r="N940" s="11"/>
      <c r="O940" s="29"/>
      <c r="P940" s="29"/>
      <c r="Q940" s="11"/>
      <c r="R940" s="29"/>
      <c r="S940" s="11"/>
      <c r="T940" s="6"/>
      <c r="U940" s="29"/>
      <c r="V940" s="11"/>
      <c r="W940" s="11"/>
      <c r="X940" s="29"/>
      <c r="Y940" s="11"/>
      <c r="Z940" s="29"/>
      <c r="AA940" s="29"/>
      <c r="AB940" s="11"/>
      <c r="AC940" s="11"/>
      <c r="AD940" s="29"/>
      <c r="AE940" s="11"/>
      <c r="AF940" s="29"/>
      <c r="AG940" s="11"/>
      <c r="AH940" s="29"/>
      <c r="AI940" s="11"/>
      <c r="AJ940" s="29"/>
      <c r="AK940" s="29"/>
      <c r="AL940" s="29"/>
      <c r="AM940" s="11"/>
      <c r="AN940" s="29"/>
      <c r="AO940" s="29"/>
      <c r="AP940" s="6"/>
      <c r="AQ940" s="113">
        <f>IF(AND(I940="",K940="",AF940="",AL940="",AN940="",O940=""),"",IF(OR(I940="SIM",K940="SIM",AF940="SIM",AL940="SIM",AN940="Dados pessoais",AN940="Dados sensíveis",AN940="Dados pessoais e sensíveis",O940="Acima de 10.000 titulares por mês"),"SIM - Alta criticidade",IF((IF(I940="SIM",2,0)+IF(K940="SIM",2,0)+IF(AF940="SIM",2,0)+IF(OR(AN940="Dados pessoais",AN940="Dados sensíveis",AN940="Dados pessoais e sensíveis"),2,0)+IF(O940="De 1.001 a 10.000 titulares por mês",1,0)+IF(AA940="SIM",1,0)+IF(R940="SIM",1,0)+IF(AL940="SIM",1,0)+IF(AJ940="NÃO",1,0))&gt;=5,"SIM - Alta criticidade",IF((IF(I940="SIM",2,0)+IF(K940="SIM",2,0)+IF(AF940="SIM",2,0)+IF(OR(AN940="Dados pessoais",AN940="Dados sensíveis",AN940="Dados pessoais e sensíveis"),2,0)+IF(O940="De 1.001 a 10.000 titulares por mês",1,0)+IF(AA940="SIM",1,0)+IF(R940="SIM",1,0)+IF(AL940="SIM",1,0)+IF(AJ940="NÃO",1,0))&gt;=3,"Avaliação necessária","NÃO"))))</f>
      </c>
      <c r="AR940" s="11"/>
      <c r="AS940" s="113">
        <f>IF(AND(I940="",K940="",AF940="",AL940="",AN940="",O940=""),"",IF(OR(I940="SIM",K940="SIM",AF940="SIM",AL940="SIM",OR(AN940="Dados pessoais",AN940="Dados sensíveis",AN940="Dados pessoais e sensíveis"),O940="Acima de 10.000 titulares por mês",(IF(I940="SIM",2,0)+IF(K940="SIM",2,0)+IF(AF940="SIM",2,0)+IF(OR(AN940="Dados pessoais",AN940="Dados sensíveis",AN940="Dados pessoais e sensíveis"),2,0)+IF(O940="De 1.001 a 10.000 titulares por mês",1,0)+IF(AA940="SIM",1,0)+IF(R940="SIM",1,0)+IF(AL940="SIM",1,0)+IF(AJ940="NÃO",1,0))&gt;=3),"DPIA indicado ou em avaliação em razão de: " &amp; TRIM(IF(I940="SIM","tratamento de dados sensíveis; ","") &amp; IF(K940="SIM","utilização de dados de menores; ","") &amp; IF(AF940="SIM","transferência internacional de dados; ","") &amp; IF(AL940="SIM","utilização de inteligência artificial; ","") &amp; IF(OR(AN940="Dados pessoais",AN940="Dados sensíveis",AN940="Dados pessoais e sensíveis"),"dados inseridos em IA; ","") &amp; IF(O940="Acima de 10.000 titulares por mês","volume crítico de titulares; ","") &amp; IF(O940="De 1.001 a 10.000 titulares por mês","volume moderado de titulares; ","") &amp; IF(AA940="SIM","compartilhamento com terceiros; ","") &amp; IF(R940="SIM","compartilhamento com órgãos governamentais; ","") &amp; IF(AJ940="NÃO","ausência de controle de acesso por perfil; ","")),"DPIA não indicado: Processo de baixa criticidade."))</f>
      </c>
    </row>
    <row x14ac:dyDescent="0.25" r="941" customHeight="1" ht="15.75">
      <c r="A941" s="46"/>
      <c r="B941" s="6"/>
      <c r="C941" s="11"/>
      <c r="D941" s="11"/>
      <c r="E941" s="11"/>
      <c r="F941" s="29"/>
      <c r="G941" s="11"/>
      <c r="H941" s="11"/>
      <c r="I941" s="29"/>
      <c r="J941" s="11"/>
      <c r="K941" s="29"/>
      <c r="L941" s="11"/>
      <c r="M941" s="11"/>
      <c r="N941" s="11"/>
      <c r="O941" s="29"/>
      <c r="P941" s="29"/>
      <c r="Q941" s="11"/>
      <c r="R941" s="29"/>
      <c r="S941" s="11"/>
      <c r="T941" s="6"/>
      <c r="U941" s="29"/>
      <c r="V941" s="11"/>
      <c r="W941" s="11"/>
      <c r="X941" s="29"/>
      <c r="Y941" s="11"/>
      <c r="Z941" s="29"/>
      <c r="AA941" s="29"/>
      <c r="AB941" s="11"/>
      <c r="AC941" s="11"/>
      <c r="AD941" s="29"/>
      <c r="AE941" s="11"/>
      <c r="AF941" s="29"/>
      <c r="AG941" s="11"/>
      <c r="AH941" s="29"/>
      <c r="AI941" s="11"/>
      <c r="AJ941" s="29"/>
      <c r="AK941" s="29"/>
      <c r="AL941" s="29"/>
      <c r="AM941" s="11"/>
      <c r="AN941" s="29"/>
      <c r="AO941" s="29"/>
      <c r="AP941" s="6"/>
      <c r="AQ941" s="113">
        <f>IF(AND(I941="",K941="",AF941="",AL941="",AN941="",O941=""),"",IF(OR(I941="SIM",K941="SIM",AF941="SIM",AL941="SIM",AN941="Dados pessoais",AN941="Dados sensíveis",AN941="Dados pessoais e sensíveis",O941="Acima de 10.000 titulares por mês"),"SIM - Alta criticidade",IF((IF(I941="SIM",2,0)+IF(K941="SIM",2,0)+IF(AF941="SIM",2,0)+IF(OR(AN941="Dados pessoais",AN941="Dados sensíveis",AN941="Dados pessoais e sensíveis"),2,0)+IF(O941="De 1.001 a 10.000 titulares por mês",1,0)+IF(AA941="SIM",1,0)+IF(R941="SIM",1,0)+IF(AL941="SIM",1,0)+IF(AJ941="NÃO",1,0))&gt;=5,"SIM - Alta criticidade",IF((IF(I941="SIM",2,0)+IF(K941="SIM",2,0)+IF(AF941="SIM",2,0)+IF(OR(AN941="Dados pessoais",AN941="Dados sensíveis",AN941="Dados pessoais e sensíveis"),2,0)+IF(O941="De 1.001 a 10.000 titulares por mês",1,0)+IF(AA941="SIM",1,0)+IF(R941="SIM",1,0)+IF(AL941="SIM",1,0)+IF(AJ941="NÃO",1,0))&gt;=3,"Avaliação necessária","NÃO"))))</f>
      </c>
      <c r="AR941" s="11"/>
      <c r="AS941" s="113">
        <f>IF(AND(I941="",K941="",AF941="",AL941="",AN941="",O941=""),"",IF(OR(I941="SIM",K941="SIM",AF941="SIM",AL941="SIM",OR(AN941="Dados pessoais",AN941="Dados sensíveis",AN941="Dados pessoais e sensíveis"),O941="Acima de 10.000 titulares por mês",(IF(I941="SIM",2,0)+IF(K941="SIM",2,0)+IF(AF941="SIM",2,0)+IF(OR(AN941="Dados pessoais",AN941="Dados sensíveis",AN941="Dados pessoais e sensíveis"),2,0)+IF(O941="De 1.001 a 10.000 titulares por mês",1,0)+IF(AA941="SIM",1,0)+IF(R941="SIM",1,0)+IF(AL941="SIM",1,0)+IF(AJ941="NÃO",1,0))&gt;=3),"DPIA indicado ou em avaliação em razão de: " &amp; TRIM(IF(I941="SIM","tratamento de dados sensíveis; ","") &amp; IF(K941="SIM","utilização de dados de menores; ","") &amp; IF(AF941="SIM","transferência internacional de dados; ","") &amp; IF(AL941="SIM","utilização de inteligência artificial; ","") &amp; IF(OR(AN941="Dados pessoais",AN941="Dados sensíveis",AN941="Dados pessoais e sensíveis"),"dados inseridos em IA; ","") &amp; IF(O941="Acima de 10.000 titulares por mês","volume crítico de titulares; ","") &amp; IF(O941="De 1.001 a 10.000 titulares por mês","volume moderado de titulares; ","") &amp; IF(AA941="SIM","compartilhamento com terceiros; ","") &amp; IF(R941="SIM","compartilhamento com órgãos governamentais; ","") &amp; IF(AJ941="NÃO","ausência de controle de acesso por perfil; ","")),"DPIA não indicado: Processo de baixa criticidade."))</f>
      </c>
    </row>
    <row x14ac:dyDescent="0.25" r="942" customHeight="1" ht="15.75">
      <c r="A942" s="46"/>
      <c r="B942" s="6"/>
      <c r="C942" s="11"/>
      <c r="D942" s="11"/>
      <c r="E942" s="11"/>
      <c r="F942" s="29"/>
      <c r="G942" s="11"/>
      <c r="H942" s="11"/>
      <c r="I942" s="29"/>
      <c r="J942" s="11"/>
      <c r="K942" s="29"/>
      <c r="L942" s="11"/>
      <c r="M942" s="11"/>
      <c r="N942" s="11"/>
      <c r="O942" s="29"/>
      <c r="P942" s="29"/>
      <c r="Q942" s="11"/>
      <c r="R942" s="29"/>
      <c r="S942" s="11"/>
      <c r="T942" s="6"/>
      <c r="U942" s="29"/>
      <c r="V942" s="11"/>
      <c r="W942" s="11"/>
      <c r="X942" s="29"/>
      <c r="Y942" s="11"/>
      <c r="Z942" s="29"/>
      <c r="AA942" s="29"/>
      <c r="AB942" s="11"/>
      <c r="AC942" s="11"/>
      <c r="AD942" s="29"/>
      <c r="AE942" s="11"/>
      <c r="AF942" s="29"/>
      <c r="AG942" s="11"/>
      <c r="AH942" s="29"/>
      <c r="AI942" s="11"/>
      <c r="AJ942" s="29"/>
      <c r="AK942" s="29"/>
      <c r="AL942" s="29"/>
      <c r="AM942" s="11"/>
      <c r="AN942" s="29"/>
      <c r="AO942" s="29"/>
      <c r="AP942" s="6"/>
      <c r="AQ942" s="113">
        <f>IF(AND(I942="",K942="",AF942="",AL942="",AN942="",O942=""),"",IF(OR(I942="SIM",K942="SIM",AF942="SIM",AL942="SIM",AN942="Dados pessoais",AN942="Dados sensíveis",AN942="Dados pessoais e sensíveis",O942="Acima de 10.000 titulares por mês"),"SIM - Alta criticidade",IF((IF(I942="SIM",2,0)+IF(K942="SIM",2,0)+IF(AF942="SIM",2,0)+IF(OR(AN942="Dados pessoais",AN942="Dados sensíveis",AN942="Dados pessoais e sensíveis"),2,0)+IF(O942="De 1.001 a 10.000 titulares por mês",1,0)+IF(AA942="SIM",1,0)+IF(R942="SIM",1,0)+IF(AL942="SIM",1,0)+IF(AJ942="NÃO",1,0))&gt;=5,"SIM - Alta criticidade",IF((IF(I942="SIM",2,0)+IF(K942="SIM",2,0)+IF(AF942="SIM",2,0)+IF(OR(AN942="Dados pessoais",AN942="Dados sensíveis",AN942="Dados pessoais e sensíveis"),2,0)+IF(O942="De 1.001 a 10.000 titulares por mês",1,0)+IF(AA942="SIM",1,0)+IF(R942="SIM",1,0)+IF(AL942="SIM",1,0)+IF(AJ942="NÃO",1,0))&gt;=3,"Avaliação necessária","NÃO"))))</f>
      </c>
      <c r="AR942" s="11"/>
      <c r="AS942" s="113">
        <f>IF(AND(I942="",K942="",AF942="",AL942="",AN942="",O942=""),"",IF(OR(I942="SIM",K942="SIM",AF942="SIM",AL942="SIM",OR(AN942="Dados pessoais",AN942="Dados sensíveis",AN942="Dados pessoais e sensíveis"),O942="Acima de 10.000 titulares por mês",(IF(I942="SIM",2,0)+IF(K942="SIM",2,0)+IF(AF942="SIM",2,0)+IF(OR(AN942="Dados pessoais",AN942="Dados sensíveis",AN942="Dados pessoais e sensíveis"),2,0)+IF(O942="De 1.001 a 10.000 titulares por mês",1,0)+IF(AA942="SIM",1,0)+IF(R942="SIM",1,0)+IF(AL942="SIM",1,0)+IF(AJ942="NÃO",1,0))&gt;=3),"DPIA indicado ou em avaliação em razão de: " &amp; TRIM(IF(I942="SIM","tratamento de dados sensíveis; ","") &amp; IF(K942="SIM","utilização de dados de menores; ","") &amp; IF(AF942="SIM","transferência internacional de dados; ","") &amp; IF(AL942="SIM","utilização de inteligência artificial; ","") &amp; IF(OR(AN942="Dados pessoais",AN942="Dados sensíveis",AN942="Dados pessoais e sensíveis"),"dados inseridos em IA; ","") &amp; IF(O942="Acima de 10.000 titulares por mês","volume crítico de titulares; ","") &amp; IF(O942="De 1.001 a 10.000 titulares por mês","volume moderado de titulares; ","") &amp; IF(AA942="SIM","compartilhamento com terceiros; ","") &amp; IF(R942="SIM","compartilhamento com órgãos governamentais; ","") &amp; IF(AJ942="NÃO","ausência de controle de acesso por perfil; ","")),"DPIA não indicado: Processo de baixa criticidade."))</f>
      </c>
    </row>
    <row x14ac:dyDescent="0.25" r="943" customHeight="1" ht="15.75">
      <c r="A943" s="46"/>
      <c r="B943" s="6"/>
      <c r="C943" s="11"/>
      <c r="D943" s="11"/>
      <c r="E943" s="11"/>
      <c r="F943" s="29"/>
      <c r="G943" s="11"/>
      <c r="H943" s="11"/>
      <c r="I943" s="29"/>
      <c r="J943" s="11"/>
      <c r="K943" s="29"/>
      <c r="L943" s="11"/>
      <c r="M943" s="11"/>
      <c r="N943" s="11"/>
      <c r="O943" s="29"/>
      <c r="P943" s="29"/>
      <c r="Q943" s="11"/>
      <c r="R943" s="29"/>
      <c r="S943" s="11"/>
      <c r="T943" s="6"/>
      <c r="U943" s="29"/>
      <c r="V943" s="11"/>
      <c r="W943" s="11"/>
      <c r="X943" s="29"/>
      <c r="Y943" s="11"/>
      <c r="Z943" s="29"/>
      <c r="AA943" s="29"/>
      <c r="AB943" s="11"/>
      <c r="AC943" s="11"/>
      <c r="AD943" s="29"/>
      <c r="AE943" s="11"/>
      <c r="AF943" s="29"/>
      <c r="AG943" s="11"/>
      <c r="AH943" s="29"/>
      <c r="AI943" s="11"/>
      <c r="AJ943" s="29"/>
      <c r="AK943" s="29"/>
      <c r="AL943" s="29"/>
      <c r="AM943" s="11"/>
      <c r="AN943" s="29"/>
      <c r="AO943" s="29"/>
      <c r="AP943" s="6"/>
      <c r="AQ943" s="113">
        <f>IF(AND(I943="",K943="",AF943="",AL943="",AN943="",O943=""),"",IF(OR(I943="SIM",K943="SIM",AF943="SIM",AL943="SIM",AN943="Dados pessoais",AN943="Dados sensíveis",AN943="Dados pessoais e sensíveis",O943="Acima de 10.000 titulares por mês"),"SIM - Alta criticidade",IF((IF(I943="SIM",2,0)+IF(K943="SIM",2,0)+IF(AF943="SIM",2,0)+IF(OR(AN943="Dados pessoais",AN943="Dados sensíveis",AN943="Dados pessoais e sensíveis"),2,0)+IF(O943="De 1.001 a 10.000 titulares por mês",1,0)+IF(AA943="SIM",1,0)+IF(R943="SIM",1,0)+IF(AL943="SIM",1,0)+IF(AJ943="NÃO",1,0))&gt;=5,"SIM - Alta criticidade",IF((IF(I943="SIM",2,0)+IF(K943="SIM",2,0)+IF(AF943="SIM",2,0)+IF(OR(AN943="Dados pessoais",AN943="Dados sensíveis",AN943="Dados pessoais e sensíveis"),2,0)+IF(O943="De 1.001 a 10.000 titulares por mês",1,0)+IF(AA943="SIM",1,0)+IF(R943="SIM",1,0)+IF(AL943="SIM",1,0)+IF(AJ943="NÃO",1,0))&gt;=3,"Avaliação necessária","NÃO"))))</f>
      </c>
      <c r="AR943" s="11"/>
      <c r="AS943" s="113">
        <f>IF(AND(I943="",K943="",AF943="",AL943="",AN943="",O943=""),"",IF(OR(I943="SIM",K943="SIM",AF943="SIM",AL943="SIM",OR(AN943="Dados pessoais",AN943="Dados sensíveis",AN943="Dados pessoais e sensíveis"),O943="Acima de 10.000 titulares por mês",(IF(I943="SIM",2,0)+IF(K943="SIM",2,0)+IF(AF943="SIM",2,0)+IF(OR(AN943="Dados pessoais",AN943="Dados sensíveis",AN943="Dados pessoais e sensíveis"),2,0)+IF(O943="De 1.001 a 10.000 titulares por mês",1,0)+IF(AA943="SIM",1,0)+IF(R943="SIM",1,0)+IF(AL943="SIM",1,0)+IF(AJ943="NÃO",1,0))&gt;=3),"DPIA indicado ou em avaliação em razão de: " &amp; TRIM(IF(I943="SIM","tratamento de dados sensíveis; ","") &amp; IF(K943="SIM","utilização de dados de menores; ","") &amp; IF(AF943="SIM","transferência internacional de dados; ","") &amp; IF(AL943="SIM","utilização de inteligência artificial; ","") &amp; IF(OR(AN943="Dados pessoais",AN943="Dados sensíveis",AN943="Dados pessoais e sensíveis"),"dados inseridos em IA; ","") &amp; IF(O943="Acima de 10.000 titulares por mês","volume crítico de titulares; ","") &amp; IF(O943="De 1.001 a 10.000 titulares por mês","volume moderado de titulares; ","") &amp; IF(AA943="SIM","compartilhamento com terceiros; ","") &amp; IF(R943="SIM","compartilhamento com órgãos governamentais; ","") &amp; IF(AJ943="NÃO","ausência de controle de acesso por perfil; ","")),"DPIA não indicado: Processo de baixa criticidade."))</f>
      </c>
    </row>
    <row x14ac:dyDescent="0.25" r="944" customHeight="1" ht="15.75">
      <c r="A944" s="46"/>
      <c r="B944" s="6"/>
      <c r="C944" s="11"/>
      <c r="D944" s="11"/>
      <c r="E944" s="11"/>
      <c r="F944" s="29"/>
      <c r="G944" s="11"/>
      <c r="H944" s="11"/>
      <c r="I944" s="29"/>
      <c r="J944" s="11"/>
      <c r="K944" s="29"/>
      <c r="L944" s="11"/>
      <c r="M944" s="11"/>
      <c r="N944" s="11"/>
      <c r="O944" s="29"/>
      <c r="P944" s="29"/>
      <c r="Q944" s="11"/>
      <c r="R944" s="29"/>
      <c r="S944" s="11"/>
      <c r="T944" s="6"/>
      <c r="U944" s="29"/>
      <c r="V944" s="11"/>
      <c r="W944" s="11"/>
      <c r="X944" s="29"/>
      <c r="Y944" s="11"/>
      <c r="Z944" s="29"/>
      <c r="AA944" s="29"/>
      <c r="AB944" s="11"/>
      <c r="AC944" s="11"/>
      <c r="AD944" s="29"/>
      <c r="AE944" s="11"/>
      <c r="AF944" s="29"/>
      <c r="AG944" s="11"/>
      <c r="AH944" s="29"/>
      <c r="AI944" s="11"/>
      <c r="AJ944" s="29"/>
      <c r="AK944" s="29"/>
      <c r="AL944" s="29"/>
      <c r="AM944" s="11"/>
      <c r="AN944" s="29"/>
      <c r="AO944" s="29"/>
      <c r="AP944" s="6"/>
      <c r="AQ944" s="113">
        <f>IF(AND(I944="",K944="",AF944="",AL944="",AN944="",O944=""),"",IF(OR(I944="SIM",K944="SIM",AF944="SIM",AL944="SIM",AN944="Dados pessoais",AN944="Dados sensíveis",AN944="Dados pessoais e sensíveis",O944="Acima de 10.000 titulares por mês"),"SIM - Alta criticidade",IF((IF(I944="SIM",2,0)+IF(K944="SIM",2,0)+IF(AF944="SIM",2,0)+IF(OR(AN944="Dados pessoais",AN944="Dados sensíveis",AN944="Dados pessoais e sensíveis"),2,0)+IF(O944="De 1.001 a 10.000 titulares por mês",1,0)+IF(AA944="SIM",1,0)+IF(R944="SIM",1,0)+IF(AL944="SIM",1,0)+IF(AJ944="NÃO",1,0))&gt;=5,"SIM - Alta criticidade",IF((IF(I944="SIM",2,0)+IF(K944="SIM",2,0)+IF(AF944="SIM",2,0)+IF(OR(AN944="Dados pessoais",AN944="Dados sensíveis",AN944="Dados pessoais e sensíveis"),2,0)+IF(O944="De 1.001 a 10.000 titulares por mês",1,0)+IF(AA944="SIM",1,0)+IF(R944="SIM",1,0)+IF(AL944="SIM",1,0)+IF(AJ944="NÃO",1,0))&gt;=3,"Avaliação necessária","NÃO"))))</f>
      </c>
      <c r="AR944" s="11"/>
      <c r="AS944" s="113">
        <f>IF(AND(I944="",K944="",AF944="",AL944="",AN944="",O944=""),"",IF(OR(I944="SIM",K944="SIM",AF944="SIM",AL944="SIM",OR(AN944="Dados pessoais",AN944="Dados sensíveis",AN944="Dados pessoais e sensíveis"),O944="Acima de 10.000 titulares por mês",(IF(I944="SIM",2,0)+IF(K944="SIM",2,0)+IF(AF944="SIM",2,0)+IF(OR(AN944="Dados pessoais",AN944="Dados sensíveis",AN944="Dados pessoais e sensíveis"),2,0)+IF(O944="De 1.001 a 10.000 titulares por mês",1,0)+IF(AA944="SIM",1,0)+IF(R944="SIM",1,0)+IF(AL944="SIM",1,0)+IF(AJ944="NÃO",1,0))&gt;=3),"DPIA indicado ou em avaliação em razão de: " &amp; TRIM(IF(I944="SIM","tratamento de dados sensíveis; ","") &amp; IF(K944="SIM","utilização de dados de menores; ","") &amp; IF(AF944="SIM","transferência internacional de dados; ","") &amp; IF(AL944="SIM","utilização de inteligência artificial; ","") &amp; IF(OR(AN944="Dados pessoais",AN944="Dados sensíveis",AN944="Dados pessoais e sensíveis"),"dados inseridos em IA; ","") &amp; IF(O944="Acima de 10.000 titulares por mês","volume crítico de titulares; ","") &amp; IF(O944="De 1.001 a 10.000 titulares por mês","volume moderado de titulares; ","") &amp; IF(AA944="SIM","compartilhamento com terceiros; ","") &amp; IF(R944="SIM","compartilhamento com órgãos governamentais; ","") &amp; IF(AJ944="NÃO","ausência de controle de acesso por perfil; ","")),"DPIA não indicado: Processo de baixa criticidade."))</f>
      </c>
    </row>
    <row x14ac:dyDescent="0.25" r="945" customHeight="1" ht="15.75">
      <c r="A945" s="46"/>
      <c r="B945" s="6"/>
      <c r="C945" s="11"/>
      <c r="D945" s="11"/>
      <c r="E945" s="11"/>
      <c r="F945" s="29"/>
      <c r="G945" s="11"/>
      <c r="H945" s="11"/>
      <c r="I945" s="29"/>
      <c r="J945" s="11"/>
      <c r="K945" s="29"/>
      <c r="L945" s="11"/>
      <c r="M945" s="11"/>
      <c r="N945" s="11"/>
      <c r="O945" s="29"/>
      <c r="P945" s="29"/>
      <c r="Q945" s="11"/>
      <c r="R945" s="29"/>
      <c r="S945" s="11"/>
      <c r="T945" s="6"/>
      <c r="U945" s="29"/>
      <c r="V945" s="11"/>
      <c r="W945" s="11"/>
      <c r="X945" s="29"/>
      <c r="Y945" s="11"/>
      <c r="Z945" s="29"/>
      <c r="AA945" s="29"/>
      <c r="AB945" s="11"/>
      <c r="AC945" s="11"/>
      <c r="AD945" s="29"/>
      <c r="AE945" s="11"/>
      <c r="AF945" s="29"/>
      <c r="AG945" s="11"/>
      <c r="AH945" s="29"/>
      <c r="AI945" s="11"/>
      <c r="AJ945" s="29"/>
      <c r="AK945" s="29"/>
      <c r="AL945" s="29"/>
      <c r="AM945" s="11"/>
      <c r="AN945" s="29"/>
      <c r="AO945" s="29"/>
      <c r="AP945" s="6"/>
      <c r="AQ945" s="113">
        <f>IF(AND(I945="",K945="",AF945="",AL945="",AN945="",O945=""),"",IF(OR(I945="SIM",K945="SIM",AF945="SIM",AL945="SIM",AN945="Dados pessoais",AN945="Dados sensíveis",AN945="Dados pessoais e sensíveis",O945="Acima de 10.000 titulares por mês"),"SIM - Alta criticidade",IF((IF(I945="SIM",2,0)+IF(K945="SIM",2,0)+IF(AF945="SIM",2,0)+IF(OR(AN945="Dados pessoais",AN945="Dados sensíveis",AN945="Dados pessoais e sensíveis"),2,0)+IF(O945="De 1.001 a 10.000 titulares por mês",1,0)+IF(AA945="SIM",1,0)+IF(R945="SIM",1,0)+IF(AL945="SIM",1,0)+IF(AJ945="NÃO",1,0))&gt;=5,"SIM - Alta criticidade",IF((IF(I945="SIM",2,0)+IF(K945="SIM",2,0)+IF(AF945="SIM",2,0)+IF(OR(AN945="Dados pessoais",AN945="Dados sensíveis",AN945="Dados pessoais e sensíveis"),2,0)+IF(O945="De 1.001 a 10.000 titulares por mês",1,0)+IF(AA945="SIM",1,0)+IF(R945="SIM",1,0)+IF(AL945="SIM",1,0)+IF(AJ945="NÃO",1,0))&gt;=3,"Avaliação necessária","NÃO"))))</f>
      </c>
      <c r="AR945" s="11"/>
      <c r="AS945" s="113">
        <f>IF(AND(I945="",K945="",AF945="",AL945="",AN945="",O945=""),"",IF(OR(I945="SIM",K945="SIM",AF945="SIM",AL945="SIM",OR(AN945="Dados pessoais",AN945="Dados sensíveis",AN945="Dados pessoais e sensíveis"),O945="Acima de 10.000 titulares por mês",(IF(I945="SIM",2,0)+IF(K945="SIM",2,0)+IF(AF945="SIM",2,0)+IF(OR(AN945="Dados pessoais",AN945="Dados sensíveis",AN945="Dados pessoais e sensíveis"),2,0)+IF(O945="De 1.001 a 10.000 titulares por mês",1,0)+IF(AA945="SIM",1,0)+IF(R945="SIM",1,0)+IF(AL945="SIM",1,0)+IF(AJ945="NÃO",1,0))&gt;=3),"DPIA indicado ou em avaliação em razão de: " &amp; TRIM(IF(I945="SIM","tratamento de dados sensíveis; ","") &amp; IF(K945="SIM","utilização de dados de menores; ","") &amp; IF(AF945="SIM","transferência internacional de dados; ","") &amp; IF(AL945="SIM","utilização de inteligência artificial; ","") &amp; IF(OR(AN945="Dados pessoais",AN945="Dados sensíveis",AN945="Dados pessoais e sensíveis"),"dados inseridos em IA; ","") &amp; IF(O945="Acima de 10.000 titulares por mês","volume crítico de titulares; ","") &amp; IF(O945="De 1.001 a 10.000 titulares por mês","volume moderado de titulares; ","") &amp; IF(AA945="SIM","compartilhamento com terceiros; ","") &amp; IF(R945="SIM","compartilhamento com órgãos governamentais; ","") &amp; IF(AJ945="NÃO","ausência de controle de acesso por perfil; ","")),"DPIA não indicado: Processo de baixa criticidade."))</f>
      </c>
    </row>
    <row x14ac:dyDescent="0.25" r="946" customHeight="1" ht="15.75">
      <c r="A946" s="46"/>
      <c r="B946" s="6"/>
      <c r="C946" s="11"/>
      <c r="D946" s="11"/>
      <c r="E946" s="11"/>
      <c r="F946" s="29"/>
      <c r="G946" s="11"/>
      <c r="H946" s="11"/>
      <c r="I946" s="29"/>
      <c r="J946" s="11"/>
      <c r="K946" s="29"/>
      <c r="L946" s="11"/>
      <c r="M946" s="11"/>
      <c r="N946" s="11"/>
      <c r="O946" s="29"/>
      <c r="P946" s="29"/>
      <c r="Q946" s="11"/>
      <c r="R946" s="29"/>
      <c r="S946" s="11"/>
      <c r="T946" s="6"/>
      <c r="U946" s="29"/>
      <c r="V946" s="11"/>
      <c r="W946" s="11"/>
      <c r="X946" s="29"/>
      <c r="Y946" s="11"/>
      <c r="Z946" s="29"/>
      <c r="AA946" s="29"/>
      <c r="AB946" s="11"/>
      <c r="AC946" s="11"/>
      <c r="AD946" s="29"/>
      <c r="AE946" s="11"/>
      <c r="AF946" s="29"/>
      <c r="AG946" s="11"/>
      <c r="AH946" s="29"/>
      <c r="AI946" s="11"/>
      <c r="AJ946" s="29"/>
      <c r="AK946" s="29"/>
      <c r="AL946" s="29"/>
      <c r="AM946" s="11"/>
      <c r="AN946" s="29"/>
      <c r="AO946" s="29"/>
      <c r="AP946" s="6"/>
      <c r="AQ946" s="113">
        <f>IF(AND(I946="",K946="",AF946="",AL946="",AN946="",O946=""),"",IF(OR(I946="SIM",K946="SIM",AF946="SIM",AL946="SIM",AN946="Dados pessoais",AN946="Dados sensíveis",AN946="Dados pessoais e sensíveis",O946="Acima de 10.000 titulares por mês"),"SIM - Alta criticidade",IF((IF(I946="SIM",2,0)+IF(K946="SIM",2,0)+IF(AF946="SIM",2,0)+IF(OR(AN946="Dados pessoais",AN946="Dados sensíveis",AN946="Dados pessoais e sensíveis"),2,0)+IF(O946="De 1.001 a 10.000 titulares por mês",1,0)+IF(AA946="SIM",1,0)+IF(R946="SIM",1,0)+IF(AL946="SIM",1,0)+IF(AJ946="NÃO",1,0))&gt;=5,"SIM - Alta criticidade",IF((IF(I946="SIM",2,0)+IF(K946="SIM",2,0)+IF(AF946="SIM",2,0)+IF(OR(AN946="Dados pessoais",AN946="Dados sensíveis",AN946="Dados pessoais e sensíveis"),2,0)+IF(O946="De 1.001 a 10.000 titulares por mês",1,0)+IF(AA946="SIM",1,0)+IF(R946="SIM",1,0)+IF(AL946="SIM",1,0)+IF(AJ946="NÃO",1,0))&gt;=3,"Avaliação necessária","NÃO"))))</f>
      </c>
      <c r="AR946" s="11"/>
      <c r="AS946" s="113">
        <f>IF(AND(I946="",K946="",AF946="",AL946="",AN946="",O946=""),"",IF(OR(I946="SIM",K946="SIM",AF946="SIM",AL946="SIM",OR(AN946="Dados pessoais",AN946="Dados sensíveis",AN946="Dados pessoais e sensíveis"),O946="Acima de 10.000 titulares por mês",(IF(I946="SIM",2,0)+IF(K946="SIM",2,0)+IF(AF946="SIM",2,0)+IF(OR(AN946="Dados pessoais",AN946="Dados sensíveis",AN946="Dados pessoais e sensíveis"),2,0)+IF(O946="De 1.001 a 10.000 titulares por mês",1,0)+IF(AA946="SIM",1,0)+IF(R946="SIM",1,0)+IF(AL946="SIM",1,0)+IF(AJ946="NÃO",1,0))&gt;=3),"DPIA indicado ou em avaliação em razão de: " &amp; TRIM(IF(I946="SIM","tratamento de dados sensíveis; ","") &amp; IF(K946="SIM","utilização de dados de menores; ","") &amp; IF(AF946="SIM","transferência internacional de dados; ","") &amp; IF(AL946="SIM","utilização de inteligência artificial; ","") &amp; IF(OR(AN946="Dados pessoais",AN946="Dados sensíveis",AN946="Dados pessoais e sensíveis"),"dados inseridos em IA; ","") &amp; IF(O946="Acima de 10.000 titulares por mês","volume crítico de titulares; ","") &amp; IF(O946="De 1.001 a 10.000 titulares por mês","volume moderado de titulares; ","") &amp; IF(AA946="SIM","compartilhamento com terceiros; ","") &amp; IF(R946="SIM","compartilhamento com órgãos governamentais; ","") &amp; IF(AJ946="NÃO","ausência de controle de acesso por perfil; ","")),"DPIA não indicado: Processo de baixa criticidade."))</f>
      </c>
    </row>
    <row x14ac:dyDescent="0.25" r="947" customHeight="1" ht="15.75">
      <c r="A947" s="46"/>
      <c r="B947" s="6"/>
      <c r="C947" s="11"/>
      <c r="D947" s="11"/>
      <c r="E947" s="11"/>
      <c r="F947" s="29"/>
      <c r="G947" s="11"/>
      <c r="H947" s="11"/>
      <c r="I947" s="29"/>
      <c r="J947" s="11"/>
      <c r="K947" s="29"/>
      <c r="L947" s="11"/>
      <c r="M947" s="11"/>
      <c r="N947" s="11"/>
      <c r="O947" s="29"/>
      <c r="P947" s="29"/>
      <c r="Q947" s="11"/>
      <c r="R947" s="29"/>
      <c r="S947" s="11"/>
      <c r="T947" s="6"/>
      <c r="U947" s="29"/>
      <c r="V947" s="11"/>
      <c r="W947" s="11"/>
      <c r="X947" s="29"/>
      <c r="Y947" s="11"/>
      <c r="Z947" s="29"/>
      <c r="AA947" s="29"/>
      <c r="AB947" s="11"/>
      <c r="AC947" s="11"/>
      <c r="AD947" s="29"/>
      <c r="AE947" s="11"/>
      <c r="AF947" s="29"/>
      <c r="AG947" s="11"/>
      <c r="AH947" s="29"/>
      <c r="AI947" s="11"/>
      <c r="AJ947" s="29"/>
      <c r="AK947" s="29"/>
      <c r="AL947" s="29"/>
      <c r="AM947" s="11"/>
      <c r="AN947" s="29"/>
      <c r="AO947" s="29"/>
      <c r="AP947" s="6"/>
      <c r="AQ947" s="113">
        <f>IF(AND(I947="",K947="",AF947="",AL947="",AN947="",O947=""),"",IF(OR(I947="SIM",K947="SIM",AF947="SIM",AL947="SIM",AN947="Dados pessoais",AN947="Dados sensíveis",AN947="Dados pessoais e sensíveis",O947="Acima de 10.000 titulares por mês"),"SIM - Alta criticidade",IF((IF(I947="SIM",2,0)+IF(K947="SIM",2,0)+IF(AF947="SIM",2,0)+IF(OR(AN947="Dados pessoais",AN947="Dados sensíveis",AN947="Dados pessoais e sensíveis"),2,0)+IF(O947="De 1.001 a 10.000 titulares por mês",1,0)+IF(AA947="SIM",1,0)+IF(R947="SIM",1,0)+IF(AL947="SIM",1,0)+IF(AJ947="NÃO",1,0))&gt;=5,"SIM - Alta criticidade",IF((IF(I947="SIM",2,0)+IF(K947="SIM",2,0)+IF(AF947="SIM",2,0)+IF(OR(AN947="Dados pessoais",AN947="Dados sensíveis",AN947="Dados pessoais e sensíveis"),2,0)+IF(O947="De 1.001 a 10.000 titulares por mês",1,0)+IF(AA947="SIM",1,0)+IF(R947="SIM",1,0)+IF(AL947="SIM",1,0)+IF(AJ947="NÃO",1,0))&gt;=3,"Avaliação necessária","NÃO"))))</f>
      </c>
      <c r="AR947" s="11"/>
      <c r="AS947" s="113">
        <f>IF(AND(I947="",K947="",AF947="",AL947="",AN947="",O947=""),"",IF(OR(I947="SIM",K947="SIM",AF947="SIM",AL947="SIM",OR(AN947="Dados pessoais",AN947="Dados sensíveis",AN947="Dados pessoais e sensíveis"),O947="Acima de 10.000 titulares por mês",(IF(I947="SIM",2,0)+IF(K947="SIM",2,0)+IF(AF947="SIM",2,0)+IF(OR(AN947="Dados pessoais",AN947="Dados sensíveis",AN947="Dados pessoais e sensíveis"),2,0)+IF(O947="De 1.001 a 10.000 titulares por mês",1,0)+IF(AA947="SIM",1,0)+IF(R947="SIM",1,0)+IF(AL947="SIM",1,0)+IF(AJ947="NÃO",1,0))&gt;=3),"DPIA indicado ou em avaliação em razão de: " &amp; TRIM(IF(I947="SIM","tratamento de dados sensíveis; ","") &amp; IF(K947="SIM","utilização de dados de menores; ","") &amp; IF(AF947="SIM","transferência internacional de dados; ","") &amp; IF(AL947="SIM","utilização de inteligência artificial; ","") &amp; IF(OR(AN947="Dados pessoais",AN947="Dados sensíveis",AN947="Dados pessoais e sensíveis"),"dados inseridos em IA; ","") &amp; IF(O947="Acima de 10.000 titulares por mês","volume crítico de titulares; ","") &amp; IF(O947="De 1.001 a 10.000 titulares por mês","volume moderado de titulares; ","") &amp; IF(AA947="SIM","compartilhamento com terceiros; ","") &amp; IF(R947="SIM","compartilhamento com órgãos governamentais; ","") &amp; IF(AJ947="NÃO","ausência de controle de acesso por perfil; ","")),"DPIA não indicado: Processo de baixa criticidade."))</f>
      </c>
    </row>
    <row x14ac:dyDescent="0.25" r="948" customHeight="1" ht="15.75">
      <c r="A948" s="46"/>
      <c r="B948" s="6"/>
      <c r="C948" s="11"/>
      <c r="D948" s="11"/>
      <c r="E948" s="11"/>
      <c r="F948" s="29"/>
      <c r="G948" s="11"/>
      <c r="H948" s="11"/>
      <c r="I948" s="29"/>
      <c r="J948" s="11"/>
      <c r="K948" s="29"/>
      <c r="L948" s="11"/>
      <c r="M948" s="11"/>
      <c r="N948" s="11"/>
      <c r="O948" s="29"/>
      <c r="P948" s="29"/>
      <c r="Q948" s="11"/>
      <c r="R948" s="29"/>
      <c r="S948" s="11"/>
      <c r="T948" s="6"/>
      <c r="U948" s="29"/>
      <c r="V948" s="11"/>
      <c r="W948" s="11"/>
      <c r="X948" s="29"/>
      <c r="Y948" s="11"/>
      <c r="Z948" s="29"/>
      <c r="AA948" s="29"/>
      <c r="AB948" s="11"/>
      <c r="AC948" s="11"/>
      <c r="AD948" s="29"/>
      <c r="AE948" s="11"/>
      <c r="AF948" s="29"/>
      <c r="AG948" s="11"/>
      <c r="AH948" s="29"/>
      <c r="AI948" s="11"/>
      <c r="AJ948" s="29"/>
      <c r="AK948" s="29"/>
      <c r="AL948" s="29"/>
      <c r="AM948" s="11"/>
      <c r="AN948" s="29"/>
      <c r="AO948" s="29"/>
      <c r="AP948" s="6"/>
      <c r="AQ948" s="113">
        <f>IF(AND(I948="",K948="",AF948="",AL948="",AN948="",O948=""),"",IF(OR(I948="SIM",K948="SIM",AF948="SIM",AL948="SIM",AN948="Dados pessoais",AN948="Dados sensíveis",AN948="Dados pessoais e sensíveis",O948="Acima de 10.000 titulares por mês"),"SIM - Alta criticidade",IF((IF(I948="SIM",2,0)+IF(K948="SIM",2,0)+IF(AF948="SIM",2,0)+IF(OR(AN948="Dados pessoais",AN948="Dados sensíveis",AN948="Dados pessoais e sensíveis"),2,0)+IF(O948="De 1.001 a 10.000 titulares por mês",1,0)+IF(AA948="SIM",1,0)+IF(R948="SIM",1,0)+IF(AL948="SIM",1,0)+IF(AJ948="NÃO",1,0))&gt;=5,"SIM - Alta criticidade",IF((IF(I948="SIM",2,0)+IF(K948="SIM",2,0)+IF(AF948="SIM",2,0)+IF(OR(AN948="Dados pessoais",AN948="Dados sensíveis",AN948="Dados pessoais e sensíveis"),2,0)+IF(O948="De 1.001 a 10.000 titulares por mês",1,0)+IF(AA948="SIM",1,0)+IF(R948="SIM",1,0)+IF(AL948="SIM",1,0)+IF(AJ948="NÃO",1,0))&gt;=3,"Avaliação necessária","NÃO"))))</f>
      </c>
      <c r="AR948" s="11"/>
      <c r="AS948" s="113">
        <f>IF(AND(I948="",K948="",AF948="",AL948="",AN948="",O948=""),"",IF(OR(I948="SIM",K948="SIM",AF948="SIM",AL948="SIM",OR(AN948="Dados pessoais",AN948="Dados sensíveis",AN948="Dados pessoais e sensíveis"),O948="Acima de 10.000 titulares por mês",(IF(I948="SIM",2,0)+IF(K948="SIM",2,0)+IF(AF948="SIM",2,0)+IF(OR(AN948="Dados pessoais",AN948="Dados sensíveis",AN948="Dados pessoais e sensíveis"),2,0)+IF(O948="De 1.001 a 10.000 titulares por mês",1,0)+IF(AA948="SIM",1,0)+IF(R948="SIM",1,0)+IF(AL948="SIM",1,0)+IF(AJ948="NÃO",1,0))&gt;=3),"DPIA indicado ou em avaliação em razão de: " &amp; TRIM(IF(I948="SIM","tratamento de dados sensíveis; ","") &amp; IF(K948="SIM","utilização de dados de menores; ","") &amp; IF(AF948="SIM","transferência internacional de dados; ","") &amp; IF(AL948="SIM","utilização de inteligência artificial; ","") &amp; IF(OR(AN948="Dados pessoais",AN948="Dados sensíveis",AN948="Dados pessoais e sensíveis"),"dados inseridos em IA; ","") &amp; IF(O948="Acima de 10.000 titulares por mês","volume crítico de titulares; ","") &amp; IF(O948="De 1.001 a 10.000 titulares por mês","volume moderado de titulares; ","") &amp; IF(AA948="SIM","compartilhamento com terceiros; ","") &amp; IF(R948="SIM","compartilhamento com órgãos governamentais; ","") &amp; IF(AJ948="NÃO","ausência de controle de acesso por perfil; ","")),"DPIA não indicado: Processo de baixa criticidade."))</f>
      </c>
    </row>
    <row x14ac:dyDescent="0.25" r="949" customHeight="1" ht="15.75">
      <c r="A949" s="46"/>
      <c r="B949" s="6"/>
      <c r="C949" s="11"/>
      <c r="D949" s="11"/>
      <c r="E949" s="11"/>
      <c r="F949" s="29"/>
      <c r="G949" s="11"/>
      <c r="H949" s="11"/>
      <c r="I949" s="29"/>
      <c r="J949" s="11"/>
      <c r="K949" s="29"/>
      <c r="L949" s="11"/>
      <c r="M949" s="11"/>
      <c r="N949" s="11"/>
      <c r="O949" s="29"/>
      <c r="P949" s="29"/>
      <c r="Q949" s="11"/>
      <c r="R949" s="29"/>
      <c r="S949" s="11"/>
      <c r="T949" s="6"/>
      <c r="U949" s="29"/>
      <c r="V949" s="11"/>
      <c r="W949" s="11"/>
      <c r="X949" s="29"/>
      <c r="Y949" s="11"/>
      <c r="Z949" s="29"/>
      <c r="AA949" s="29"/>
      <c r="AB949" s="11"/>
      <c r="AC949" s="11"/>
      <c r="AD949" s="29"/>
      <c r="AE949" s="11"/>
      <c r="AF949" s="29"/>
      <c r="AG949" s="11"/>
      <c r="AH949" s="29"/>
      <c r="AI949" s="11"/>
      <c r="AJ949" s="29"/>
      <c r="AK949" s="29"/>
      <c r="AL949" s="29"/>
      <c r="AM949" s="11"/>
      <c r="AN949" s="29"/>
      <c r="AO949" s="29"/>
      <c r="AP949" s="6"/>
      <c r="AQ949" s="113">
        <f>IF(AND(I949="",K949="",AF949="",AL949="",AN949="",O949=""),"",IF(OR(I949="SIM",K949="SIM",AF949="SIM",AL949="SIM",AN949="Dados pessoais",AN949="Dados sensíveis",AN949="Dados pessoais e sensíveis",O949="Acima de 10.000 titulares por mês"),"SIM - Alta criticidade",IF((IF(I949="SIM",2,0)+IF(K949="SIM",2,0)+IF(AF949="SIM",2,0)+IF(OR(AN949="Dados pessoais",AN949="Dados sensíveis",AN949="Dados pessoais e sensíveis"),2,0)+IF(O949="De 1.001 a 10.000 titulares por mês",1,0)+IF(AA949="SIM",1,0)+IF(R949="SIM",1,0)+IF(AL949="SIM",1,0)+IF(AJ949="NÃO",1,0))&gt;=5,"SIM - Alta criticidade",IF((IF(I949="SIM",2,0)+IF(K949="SIM",2,0)+IF(AF949="SIM",2,0)+IF(OR(AN949="Dados pessoais",AN949="Dados sensíveis",AN949="Dados pessoais e sensíveis"),2,0)+IF(O949="De 1.001 a 10.000 titulares por mês",1,0)+IF(AA949="SIM",1,0)+IF(R949="SIM",1,0)+IF(AL949="SIM",1,0)+IF(AJ949="NÃO",1,0))&gt;=3,"Avaliação necessária","NÃO"))))</f>
      </c>
      <c r="AR949" s="11"/>
      <c r="AS949" s="113">
        <f>IF(AND(I949="",K949="",AF949="",AL949="",AN949="",O949=""),"",IF(OR(I949="SIM",K949="SIM",AF949="SIM",AL949="SIM",OR(AN949="Dados pessoais",AN949="Dados sensíveis",AN949="Dados pessoais e sensíveis"),O949="Acima de 10.000 titulares por mês",(IF(I949="SIM",2,0)+IF(K949="SIM",2,0)+IF(AF949="SIM",2,0)+IF(OR(AN949="Dados pessoais",AN949="Dados sensíveis",AN949="Dados pessoais e sensíveis"),2,0)+IF(O949="De 1.001 a 10.000 titulares por mês",1,0)+IF(AA949="SIM",1,0)+IF(R949="SIM",1,0)+IF(AL949="SIM",1,0)+IF(AJ949="NÃO",1,0))&gt;=3),"DPIA indicado ou em avaliação em razão de: " &amp; TRIM(IF(I949="SIM","tratamento de dados sensíveis; ","") &amp; IF(K949="SIM","utilização de dados de menores; ","") &amp; IF(AF949="SIM","transferência internacional de dados; ","") &amp; IF(AL949="SIM","utilização de inteligência artificial; ","") &amp; IF(OR(AN949="Dados pessoais",AN949="Dados sensíveis",AN949="Dados pessoais e sensíveis"),"dados inseridos em IA; ","") &amp; IF(O949="Acima de 10.000 titulares por mês","volume crítico de titulares; ","") &amp; IF(O949="De 1.001 a 10.000 titulares por mês","volume moderado de titulares; ","") &amp; IF(AA949="SIM","compartilhamento com terceiros; ","") &amp; IF(R949="SIM","compartilhamento com órgãos governamentais; ","") &amp; IF(AJ949="NÃO","ausência de controle de acesso por perfil; ","")),"DPIA não indicado: Processo de baixa criticidade."))</f>
      </c>
    </row>
    <row x14ac:dyDescent="0.25" r="950" customHeight="1" ht="15.75">
      <c r="A950" s="46"/>
      <c r="B950" s="6"/>
      <c r="C950" s="11"/>
      <c r="D950" s="11"/>
      <c r="E950" s="11"/>
      <c r="F950" s="29"/>
      <c r="G950" s="11"/>
      <c r="H950" s="11"/>
      <c r="I950" s="29"/>
      <c r="J950" s="11"/>
      <c r="K950" s="29"/>
      <c r="L950" s="11"/>
      <c r="M950" s="11"/>
      <c r="N950" s="11"/>
      <c r="O950" s="29"/>
      <c r="P950" s="29"/>
      <c r="Q950" s="11"/>
      <c r="R950" s="29"/>
      <c r="S950" s="11"/>
      <c r="T950" s="6"/>
      <c r="U950" s="29"/>
      <c r="V950" s="11"/>
      <c r="W950" s="11"/>
      <c r="X950" s="29"/>
      <c r="Y950" s="11"/>
      <c r="Z950" s="29"/>
      <c r="AA950" s="29"/>
      <c r="AB950" s="11"/>
      <c r="AC950" s="11"/>
      <c r="AD950" s="29"/>
      <c r="AE950" s="11"/>
      <c r="AF950" s="29"/>
      <c r="AG950" s="11"/>
      <c r="AH950" s="29"/>
      <c r="AI950" s="11"/>
      <c r="AJ950" s="29"/>
      <c r="AK950" s="29"/>
      <c r="AL950" s="29"/>
      <c r="AM950" s="11"/>
      <c r="AN950" s="29"/>
      <c r="AO950" s="29"/>
      <c r="AP950" s="6"/>
      <c r="AQ950" s="113">
        <f>IF(AND(I950="",K950="",AF950="",AL950="",AN950="",O950=""),"",IF(OR(I950="SIM",K950="SIM",AF950="SIM",AL950="SIM",AN950="Dados pessoais",AN950="Dados sensíveis",AN950="Dados pessoais e sensíveis",O950="Acima de 10.000 titulares por mês"),"SIM - Alta criticidade",IF((IF(I950="SIM",2,0)+IF(K950="SIM",2,0)+IF(AF950="SIM",2,0)+IF(OR(AN950="Dados pessoais",AN950="Dados sensíveis",AN950="Dados pessoais e sensíveis"),2,0)+IF(O950="De 1.001 a 10.000 titulares por mês",1,0)+IF(AA950="SIM",1,0)+IF(R950="SIM",1,0)+IF(AL950="SIM",1,0)+IF(AJ950="NÃO",1,0))&gt;=5,"SIM - Alta criticidade",IF((IF(I950="SIM",2,0)+IF(K950="SIM",2,0)+IF(AF950="SIM",2,0)+IF(OR(AN950="Dados pessoais",AN950="Dados sensíveis",AN950="Dados pessoais e sensíveis"),2,0)+IF(O950="De 1.001 a 10.000 titulares por mês",1,0)+IF(AA950="SIM",1,0)+IF(R950="SIM",1,0)+IF(AL950="SIM",1,0)+IF(AJ950="NÃO",1,0))&gt;=3,"Avaliação necessária","NÃO"))))</f>
      </c>
      <c r="AR950" s="11"/>
      <c r="AS950" s="113">
        <f>IF(AND(I950="",K950="",AF950="",AL950="",AN950="",O950=""),"",IF(OR(I950="SIM",K950="SIM",AF950="SIM",AL950="SIM",OR(AN950="Dados pessoais",AN950="Dados sensíveis",AN950="Dados pessoais e sensíveis"),O950="Acima de 10.000 titulares por mês",(IF(I950="SIM",2,0)+IF(K950="SIM",2,0)+IF(AF950="SIM",2,0)+IF(OR(AN950="Dados pessoais",AN950="Dados sensíveis",AN950="Dados pessoais e sensíveis"),2,0)+IF(O950="De 1.001 a 10.000 titulares por mês",1,0)+IF(AA950="SIM",1,0)+IF(R950="SIM",1,0)+IF(AL950="SIM",1,0)+IF(AJ950="NÃO",1,0))&gt;=3),"DPIA indicado ou em avaliação em razão de: " &amp; TRIM(IF(I950="SIM","tratamento de dados sensíveis; ","") &amp; IF(K950="SIM","utilização de dados de menores; ","") &amp; IF(AF950="SIM","transferência internacional de dados; ","") &amp; IF(AL950="SIM","utilização de inteligência artificial; ","") &amp; IF(OR(AN950="Dados pessoais",AN950="Dados sensíveis",AN950="Dados pessoais e sensíveis"),"dados inseridos em IA; ","") &amp; IF(O950="Acima de 10.000 titulares por mês","volume crítico de titulares; ","") &amp; IF(O950="De 1.001 a 10.000 titulares por mês","volume moderado de titulares; ","") &amp; IF(AA950="SIM","compartilhamento com terceiros; ","") &amp; IF(R950="SIM","compartilhamento com órgãos governamentais; ","") &amp; IF(AJ950="NÃO","ausência de controle de acesso por perfil; ","")),"DPIA não indicado: Processo de baixa criticidade."))</f>
      </c>
    </row>
    <row x14ac:dyDescent="0.25" r="951" customHeight="1" ht="15.75">
      <c r="A951" s="46"/>
      <c r="B951" s="6"/>
      <c r="C951" s="11"/>
      <c r="D951" s="11"/>
      <c r="E951" s="11"/>
      <c r="F951" s="29"/>
      <c r="G951" s="11"/>
      <c r="H951" s="11"/>
      <c r="I951" s="29"/>
      <c r="J951" s="11"/>
      <c r="K951" s="29"/>
      <c r="L951" s="11"/>
      <c r="M951" s="11"/>
      <c r="N951" s="11"/>
      <c r="O951" s="29"/>
      <c r="P951" s="29"/>
      <c r="Q951" s="11"/>
      <c r="R951" s="29"/>
      <c r="S951" s="11"/>
      <c r="T951" s="6"/>
      <c r="U951" s="29"/>
      <c r="V951" s="11"/>
      <c r="W951" s="11"/>
      <c r="X951" s="29"/>
      <c r="Y951" s="11"/>
      <c r="Z951" s="29"/>
      <c r="AA951" s="29"/>
      <c r="AB951" s="11"/>
      <c r="AC951" s="11"/>
      <c r="AD951" s="29"/>
      <c r="AE951" s="11"/>
      <c r="AF951" s="29"/>
      <c r="AG951" s="11"/>
      <c r="AH951" s="29"/>
      <c r="AI951" s="11"/>
      <c r="AJ951" s="29"/>
      <c r="AK951" s="29"/>
      <c r="AL951" s="29"/>
      <c r="AM951" s="11"/>
      <c r="AN951" s="29"/>
      <c r="AO951" s="29"/>
      <c r="AP951" s="6"/>
      <c r="AQ951" s="113">
        <f>IF(AND(I951="",K951="",AF951="",AL951="",AN951="",O951=""),"",IF(OR(I951="SIM",K951="SIM",AF951="SIM",AL951="SIM",AN951="Dados pessoais",AN951="Dados sensíveis",AN951="Dados pessoais e sensíveis",O951="Acima de 10.000 titulares por mês"),"SIM - Alta criticidade",IF((IF(I951="SIM",2,0)+IF(K951="SIM",2,0)+IF(AF951="SIM",2,0)+IF(OR(AN951="Dados pessoais",AN951="Dados sensíveis",AN951="Dados pessoais e sensíveis"),2,0)+IF(O951="De 1.001 a 10.000 titulares por mês",1,0)+IF(AA951="SIM",1,0)+IF(R951="SIM",1,0)+IF(AL951="SIM",1,0)+IF(AJ951="NÃO",1,0))&gt;=5,"SIM - Alta criticidade",IF((IF(I951="SIM",2,0)+IF(K951="SIM",2,0)+IF(AF951="SIM",2,0)+IF(OR(AN951="Dados pessoais",AN951="Dados sensíveis",AN951="Dados pessoais e sensíveis"),2,0)+IF(O951="De 1.001 a 10.000 titulares por mês",1,0)+IF(AA951="SIM",1,0)+IF(R951="SIM",1,0)+IF(AL951="SIM",1,0)+IF(AJ951="NÃO",1,0))&gt;=3,"Avaliação necessária","NÃO"))))</f>
      </c>
      <c r="AR951" s="11"/>
      <c r="AS951" s="113">
        <f>IF(AND(I951="",K951="",AF951="",AL951="",AN951="",O951=""),"",IF(OR(I951="SIM",K951="SIM",AF951="SIM",AL951="SIM",OR(AN951="Dados pessoais",AN951="Dados sensíveis",AN951="Dados pessoais e sensíveis"),O951="Acima de 10.000 titulares por mês",(IF(I951="SIM",2,0)+IF(K951="SIM",2,0)+IF(AF951="SIM",2,0)+IF(OR(AN951="Dados pessoais",AN951="Dados sensíveis",AN951="Dados pessoais e sensíveis"),2,0)+IF(O951="De 1.001 a 10.000 titulares por mês",1,0)+IF(AA951="SIM",1,0)+IF(R951="SIM",1,0)+IF(AL951="SIM",1,0)+IF(AJ951="NÃO",1,0))&gt;=3),"DPIA indicado ou em avaliação em razão de: " &amp; TRIM(IF(I951="SIM","tratamento de dados sensíveis; ","") &amp; IF(K951="SIM","utilização de dados de menores; ","") &amp; IF(AF951="SIM","transferência internacional de dados; ","") &amp; IF(AL951="SIM","utilização de inteligência artificial; ","") &amp; IF(OR(AN951="Dados pessoais",AN951="Dados sensíveis",AN951="Dados pessoais e sensíveis"),"dados inseridos em IA; ","") &amp; IF(O951="Acima de 10.000 titulares por mês","volume crítico de titulares; ","") &amp; IF(O951="De 1.001 a 10.000 titulares por mês","volume moderado de titulares; ","") &amp; IF(AA951="SIM","compartilhamento com terceiros; ","") &amp; IF(R951="SIM","compartilhamento com órgãos governamentais; ","") &amp; IF(AJ951="NÃO","ausência de controle de acesso por perfil; ","")),"DPIA não indicado: Processo de baixa criticidade."))</f>
      </c>
    </row>
    <row x14ac:dyDescent="0.25" r="952" customHeight="1" ht="15.75">
      <c r="A952" s="46"/>
      <c r="B952" s="6"/>
      <c r="C952" s="11"/>
      <c r="D952" s="11"/>
      <c r="E952" s="11"/>
      <c r="F952" s="29"/>
      <c r="G952" s="11"/>
      <c r="H952" s="11"/>
      <c r="I952" s="29"/>
      <c r="J952" s="11"/>
      <c r="K952" s="29"/>
      <c r="L952" s="11"/>
      <c r="M952" s="11"/>
      <c r="N952" s="11"/>
      <c r="O952" s="29"/>
      <c r="P952" s="29"/>
      <c r="Q952" s="11"/>
      <c r="R952" s="29"/>
      <c r="S952" s="11"/>
      <c r="T952" s="6"/>
      <c r="U952" s="29"/>
      <c r="V952" s="11"/>
      <c r="W952" s="11"/>
      <c r="X952" s="29"/>
      <c r="Y952" s="11"/>
      <c r="Z952" s="29"/>
      <c r="AA952" s="29"/>
      <c r="AB952" s="11"/>
      <c r="AC952" s="11"/>
      <c r="AD952" s="29"/>
      <c r="AE952" s="11"/>
      <c r="AF952" s="29"/>
      <c r="AG952" s="11"/>
      <c r="AH952" s="29"/>
      <c r="AI952" s="11"/>
      <c r="AJ952" s="29"/>
      <c r="AK952" s="29"/>
      <c r="AL952" s="29"/>
      <c r="AM952" s="11"/>
      <c r="AN952" s="29"/>
      <c r="AO952" s="29"/>
      <c r="AP952" s="6"/>
      <c r="AQ952" s="113">
        <f>IF(AND(I952="",K952="",AF952="",AL952="",AN952="",O952=""),"",IF(OR(I952="SIM",K952="SIM",AF952="SIM",AL952="SIM",AN952="Dados pessoais",AN952="Dados sensíveis",AN952="Dados pessoais e sensíveis",O952="Acima de 10.000 titulares por mês"),"SIM - Alta criticidade",IF((IF(I952="SIM",2,0)+IF(K952="SIM",2,0)+IF(AF952="SIM",2,0)+IF(OR(AN952="Dados pessoais",AN952="Dados sensíveis",AN952="Dados pessoais e sensíveis"),2,0)+IF(O952="De 1.001 a 10.000 titulares por mês",1,0)+IF(AA952="SIM",1,0)+IF(R952="SIM",1,0)+IF(AL952="SIM",1,0)+IF(AJ952="NÃO",1,0))&gt;=5,"SIM - Alta criticidade",IF((IF(I952="SIM",2,0)+IF(K952="SIM",2,0)+IF(AF952="SIM",2,0)+IF(OR(AN952="Dados pessoais",AN952="Dados sensíveis",AN952="Dados pessoais e sensíveis"),2,0)+IF(O952="De 1.001 a 10.000 titulares por mês",1,0)+IF(AA952="SIM",1,0)+IF(R952="SIM",1,0)+IF(AL952="SIM",1,0)+IF(AJ952="NÃO",1,0))&gt;=3,"Avaliação necessária","NÃO"))))</f>
      </c>
      <c r="AR952" s="11"/>
      <c r="AS952" s="113">
        <f>IF(AND(I952="",K952="",AF952="",AL952="",AN952="",O952=""),"",IF(OR(I952="SIM",K952="SIM",AF952="SIM",AL952="SIM",OR(AN952="Dados pessoais",AN952="Dados sensíveis",AN952="Dados pessoais e sensíveis"),O952="Acima de 10.000 titulares por mês",(IF(I952="SIM",2,0)+IF(K952="SIM",2,0)+IF(AF952="SIM",2,0)+IF(OR(AN952="Dados pessoais",AN952="Dados sensíveis",AN952="Dados pessoais e sensíveis"),2,0)+IF(O952="De 1.001 a 10.000 titulares por mês",1,0)+IF(AA952="SIM",1,0)+IF(R952="SIM",1,0)+IF(AL952="SIM",1,0)+IF(AJ952="NÃO",1,0))&gt;=3),"DPIA indicado ou em avaliação em razão de: " &amp; TRIM(IF(I952="SIM","tratamento de dados sensíveis; ","") &amp; IF(K952="SIM","utilização de dados de menores; ","") &amp; IF(AF952="SIM","transferência internacional de dados; ","") &amp; IF(AL952="SIM","utilização de inteligência artificial; ","") &amp; IF(OR(AN952="Dados pessoais",AN952="Dados sensíveis",AN952="Dados pessoais e sensíveis"),"dados inseridos em IA; ","") &amp; IF(O952="Acima de 10.000 titulares por mês","volume crítico de titulares; ","") &amp; IF(O952="De 1.001 a 10.000 titulares por mês","volume moderado de titulares; ","") &amp; IF(AA952="SIM","compartilhamento com terceiros; ","") &amp; IF(R952="SIM","compartilhamento com órgãos governamentais; ","") &amp; IF(AJ952="NÃO","ausência de controle de acesso por perfil; ","")),"DPIA não indicado: Processo de baixa criticidade."))</f>
      </c>
    </row>
    <row x14ac:dyDescent="0.25" r="953" customHeight="1" ht="15.75">
      <c r="A953" s="46"/>
      <c r="B953" s="6"/>
      <c r="C953" s="11"/>
      <c r="D953" s="11"/>
      <c r="E953" s="11"/>
      <c r="F953" s="29"/>
      <c r="G953" s="11"/>
      <c r="H953" s="11"/>
      <c r="I953" s="29"/>
      <c r="J953" s="11"/>
      <c r="K953" s="29"/>
      <c r="L953" s="11"/>
      <c r="M953" s="11"/>
      <c r="N953" s="11"/>
      <c r="O953" s="29"/>
      <c r="P953" s="29"/>
      <c r="Q953" s="11"/>
      <c r="R953" s="29"/>
      <c r="S953" s="11"/>
      <c r="T953" s="6"/>
      <c r="U953" s="29"/>
      <c r="V953" s="11"/>
      <c r="W953" s="11"/>
      <c r="X953" s="29"/>
      <c r="Y953" s="11"/>
      <c r="Z953" s="29"/>
      <c r="AA953" s="29"/>
      <c r="AB953" s="11"/>
      <c r="AC953" s="11"/>
      <c r="AD953" s="29"/>
      <c r="AE953" s="11"/>
      <c r="AF953" s="29"/>
      <c r="AG953" s="11"/>
      <c r="AH953" s="29"/>
      <c r="AI953" s="11"/>
      <c r="AJ953" s="29"/>
      <c r="AK953" s="29"/>
      <c r="AL953" s="29"/>
      <c r="AM953" s="11"/>
      <c r="AN953" s="29"/>
      <c r="AO953" s="29"/>
      <c r="AP953" s="6"/>
      <c r="AQ953" s="113">
        <f>IF(AND(I953="",K953="",AF953="",AL953="",AN953="",O953=""),"",IF(OR(I953="SIM",K953="SIM",AF953="SIM",AL953="SIM",AN953="Dados pessoais",AN953="Dados sensíveis",AN953="Dados pessoais e sensíveis",O953="Acima de 10.000 titulares por mês"),"SIM - Alta criticidade",IF((IF(I953="SIM",2,0)+IF(K953="SIM",2,0)+IF(AF953="SIM",2,0)+IF(OR(AN953="Dados pessoais",AN953="Dados sensíveis",AN953="Dados pessoais e sensíveis"),2,0)+IF(O953="De 1.001 a 10.000 titulares por mês",1,0)+IF(AA953="SIM",1,0)+IF(R953="SIM",1,0)+IF(AL953="SIM",1,0)+IF(AJ953="NÃO",1,0))&gt;=5,"SIM - Alta criticidade",IF((IF(I953="SIM",2,0)+IF(K953="SIM",2,0)+IF(AF953="SIM",2,0)+IF(OR(AN953="Dados pessoais",AN953="Dados sensíveis",AN953="Dados pessoais e sensíveis"),2,0)+IF(O953="De 1.001 a 10.000 titulares por mês",1,0)+IF(AA953="SIM",1,0)+IF(R953="SIM",1,0)+IF(AL953="SIM",1,0)+IF(AJ953="NÃO",1,0))&gt;=3,"Avaliação necessária","NÃO"))))</f>
      </c>
      <c r="AR953" s="11"/>
      <c r="AS953" s="113">
        <f>IF(AND(I953="",K953="",AF953="",AL953="",AN953="",O953=""),"",IF(OR(I953="SIM",K953="SIM",AF953="SIM",AL953="SIM",OR(AN953="Dados pessoais",AN953="Dados sensíveis",AN953="Dados pessoais e sensíveis"),O953="Acima de 10.000 titulares por mês",(IF(I953="SIM",2,0)+IF(K953="SIM",2,0)+IF(AF953="SIM",2,0)+IF(OR(AN953="Dados pessoais",AN953="Dados sensíveis",AN953="Dados pessoais e sensíveis"),2,0)+IF(O953="De 1.001 a 10.000 titulares por mês",1,0)+IF(AA953="SIM",1,0)+IF(R953="SIM",1,0)+IF(AL953="SIM",1,0)+IF(AJ953="NÃO",1,0))&gt;=3),"DPIA indicado ou em avaliação em razão de: " &amp; TRIM(IF(I953="SIM","tratamento de dados sensíveis; ","") &amp; IF(K953="SIM","utilização de dados de menores; ","") &amp; IF(AF953="SIM","transferência internacional de dados; ","") &amp; IF(AL953="SIM","utilização de inteligência artificial; ","") &amp; IF(OR(AN953="Dados pessoais",AN953="Dados sensíveis",AN953="Dados pessoais e sensíveis"),"dados inseridos em IA; ","") &amp; IF(O953="Acima de 10.000 titulares por mês","volume crítico de titulares; ","") &amp; IF(O953="De 1.001 a 10.000 titulares por mês","volume moderado de titulares; ","") &amp; IF(AA953="SIM","compartilhamento com terceiros; ","") &amp; IF(R953="SIM","compartilhamento com órgãos governamentais; ","") &amp; IF(AJ953="NÃO","ausência de controle de acesso por perfil; ","")),"DPIA não indicado: Processo de baixa criticidade."))</f>
      </c>
    </row>
    <row x14ac:dyDescent="0.25" r="954" customHeight="1" ht="15.75">
      <c r="A954" s="46"/>
      <c r="B954" s="6"/>
      <c r="C954" s="11"/>
      <c r="D954" s="11"/>
      <c r="E954" s="11"/>
      <c r="F954" s="29"/>
      <c r="G954" s="11"/>
      <c r="H954" s="11"/>
      <c r="I954" s="29"/>
      <c r="J954" s="11"/>
      <c r="K954" s="29"/>
      <c r="L954" s="11"/>
      <c r="M954" s="11"/>
      <c r="N954" s="11"/>
      <c r="O954" s="29"/>
      <c r="P954" s="29"/>
      <c r="Q954" s="11"/>
      <c r="R954" s="29"/>
      <c r="S954" s="11"/>
      <c r="T954" s="6"/>
      <c r="U954" s="29"/>
      <c r="V954" s="11"/>
      <c r="W954" s="11"/>
      <c r="X954" s="29"/>
      <c r="Y954" s="11"/>
      <c r="Z954" s="29"/>
      <c r="AA954" s="29"/>
      <c r="AB954" s="11"/>
      <c r="AC954" s="11"/>
      <c r="AD954" s="29"/>
      <c r="AE954" s="11"/>
      <c r="AF954" s="29"/>
      <c r="AG954" s="11"/>
      <c r="AH954" s="29"/>
      <c r="AI954" s="11"/>
      <c r="AJ954" s="29"/>
      <c r="AK954" s="29"/>
      <c r="AL954" s="29"/>
      <c r="AM954" s="11"/>
      <c r="AN954" s="29"/>
      <c r="AO954" s="29"/>
      <c r="AP954" s="6"/>
      <c r="AQ954" s="113">
        <f>IF(AND(I954="",K954="",AF954="",AL954="",AN954="",O954=""),"",IF(OR(I954="SIM",K954="SIM",AF954="SIM",AL954="SIM",AN954="Dados pessoais",AN954="Dados sensíveis",AN954="Dados pessoais e sensíveis",O954="Acima de 10.000 titulares por mês"),"SIM - Alta criticidade",IF((IF(I954="SIM",2,0)+IF(K954="SIM",2,0)+IF(AF954="SIM",2,0)+IF(OR(AN954="Dados pessoais",AN954="Dados sensíveis",AN954="Dados pessoais e sensíveis"),2,0)+IF(O954="De 1.001 a 10.000 titulares por mês",1,0)+IF(AA954="SIM",1,0)+IF(R954="SIM",1,0)+IF(AL954="SIM",1,0)+IF(AJ954="NÃO",1,0))&gt;=5,"SIM - Alta criticidade",IF((IF(I954="SIM",2,0)+IF(K954="SIM",2,0)+IF(AF954="SIM",2,0)+IF(OR(AN954="Dados pessoais",AN954="Dados sensíveis",AN954="Dados pessoais e sensíveis"),2,0)+IF(O954="De 1.001 a 10.000 titulares por mês",1,0)+IF(AA954="SIM",1,0)+IF(R954="SIM",1,0)+IF(AL954="SIM",1,0)+IF(AJ954="NÃO",1,0))&gt;=3,"Avaliação necessária","NÃO"))))</f>
      </c>
      <c r="AR954" s="11"/>
      <c r="AS954" s="113">
        <f>IF(AND(I954="",K954="",AF954="",AL954="",AN954="",O954=""),"",IF(OR(I954="SIM",K954="SIM",AF954="SIM",AL954="SIM",OR(AN954="Dados pessoais",AN954="Dados sensíveis",AN954="Dados pessoais e sensíveis"),O954="Acima de 10.000 titulares por mês",(IF(I954="SIM",2,0)+IF(K954="SIM",2,0)+IF(AF954="SIM",2,0)+IF(OR(AN954="Dados pessoais",AN954="Dados sensíveis",AN954="Dados pessoais e sensíveis"),2,0)+IF(O954="De 1.001 a 10.000 titulares por mês",1,0)+IF(AA954="SIM",1,0)+IF(R954="SIM",1,0)+IF(AL954="SIM",1,0)+IF(AJ954="NÃO",1,0))&gt;=3),"DPIA indicado ou em avaliação em razão de: " &amp; TRIM(IF(I954="SIM","tratamento de dados sensíveis; ","") &amp; IF(K954="SIM","utilização de dados de menores; ","") &amp; IF(AF954="SIM","transferência internacional de dados; ","") &amp; IF(AL954="SIM","utilização de inteligência artificial; ","") &amp; IF(OR(AN954="Dados pessoais",AN954="Dados sensíveis",AN954="Dados pessoais e sensíveis"),"dados inseridos em IA; ","") &amp; IF(O954="Acima de 10.000 titulares por mês","volume crítico de titulares; ","") &amp; IF(O954="De 1.001 a 10.000 titulares por mês","volume moderado de titulares; ","") &amp; IF(AA954="SIM","compartilhamento com terceiros; ","") &amp; IF(R954="SIM","compartilhamento com órgãos governamentais; ","") &amp; IF(AJ954="NÃO","ausência de controle de acesso por perfil; ","")),"DPIA não indicado: Processo de baixa criticidade."))</f>
      </c>
    </row>
    <row x14ac:dyDescent="0.25" r="955" customHeight="1" ht="15.75">
      <c r="A955" s="46"/>
      <c r="B955" s="6"/>
      <c r="C955" s="11"/>
      <c r="D955" s="11"/>
      <c r="E955" s="11"/>
      <c r="F955" s="29"/>
      <c r="G955" s="11"/>
      <c r="H955" s="11"/>
      <c r="I955" s="29"/>
      <c r="J955" s="11"/>
      <c r="K955" s="29"/>
      <c r="L955" s="11"/>
      <c r="M955" s="11"/>
      <c r="N955" s="11"/>
      <c r="O955" s="29"/>
      <c r="P955" s="29"/>
      <c r="Q955" s="11"/>
      <c r="R955" s="29"/>
      <c r="S955" s="11"/>
      <c r="T955" s="6"/>
      <c r="U955" s="29"/>
      <c r="V955" s="11"/>
      <c r="W955" s="11"/>
      <c r="X955" s="29"/>
      <c r="Y955" s="11"/>
      <c r="Z955" s="29"/>
      <c r="AA955" s="29"/>
      <c r="AB955" s="11"/>
      <c r="AC955" s="11"/>
      <c r="AD955" s="29"/>
      <c r="AE955" s="11"/>
      <c r="AF955" s="29"/>
      <c r="AG955" s="11"/>
      <c r="AH955" s="29"/>
      <c r="AI955" s="11"/>
      <c r="AJ955" s="29"/>
      <c r="AK955" s="29"/>
      <c r="AL955" s="29"/>
      <c r="AM955" s="11"/>
      <c r="AN955" s="29"/>
      <c r="AO955" s="29"/>
      <c r="AP955" s="6"/>
      <c r="AQ955" s="113">
        <f>IF(AND(I955="",K955="",AF955="",AL955="",AN955="",O955=""),"",IF(OR(I955="SIM",K955="SIM",AF955="SIM",AL955="SIM",AN955="Dados pessoais",AN955="Dados sensíveis",AN955="Dados pessoais e sensíveis",O955="Acima de 10.000 titulares por mês"),"SIM - Alta criticidade",IF((IF(I955="SIM",2,0)+IF(K955="SIM",2,0)+IF(AF955="SIM",2,0)+IF(OR(AN955="Dados pessoais",AN955="Dados sensíveis",AN955="Dados pessoais e sensíveis"),2,0)+IF(O955="De 1.001 a 10.000 titulares por mês",1,0)+IF(AA955="SIM",1,0)+IF(R955="SIM",1,0)+IF(AL955="SIM",1,0)+IF(AJ955="NÃO",1,0))&gt;=5,"SIM - Alta criticidade",IF((IF(I955="SIM",2,0)+IF(K955="SIM",2,0)+IF(AF955="SIM",2,0)+IF(OR(AN955="Dados pessoais",AN955="Dados sensíveis",AN955="Dados pessoais e sensíveis"),2,0)+IF(O955="De 1.001 a 10.000 titulares por mês",1,0)+IF(AA955="SIM",1,0)+IF(R955="SIM",1,0)+IF(AL955="SIM",1,0)+IF(AJ955="NÃO",1,0))&gt;=3,"Avaliação necessária","NÃO"))))</f>
      </c>
      <c r="AR955" s="11"/>
      <c r="AS955" s="113">
        <f>IF(AND(I955="",K955="",AF955="",AL955="",AN955="",O955=""),"",IF(OR(I955="SIM",K955="SIM",AF955="SIM",AL955="SIM",OR(AN955="Dados pessoais",AN955="Dados sensíveis",AN955="Dados pessoais e sensíveis"),O955="Acima de 10.000 titulares por mês",(IF(I955="SIM",2,0)+IF(K955="SIM",2,0)+IF(AF955="SIM",2,0)+IF(OR(AN955="Dados pessoais",AN955="Dados sensíveis",AN955="Dados pessoais e sensíveis"),2,0)+IF(O955="De 1.001 a 10.000 titulares por mês",1,0)+IF(AA955="SIM",1,0)+IF(R955="SIM",1,0)+IF(AL955="SIM",1,0)+IF(AJ955="NÃO",1,0))&gt;=3),"DPIA indicado ou em avaliação em razão de: " &amp; TRIM(IF(I955="SIM","tratamento de dados sensíveis; ","") &amp; IF(K955="SIM","utilização de dados de menores; ","") &amp; IF(AF955="SIM","transferência internacional de dados; ","") &amp; IF(AL955="SIM","utilização de inteligência artificial; ","") &amp; IF(OR(AN955="Dados pessoais",AN955="Dados sensíveis",AN955="Dados pessoais e sensíveis"),"dados inseridos em IA; ","") &amp; IF(O955="Acima de 10.000 titulares por mês","volume crítico de titulares; ","") &amp; IF(O955="De 1.001 a 10.000 titulares por mês","volume moderado de titulares; ","") &amp; IF(AA955="SIM","compartilhamento com terceiros; ","") &amp; IF(R955="SIM","compartilhamento com órgãos governamentais; ","") &amp; IF(AJ955="NÃO","ausência de controle de acesso por perfil; ","")),"DPIA não indicado: Processo de baixa criticidade."))</f>
      </c>
    </row>
    <row x14ac:dyDescent="0.25" r="956" customHeight="1" ht="15.75">
      <c r="A956" s="46"/>
      <c r="B956" s="6"/>
      <c r="C956" s="11"/>
      <c r="D956" s="11"/>
      <c r="E956" s="11"/>
      <c r="F956" s="29"/>
      <c r="G956" s="11"/>
      <c r="H956" s="11"/>
      <c r="I956" s="29"/>
      <c r="J956" s="11"/>
      <c r="K956" s="29"/>
      <c r="L956" s="11"/>
      <c r="M956" s="11"/>
      <c r="N956" s="11"/>
      <c r="O956" s="29"/>
      <c r="P956" s="29"/>
      <c r="Q956" s="11"/>
      <c r="R956" s="29"/>
      <c r="S956" s="11"/>
      <c r="T956" s="6"/>
      <c r="U956" s="29"/>
      <c r="V956" s="11"/>
      <c r="W956" s="11"/>
      <c r="X956" s="29"/>
      <c r="Y956" s="11"/>
      <c r="Z956" s="29"/>
      <c r="AA956" s="29"/>
      <c r="AB956" s="11"/>
      <c r="AC956" s="11"/>
      <c r="AD956" s="29"/>
      <c r="AE956" s="11"/>
      <c r="AF956" s="29"/>
      <c r="AG956" s="11"/>
      <c r="AH956" s="29"/>
      <c r="AI956" s="11"/>
      <c r="AJ956" s="29"/>
      <c r="AK956" s="29"/>
      <c r="AL956" s="29"/>
      <c r="AM956" s="11"/>
      <c r="AN956" s="29"/>
      <c r="AO956" s="29"/>
      <c r="AP956" s="6"/>
      <c r="AQ956" s="113">
        <f>IF(AND(I956="",K956="",AF956="",AL956="",AN956="",O956=""),"",IF(OR(I956="SIM",K956="SIM",AF956="SIM",AL956="SIM",AN956="Dados pessoais",AN956="Dados sensíveis",AN956="Dados pessoais e sensíveis",O956="Acima de 10.000 titulares por mês"),"SIM - Alta criticidade",IF((IF(I956="SIM",2,0)+IF(K956="SIM",2,0)+IF(AF956="SIM",2,0)+IF(OR(AN956="Dados pessoais",AN956="Dados sensíveis",AN956="Dados pessoais e sensíveis"),2,0)+IF(O956="De 1.001 a 10.000 titulares por mês",1,0)+IF(AA956="SIM",1,0)+IF(R956="SIM",1,0)+IF(AL956="SIM",1,0)+IF(AJ956="NÃO",1,0))&gt;=5,"SIM - Alta criticidade",IF((IF(I956="SIM",2,0)+IF(K956="SIM",2,0)+IF(AF956="SIM",2,0)+IF(OR(AN956="Dados pessoais",AN956="Dados sensíveis",AN956="Dados pessoais e sensíveis"),2,0)+IF(O956="De 1.001 a 10.000 titulares por mês",1,0)+IF(AA956="SIM",1,0)+IF(R956="SIM",1,0)+IF(AL956="SIM",1,0)+IF(AJ956="NÃO",1,0))&gt;=3,"Avaliação necessária","NÃO"))))</f>
      </c>
      <c r="AR956" s="11"/>
      <c r="AS956" s="113">
        <f>IF(AND(I956="",K956="",AF956="",AL956="",AN956="",O956=""),"",IF(OR(I956="SIM",K956="SIM",AF956="SIM",AL956="SIM",OR(AN956="Dados pessoais",AN956="Dados sensíveis",AN956="Dados pessoais e sensíveis"),O956="Acima de 10.000 titulares por mês",(IF(I956="SIM",2,0)+IF(K956="SIM",2,0)+IF(AF956="SIM",2,0)+IF(OR(AN956="Dados pessoais",AN956="Dados sensíveis",AN956="Dados pessoais e sensíveis"),2,0)+IF(O956="De 1.001 a 10.000 titulares por mês",1,0)+IF(AA956="SIM",1,0)+IF(R956="SIM",1,0)+IF(AL956="SIM",1,0)+IF(AJ956="NÃO",1,0))&gt;=3),"DPIA indicado ou em avaliação em razão de: " &amp; TRIM(IF(I956="SIM","tratamento de dados sensíveis; ","") &amp; IF(K956="SIM","utilização de dados de menores; ","") &amp; IF(AF956="SIM","transferência internacional de dados; ","") &amp; IF(AL956="SIM","utilização de inteligência artificial; ","") &amp; IF(OR(AN956="Dados pessoais",AN956="Dados sensíveis",AN956="Dados pessoais e sensíveis"),"dados inseridos em IA; ","") &amp; IF(O956="Acima de 10.000 titulares por mês","volume crítico de titulares; ","") &amp; IF(O956="De 1.001 a 10.000 titulares por mês","volume moderado de titulares; ","") &amp; IF(AA956="SIM","compartilhamento com terceiros; ","") &amp; IF(R956="SIM","compartilhamento com órgãos governamentais; ","") &amp; IF(AJ956="NÃO","ausência de controle de acesso por perfil; ","")),"DPIA não indicado: Processo de baixa criticidade."))</f>
      </c>
    </row>
    <row x14ac:dyDescent="0.25" r="957" customHeight="1" ht="15.75">
      <c r="A957" s="46"/>
      <c r="B957" s="6"/>
      <c r="C957" s="11"/>
      <c r="D957" s="11"/>
      <c r="E957" s="11"/>
      <c r="F957" s="29"/>
      <c r="G957" s="11"/>
      <c r="H957" s="11"/>
      <c r="I957" s="29"/>
      <c r="J957" s="11"/>
      <c r="K957" s="29"/>
      <c r="L957" s="11"/>
      <c r="M957" s="11"/>
      <c r="N957" s="11"/>
      <c r="O957" s="29"/>
      <c r="P957" s="29"/>
      <c r="Q957" s="11"/>
      <c r="R957" s="29"/>
      <c r="S957" s="11"/>
      <c r="T957" s="6"/>
      <c r="U957" s="29"/>
      <c r="V957" s="11"/>
      <c r="W957" s="11"/>
      <c r="X957" s="29"/>
      <c r="Y957" s="11"/>
      <c r="Z957" s="29"/>
      <c r="AA957" s="29"/>
      <c r="AB957" s="11"/>
      <c r="AC957" s="11"/>
      <c r="AD957" s="29"/>
      <c r="AE957" s="11"/>
      <c r="AF957" s="29"/>
      <c r="AG957" s="11"/>
      <c r="AH957" s="29"/>
      <c r="AI957" s="11"/>
      <c r="AJ957" s="29"/>
      <c r="AK957" s="29"/>
      <c r="AL957" s="29"/>
      <c r="AM957" s="11"/>
      <c r="AN957" s="29"/>
      <c r="AO957" s="29"/>
      <c r="AP957" s="6"/>
      <c r="AQ957" s="113">
        <f>IF(AND(I957="",K957="",AF957="",AL957="",AN957="",O957=""),"",IF(OR(I957="SIM",K957="SIM",AF957="SIM",AL957="SIM",AN957="Dados pessoais",AN957="Dados sensíveis",AN957="Dados pessoais e sensíveis",O957="Acima de 10.000 titulares por mês"),"SIM - Alta criticidade",IF((IF(I957="SIM",2,0)+IF(K957="SIM",2,0)+IF(AF957="SIM",2,0)+IF(OR(AN957="Dados pessoais",AN957="Dados sensíveis",AN957="Dados pessoais e sensíveis"),2,0)+IF(O957="De 1.001 a 10.000 titulares por mês",1,0)+IF(AA957="SIM",1,0)+IF(R957="SIM",1,0)+IF(AL957="SIM",1,0)+IF(AJ957="NÃO",1,0))&gt;=5,"SIM - Alta criticidade",IF((IF(I957="SIM",2,0)+IF(K957="SIM",2,0)+IF(AF957="SIM",2,0)+IF(OR(AN957="Dados pessoais",AN957="Dados sensíveis",AN957="Dados pessoais e sensíveis"),2,0)+IF(O957="De 1.001 a 10.000 titulares por mês",1,0)+IF(AA957="SIM",1,0)+IF(R957="SIM",1,0)+IF(AL957="SIM",1,0)+IF(AJ957="NÃO",1,0))&gt;=3,"Avaliação necessária","NÃO"))))</f>
      </c>
      <c r="AR957" s="11"/>
      <c r="AS957" s="113">
        <f>IF(AND(I957="",K957="",AF957="",AL957="",AN957="",O957=""),"",IF(OR(I957="SIM",K957="SIM",AF957="SIM",AL957="SIM",OR(AN957="Dados pessoais",AN957="Dados sensíveis",AN957="Dados pessoais e sensíveis"),O957="Acima de 10.000 titulares por mês",(IF(I957="SIM",2,0)+IF(K957="SIM",2,0)+IF(AF957="SIM",2,0)+IF(OR(AN957="Dados pessoais",AN957="Dados sensíveis",AN957="Dados pessoais e sensíveis"),2,0)+IF(O957="De 1.001 a 10.000 titulares por mês",1,0)+IF(AA957="SIM",1,0)+IF(R957="SIM",1,0)+IF(AL957="SIM",1,0)+IF(AJ957="NÃO",1,0))&gt;=3),"DPIA indicado ou em avaliação em razão de: " &amp; TRIM(IF(I957="SIM","tratamento de dados sensíveis; ","") &amp; IF(K957="SIM","utilização de dados de menores; ","") &amp; IF(AF957="SIM","transferência internacional de dados; ","") &amp; IF(AL957="SIM","utilização de inteligência artificial; ","") &amp; IF(OR(AN957="Dados pessoais",AN957="Dados sensíveis",AN957="Dados pessoais e sensíveis"),"dados inseridos em IA; ","") &amp; IF(O957="Acima de 10.000 titulares por mês","volume crítico de titulares; ","") &amp; IF(O957="De 1.001 a 10.000 titulares por mês","volume moderado de titulares; ","") &amp; IF(AA957="SIM","compartilhamento com terceiros; ","") &amp; IF(R957="SIM","compartilhamento com órgãos governamentais; ","") &amp; IF(AJ957="NÃO","ausência de controle de acesso por perfil; ","")),"DPIA não indicado: Processo de baixa criticidade."))</f>
      </c>
    </row>
    <row x14ac:dyDescent="0.25" r="958" customHeight="1" ht="15.75">
      <c r="A958" s="46"/>
      <c r="B958" s="6"/>
      <c r="C958" s="11"/>
      <c r="D958" s="11"/>
      <c r="E958" s="11"/>
      <c r="F958" s="29"/>
      <c r="G958" s="11"/>
      <c r="H958" s="11"/>
      <c r="I958" s="29"/>
      <c r="J958" s="11"/>
      <c r="K958" s="29"/>
      <c r="L958" s="11"/>
      <c r="M958" s="11"/>
      <c r="N958" s="11"/>
      <c r="O958" s="29"/>
      <c r="P958" s="29"/>
      <c r="Q958" s="11"/>
      <c r="R958" s="29"/>
      <c r="S958" s="11"/>
      <c r="T958" s="6"/>
      <c r="U958" s="29"/>
      <c r="V958" s="11"/>
      <c r="W958" s="11"/>
      <c r="X958" s="29"/>
      <c r="Y958" s="11"/>
      <c r="Z958" s="29"/>
      <c r="AA958" s="29"/>
      <c r="AB958" s="11"/>
      <c r="AC958" s="11"/>
      <c r="AD958" s="29"/>
      <c r="AE958" s="11"/>
      <c r="AF958" s="29"/>
      <c r="AG958" s="11"/>
      <c r="AH958" s="29"/>
      <c r="AI958" s="11"/>
      <c r="AJ958" s="29"/>
      <c r="AK958" s="29"/>
      <c r="AL958" s="29"/>
      <c r="AM958" s="11"/>
      <c r="AN958" s="29"/>
      <c r="AO958" s="29"/>
      <c r="AP958" s="6"/>
      <c r="AQ958" s="113">
        <f>IF(AND(I958="",K958="",AF958="",AL958="",AN958="",O958=""),"",IF(OR(I958="SIM",K958="SIM",AF958="SIM",AL958="SIM",AN958="Dados pessoais",AN958="Dados sensíveis",AN958="Dados pessoais e sensíveis",O958="Acima de 10.000 titulares por mês"),"SIM - Alta criticidade",IF((IF(I958="SIM",2,0)+IF(K958="SIM",2,0)+IF(AF958="SIM",2,0)+IF(OR(AN958="Dados pessoais",AN958="Dados sensíveis",AN958="Dados pessoais e sensíveis"),2,0)+IF(O958="De 1.001 a 10.000 titulares por mês",1,0)+IF(AA958="SIM",1,0)+IF(R958="SIM",1,0)+IF(AL958="SIM",1,0)+IF(AJ958="NÃO",1,0))&gt;=5,"SIM - Alta criticidade",IF((IF(I958="SIM",2,0)+IF(K958="SIM",2,0)+IF(AF958="SIM",2,0)+IF(OR(AN958="Dados pessoais",AN958="Dados sensíveis",AN958="Dados pessoais e sensíveis"),2,0)+IF(O958="De 1.001 a 10.000 titulares por mês",1,0)+IF(AA958="SIM",1,0)+IF(R958="SIM",1,0)+IF(AL958="SIM",1,0)+IF(AJ958="NÃO",1,0))&gt;=3,"Avaliação necessária","NÃO"))))</f>
      </c>
      <c r="AR958" s="11"/>
      <c r="AS958" s="113">
        <f>IF(AND(I958="",K958="",AF958="",AL958="",AN958="",O958=""),"",IF(OR(I958="SIM",K958="SIM",AF958="SIM",AL958="SIM",OR(AN958="Dados pessoais",AN958="Dados sensíveis",AN958="Dados pessoais e sensíveis"),O958="Acima de 10.000 titulares por mês",(IF(I958="SIM",2,0)+IF(K958="SIM",2,0)+IF(AF958="SIM",2,0)+IF(OR(AN958="Dados pessoais",AN958="Dados sensíveis",AN958="Dados pessoais e sensíveis"),2,0)+IF(O958="De 1.001 a 10.000 titulares por mês",1,0)+IF(AA958="SIM",1,0)+IF(R958="SIM",1,0)+IF(AL958="SIM",1,0)+IF(AJ958="NÃO",1,0))&gt;=3),"DPIA indicado ou em avaliação em razão de: " &amp; TRIM(IF(I958="SIM","tratamento de dados sensíveis; ","") &amp; IF(K958="SIM","utilização de dados de menores; ","") &amp; IF(AF958="SIM","transferência internacional de dados; ","") &amp; IF(AL958="SIM","utilização de inteligência artificial; ","") &amp; IF(OR(AN958="Dados pessoais",AN958="Dados sensíveis",AN958="Dados pessoais e sensíveis"),"dados inseridos em IA; ","") &amp; IF(O958="Acima de 10.000 titulares por mês","volume crítico de titulares; ","") &amp; IF(O958="De 1.001 a 10.000 titulares por mês","volume moderado de titulares; ","") &amp; IF(AA958="SIM","compartilhamento com terceiros; ","") &amp; IF(R958="SIM","compartilhamento com órgãos governamentais; ","") &amp; IF(AJ958="NÃO","ausência de controle de acesso por perfil; ","")),"DPIA não indicado: Processo de baixa criticidade."))</f>
      </c>
    </row>
    <row x14ac:dyDescent="0.25" r="959" customHeight="1" ht="15.75">
      <c r="A959" s="46"/>
      <c r="B959" s="6"/>
      <c r="C959" s="11"/>
      <c r="D959" s="11"/>
      <c r="E959" s="11"/>
      <c r="F959" s="29"/>
      <c r="G959" s="11"/>
      <c r="H959" s="11"/>
      <c r="I959" s="29"/>
      <c r="J959" s="11"/>
      <c r="K959" s="29"/>
      <c r="L959" s="11"/>
      <c r="M959" s="11"/>
      <c r="N959" s="11"/>
      <c r="O959" s="29"/>
      <c r="P959" s="29"/>
      <c r="Q959" s="11"/>
      <c r="R959" s="29"/>
      <c r="S959" s="11"/>
      <c r="T959" s="6"/>
      <c r="U959" s="29"/>
      <c r="V959" s="11"/>
      <c r="W959" s="11"/>
      <c r="X959" s="29"/>
      <c r="Y959" s="11"/>
      <c r="Z959" s="29"/>
      <c r="AA959" s="29"/>
      <c r="AB959" s="11"/>
      <c r="AC959" s="11"/>
      <c r="AD959" s="29"/>
      <c r="AE959" s="11"/>
      <c r="AF959" s="29"/>
      <c r="AG959" s="11"/>
      <c r="AH959" s="29"/>
      <c r="AI959" s="11"/>
      <c r="AJ959" s="29"/>
      <c r="AK959" s="29"/>
      <c r="AL959" s="29"/>
      <c r="AM959" s="11"/>
      <c r="AN959" s="29"/>
      <c r="AO959" s="29"/>
      <c r="AP959" s="6"/>
      <c r="AQ959" s="113">
        <f>IF(AND(I959="",K959="",AF959="",AL959="",AN959="",O959=""),"",IF(OR(I959="SIM",K959="SIM",AF959="SIM",AL959="SIM",AN959="Dados pessoais",AN959="Dados sensíveis",AN959="Dados pessoais e sensíveis",O959="Acima de 10.000 titulares por mês"),"SIM - Alta criticidade",IF((IF(I959="SIM",2,0)+IF(K959="SIM",2,0)+IF(AF959="SIM",2,0)+IF(OR(AN959="Dados pessoais",AN959="Dados sensíveis",AN959="Dados pessoais e sensíveis"),2,0)+IF(O959="De 1.001 a 10.000 titulares por mês",1,0)+IF(AA959="SIM",1,0)+IF(R959="SIM",1,0)+IF(AL959="SIM",1,0)+IF(AJ959="NÃO",1,0))&gt;=5,"SIM - Alta criticidade",IF((IF(I959="SIM",2,0)+IF(K959="SIM",2,0)+IF(AF959="SIM",2,0)+IF(OR(AN959="Dados pessoais",AN959="Dados sensíveis",AN959="Dados pessoais e sensíveis"),2,0)+IF(O959="De 1.001 a 10.000 titulares por mês",1,0)+IF(AA959="SIM",1,0)+IF(R959="SIM",1,0)+IF(AL959="SIM",1,0)+IF(AJ959="NÃO",1,0))&gt;=3,"Avaliação necessária","NÃO"))))</f>
      </c>
      <c r="AR959" s="11"/>
      <c r="AS959" s="113">
        <f>IF(AND(I959="",K959="",AF959="",AL959="",AN959="",O959=""),"",IF(OR(I959="SIM",K959="SIM",AF959="SIM",AL959="SIM",OR(AN959="Dados pessoais",AN959="Dados sensíveis",AN959="Dados pessoais e sensíveis"),O959="Acima de 10.000 titulares por mês",(IF(I959="SIM",2,0)+IF(K959="SIM",2,0)+IF(AF959="SIM",2,0)+IF(OR(AN959="Dados pessoais",AN959="Dados sensíveis",AN959="Dados pessoais e sensíveis"),2,0)+IF(O959="De 1.001 a 10.000 titulares por mês",1,0)+IF(AA959="SIM",1,0)+IF(R959="SIM",1,0)+IF(AL959="SIM",1,0)+IF(AJ959="NÃO",1,0))&gt;=3),"DPIA indicado ou em avaliação em razão de: " &amp; TRIM(IF(I959="SIM","tratamento de dados sensíveis; ","") &amp; IF(K959="SIM","utilização de dados de menores; ","") &amp; IF(AF959="SIM","transferência internacional de dados; ","") &amp; IF(AL959="SIM","utilização de inteligência artificial; ","") &amp; IF(OR(AN959="Dados pessoais",AN959="Dados sensíveis",AN959="Dados pessoais e sensíveis"),"dados inseridos em IA; ","") &amp; IF(O959="Acima de 10.000 titulares por mês","volume crítico de titulares; ","") &amp; IF(O959="De 1.001 a 10.000 titulares por mês","volume moderado de titulares; ","") &amp; IF(AA959="SIM","compartilhamento com terceiros; ","") &amp; IF(R959="SIM","compartilhamento com órgãos governamentais; ","") &amp; IF(AJ959="NÃO","ausência de controle de acesso por perfil; ","")),"DPIA não indicado: Processo de baixa criticidade."))</f>
      </c>
    </row>
    <row x14ac:dyDescent="0.25" r="960" customHeight="1" ht="15.75">
      <c r="A960" s="46"/>
      <c r="B960" s="6"/>
      <c r="C960" s="11"/>
      <c r="D960" s="11"/>
      <c r="E960" s="11"/>
      <c r="F960" s="29"/>
      <c r="G960" s="11"/>
      <c r="H960" s="11"/>
      <c r="I960" s="29"/>
      <c r="J960" s="11"/>
      <c r="K960" s="29"/>
      <c r="L960" s="11"/>
      <c r="M960" s="11"/>
      <c r="N960" s="11"/>
      <c r="O960" s="29"/>
      <c r="P960" s="29"/>
      <c r="Q960" s="11"/>
      <c r="R960" s="29"/>
      <c r="S960" s="11"/>
      <c r="T960" s="6"/>
      <c r="U960" s="29"/>
      <c r="V960" s="11"/>
      <c r="W960" s="11"/>
      <c r="X960" s="29"/>
      <c r="Y960" s="11"/>
      <c r="Z960" s="29"/>
      <c r="AA960" s="29"/>
      <c r="AB960" s="11"/>
      <c r="AC960" s="11"/>
      <c r="AD960" s="29"/>
      <c r="AE960" s="11"/>
      <c r="AF960" s="29"/>
      <c r="AG960" s="11"/>
      <c r="AH960" s="29"/>
      <c r="AI960" s="11"/>
      <c r="AJ960" s="29"/>
      <c r="AK960" s="29"/>
      <c r="AL960" s="29"/>
      <c r="AM960" s="11"/>
      <c r="AN960" s="29"/>
      <c r="AO960" s="29"/>
      <c r="AP960" s="6"/>
      <c r="AQ960" s="113">
        <f>IF(AND(I960="",K960="",AF960="",AL960="",AN960="",O960=""),"",IF(OR(I960="SIM",K960="SIM",AF960="SIM",AL960="SIM",AN960="Dados pessoais",AN960="Dados sensíveis",AN960="Dados pessoais e sensíveis",O960="Acima de 10.000 titulares por mês"),"SIM - Alta criticidade",IF((IF(I960="SIM",2,0)+IF(K960="SIM",2,0)+IF(AF960="SIM",2,0)+IF(OR(AN960="Dados pessoais",AN960="Dados sensíveis",AN960="Dados pessoais e sensíveis"),2,0)+IF(O960="De 1.001 a 10.000 titulares por mês",1,0)+IF(AA960="SIM",1,0)+IF(R960="SIM",1,0)+IF(AL960="SIM",1,0)+IF(AJ960="NÃO",1,0))&gt;=5,"SIM - Alta criticidade",IF((IF(I960="SIM",2,0)+IF(K960="SIM",2,0)+IF(AF960="SIM",2,0)+IF(OR(AN960="Dados pessoais",AN960="Dados sensíveis",AN960="Dados pessoais e sensíveis"),2,0)+IF(O960="De 1.001 a 10.000 titulares por mês",1,0)+IF(AA960="SIM",1,0)+IF(R960="SIM",1,0)+IF(AL960="SIM",1,0)+IF(AJ960="NÃO",1,0))&gt;=3,"Avaliação necessária","NÃO"))))</f>
      </c>
      <c r="AR960" s="11"/>
      <c r="AS960" s="113">
        <f>IF(AND(I960="",K960="",AF960="",AL960="",AN960="",O960=""),"",IF(OR(I960="SIM",K960="SIM",AF960="SIM",AL960="SIM",OR(AN960="Dados pessoais",AN960="Dados sensíveis",AN960="Dados pessoais e sensíveis"),O960="Acima de 10.000 titulares por mês",(IF(I960="SIM",2,0)+IF(K960="SIM",2,0)+IF(AF960="SIM",2,0)+IF(OR(AN960="Dados pessoais",AN960="Dados sensíveis",AN960="Dados pessoais e sensíveis"),2,0)+IF(O960="De 1.001 a 10.000 titulares por mês",1,0)+IF(AA960="SIM",1,0)+IF(R960="SIM",1,0)+IF(AL960="SIM",1,0)+IF(AJ960="NÃO",1,0))&gt;=3),"DPIA indicado ou em avaliação em razão de: " &amp; TRIM(IF(I960="SIM","tratamento de dados sensíveis; ","") &amp; IF(K960="SIM","utilização de dados de menores; ","") &amp; IF(AF960="SIM","transferência internacional de dados; ","") &amp; IF(AL960="SIM","utilização de inteligência artificial; ","") &amp; IF(OR(AN960="Dados pessoais",AN960="Dados sensíveis",AN960="Dados pessoais e sensíveis"),"dados inseridos em IA; ","") &amp; IF(O960="Acima de 10.000 titulares por mês","volume crítico de titulares; ","") &amp; IF(O960="De 1.001 a 10.000 titulares por mês","volume moderado de titulares; ","") &amp; IF(AA960="SIM","compartilhamento com terceiros; ","") &amp; IF(R960="SIM","compartilhamento com órgãos governamentais; ","") &amp; IF(AJ960="NÃO","ausência de controle de acesso por perfil; ","")),"DPIA não indicado: Processo de baixa criticidade."))</f>
      </c>
    </row>
    <row x14ac:dyDescent="0.25" r="961" customHeight="1" ht="15.75">
      <c r="A961" s="46"/>
      <c r="B961" s="6"/>
      <c r="C961" s="11"/>
      <c r="D961" s="11"/>
      <c r="E961" s="11"/>
      <c r="F961" s="29"/>
      <c r="G961" s="11"/>
      <c r="H961" s="11"/>
      <c r="I961" s="29"/>
      <c r="J961" s="11"/>
      <c r="K961" s="29"/>
      <c r="L961" s="11"/>
      <c r="M961" s="11"/>
      <c r="N961" s="11"/>
      <c r="O961" s="29"/>
      <c r="P961" s="29"/>
      <c r="Q961" s="11"/>
      <c r="R961" s="29"/>
      <c r="S961" s="11"/>
      <c r="T961" s="6"/>
      <c r="U961" s="29"/>
      <c r="V961" s="11"/>
      <c r="W961" s="11"/>
      <c r="X961" s="29"/>
      <c r="Y961" s="11"/>
      <c r="Z961" s="29"/>
      <c r="AA961" s="29"/>
      <c r="AB961" s="11"/>
      <c r="AC961" s="11"/>
      <c r="AD961" s="29"/>
      <c r="AE961" s="11"/>
      <c r="AF961" s="29"/>
      <c r="AG961" s="11"/>
      <c r="AH961" s="29"/>
      <c r="AI961" s="11"/>
      <c r="AJ961" s="29"/>
      <c r="AK961" s="29"/>
      <c r="AL961" s="29"/>
      <c r="AM961" s="11"/>
      <c r="AN961" s="29"/>
      <c r="AO961" s="29"/>
      <c r="AP961" s="6"/>
      <c r="AQ961" s="113">
        <f>IF(AND(I961="",K961="",AF961="",AL961="",AN961="",O961=""),"",IF(OR(I961="SIM",K961="SIM",AF961="SIM",AL961="SIM",AN961="Dados pessoais",AN961="Dados sensíveis",AN961="Dados pessoais e sensíveis",O961="Acima de 10.000 titulares por mês"),"SIM - Alta criticidade",IF((IF(I961="SIM",2,0)+IF(K961="SIM",2,0)+IF(AF961="SIM",2,0)+IF(OR(AN961="Dados pessoais",AN961="Dados sensíveis",AN961="Dados pessoais e sensíveis"),2,0)+IF(O961="De 1.001 a 10.000 titulares por mês",1,0)+IF(AA961="SIM",1,0)+IF(R961="SIM",1,0)+IF(AL961="SIM",1,0)+IF(AJ961="NÃO",1,0))&gt;=5,"SIM - Alta criticidade",IF((IF(I961="SIM",2,0)+IF(K961="SIM",2,0)+IF(AF961="SIM",2,0)+IF(OR(AN961="Dados pessoais",AN961="Dados sensíveis",AN961="Dados pessoais e sensíveis"),2,0)+IF(O961="De 1.001 a 10.000 titulares por mês",1,0)+IF(AA961="SIM",1,0)+IF(R961="SIM",1,0)+IF(AL961="SIM",1,0)+IF(AJ961="NÃO",1,0))&gt;=3,"Avaliação necessária","NÃO"))))</f>
      </c>
      <c r="AR961" s="11"/>
      <c r="AS961" s="113">
        <f>IF(AND(I961="",K961="",AF961="",AL961="",AN961="",O961=""),"",IF(OR(I961="SIM",K961="SIM",AF961="SIM",AL961="SIM",OR(AN961="Dados pessoais",AN961="Dados sensíveis",AN961="Dados pessoais e sensíveis"),O961="Acima de 10.000 titulares por mês",(IF(I961="SIM",2,0)+IF(K961="SIM",2,0)+IF(AF961="SIM",2,0)+IF(OR(AN961="Dados pessoais",AN961="Dados sensíveis",AN961="Dados pessoais e sensíveis"),2,0)+IF(O961="De 1.001 a 10.000 titulares por mês",1,0)+IF(AA961="SIM",1,0)+IF(R961="SIM",1,0)+IF(AL961="SIM",1,0)+IF(AJ961="NÃO",1,0))&gt;=3),"DPIA indicado ou em avaliação em razão de: " &amp; TRIM(IF(I961="SIM","tratamento de dados sensíveis; ","") &amp; IF(K961="SIM","utilização de dados de menores; ","") &amp; IF(AF961="SIM","transferência internacional de dados; ","") &amp; IF(AL961="SIM","utilização de inteligência artificial; ","") &amp; IF(OR(AN961="Dados pessoais",AN961="Dados sensíveis",AN961="Dados pessoais e sensíveis"),"dados inseridos em IA; ","") &amp; IF(O961="Acima de 10.000 titulares por mês","volume crítico de titulares; ","") &amp; IF(O961="De 1.001 a 10.000 titulares por mês","volume moderado de titulares; ","") &amp; IF(AA961="SIM","compartilhamento com terceiros; ","") &amp; IF(R961="SIM","compartilhamento com órgãos governamentais; ","") &amp; IF(AJ961="NÃO","ausência de controle de acesso por perfil; ","")),"DPIA não indicado: Processo de baixa criticidade."))</f>
      </c>
    </row>
    <row x14ac:dyDescent="0.25" r="962" customHeight="1" ht="15.75">
      <c r="A962" s="46"/>
      <c r="B962" s="6"/>
      <c r="C962" s="11"/>
      <c r="D962" s="11"/>
      <c r="E962" s="11"/>
      <c r="F962" s="29"/>
      <c r="G962" s="11"/>
      <c r="H962" s="11"/>
      <c r="I962" s="29"/>
      <c r="J962" s="11"/>
      <c r="K962" s="29"/>
      <c r="L962" s="11"/>
      <c r="M962" s="11"/>
      <c r="N962" s="11"/>
      <c r="O962" s="29"/>
      <c r="P962" s="29"/>
      <c r="Q962" s="11"/>
      <c r="R962" s="29"/>
      <c r="S962" s="11"/>
      <c r="T962" s="6"/>
      <c r="U962" s="29"/>
      <c r="V962" s="11"/>
      <c r="W962" s="11"/>
      <c r="X962" s="29"/>
      <c r="Y962" s="11"/>
      <c r="Z962" s="29"/>
      <c r="AA962" s="29"/>
      <c r="AB962" s="11"/>
      <c r="AC962" s="11"/>
      <c r="AD962" s="29"/>
      <c r="AE962" s="11"/>
      <c r="AF962" s="29"/>
      <c r="AG962" s="11"/>
      <c r="AH962" s="29"/>
      <c r="AI962" s="11"/>
      <c r="AJ962" s="29"/>
      <c r="AK962" s="29"/>
      <c r="AL962" s="29"/>
      <c r="AM962" s="11"/>
      <c r="AN962" s="29"/>
      <c r="AO962" s="29"/>
      <c r="AP962" s="6"/>
      <c r="AQ962" s="113">
        <f>IF(AND(I962="",K962="",AF962="",AL962="",AN962="",O962=""),"",IF(OR(I962="SIM",K962="SIM",AF962="SIM",AL962="SIM",AN962="Dados pessoais",AN962="Dados sensíveis",AN962="Dados pessoais e sensíveis",O962="Acima de 10.000 titulares por mês"),"SIM - Alta criticidade",IF((IF(I962="SIM",2,0)+IF(K962="SIM",2,0)+IF(AF962="SIM",2,0)+IF(OR(AN962="Dados pessoais",AN962="Dados sensíveis",AN962="Dados pessoais e sensíveis"),2,0)+IF(O962="De 1.001 a 10.000 titulares por mês",1,0)+IF(AA962="SIM",1,0)+IF(R962="SIM",1,0)+IF(AL962="SIM",1,0)+IF(AJ962="NÃO",1,0))&gt;=5,"SIM - Alta criticidade",IF((IF(I962="SIM",2,0)+IF(K962="SIM",2,0)+IF(AF962="SIM",2,0)+IF(OR(AN962="Dados pessoais",AN962="Dados sensíveis",AN962="Dados pessoais e sensíveis"),2,0)+IF(O962="De 1.001 a 10.000 titulares por mês",1,0)+IF(AA962="SIM",1,0)+IF(R962="SIM",1,0)+IF(AL962="SIM",1,0)+IF(AJ962="NÃO",1,0))&gt;=3,"Avaliação necessária","NÃO"))))</f>
      </c>
      <c r="AR962" s="11"/>
      <c r="AS962" s="113">
        <f>IF(AND(I962="",K962="",AF962="",AL962="",AN962="",O962=""),"",IF(OR(I962="SIM",K962="SIM",AF962="SIM",AL962="SIM",OR(AN962="Dados pessoais",AN962="Dados sensíveis",AN962="Dados pessoais e sensíveis"),O962="Acima de 10.000 titulares por mês",(IF(I962="SIM",2,0)+IF(K962="SIM",2,0)+IF(AF962="SIM",2,0)+IF(OR(AN962="Dados pessoais",AN962="Dados sensíveis",AN962="Dados pessoais e sensíveis"),2,0)+IF(O962="De 1.001 a 10.000 titulares por mês",1,0)+IF(AA962="SIM",1,0)+IF(R962="SIM",1,0)+IF(AL962="SIM",1,0)+IF(AJ962="NÃO",1,0))&gt;=3),"DPIA indicado ou em avaliação em razão de: " &amp; TRIM(IF(I962="SIM","tratamento de dados sensíveis; ","") &amp; IF(K962="SIM","utilização de dados de menores; ","") &amp; IF(AF962="SIM","transferência internacional de dados; ","") &amp; IF(AL962="SIM","utilização de inteligência artificial; ","") &amp; IF(OR(AN962="Dados pessoais",AN962="Dados sensíveis",AN962="Dados pessoais e sensíveis"),"dados inseridos em IA; ","") &amp; IF(O962="Acima de 10.000 titulares por mês","volume crítico de titulares; ","") &amp; IF(O962="De 1.001 a 10.000 titulares por mês","volume moderado de titulares; ","") &amp; IF(AA962="SIM","compartilhamento com terceiros; ","") &amp; IF(R962="SIM","compartilhamento com órgãos governamentais; ","") &amp; IF(AJ962="NÃO","ausência de controle de acesso por perfil; ","")),"DPIA não indicado: Processo de baixa criticidade."))</f>
      </c>
    </row>
    <row x14ac:dyDescent="0.25" r="963" customHeight="1" ht="15.75">
      <c r="A963" s="46"/>
      <c r="B963" s="6"/>
      <c r="C963" s="11"/>
      <c r="D963" s="11"/>
      <c r="E963" s="11"/>
      <c r="F963" s="29"/>
      <c r="G963" s="11"/>
      <c r="H963" s="11"/>
      <c r="I963" s="29"/>
      <c r="J963" s="11"/>
      <c r="K963" s="29"/>
      <c r="L963" s="11"/>
      <c r="M963" s="11"/>
      <c r="N963" s="11"/>
      <c r="O963" s="29"/>
      <c r="P963" s="29"/>
      <c r="Q963" s="11"/>
      <c r="R963" s="29"/>
      <c r="S963" s="11"/>
      <c r="T963" s="6"/>
      <c r="U963" s="29"/>
      <c r="V963" s="11"/>
      <c r="W963" s="11"/>
      <c r="X963" s="29"/>
      <c r="Y963" s="11"/>
      <c r="Z963" s="29"/>
      <c r="AA963" s="29"/>
      <c r="AB963" s="11"/>
      <c r="AC963" s="11"/>
      <c r="AD963" s="29"/>
      <c r="AE963" s="11"/>
      <c r="AF963" s="29"/>
      <c r="AG963" s="11"/>
      <c r="AH963" s="29"/>
      <c r="AI963" s="11"/>
      <c r="AJ963" s="29"/>
      <c r="AK963" s="29"/>
      <c r="AL963" s="29"/>
      <c r="AM963" s="11"/>
      <c r="AN963" s="29"/>
      <c r="AO963" s="29"/>
      <c r="AP963" s="6"/>
      <c r="AQ963" s="113">
        <f>IF(AND(I963="",K963="",AF963="",AL963="",AN963="",O963=""),"",IF(OR(I963="SIM",K963="SIM",AF963="SIM",AL963="SIM",AN963="Dados pessoais",AN963="Dados sensíveis",AN963="Dados pessoais e sensíveis",O963="Acima de 10.000 titulares por mês"),"SIM - Alta criticidade",IF((IF(I963="SIM",2,0)+IF(K963="SIM",2,0)+IF(AF963="SIM",2,0)+IF(OR(AN963="Dados pessoais",AN963="Dados sensíveis",AN963="Dados pessoais e sensíveis"),2,0)+IF(O963="De 1.001 a 10.000 titulares por mês",1,0)+IF(AA963="SIM",1,0)+IF(R963="SIM",1,0)+IF(AL963="SIM",1,0)+IF(AJ963="NÃO",1,0))&gt;=5,"SIM - Alta criticidade",IF((IF(I963="SIM",2,0)+IF(K963="SIM",2,0)+IF(AF963="SIM",2,0)+IF(OR(AN963="Dados pessoais",AN963="Dados sensíveis",AN963="Dados pessoais e sensíveis"),2,0)+IF(O963="De 1.001 a 10.000 titulares por mês",1,0)+IF(AA963="SIM",1,0)+IF(R963="SIM",1,0)+IF(AL963="SIM",1,0)+IF(AJ963="NÃO",1,0))&gt;=3,"Avaliação necessária","NÃO"))))</f>
      </c>
      <c r="AR963" s="11"/>
      <c r="AS963" s="113">
        <f>IF(AND(I963="",K963="",AF963="",AL963="",AN963="",O963=""),"",IF(OR(I963="SIM",K963="SIM",AF963="SIM",AL963="SIM",OR(AN963="Dados pessoais",AN963="Dados sensíveis",AN963="Dados pessoais e sensíveis"),O963="Acima de 10.000 titulares por mês",(IF(I963="SIM",2,0)+IF(K963="SIM",2,0)+IF(AF963="SIM",2,0)+IF(OR(AN963="Dados pessoais",AN963="Dados sensíveis",AN963="Dados pessoais e sensíveis"),2,0)+IF(O963="De 1.001 a 10.000 titulares por mês",1,0)+IF(AA963="SIM",1,0)+IF(R963="SIM",1,0)+IF(AL963="SIM",1,0)+IF(AJ963="NÃO",1,0))&gt;=3),"DPIA indicado ou em avaliação em razão de: " &amp; TRIM(IF(I963="SIM","tratamento de dados sensíveis; ","") &amp; IF(K963="SIM","utilização de dados de menores; ","") &amp; IF(AF963="SIM","transferência internacional de dados; ","") &amp; IF(AL963="SIM","utilização de inteligência artificial; ","") &amp; IF(OR(AN963="Dados pessoais",AN963="Dados sensíveis",AN963="Dados pessoais e sensíveis"),"dados inseridos em IA; ","") &amp; IF(O963="Acima de 10.000 titulares por mês","volume crítico de titulares; ","") &amp; IF(O963="De 1.001 a 10.000 titulares por mês","volume moderado de titulares; ","") &amp; IF(AA963="SIM","compartilhamento com terceiros; ","") &amp; IF(R963="SIM","compartilhamento com órgãos governamentais; ","") &amp; IF(AJ963="NÃO","ausência de controle de acesso por perfil; ","")),"DPIA não indicado: Processo de baixa criticidade."))</f>
      </c>
    </row>
    <row x14ac:dyDescent="0.25" r="964" customHeight="1" ht="15.75">
      <c r="A964" s="46"/>
      <c r="B964" s="6"/>
      <c r="C964" s="11"/>
      <c r="D964" s="11"/>
      <c r="E964" s="11"/>
      <c r="F964" s="29"/>
      <c r="G964" s="11"/>
      <c r="H964" s="11"/>
      <c r="I964" s="29"/>
      <c r="J964" s="11"/>
      <c r="K964" s="29"/>
      <c r="L964" s="11"/>
      <c r="M964" s="11"/>
      <c r="N964" s="11"/>
      <c r="O964" s="29"/>
      <c r="P964" s="29"/>
      <c r="Q964" s="11"/>
      <c r="R964" s="29"/>
      <c r="S964" s="11"/>
      <c r="T964" s="6"/>
      <c r="U964" s="29"/>
      <c r="V964" s="11"/>
      <c r="W964" s="11"/>
      <c r="X964" s="29"/>
      <c r="Y964" s="11"/>
      <c r="Z964" s="29"/>
      <c r="AA964" s="29"/>
      <c r="AB964" s="11"/>
      <c r="AC964" s="11"/>
      <c r="AD964" s="29"/>
      <c r="AE964" s="11"/>
      <c r="AF964" s="29"/>
      <c r="AG964" s="11"/>
      <c r="AH964" s="29"/>
      <c r="AI964" s="11"/>
      <c r="AJ964" s="29"/>
      <c r="AK964" s="29"/>
      <c r="AL964" s="29"/>
      <c r="AM964" s="11"/>
      <c r="AN964" s="29"/>
      <c r="AO964" s="29"/>
      <c r="AP964" s="6"/>
      <c r="AQ964" s="113">
        <f>IF(AND(I964="",K964="",AF964="",AL964="",AN964="",O964=""),"",IF(OR(I964="SIM",K964="SIM",AF964="SIM",AL964="SIM",AN964="Dados pessoais",AN964="Dados sensíveis",AN964="Dados pessoais e sensíveis",O964="Acima de 10.000 titulares por mês"),"SIM - Alta criticidade",IF((IF(I964="SIM",2,0)+IF(K964="SIM",2,0)+IF(AF964="SIM",2,0)+IF(OR(AN964="Dados pessoais",AN964="Dados sensíveis",AN964="Dados pessoais e sensíveis"),2,0)+IF(O964="De 1.001 a 10.000 titulares por mês",1,0)+IF(AA964="SIM",1,0)+IF(R964="SIM",1,0)+IF(AL964="SIM",1,0)+IF(AJ964="NÃO",1,0))&gt;=5,"SIM - Alta criticidade",IF((IF(I964="SIM",2,0)+IF(K964="SIM",2,0)+IF(AF964="SIM",2,0)+IF(OR(AN964="Dados pessoais",AN964="Dados sensíveis",AN964="Dados pessoais e sensíveis"),2,0)+IF(O964="De 1.001 a 10.000 titulares por mês",1,0)+IF(AA964="SIM",1,0)+IF(R964="SIM",1,0)+IF(AL964="SIM",1,0)+IF(AJ964="NÃO",1,0))&gt;=3,"Avaliação necessária","NÃO"))))</f>
      </c>
      <c r="AR964" s="11"/>
      <c r="AS964" s="113">
        <f>IF(AND(I964="",K964="",AF964="",AL964="",AN964="",O964=""),"",IF(OR(I964="SIM",K964="SIM",AF964="SIM",AL964="SIM",OR(AN964="Dados pessoais",AN964="Dados sensíveis",AN964="Dados pessoais e sensíveis"),O964="Acima de 10.000 titulares por mês",(IF(I964="SIM",2,0)+IF(K964="SIM",2,0)+IF(AF964="SIM",2,0)+IF(OR(AN964="Dados pessoais",AN964="Dados sensíveis",AN964="Dados pessoais e sensíveis"),2,0)+IF(O964="De 1.001 a 10.000 titulares por mês",1,0)+IF(AA964="SIM",1,0)+IF(R964="SIM",1,0)+IF(AL964="SIM",1,0)+IF(AJ964="NÃO",1,0))&gt;=3),"DPIA indicado ou em avaliação em razão de: " &amp; TRIM(IF(I964="SIM","tratamento de dados sensíveis; ","") &amp; IF(K964="SIM","utilização de dados de menores; ","") &amp; IF(AF964="SIM","transferência internacional de dados; ","") &amp; IF(AL964="SIM","utilização de inteligência artificial; ","") &amp; IF(OR(AN964="Dados pessoais",AN964="Dados sensíveis",AN964="Dados pessoais e sensíveis"),"dados inseridos em IA; ","") &amp; IF(O964="Acima de 10.000 titulares por mês","volume crítico de titulares; ","") &amp; IF(O964="De 1.001 a 10.000 titulares por mês","volume moderado de titulares; ","") &amp; IF(AA964="SIM","compartilhamento com terceiros; ","") &amp; IF(R964="SIM","compartilhamento com órgãos governamentais; ","") &amp; IF(AJ964="NÃO","ausência de controle de acesso por perfil; ","")),"DPIA não indicado: Processo de baixa criticidade."))</f>
      </c>
    </row>
    <row x14ac:dyDescent="0.25" r="965" customHeight="1" ht="15.75">
      <c r="A965" s="46"/>
      <c r="B965" s="6"/>
      <c r="C965" s="11"/>
      <c r="D965" s="11"/>
      <c r="E965" s="11"/>
      <c r="F965" s="29"/>
      <c r="G965" s="11"/>
      <c r="H965" s="11"/>
      <c r="I965" s="29"/>
      <c r="J965" s="11"/>
      <c r="K965" s="29"/>
      <c r="L965" s="11"/>
      <c r="M965" s="11"/>
      <c r="N965" s="11"/>
      <c r="O965" s="29"/>
      <c r="P965" s="29"/>
      <c r="Q965" s="11"/>
      <c r="R965" s="29"/>
      <c r="S965" s="11"/>
      <c r="T965" s="6"/>
      <c r="U965" s="29"/>
      <c r="V965" s="11"/>
      <c r="W965" s="11"/>
      <c r="X965" s="29"/>
      <c r="Y965" s="11"/>
      <c r="Z965" s="29"/>
      <c r="AA965" s="29"/>
      <c r="AB965" s="11"/>
      <c r="AC965" s="11"/>
      <c r="AD965" s="29"/>
      <c r="AE965" s="11"/>
      <c r="AF965" s="29"/>
      <c r="AG965" s="11"/>
      <c r="AH965" s="29"/>
      <c r="AI965" s="11"/>
      <c r="AJ965" s="29"/>
      <c r="AK965" s="29"/>
      <c r="AL965" s="29"/>
      <c r="AM965" s="11"/>
      <c r="AN965" s="29"/>
      <c r="AO965" s="29"/>
      <c r="AP965" s="6"/>
      <c r="AQ965" s="113">
        <f>IF(AND(I965="",K965="",AF965="",AL965="",AN965="",O965=""),"",IF(OR(I965="SIM",K965="SIM",AF965="SIM",AL965="SIM",AN965="Dados pessoais",AN965="Dados sensíveis",AN965="Dados pessoais e sensíveis",O965="Acima de 10.000 titulares por mês"),"SIM - Alta criticidade",IF((IF(I965="SIM",2,0)+IF(K965="SIM",2,0)+IF(AF965="SIM",2,0)+IF(OR(AN965="Dados pessoais",AN965="Dados sensíveis",AN965="Dados pessoais e sensíveis"),2,0)+IF(O965="De 1.001 a 10.000 titulares por mês",1,0)+IF(AA965="SIM",1,0)+IF(R965="SIM",1,0)+IF(AL965="SIM",1,0)+IF(AJ965="NÃO",1,0))&gt;=5,"SIM - Alta criticidade",IF((IF(I965="SIM",2,0)+IF(K965="SIM",2,0)+IF(AF965="SIM",2,0)+IF(OR(AN965="Dados pessoais",AN965="Dados sensíveis",AN965="Dados pessoais e sensíveis"),2,0)+IF(O965="De 1.001 a 10.000 titulares por mês",1,0)+IF(AA965="SIM",1,0)+IF(R965="SIM",1,0)+IF(AL965="SIM",1,0)+IF(AJ965="NÃO",1,0))&gt;=3,"Avaliação necessária","NÃO"))))</f>
      </c>
      <c r="AR965" s="11"/>
      <c r="AS965" s="113">
        <f>IF(AND(I965="",K965="",AF965="",AL965="",AN965="",O965=""),"",IF(OR(I965="SIM",K965="SIM",AF965="SIM",AL965="SIM",OR(AN965="Dados pessoais",AN965="Dados sensíveis",AN965="Dados pessoais e sensíveis"),O965="Acima de 10.000 titulares por mês",(IF(I965="SIM",2,0)+IF(K965="SIM",2,0)+IF(AF965="SIM",2,0)+IF(OR(AN965="Dados pessoais",AN965="Dados sensíveis",AN965="Dados pessoais e sensíveis"),2,0)+IF(O965="De 1.001 a 10.000 titulares por mês",1,0)+IF(AA965="SIM",1,0)+IF(R965="SIM",1,0)+IF(AL965="SIM",1,0)+IF(AJ965="NÃO",1,0))&gt;=3),"DPIA indicado ou em avaliação em razão de: " &amp; TRIM(IF(I965="SIM","tratamento de dados sensíveis; ","") &amp; IF(K965="SIM","utilização de dados de menores; ","") &amp; IF(AF965="SIM","transferência internacional de dados; ","") &amp; IF(AL965="SIM","utilização de inteligência artificial; ","") &amp; IF(OR(AN965="Dados pessoais",AN965="Dados sensíveis",AN965="Dados pessoais e sensíveis"),"dados inseridos em IA; ","") &amp; IF(O965="Acima de 10.000 titulares por mês","volume crítico de titulares; ","") &amp; IF(O965="De 1.001 a 10.000 titulares por mês","volume moderado de titulares; ","") &amp; IF(AA965="SIM","compartilhamento com terceiros; ","") &amp; IF(R965="SIM","compartilhamento com órgãos governamentais; ","") &amp; IF(AJ965="NÃO","ausência de controle de acesso por perfil; ","")),"DPIA não indicado: Processo de baixa criticidade."))</f>
      </c>
    </row>
    <row x14ac:dyDescent="0.25" r="966" customHeight="1" ht="15.75">
      <c r="A966" s="46"/>
      <c r="B966" s="6"/>
      <c r="C966" s="11"/>
      <c r="D966" s="11"/>
      <c r="E966" s="11"/>
      <c r="F966" s="29"/>
      <c r="G966" s="11"/>
      <c r="H966" s="11"/>
      <c r="I966" s="29"/>
      <c r="J966" s="11"/>
      <c r="K966" s="29"/>
      <c r="L966" s="11"/>
      <c r="M966" s="11"/>
      <c r="N966" s="11"/>
      <c r="O966" s="29"/>
      <c r="P966" s="29"/>
      <c r="Q966" s="11"/>
      <c r="R966" s="29"/>
      <c r="S966" s="11"/>
      <c r="T966" s="6"/>
      <c r="U966" s="29"/>
      <c r="V966" s="11"/>
      <c r="W966" s="11"/>
      <c r="X966" s="29"/>
      <c r="Y966" s="11"/>
      <c r="Z966" s="29"/>
      <c r="AA966" s="29"/>
      <c r="AB966" s="11"/>
      <c r="AC966" s="11"/>
      <c r="AD966" s="29"/>
      <c r="AE966" s="11"/>
      <c r="AF966" s="29"/>
      <c r="AG966" s="11"/>
      <c r="AH966" s="29"/>
      <c r="AI966" s="11"/>
      <c r="AJ966" s="29"/>
      <c r="AK966" s="29"/>
      <c r="AL966" s="29"/>
      <c r="AM966" s="11"/>
      <c r="AN966" s="29"/>
      <c r="AO966" s="29"/>
      <c r="AP966" s="6"/>
      <c r="AQ966" s="113">
        <f>IF(AND(I966="",K966="",AF966="",AL966="",AN966="",O966=""),"",IF(OR(I966="SIM",K966="SIM",AF966="SIM",AL966="SIM",AN966="Dados pessoais",AN966="Dados sensíveis",AN966="Dados pessoais e sensíveis",O966="Acima de 10.000 titulares por mês"),"SIM - Alta criticidade",IF((IF(I966="SIM",2,0)+IF(K966="SIM",2,0)+IF(AF966="SIM",2,0)+IF(OR(AN966="Dados pessoais",AN966="Dados sensíveis",AN966="Dados pessoais e sensíveis"),2,0)+IF(O966="De 1.001 a 10.000 titulares por mês",1,0)+IF(AA966="SIM",1,0)+IF(R966="SIM",1,0)+IF(AL966="SIM",1,0)+IF(AJ966="NÃO",1,0))&gt;=5,"SIM - Alta criticidade",IF((IF(I966="SIM",2,0)+IF(K966="SIM",2,0)+IF(AF966="SIM",2,0)+IF(OR(AN966="Dados pessoais",AN966="Dados sensíveis",AN966="Dados pessoais e sensíveis"),2,0)+IF(O966="De 1.001 a 10.000 titulares por mês",1,0)+IF(AA966="SIM",1,0)+IF(R966="SIM",1,0)+IF(AL966="SIM",1,0)+IF(AJ966="NÃO",1,0))&gt;=3,"Avaliação necessária","NÃO"))))</f>
      </c>
      <c r="AR966" s="11"/>
      <c r="AS966" s="113">
        <f>IF(AND(I966="",K966="",AF966="",AL966="",AN966="",O966=""),"",IF(OR(I966="SIM",K966="SIM",AF966="SIM",AL966="SIM",OR(AN966="Dados pessoais",AN966="Dados sensíveis",AN966="Dados pessoais e sensíveis"),O966="Acima de 10.000 titulares por mês",(IF(I966="SIM",2,0)+IF(K966="SIM",2,0)+IF(AF966="SIM",2,0)+IF(OR(AN966="Dados pessoais",AN966="Dados sensíveis",AN966="Dados pessoais e sensíveis"),2,0)+IF(O966="De 1.001 a 10.000 titulares por mês",1,0)+IF(AA966="SIM",1,0)+IF(R966="SIM",1,0)+IF(AL966="SIM",1,0)+IF(AJ966="NÃO",1,0))&gt;=3),"DPIA indicado ou em avaliação em razão de: " &amp; TRIM(IF(I966="SIM","tratamento de dados sensíveis; ","") &amp; IF(K966="SIM","utilização de dados de menores; ","") &amp; IF(AF966="SIM","transferência internacional de dados; ","") &amp; IF(AL966="SIM","utilização de inteligência artificial; ","") &amp; IF(OR(AN966="Dados pessoais",AN966="Dados sensíveis",AN966="Dados pessoais e sensíveis"),"dados inseridos em IA; ","") &amp; IF(O966="Acima de 10.000 titulares por mês","volume crítico de titulares; ","") &amp; IF(O966="De 1.001 a 10.000 titulares por mês","volume moderado de titulares; ","") &amp; IF(AA966="SIM","compartilhamento com terceiros; ","") &amp; IF(R966="SIM","compartilhamento com órgãos governamentais; ","") &amp; IF(AJ966="NÃO","ausência de controle de acesso por perfil; ","")),"DPIA não indicado: Processo de baixa criticidade."))</f>
      </c>
    </row>
    <row x14ac:dyDescent="0.25" r="967" customHeight="1" ht="15.75">
      <c r="A967" s="46"/>
      <c r="B967" s="6"/>
      <c r="C967" s="11"/>
      <c r="D967" s="11"/>
      <c r="E967" s="11"/>
      <c r="F967" s="29"/>
      <c r="G967" s="11"/>
      <c r="H967" s="11"/>
      <c r="I967" s="29"/>
      <c r="J967" s="11"/>
      <c r="K967" s="29"/>
      <c r="L967" s="11"/>
      <c r="M967" s="11"/>
      <c r="N967" s="11"/>
      <c r="O967" s="29"/>
      <c r="P967" s="29"/>
      <c r="Q967" s="11"/>
      <c r="R967" s="29"/>
      <c r="S967" s="11"/>
      <c r="T967" s="6"/>
      <c r="U967" s="29"/>
      <c r="V967" s="11"/>
      <c r="W967" s="11"/>
      <c r="X967" s="29"/>
      <c r="Y967" s="11"/>
      <c r="Z967" s="29"/>
      <c r="AA967" s="29"/>
      <c r="AB967" s="11"/>
      <c r="AC967" s="11"/>
      <c r="AD967" s="29"/>
      <c r="AE967" s="11"/>
      <c r="AF967" s="29"/>
      <c r="AG967" s="11"/>
      <c r="AH967" s="29"/>
      <c r="AI967" s="11"/>
      <c r="AJ967" s="29"/>
      <c r="AK967" s="29"/>
      <c r="AL967" s="29"/>
      <c r="AM967" s="11"/>
      <c r="AN967" s="29"/>
      <c r="AO967" s="29"/>
      <c r="AP967" s="6"/>
      <c r="AQ967" s="113">
        <f>IF(AND(I967="",K967="",AF967="",AL967="",AN967="",O967=""),"",IF(OR(I967="SIM",K967="SIM",AF967="SIM",AL967="SIM",AN967="Dados pessoais",AN967="Dados sensíveis",AN967="Dados pessoais e sensíveis",O967="Acima de 10.000 titulares por mês"),"SIM - Alta criticidade",IF((IF(I967="SIM",2,0)+IF(K967="SIM",2,0)+IF(AF967="SIM",2,0)+IF(OR(AN967="Dados pessoais",AN967="Dados sensíveis",AN967="Dados pessoais e sensíveis"),2,0)+IF(O967="De 1.001 a 10.000 titulares por mês",1,0)+IF(AA967="SIM",1,0)+IF(R967="SIM",1,0)+IF(AL967="SIM",1,0)+IF(AJ967="NÃO",1,0))&gt;=5,"SIM - Alta criticidade",IF((IF(I967="SIM",2,0)+IF(K967="SIM",2,0)+IF(AF967="SIM",2,0)+IF(OR(AN967="Dados pessoais",AN967="Dados sensíveis",AN967="Dados pessoais e sensíveis"),2,0)+IF(O967="De 1.001 a 10.000 titulares por mês",1,0)+IF(AA967="SIM",1,0)+IF(R967="SIM",1,0)+IF(AL967="SIM",1,0)+IF(AJ967="NÃO",1,0))&gt;=3,"Avaliação necessária","NÃO"))))</f>
      </c>
      <c r="AR967" s="11"/>
      <c r="AS967" s="113">
        <f>IF(AND(I967="",K967="",AF967="",AL967="",AN967="",O967=""),"",IF(OR(I967="SIM",K967="SIM",AF967="SIM",AL967="SIM",OR(AN967="Dados pessoais",AN967="Dados sensíveis",AN967="Dados pessoais e sensíveis"),O967="Acima de 10.000 titulares por mês",(IF(I967="SIM",2,0)+IF(K967="SIM",2,0)+IF(AF967="SIM",2,0)+IF(OR(AN967="Dados pessoais",AN967="Dados sensíveis",AN967="Dados pessoais e sensíveis"),2,0)+IF(O967="De 1.001 a 10.000 titulares por mês",1,0)+IF(AA967="SIM",1,0)+IF(R967="SIM",1,0)+IF(AL967="SIM",1,0)+IF(AJ967="NÃO",1,0))&gt;=3),"DPIA indicado ou em avaliação em razão de: " &amp; TRIM(IF(I967="SIM","tratamento de dados sensíveis; ","") &amp; IF(K967="SIM","utilização de dados de menores; ","") &amp; IF(AF967="SIM","transferência internacional de dados; ","") &amp; IF(AL967="SIM","utilização de inteligência artificial; ","") &amp; IF(OR(AN967="Dados pessoais",AN967="Dados sensíveis",AN967="Dados pessoais e sensíveis"),"dados inseridos em IA; ","") &amp; IF(O967="Acima de 10.000 titulares por mês","volume crítico de titulares; ","") &amp; IF(O967="De 1.001 a 10.000 titulares por mês","volume moderado de titulares; ","") &amp; IF(AA967="SIM","compartilhamento com terceiros; ","") &amp; IF(R967="SIM","compartilhamento com órgãos governamentais; ","") &amp; IF(AJ967="NÃO","ausência de controle de acesso por perfil; ","")),"DPIA não indicado: Processo de baixa criticidade."))</f>
      </c>
    </row>
    <row x14ac:dyDescent="0.25" r="968" customHeight="1" ht="15.75">
      <c r="A968" s="46"/>
      <c r="B968" s="6"/>
      <c r="C968" s="11"/>
      <c r="D968" s="11"/>
      <c r="E968" s="11"/>
      <c r="F968" s="29"/>
      <c r="G968" s="11"/>
      <c r="H968" s="11"/>
      <c r="I968" s="29"/>
      <c r="J968" s="11"/>
      <c r="K968" s="29"/>
      <c r="L968" s="11"/>
      <c r="M968" s="11"/>
      <c r="N968" s="11"/>
      <c r="O968" s="29"/>
      <c r="P968" s="29"/>
      <c r="Q968" s="11"/>
      <c r="R968" s="29"/>
      <c r="S968" s="11"/>
      <c r="T968" s="6"/>
      <c r="U968" s="29"/>
      <c r="V968" s="11"/>
      <c r="W968" s="11"/>
      <c r="X968" s="29"/>
      <c r="Y968" s="11"/>
      <c r="Z968" s="29"/>
      <c r="AA968" s="29"/>
      <c r="AB968" s="11"/>
      <c r="AC968" s="11"/>
      <c r="AD968" s="29"/>
      <c r="AE968" s="11"/>
      <c r="AF968" s="29"/>
      <c r="AG968" s="11"/>
      <c r="AH968" s="29"/>
      <c r="AI968" s="11"/>
      <c r="AJ968" s="29"/>
      <c r="AK968" s="29"/>
      <c r="AL968" s="29"/>
      <c r="AM968" s="11"/>
      <c r="AN968" s="29"/>
      <c r="AO968" s="29"/>
      <c r="AP968" s="6"/>
      <c r="AQ968" s="113">
        <f>IF(AND(I968="",K968="",AF968="",AL968="",AN968="",O968=""),"",IF(OR(I968="SIM",K968="SIM",AF968="SIM",AL968="SIM",AN968="Dados pessoais",AN968="Dados sensíveis",AN968="Dados pessoais e sensíveis",O968="Acima de 10.000 titulares por mês"),"SIM - Alta criticidade",IF((IF(I968="SIM",2,0)+IF(K968="SIM",2,0)+IF(AF968="SIM",2,0)+IF(OR(AN968="Dados pessoais",AN968="Dados sensíveis",AN968="Dados pessoais e sensíveis"),2,0)+IF(O968="De 1.001 a 10.000 titulares por mês",1,0)+IF(AA968="SIM",1,0)+IF(R968="SIM",1,0)+IF(AL968="SIM",1,0)+IF(AJ968="NÃO",1,0))&gt;=5,"SIM - Alta criticidade",IF((IF(I968="SIM",2,0)+IF(K968="SIM",2,0)+IF(AF968="SIM",2,0)+IF(OR(AN968="Dados pessoais",AN968="Dados sensíveis",AN968="Dados pessoais e sensíveis"),2,0)+IF(O968="De 1.001 a 10.000 titulares por mês",1,0)+IF(AA968="SIM",1,0)+IF(R968="SIM",1,0)+IF(AL968="SIM",1,0)+IF(AJ968="NÃO",1,0))&gt;=3,"Avaliação necessária","NÃO"))))</f>
      </c>
      <c r="AR968" s="11"/>
      <c r="AS968" s="113">
        <f>IF(AND(I968="",K968="",AF968="",AL968="",AN968="",O968=""),"",IF(OR(I968="SIM",K968="SIM",AF968="SIM",AL968="SIM",OR(AN968="Dados pessoais",AN968="Dados sensíveis",AN968="Dados pessoais e sensíveis"),O968="Acima de 10.000 titulares por mês",(IF(I968="SIM",2,0)+IF(K968="SIM",2,0)+IF(AF968="SIM",2,0)+IF(OR(AN968="Dados pessoais",AN968="Dados sensíveis",AN968="Dados pessoais e sensíveis"),2,0)+IF(O968="De 1.001 a 10.000 titulares por mês",1,0)+IF(AA968="SIM",1,0)+IF(R968="SIM",1,0)+IF(AL968="SIM",1,0)+IF(AJ968="NÃO",1,0))&gt;=3),"DPIA indicado ou em avaliação em razão de: " &amp; TRIM(IF(I968="SIM","tratamento de dados sensíveis; ","") &amp; IF(K968="SIM","utilização de dados de menores; ","") &amp; IF(AF968="SIM","transferência internacional de dados; ","") &amp; IF(AL968="SIM","utilização de inteligência artificial; ","") &amp; IF(OR(AN968="Dados pessoais",AN968="Dados sensíveis",AN968="Dados pessoais e sensíveis"),"dados inseridos em IA; ","") &amp; IF(O968="Acima de 10.000 titulares por mês","volume crítico de titulares; ","") &amp; IF(O968="De 1.001 a 10.000 titulares por mês","volume moderado de titulares; ","") &amp; IF(AA968="SIM","compartilhamento com terceiros; ","") &amp; IF(R968="SIM","compartilhamento com órgãos governamentais; ","") &amp; IF(AJ968="NÃO","ausência de controle de acesso por perfil; ","")),"DPIA não indicado: Processo de baixa criticidade."))</f>
      </c>
    </row>
    <row x14ac:dyDescent="0.25" r="969" customHeight="1" ht="15.75">
      <c r="A969" s="46"/>
      <c r="B969" s="6"/>
      <c r="C969" s="11"/>
      <c r="D969" s="11"/>
      <c r="E969" s="11"/>
      <c r="F969" s="29"/>
      <c r="G969" s="11"/>
      <c r="H969" s="11"/>
      <c r="I969" s="29"/>
      <c r="J969" s="11"/>
      <c r="K969" s="29"/>
      <c r="L969" s="11"/>
      <c r="M969" s="11"/>
      <c r="N969" s="11"/>
      <c r="O969" s="29"/>
      <c r="P969" s="29"/>
      <c r="Q969" s="11"/>
      <c r="R969" s="29"/>
      <c r="S969" s="11"/>
      <c r="T969" s="6"/>
      <c r="U969" s="29"/>
      <c r="V969" s="11"/>
      <c r="W969" s="11"/>
      <c r="X969" s="29"/>
      <c r="Y969" s="11"/>
      <c r="Z969" s="29"/>
      <c r="AA969" s="29"/>
      <c r="AB969" s="11"/>
      <c r="AC969" s="11"/>
      <c r="AD969" s="29"/>
      <c r="AE969" s="11"/>
      <c r="AF969" s="29"/>
      <c r="AG969" s="11"/>
      <c r="AH969" s="29"/>
      <c r="AI969" s="11"/>
      <c r="AJ969" s="29"/>
      <c r="AK969" s="29"/>
      <c r="AL969" s="29"/>
      <c r="AM969" s="11"/>
      <c r="AN969" s="29"/>
      <c r="AO969" s="29"/>
      <c r="AP969" s="6"/>
      <c r="AQ969" s="113">
        <f>IF(AND(I969="",K969="",AF969="",AL969="",AN969="",O969=""),"",IF(OR(I969="SIM",K969="SIM",AF969="SIM",AL969="SIM",AN969="Dados pessoais",AN969="Dados sensíveis",AN969="Dados pessoais e sensíveis",O969="Acima de 10.000 titulares por mês"),"SIM - Alta criticidade",IF((IF(I969="SIM",2,0)+IF(K969="SIM",2,0)+IF(AF969="SIM",2,0)+IF(OR(AN969="Dados pessoais",AN969="Dados sensíveis",AN969="Dados pessoais e sensíveis"),2,0)+IF(O969="De 1.001 a 10.000 titulares por mês",1,0)+IF(AA969="SIM",1,0)+IF(R969="SIM",1,0)+IF(AL969="SIM",1,0)+IF(AJ969="NÃO",1,0))&gt;=5,"SIM - Alta criticidade",IF((IF(I969="SIM",2,0)+IF(K969="SIM",2,0)+IF(AF969="SIM",2,0)+IF(OR(AN969="Dados pessoais",AN969="Dados sensíveis",AN969="Dados pessoais e sensíveis"),2,0)+IF(O969="De 1.001 a 10.000 titulares por mês",1,0)+IF(AA969="SIM",1,0)+IF(R969="SIM",1,0)+IF(AL969="SIM",1,0)+IF(AJ969="NÃO",1,0))&gt;=3,"Avaliação necessária","NÃO"))))</f>
      </c>
      <c r="AR969" s="11"/>
      <c r="AS969" s="113">
        <f>IF(AND(I969="",K969="",AF969="",AL969="",AN969="",O969=""),"",IF(OR(I969="SIM",K969="SIM",AF969="SIM",AL969="SIM",OR(AN969="Dados pessoais",AN969="Dados sensíveis",AN969="Dados pessoais e sensíveis"),O969="Acima de 10.000 titulares por mês",(IF(I969="SIM",2,0)+IF(K969="SIM",2,0)+IF(AF969="SIM",2,0)+IF(OR(AN969="Dados pessoais",AN969="Dados sensíveis",AN969="Dados pessoais e sensíveis"),2,0)+IF(O969="De 1.001 a 10.000 titulares por mês",1,0)+IF(AA969="SIM",1,0)+IF(R969="SIM",1,0)+IF(AL969="SIM",1,0)+IF(AJ969="NÃO",1,0))&gt;=3),"DPIA indicado ou em avaliação em razão de: " &amp; TRIM(IF(I969="SIM","tratamento de dados sensíveis; ","") &amp; IF(K969="SIM","utilização de dados de menores; ","") &amp; IF(AF969="SIM","transferência internacional de dados; ","") &amp; IF(AL969="SIM","utilização de inteligência artificial; ","") &amp; IF(OR(AN969="Dados pessoais",AN969="Dados sensíveis",AN969="Dados pessoais e sensíveis"),"dados inseridos em IA; ","") &amp; IF(O969="Acima de 10.000 titulares por mês","volume crítico de titulares; ","") &amp; IF(O969="De 1.001 a 10.000 titulares por mês","volume moderado de titulares; ","") &amp; IF(AA969="SIM","compartilhamento com terceiros; ","") &amp; IF(R969="SIM","compartilhamento com órgãos governamentais; ","") &amp; IF(AJ969="NÃO","ausência de controle de acesso por perfil; ","")),"DPIA não indicado: Processo de baixa criticidade."))</f>
      </c>
    </row>
    <row x14ac:dyDescent="0.25" r="970" customHeight="1" ht="15.75">
      <c r="A970" s="46"/>
      <c r="B970" s="6"/>
      <c r="C970" s="11"/>
      <c r="D970" s="11"/>
      <c r="E970" s="11"/>
      <c r="F970" s="29"/>
      <c r="G970" s="11"/>
      <c r="H970" s="11"/>
      <c r="I970" s="29"/>
      <c r="J970" s="11"/>
      <c r="K970" s="29"/>
      <c r="L970" s="11"/>
      <c r="M970" s="11"/>
      <c r="N970" s="11"/>
      <c r="O970" s="29"/>
      <c r="P970" s="29"/>
      <c r="Q970" s="11"/>
      <c r="R970" s="29"/>
      <c r="S970" s="11"/>
      <c r="T970" s="6"/>
      <c r="U970" s="29"/>
      <c r="V970" s="11"/>
      <c r="W970" s="11"/>
      <c r="X970" s="29"/>
      <c r="Y970" s="11"/>
      <c r="Z970" s="29"/>
      <c r="AA970" s="29"/>
      <c r="AB970" s="11"/>
      <c r="AC970" s="11"/>
      <c r="AD970" s="29"/>
      <c r="AE970" s="11"/>
      <c r="AF970" s="29"/>
      <c r="AG970" s="11"/>
      <c r="AH970" s="29"/>
      <c r="AI970" s="11"/>
      <c r="AJ970" s="29"/>
      <c r="AK970" s="29"/>
      <c r="AL970" s="29"/>
      <c r="AM970" s="11"/>
      <c r="AN970" s="29"/>
      <c r="AO970" s="29"/>
      <c r="AP970" s="6"/>
      <c r="AQ970" s="113">
        <f>IF(AND(I970="",K970="",AF970="",AL970="",AN970="",O970=""),"",IF(OR(I970="SIM",K970="SIM",AF970="SIM",AL970="SIM",AN970="Dados pessoais",AN970="Dados sensíveis",AN970="Dados pessoais e sensíveis",O970="Acima de 10.000 titulares por mês"),"SIM - Alta criticidade",IF((IF(I970="SIM",2,0)+IF(K970="SIM",2,0)+IF(AF970="SIM",2,0)+IF(OR(AN970="Dados pessoais",AN970="Dados sensíveis",AN970="Dados pessoais e sensíveis"),2,0)+IF(O970="De 1.001 a 10.000 titulares por mês",1,0)+IF(AA970="SIM",1,0)+IF(R970="SIM",1,0)+IF(AL970="SIM",1,0)+IF(AJ970="NÃO",1,0))&gt;=5,"SIM - Alta criticidade",IF((IF(I970="SIM",2,0)+IF(K970="SIM",2,0)+IF(AF970="SIM",2,0)+IF(OR(AN970="Dados pessoais",AN970="Dados sensíveis",AN970="Dados pessoais e sensíveis"),2,0)+IF(O970="De 1.001 a 10.000 titulares por mês",1,0)+IF(AA970="SIM",1,0)+IF(R970="SIM",1,0)+IF(AL970="SIM",1,0)+IF(AJ970="NÃO",1,0))&gt;=3,"Avaliação necessária","NÃO"))))</f>
      </c>
      <c r="AR970" s="11"/>
      <c r="AS970" s="113">
        <f>IF(AND(I970="",K970="",AF970="",AL970="",AN970="",O970=""),"",IF(OR(I970="SIM",K970="SIM",AF970="SIM",AL970="SIM",OR(AN970="Dados pessoais",AN970="Dados sensíveis",AN970="Dados pessoais e sensíveis"),O970="Acima de 10.000 titulares por mês",(IF(I970="SIM",2,0)+IF(K970="SIM",2,0)+IF(AF970="SIM",2,0)+IF(OR(AN970="Dados pessoais",AN970="Dados sensíveis",AN970="Dados pessoais e sensíveis"),2,0)+IF(O970="De 1.001 a 10.000 titulares por mês",1,0)+IF(AA970="SIM",1,0)+IF(R970="SIM",1,0)+IF(AL970="SIM",1,0)+IF(AJ970="NÃO",1,0))&gt;=3),"DPIA indicado ou em avaliação em razão de: " &amp; TRIM(IF(I970="SIM","tratamento de dados sensíveis; ","") &amp; IF(K970="SIM","utilização de dados de menores; ","") &amp; IF(AF970="SIM","transferência internacional de dados; ","") &amp; IF(AL970="SIM","utilização de inteligência artificial; ","") &amp; IF(OR(AN970="Dados pessoais",AN970="Dados sensíveis",AN970="Dados pessoais e sensíveis"),"dados inseridos em IA; ","") &amp; IF(O970="Acima de 10.000 titulares por mês","volume crítico de titulares; ","") &amp; IF(O970="De 1.001 a 10.000 titulares por mês","volume moderado de titulares; ","") &amp; IF(AA970="SIM","compartilhamento com terceiros; ","") &amp; IF(R970="SIM","compartilhamento com órgãos governamentais; ","") &amp; IF(AJ970="NÃO","ausência de controle de acesso por perfil; ","")),"DPIA não indicado: Processo de baixa criticidade."))</f>
      </c>
    </row>
    <row x14ac:dyDescent="0.25" r="971" customHeight="1" ht="15.75">
      <c r="A971" s="46"/>
      <c r="B971" s="6"/>
      <c r="C971" s="11"/>
      <c r="D971" s="11"/>
      <c r="E971" s="11"/>
      <c r="F971" s="29"/>
      <c r="G971" s="11"/>
      <c r="H971" s="11"/>
      <c r="I971" s="29"/>
      <c r="J971" s="11"/>
      <c r="K971" s="29"/>
      <c r="L971" s="11"/>
      <c r="M971" s="11"/>
      <c r="N971" s="11"/>
      <c r="O971" s="29"/>
      <c r="P971" s="29"/>
      <c r="Q971" s="11"/>
      <c r="R971" s="29"/>
      <c r="S971" s="11"/>
      <c r="T971" s="6"/>
      <c r="U971" s="29"/>
      <c r="V971" s="11"/>
      <c r="W971" s="11"/>
      <c r="X971" s="29"/>
      <c r="Y971" s="11"/>
      <c r="Z971" s="29"/>
      <c r="AA971" s="29"/>
      <c r="AB971" s="11"/>
      <c r="AC971" s="11"/>
      <c r="AD971" s="29"/>
      <c r="AE971" s="11"/>
      <c r="AF971" s="29"/>
      <c r="AG971" s="11"/>
      <c r="AH971" s="29"/>
      <c r="AI971" s="11"/>
      <c r="AJ971" s="29"/>
      <c r="AK971" s="29"/>
      <c r="AL971" s="29"/>
      <c r="AM971" s="11"/>
      <c r="AN971" s="29"/>
      <c r="AO971" s="29"/>
      <c r="AP971" s="6"/>
      <c r="AQ971" s="113">
        <f>IF(AND(I971="",K971="",AF971="",AL971="",AN971="",O971=""),"",IF(OR(I971="SIM",K971="SIM",AF971="SIM",AL971="SIM",AN971="Dados pessoais",AN971="Dados sensíveis",AN971="Dados pessoais e sensíveis",O971="Acima de 10.000 titulares por mês"),"SIM - Alta criticidade",IF((IF(I971="SIM",2,0)+IF(K971="SIM",2,0)+IF(AF971="SIM",2,0)+IF(OR(AN971="Dados pessoais",AN971="Dados sensíveis",AN971="Dados pessoais e sensíveis"),2,0)+IF(O971="De 1.001 a 10.000 titulares por mês",1,0)+IF(AA971="SIM",1,0)+IF(R971="SIM",1,0)+IF(AL971="SIM",1,0)+IF(AJ971="NÃO",1,0))&gt;=5,"SIM - Alta criticidade",IF((IF(I971="SIM",2,0)+IF(K971="SIM",2,0)+IF(AF971="SIM",2,0)+IF(OR(AN971="Dados pessoais",AN971="Dados sensíveis",AN971="Dados pessoais e sensíveis"),2,0)+IF(O971="De 1.001 a 10.000 titulares por mês",1,0)+IF(AA971="SIM",1,0)+IF(R971="SIM",1,0)+IF(AL971="SIM",1,0)+IF(AJ971="NÃO",1,0))&gt;=3,"Avaliação necessária","NÃO"))))</f>
      </c>
      <c r="AR971" s="11"/>
      <c r="AS971" s="113">
        <f>IF(AND(I971="",K971="",AF971="",AL971="",AN971="",O971=""),"",IF(OR(I971="SIM",K971="SIM",AF971="SIM",AL971="SIM",OR(AN971="Dados pessoais",AN971="Dados sensíveis",AN971="Dados pessoais e sensíveis"),O971="Acima de 10.000 titulares por mês",(IF(I971="SIM",2,0)+IF(K971="SIM",2,0)+IF(AF971="SIM",2,0)+IF(OR(AN971="Dados pessoais",AN971="Dados sensíveis",AN971="Dados pessoais e sensíveis"),2,0)+IF(O971="De 1.001 a 10.000 titulares por mês",1,0)+IF(AA971="SIM",1,0)+IF(R971="SIM",1,0)+IF(AL971="SIM",1,0)+IF(AJ971="NÃO",1,0))&gt;=3),"DPIA indicado ou em avaliação em razão de: " &amp; TRIM(IF(I971="SIM","tratamento de dados sensíveis; ","") &amp; IF(K971="SIM","utilização de dados de menores; ","") &amp; IF(AF971="SIM","transferência internacional de dados; ","") &amp; IF(AL971="SIM","utilização de inteligência artificial; ","") &amp; IF(OR(AN971="Dados pessoais",AN971="Dados sensíveis",AN971="Dados pessoais e sensíveis"),"dados inseridos em IA; ","") &amp; IF(O971="Acima de 10.000 titulares por mês","volume crítico de titulares; ","") &amp; IF(O971="De 1.001 a 10.000 titulares por mês","volume moderado de titulares; ","") &amp; IF(AA971="SIM","compartilhamento com terceiros; ","") &amp; IF(R971="SIM","compartilhamento com órgãos governamentais; ","") &amp; IF(AJ971="NÃO","ausência de controle de acesso por perfil; ","")),"DPIA não indicado: Processo de baixa criticidade."))</f>
      </c>
    </row>
    <row x14ac:dyDescent="0.25" r="972" customHeight="1" ht="15.75">
      <c r="A972" s="46"/>
      <c r="B972" s="6"/>
      <c r="C972" s="11"/>
      <c r="D972" s="11"/>
      <c r="E972" s="11"/>
      <c r="F972" s="29"/>
      <c r="G972" s="11"/>
      <c r="H972" s="11"/>
      <c r="I972" s="29"/>
      <c r="J972" s="11"/>
      <c r="K972" s="29"/>
      <c r="L972" s="11"/>
      <c r="M972" s="11"/>
      <c r="N972" s="11"/>
      <c r="O972" s="29"/>
      <c r="P972" s="29"/>
      <c r="Q972" s="11"/>
      <c r="R972" s="29"/>
      <c r="S972" s="11"/>
      <c r="T972" s="6"/>
      <c r="U972" s="29"/>
      <c r="V972" s="11"/>
      <c r="W972" s="11"/>
      <c r="X972" s="29"/>
      <c r="Y972" s="11"/>
      <c r="Z972" s="29"/>
      <c r="AA972" s="29"/>
      <c r="AB972" s="11"/>
      <c r="AC972" s="11"/>
      <c r="AD972" s="29"/>
      <c r="AE972" s="11"/>
      <c r="AF972" s="29"/>
      <c r="AG972" s="11"/>
      <c r="AH972" s="29"/>
      <c r="AI972" s="11"/>
      <c r="AJ972" s="29"/>
      <c r="AK972" s="29"/>
      <c r="AL972" s="29"/>
      <c r="AM972" s="11"/>
      <c r="AN972" s="29"/>
      <c r="AO972" s="29"/>
      <c r="AP972" s="6"/>
      <c r="AQ972" s="113">
        <f>IF(AND(I972="",K972="",AF972="",AL972="",AN972="",O972=""),"",IF(OR(I972="SIM",K972="SIM",AF972="SIM",AL972="SIM",AN972="Dados pessoais",AN972="Dados sensíveis",AN972="Dados pessoais e sensíveis",O972="Acima de 10.000 titulares por mês"),"SIM - Alta criticidade",IF((IF(I972="SIM",2,0)+IF(K972="SIM",2,0)+IF(AF972="SIM",2,0)+IF(OR(AN972="Dados pessoais",AN972="Dados sensíveis",AN972="Dados pessoais e sensíveis"),2,0)+IF(O972="De 1.001 a 10.000 titulares por mês",1,0)+IF(AA972="SIM",1,0)+IF(R972="SIM",1,0)+IF(AL972="SIM",1,0)+IF(AJ972="NÃO",1,0))&gt;=5,"SIM - Alta criticidade",IF((IF(I972="SIM",2,0)+IF(K972="SIM",2,0)+IF(AF972="SIM",2,0)+IF(OR(AN972="Dados pessoais",AN972="Dados sensíveis",AN972="Dados pessoais e sensíveis"),2,0)+IF(O972="De 1.001 a 10.000 titulares por mês",1,0)+IF(AA972="SIM",1,0)+IF(R972="SIM",1,0)+IF(AL972="SIM",1,0)+IF(AJ972="NÃO",1,0))&gt;=3,"Avaliação necessária","NÃO"))))</f>
      </c>
      <c r="AR972" s="11"/>
      <c r="AS972" s="113">
        <f>IF(AND(I972="",K972="",AF972="",AL972="",AN972="",O972=""),"",IF(OR(I972="SIM",K972="SIM",AF972="SIM",AL972="SIM",OR(AN972="Dados pessoais",AN972="Dados sensíveis",AN972="Dados pessoais e sensíveis"),O972="Acima de 10.000 titulares por mês",(IF(I972="SIM",2,0)+IF(K972="SIM",2,0)+IF(AF972="SIM",2,0)+IF(OR(AN972="Dados pessoais",AN972="Dados sensíveis",AN972="Dados pessoais e sensíveis"),2,0)+IF(O972="De 1.001 a 10.000 titulares por mês",1,0)+IF(AA972="SIM",1,0)+IF(R972="SIM",1,0)+IF(AL972="SIM",1,0)+IF(AJ972="NÃO",1,0))&gt;=3),"DPIA indicado ou em avaliação em razão de: " &amp; TRIM(IF(I972="SIM","tratamento de dados sensíveis; ","") &amp; IF(K972="SIM","utilização de dados de menores; ","") &amp; IF(AF972="SIM","transferência internacional de dados; ","") &amp; IF(AL972="SIM","utilização de inteligência artificial; ","") &amp; IF(OR(AN972="Dados pessoais",AN972="Dados sensíveis",AN972="Dados pessoais e sensíveis"),"dados inseridos em IA; ","") &amp; IF(O972="Acima de 10.000 titulares por mês","volume crítico de titulares; ","") &amp; IF(O972="De 1.001 a 10.000 titulares por mês","volume moderado de titulares; ","") &amp; IF(AA972="SIM","compartilhamento com terceiros; ","") &amp; IF(R972="SIM","compartilhamento com órgãos governamentais; ","") &amp; IF(AJ972="NÃO","ausência de controle de acesso por perfil; ","")),"DPIA não indicado: Processo de baixa criticidade."))</f>
      </c>
    </row>
    <row x14ac:dyDescent="0.25" r="973" customHeight="1" ht="15.75">
      <c r="A973" s="46"/>
      <c r="B973" s="6"/>
      <c r="C973" s="11"/>
      <c r="D973" s="11"/>
      <c r="E973" s="11"/>
      <c r="F973" s="29"/>
      <c r="G973" s="11"/>
      <c r="H973" s="11"/>
      <c r="I973" s="29"/>
      <c r="J973" s="11"/>
      <c r="K973" s="29"/>
      <c r="L973" s="11"/>
      <c r="M973" s="11"/>
      <c r="N973" s="11"/>
      <c r="O973" s="29"/>
      <c r="P973" s="29"/>
      <c r="Q973" s="11"/>
      <c r="R973" s="29"/>
      <c r="S973" s="11"/>
      <c r="T973" s="6"/>
      <c r="U973" s="29"/>
      <c r="V973" s="11"/>
      <c r="W973" s="11"/>
      <c r="X973" s="29"/>
      <c r="Y973" s="11"/>
      <c r="Z973" s="29"/>
      <c r="AA973" s="29"/>
      <c r="AB973" s="11"/>
      <c r="AC973" s="11"/>
      <c r="AD973" s="29"/>
      <c r="AE973" s="11"/>
      <c r="AF973" s="29"/>
      <c r="AG973" s="11"/>
      <c r="AH973" s="29"/>
      <c r="AI973" s="11"/>
      <c r="AJ973" s="29"/>
      <c r="AK973" s="29"/>
      <c r="AL973" s="29"/>
      <c r="AM973" s="11"/>
      <c r="AN973" s="29"/>
      <c r="AO973" s="29"/>
      <c r="AP973" s="6"/>
      <c r="AQ973" s="113">
        <f>IF(AND(I973="",K973="",AF973="",AL973="",AN973="",O973=""),"",IF(OR(I973="SIM",K973="SIM",AF973="SIM",AL973="SIM",AN973="Dados pessoais",AN973="Dados sensíveis",AN973="Dados pessoais e sensíveis",O973="Acima de 10.000 titulares por mês"),"SIM - Alta criticidade",IF((IF(I973="SIM",2,0)+IF(K973="SIM",2,0)+IF(AF973="SIM",2,0)+IF(OR(AN973="Dados pessoais",AN973="Dados sensíveis",AN973="Dados pessoais e sensíveis"),2,0)+IF(O973="De 1.001 a 10.000 titulares por mês",1,0)+IF(AA973="SIM",1,0)+IF(R973="SIM",1,0)+IF(AL973="SIM",1,0)+IF(AJ973="NÃO",1,0))&gt;=5,"SIM - Alta criticidade",IF((IF(I973="SIM",2,0)+IF(K973="SIM",2,0)+IF(AF973="SIM",2,0)+IF(OR(AN973="Dados pessoais",AN973="Dados sensíveis",AN973="Dados pessoais e sensíveis"),2,0)+IF(O973="De 1.001 a 10.000 titulares por mês",1,0)+IF(AA973="SIM",1,0)+IF(R973="SIM",1,0)+IF(AL973="SIM",1,0)+IF(AJ973="NÃO",1,0))&gt;=3,"Avaliação necessária","NÃO"))))</f>
      </c>
      <c r="AR973" s="11"/>
      <c r="AS973" s="113">
        <f>IF(AND(I973="",K973="",AF973="",AL973="",AN973="",O973=""),"",IF(OR(I973="SIM",K973="SIM",AF973="SIM",AL973="SIM",OR(AN973="Dados pessoais",AN973="Dados sensíveis",AN973="Dados pessoais e sensíveis"),O973="Acima de 10.000 titulares por mês",(IF(I973="SIM",2,0)+IF(K973="SIM",2,0)+IF(AF973="SIM",2,0)+IF(OR(AN973="Dados pessoais",AN973="Dados sensíveis",AN973="Dados pessoais e sensíveis"),2,0)+IF(O973="De 1.001 a 10.000 titulares por mês",1,0)+IF(AA973="SIM",1,0)+IF(R973="SIM",1,0)+IF(AL973="SIM",1,0)+IF(AJ973="NÃO",1,0))&gt;=3),"DPIA indicado ou em avaliação em razão de: " &amp; TRIM(IF(I973="SIM","tratamento de dados sensíveis; ","") &amp; IF(K973="SIM","utilização de dados de menores; ","") &amp; IF(AF973="SIM","transferência internacional de dados; ","") &amp; IF(AL973="SIM","utilização de inteligência artificial; ","") &amp; IF(OR(AN973="Dados pessoais",AN973="Dados sensíveis",AN973="Dados pessoais e sensíveis"),"dados inseridos em IA; ","") &amp; IF(O973="Acima de 10.000 titulares por mês","volume crítico de titulares; ","") &amp; IF(O973="De 1.001 a 10.000 titulares por mês","volume moderado de titulares; ","") &amp; IF(AA973="SIM","compartilhamento com terceiros; ","") &amp; IF(R973="SIM","compartilhamento com órgãos governamentais; ","") &amp; IF(AJ973="NÃO","ausência de controle de acesso por perfil; ","")),"DPIA não indicado: Processo de baixa criticidade."))</f>
      </c>
    </row>
    <row x14ac:dyDescent="0.25" r="974" customHeight="1" ht="15.75">
      <c r="A974" s="46"/>
      <c r="B974" s="6"/>
      <c r="C974" s="11"/>
      <c r="D974" s="11"/>
      <c r="E974" s="11"/>
      <c r="F974" s="29"/>
      <c r="G974" s="11"/>
      <c r="H974" s="11"/>
      <c r="I974" s="29"/>
      <c r="J974" s="11"/>
      <c r="K974" s="29"/>
      <c r="L974" s="11"/>
      <c r="M974" s="11"/>
      <c r="N974" s="11"/>
      <c r="O974" s="29"/>
      <c r="P974" s="29"/>
      <c r="Q974" s="11"/>
      <c r="R974" s="29"/>
      <c r="S974" s="11"/>
      <c r="T974" s="6"/>
      <c r="U974" s="29"/>
      <c r="V974" s="11"/>
      <c r="W974" s="11"/>
      <c r="X974" s="29"/>
      <c r="Y974" s="11"/>
      <c r="Z974" s="29"/>
      <c r="AA974" s="29"/>
      <c r="AB974" s="11"/>
      <c r="AC974" s="11"/>
      <c r="AD974" s="29"/>
      <c r="AE974" s="11"/>
      <c r="AF974" s="29"/>
      <c r="AG974" s="11"/>
      <c r="AH974" s="29"/>
      <c r="AI974" s="11"/>
      <c r="AJ974" s="29"/>
      <c r="AK974" s="29"/>
      <c r="AL974" s="29"/>
      <c r="AM974" s="11"/>
      <c r="AN974" s="29"/>
      <c r="AO974" s="29"/>
      <c r="AP974" s="6"/>
      <c r="AQ974" s="113">
        <f>IF(AND(I974="",K974="",AF974="",AL974="",AN974="",O974=""),"",IF(OR(I974="SIM",K974="SIM",AF974="SIM",AL974="SIM",AN974="Dados pessoais",AN974="Dados sensíveis",AN974="Dados pessoais e sensíveis",O974="Acima de 10.000 titulares por mês"),"SIM - Alta criticidade",IF((IF(I974="SIM",2,0)+IF(K974="SIM",2,0)+IF(AF974="SIM",2,0)+IF(OR(AN974="Dados pessoais",AN974="Dados sensíveis",AN974="Dados pessoais e sensíveis"),2,0)+IF(O974="De 1.001 a 10.000 titulares por mês",1,0)+IF(AA974="SIM",1,0)+IF(R974="SIM",1,0)+IF(AL974="SIM",1,0)+IF(AJ974="NÃO",1,0))&gt;=5,"SIM - Alta criticidade",IF((IF(I974="SIM",2,0)+IF(K974="SIM",2,0)+IF(AF974="SIM",2,0)+IF(OR(AN974="Dados pessoais",AN974="Dados sensíveis",AN974="Dados pessoais e sensíveis"),2,0)+IF(O974="De 1.001 a 10.000 titulares por mês",1,0)+IF(AA974="SIM",1,0)+IF(R974="SIM",1,0)+IF(AL974="SIM",1,0)+IF(AJ974="NÃO",1,0))&gt;=3,"Avaliação necessária","NÃO"))))</f>
      </c>
      <c r="AR974" s="11"/>
      <c r="AS974" s="113">
        <f>IF(AND(I974="",K974="",AF974="",AL974="",AN974="",O974=""),"",IF(OR(I974="SIM",K974="SIM",AF974="SIM",AL974="SIM",OR(AN974="Dados pessoais",AN974="Dados sensíveis",AN974="Dados pessoais e sensíveis"),O974="Acima de 10.000 titulares por mês",(IF(I974="SIM",2,0)+IF(K974="SIM",2,0)+IF(AF974="SIM",2,0)+IF(OR(AN974="Dados pessoais",AN974="Dados sensíveis",AN974="Dados pessoais e sensíveis"),2,0)+IF(O974="De 1.001 a 10.000 titulares por mês",1,0)+IF(AA974="SIM",1,0)+IF(R974="SIM",1,0)+IF(AL974="SIM",1,0)+IF(AJ974="NÃO",1,0))&gt;=3),"DPIA indicado ou em avaliação em razão de: " &amp; TRIM(IF(I974="SIM","tratamento de dados sensíveis; ","") &amp; IF(K974="SIM","utilização de dados de menores; ","") &amp; IF(AF974="SIM","transferência internacional de dados; ","") &amp; IF(AL974="SIM","utilização de inteligência artificial; ","") &amp; IF(OR(AN974="Dados pessoais",AN974="Dados sensíveis",AN974="Dados pessoais e sensíveis"),"dados inseridos em IA; ","") &amp; IF(O974="Acima de 10.000 titulares por mês","volume crítico de titulares; ","") &amp; IF(O974="De 1.001 a 10.000 titulares por mês","volume moderado de titulares; ","") &amp; IF(AA974="SIM","compartilhamento com terceiros; ","") &amp; IF(R974="SIM","compartilhamento com órgãos governamentais; ","") &amp; IF(AJ974="NÃO","ausência de controle de acesso por perfil; ","")),"DPIA não indicado: Processo de baixa criticidade."))</f>
      </c>
    </row>
    <row x14ac:dyDescent="0.25" r="975" customHeight="1" ht="15.75">
      <c r="A975" s="46"/>
      <c r="B975" s="6"/>
      <c r="C975" s="11"/>
      <c r="D975" s="11"/>
      <c r="E975" s="11"/>
      <c r="F975" s="29"/>
      <c r="G975" s="11"/>
      <c r="H975" s="11"/>
      <c r="I975" s="29"/>
      <c r="J975" s="11"/>
      <c r="K975" s="29"/>
      <c r="L975" s="11"/>
      <c r="M975" s="11"/>
      <c r="N975" s="11"/>
      <c r="O975" s="29"/>
      <c r="P975" s="29"/>
      <c r="Q975" s="11"/>
      <c r="R975" s="29"/>
      <c r="S975" s="11"/>
      <c r="T975" s="6"/>
      <c r="U975" s="29"/>
      <c r="V975" s="11"/>
      <c r="W975" s="11"/>
      <c r="X975" s="29"/>
      <c r="Y975" s="11"/>
      <c r="Z975" s="29"/>
      <c r="AA975" s="29"/>
      <c r="AB975" s="11"/>
      <c r="AC975" s="11"/>
      <c r="AD975" s="29"/>
      <c r="AE975" s="11"/>
      <c r="AF975" s="29"/>
      <c r="AG975" s="11"/>
      <c r="AH975" s="29"/>
      <c r="AI975" s="11"/>
      <c r="AJ975" s="29"/>
      <c r="AK975" s="29"/>
      <c r="AL975" s="29"/>
      <c r="AM975" s="11"/>
      <c r="AN975" s="29"/>
      <c r="AO975" s="29"/>
      <c r="AP975" s="6"/>
      <c r="AQ975" s="113">
        <f>IF(AND(I975="",K975="",AF975="",AL975="",AN975="",O975=""),"",IF(OR(I975="SIM",K975="SIM",AF975="SIM",AL975="SIM",AN975="Dados pessoais",AN975="Dados sensíveis",AN975="Dados pessoais e sensíveis",O975="Acima de 10.000 titulares por mês"),"SIM - Alta criticidade",IF((IF(I975="SIM",2,0)+IF(K975="SIM",2,0)+IF(AF975="SIM",2,0)+IF(OR(AN975="Dados pessoais",AN975="Dados sensíveis",AN975="Dados pessoais e sensíveis"),2,0)+IF(O975="De 1.001 a 10.000 titulares por mês",1,0)+IF(AA975="SIM",1,0)+IF(R975="SIM",1,0)+IF(AL975="SIM",1,0)+IF(AJ975="NÃO",1,0))&gt;=5,"SIM - Alta criticidade",IF((IF(I975="SIM",2,0)+IF(K975="SIM",2,0)+IF(AF975="SIM",2,0)+IF(OR(AN975="Dados pessoais",AN975="Dados sensíveis",AN975="Dados pessoais e sensíveis"),2,0)+IF(O975="De 1.001 a 10.000 titulares por mês",1,0)+IF(AA975="SIM",1,0)+IF(R975="SIM",1,0)+IF(AL975="SIM",1,0)+IF(AJ975="NÃO",1,0))&gt;=3,"Avaliação necessária","NÃO"))))</f>
      </c>
      <c r="AR975" s="11"/>
      <c r="AS975" s="113">
        <f>IF(AND(I975="",K975="",AF975="",AL975="",AN975="",O975=""),"",IF(OR(I975="SIM",K975="SIM",AF975="SIM",AL975="SIM",OR(AN975="Dados pessoais",AN975="Dados sensíveis",AN975="Dados pessoais e sensíveis"),O975="Acima de 10.000 titulares por mês",(IF(I975="SIM",2,0)+IF(K975="SIM",2,0)+IF(AF975="SIM",2,0)+IF(OR(AN975="Dados pessoais",AN975="Dados sensíveis",AN975="Dados pessoais e sensíveis"),2,0)+IF(O975="De 1.001 a 10.000 titulares por mês",1,0)+IF(AA975="SIM",1,0)+IF(R975="SIM",1,0)+IF(AL975="SIM",1,0)+IF(AJ975="NÃO",1,0))&gt;=3),"DPIA indicado ou em avaliação em razão de: " &amp; TRIM(IF(I975="SIM","tratamento de dados sensíveis; ","") &amp; IF(K975="SIM","utilização de dados de menores; ","") &amp; IF(AF975="SIM","transferência internacional de dados; ","") &amp; IF(AL975="SIM","utilização de inteligência artificial; ","") &amp; IF(OR(AN975="Dados pessoais",AN975="Dados sensíveis",AN975="Dados pessoais e sensíveis"),"dados inseridos em IA; ","") &amp; IF(O975="Acima de 10.000 titulares por mês","volume crítico de titulares; ","") &amp; IF(O975="De 1.001 a 10.000 titulares por mês","volume moderado de titulares; ","") &amp; IF(AA975="SIM","compartilhamento com terceiros; ","") &amp; IF(R975="SIM","compartilhamento com órgãos governamentais; ","") &amp; IF(AJ975="NÃO","ausência de controle de acesso por perfil; ","")),"DPIA não indicado: Processo de baixa criticidade."))</f>
      </c>
    </row>
    <row x14ac:dyDescent="0.25" r="976" customHeight="1" ht="15.75">
      <c r="A976" s="46"/>
      <c r="B976" s="6"/>
      <c r="C976" s="11"/>
      <c r="D976" s="11"/>
      <c r="E976" s="11"/>
      <c r="F976" s="29"/>
      <c r="G976" s="11"/>
      <c r="H976" s="11"/>
      <c r="I976" s="29"/>
      <c r="J976" s="11"/>
      <c r="K976" s="29"/>
      <c r="L976" s="11"/>
      <c r="M976" s="11"/>
      <c r="N976" s="11"/>
      <c r="O976" s="29"/>
      <c r="P976" s="29"/>
      <c r="Q976" s="11"/>
      <c r="R976" s="29"/>
      <c r="S976" s="11"/>
      <c r="T976" s="6"/>
      <c r="U976" s="29"/>
      <c r="V976" s="11"/>
      <c r="W976" s="11"/>
      <c r="X976" s="29"/>
      <c r="Y976" s="11"/>
      <c r="Z976" s="29"/>
      <c r="AA976" s="29"/>
      <c r="AB976" s="11"/>
      <c r="AC976" s="11"/>
      <c r="AD976" s="29"/>
      <c r="AE976" s="11"/>
      <c r="AF976" s="29"/>
      <c r="AG976" s="11"/>
      <c r="AH976" s="29"/>
      <c r="AI976" s="11"/>
      <c r="AJ976" s="29"/>
      <c r="AK976" s="29"/>
      <c r="AL976" s="29"/>
      <c r="AM976" s="11"/>
      <c r="AN976" s="29"/>
      <c r="AO976" s="29"/>
      <c r="AP976" s="6"/>
      <c r="AQ976" s="113">
        <f>IF(AND(I976="",K976="",AF976="",AL976="",AN976="",O976=""),"",IF(OR(I976="SIM",K976="SIM",AF976="SIM",AL976="SIM",AN976="Dados pessoais",AN976="Dados sensíveis",AN976="Dados pessoais e sensíveis",O976="Acima de 10.000 titulares por mês"),"SIM - Alta criticidade",IF((IF(I976="SIM",2,0)+IF(K976="SIM",2,0)+IF(AF976="SIM",2,0)+IF(OR(AN976="Dados pessoais",AN976="Dados sensíveis",AN976="Dados pessoais e sensíveis"),2,0)+IF(O976="De 1.001 a 10.000 titulares por mês",1,0)+IF(AA976="SIM",1,0)+IF(R976="SIM",1,0)+IF(AL976="SIM",1,0)+IF(AJ976="NÃO",1,0))&gt;=5,"SIM - Alta criticidade",IF((IF(I976="SIM",2,0)+IF(K976="SIM",2,0)+IF(AF976="SIM",2,0)+IF(OR(AN976="Dados pessoais",AN976="Dados sensíveis",AN976="Dados pessoais e sensíveis"),2,0)+IF(O976="De 1.001 a 10.000 titulares por mês",1,0)+IF(AA976="SIM",1,0)+IF(R976="SIM",1,0)+IF(AL976="SIM",1,0)+IF(AJ976="NÃO",1,0))&gt;=3,"Avaliação necessária","NÃO"))))</f>
      </c>
      <c r="AR976" s="11"/>
      <c r="AS976" s="113">
        <f>IF(AND(I976="",K976="",AF976="",AL976="",AN976="",O976=""),"",IF(OR(I976="SIM",K976="SIM",AF976="SIM",AL976="SIM",OR(AN976="Dados pessoais",AN976="Dados sensíveis",AN976="Dados pessoais e sensíveis"),O976="Acima de 10.000 titulares por mês",(IF(I976="SIM",2,0)+IF(K976="SIM",2,0)+IF(AF976="SIM",2,0)+IF(OR(AN976="Dados pessoais",AN976="Dados sensíveis",AN976="Dados pessoais e sensíveis"),2,0)+IF(O976="De 1.001 a 10.000 titulares por mês",1,0)+IF(AA976="SIM",1,0)+IF(R976="SIM",1,0)+IF(AL976="SIM",1,0)+IF(AJ976="NÃO",1,0))&gt;=3),"DPIA indicado ou em avaliação em razão de: " &amp; TRIM(IF(I976="SIM","tratamento de dados sensíveis; ","") &amp; IF(K976="SIM","utilização de dados de menores; ","") &amp; IF(AF976="SIM","transferência internacional de dados; ","") &amp; IF(AL976="SIM","utilização de inteligência artificial; ","") &amp; IF(OR(AN976="Dados pessoais",AN976="Dados sensíveis",AN976="Dados pessoais e sensíveis"),"dados inseridos em IA; ","") &amp; IF(O976="Acima de 10.000 titulares por mês","volume crítico de titulares; ","") &amp; IF(O976="De 1.001 a 10.000 titulares por mês","volume moderado de titulares; ","") &amp; IF(AA976="SIM","compartilhamento com terceiros; ","") &amp; IF(R976="SIM","compartilhamento com órgãos governamentais; ","") &amp; IF(AJ976="NÃO","ausência de controle de acesso por perfil; ","")),"DPIA não indicado: Processo de baixa criticidade."))</f>
      </c>
    </row>
    <row x14ac:dyDescent="0.25" r="977" customHeight="1" ht="15.75">
      <c r="A977" s="46"/>
      <c r="B977" s="6"/>
      <c r="C977" s="11"/>
      <c r="D977" s="11"/>
      <c r="E977" s="11"/>
      <c r="F977" s="29"/>
      <c r="G977" s="11"/>
      <c r="H977" s="11"/>
      <c r="I977" s="29"/>
      <c r="J977" s="11"/>
      <c r="K977" s="29"/>
      <c r="L977" s="11"/>
      <c r="M977" s="11"/>
      <c r="N977" s="11"/>
      <c r="O977" s="29"/>
      <c r="P977" s="29"/>
      <c r="Q977" s="11"/>
      <c r="R977" s="29"/>
      <c r="S977" s="11"/>
      <c r="T977" s="6"/>
      <c r="U977" s="29"/>
      <c r="V977" s="11"/>
      <c r="W977" s="11"/>
      <c r="X977" s="29"/>
      <c r="Y977" s="11"/>
      <c r="Z977" s="29"/>
      <c r="AA977" s="29"/>
      <c r="AB977" s="11"/>
      <c r="AC977" s="11"/>
      <c r="AD977" s="29"/>
      <c r="AE977" s="11"/>
      <c r="AF977" s="29"/>
      <c r="AG977" s="11"/>
      <c r="AH977" s="29"/>
      <c r="AI977" s="11"/>
      <c r="AJ977" s="29"/>
      <c r="AK977" s="29"/>
      <c r="AL977" s="29"/>
      <c r="AM977" s="11"/>
      <c r="AN977" s="29"/>
      <c r="AO977" s="29"/>
      <c r="AP977" s="6"/>
      <c r="AQ977" s="113">
        <f>IF(AND(I977="",K977="",AF977="",AL977="",AN977="",O977=""),"",IF(OR(I977="SIM",K977="SIM",AF977="SIM",AL977="SIM",AN977="Dados pessoais",AN977="Dados sensíveis",AN977="Dados pessoais e sensíveis",O977="Acima de 10.000 titulares por mês"),"SIM - Alta criticidade",IF((IF(I977="SIM",2,0)+IF(K977="SIM",2,0)+IF(AF977="SIM",2,0)+IF(OR(AN977="Dados pessoais",AN977="Dados sensíveis",AN977="Dados pessoais e sensíveis"),2,0)+IF(O977="De 1.001 a 10.000 titulares por mês",1,0)+IF(AA977="SIM",1,0)+IF(R977="SIM",1,0)+IF(AL977="SIM",1,0)+IF(AJ977="NÃO",1,0))&gt;=5,"SIM - Alta criticidade",IF((IF(I977="SIM",2,0)+IF(K977="SIM",2,0)+IF(AF977="SIM",2,0)+IF(OR(AN977="Dados pessoais",AN977="Dados sensíveis",AN977="Dados pessoais e sensíveis"),2,0)+IF(O977="De 1.001 a 10.000 titulares por mês",1,0)+IF(AA977="SIM",1,0)+IF(R977="SIM",1,0)+IF(AL977="SIM",1,0)+IF(AJ977="NÃO",1,0))&gt;=3,"Avaliação necessária","NÃO"))))</f>
      </c>
      <c r="AR977" s="11"/>
      <c r="AS977" s="113">
        <f>IF(AND(I977="",K977="",AF977="",AL977="",AN977="",O977=""),"",IF(OR(I977="SIM",K977="SIM",AF977="SIM",AL977="SIM",OR(AN977="Dados pessoais",AN977="Dados sensíveis",AN977="Dados pessoais e sensíveis"),O977="Acima de 10.000 titulares por mês",(IF(I977="SIM",2,0)+IF(K977="SIM",2,0)+IF(AF977="SIM",2,0)+IF(OR(AN977="Dados pessoais",AN977="Dados sensíveis",AN977="Dados pessoais e sensíveis"),2,0)+IF(O977="De 1.001 a 10.000 titulares por mês",1,0)+IF(AA977="SIM",1,0)+IF(R977="SIM",1,0)+IF(AL977="SIM",1,0)+IF(AJ977="NÃO",1,0))&gt;=3),"DPIA indicado ou em avaliação em razão de: " &amp; TRIM(IF(I977="SIM","tratamento de dados sensíveis; ","") &amp; IF(K977="SIM","utilização de dados de menores; ","") &amp; IF(AF977="SIM","transferência internacional de dados; ","") &amp; IF(AL977="SIM","utilização de inteligência artificial; ","") &amp; IF(OR(AN977="Dados pessoais",AN977="Dados sensíveis",AN977="Dados pessoais e sensíveis"),"dados inseridos em IA; ","") &amp; IF(O977="Acima de 10.000 titulares por mês","volume crítico de titulares; ","") &amp; IF(O977="De 1.001 a 10.000 titulares por mês","volume moderado de titulares; ","") &amp; IF(AA977="SIM","compartilhamento com terceiros; ","") &amp; IF(R977="SIM","compartilhamento com órgãos governamentais; ","") &amp; IF(AJ977="NÃO","ausência de controle de acesso por perfil; ","")),"DPIA não indicado: Processo de baixa criticidade."))</f>
      </c>
    </row>
    <row x14ac:dyDescent="0.25" r="978" customHeight="1" ht="15.75">
      <c r="A978" s="46"/>
      <c r="B978" s="6"/>
      <c r="C978" s="11"/>
      <c r="D978" s="11"/>
      <c r="E978" s="11"/>
      <c r="F978" s="29"/>
      <c r="G978" s="11"/>
      <c r="H978" s="11"/>
      <c r="I978" s="29"/>
      <c r="J978" s="11"/>
      <c r="K978" s="29"/>
      <c r="L978" s="11"/>
      <c r="M978" s="11"/>
      <c r="N978" s="11"/>
      <c r="O978" s="29"/>
      <c r="P978" s="29"/>
      <c r="Q978" s="11"/>
      <c r="R978" s="29"/>
      <c r="S978" s="11"/>
      <c r="T978" s="6"/>
      <c r="U978" s="29"/>
      <c r="V978" s="11"/>
      <c r="W978" s="11"/>
      <c r="X978" s="29"/>
      <c r="Y978" s="11"/>
      <c r="Z978" s="29"/>
      <c r="AA978" s="29"/>
      <c r="AB978" s="11"/>
      <c r="AC978" s="11"/>
      <c r="AD978" s="29"/>
      <c r="AE978" s="11"/>
      <c r="AF978" s="29"/>
      <c r="AG978" s="11"/>
      <c r="AH978" s="29"/>
      <c r="AI978" s="11"/>
      <c r="AJ978" s="29"/>
      <c r="AK978" s="29"/>
      <c r="AL978" s="29"/>
      <c r="AM978" s="11"/>
      <c r="AN978" s="29"/>
      <c r="AO978" s="29"/>
      <c r="AP978" s="6"/>
      <c r="AQ978" s="113">
        <f>IF(AND(I978="",K978="",AF978="",AL978="",AN978="",O978=""),"",IF(OR(I978="SIM",K978="SIM",AF978="SIM",AL978="SIM",AN978="Dados pessoais",AN978="Dados sensíveis",AN978="Dados pessoais e sensíveis",O978="Acima de 10.000 titulares por mês"),"SIM - Alta criticidade",IF((IF(I978="SIM",2,0)+IF(K978="SIM",2,0)+IF(AF978="SIM",2,0)+IF(OR(AN978="Dados pessoais",AN978="Dados sensíveis",AN978="Dados pessoais e sensíveis"),2,0)+IF(O978="De 1.001 a 10.000 titulares por mês",1,0)+IF(AA978="SIM",1,0)+IF(R978="SIM",1,0)+IF(AL978="SIM",1,0)+IF(AJ978="NÃO",1,0))&gt;=5,"SIM - Alta criticidade",IF((IF(I978="SIM",2,0)+IF(K978="SIM",2,0)+IF(AF978="SIM",2,0)+IF(OR(AN978="Dados pessoais",AN978="Dados sensíveis",AN978="Dados pessoais e sensíveis"),2,0)+IF(O978="De 1.001 a 10.000 titulares por mês",1,0)+IF(AA978="SIM",1,0)+IF(R978="SIM",1,0)+IF(AL978="SIM",1,0)+IF(AJ978="NÃO",1,0))&gt;=3,"Avaliação necessária","NÃO"))))</f>
      </c>
      <c r="AR978" s="11"/>
      <c r="AS978" s="113">
        <f>IF(AND(I978="",K978="",AF978="",AL978="",AN978="",O978=""),"",IF(OR(I978="SIM",K978="SIM",AF978="SIM",AL978="SIM",OR(AN978="Dados pessoais",AN978="Dados sensíveis",AN978="Dados pessoais e sensíveis"),O978="Acima de 10.000 titulares por mês",(IF(I978="SIM",2,0)+IF(K978="SIM",2,0)+IF(AF978="SIM",2,0)+IF(OR(AN978="Dados pessoais",AN978="Dados sensíveis",AN978="Dados pessoais e sensíveis"),2,0)+IF(O978="De 1.001 a 10.000 titulares por mês",1,0)+IF(AA978="SIM",1,0)+IF(R978="SIM",1,0)+IF(AL978="SIM",1,0)+IF(AJ978="NÃO",1,0))&gt;=3),"DPIA indicado ou em avaliação em razão de: " &amp; TRIM(IF(I978="SIM","tratamento de dados sensíveis; ","") &amp; IF(K978="SIM","utilização de dados de menores; ","") &amp; IF(AF978="SIM","transferência internacional de dados; ","") &amp; IF(AL978="SIM","utilização de inteligência artificial; ","") &amp; IF(OR(AN978="Dados pessoais",AN978="Dados sensíveis",AN978="Dados pessoais e sensíveis"),"dados inseridos em IA; ","") &amp; IF(O978="Acima de 10.000 titulares por mês","volume crítico de titulares; ","") &amp; IF(O978="De 1.001 a 10.000 titulares por mês","volume moderado de titulares; ","") &amp; IF(AA978="SIM","compartilhamento com terceiros; ","") &amp; IF(R978="SIM","compartilhamento com órgãos governamentais; ","") &amp; IF(AJ978="NÃO","ausência de controle de acesso por perfil; ","")),"DPIA não indicado: Processo de baixa criticidade."))</f>
      </c>
    </row>
    <row x14ac:dyDescent="0.25" r="979" customHeight="1" ht="15.75">
      <c r="A979" s="46"/>
      <c r="B979" s="6"/>
      <c r="C979" s="11"/>
      <c r="D979" s="11"/>
      <c r="E979" s="11"/>
      <c r="F979" s="29"/>
      <c r="G979" s="11"/>
      <c r="H979" s="11"/>
      <c r="I979" s="29"/>
      <c r="J979" s="11"/>
      <c r="K979" s="29"/>
      <c r="L979" s="11"/>
      <c r="M979" s="11"/>
      <c r="N979" s="11"/>
      <c r="O979" s="29"/>
      <c r="P979" s="29"/>
      <c r="Q979" s="11"/>
      <c r="R979" s="29"/>
      <c r="S979" s="11"/>
      <c r="T979" s="6"/>
      <c r="U979" s="29"/>
      <c r="V979" s="11"/>
      <c r="W979" s="11"/>
      <c r="X979" s="29"/>
      <c r="Y979" s="11"/>
      <c r="Z979" s="29"/>
      <c r="AA979" s="29"/>
      <c r="AB979" s="11"/>
      <c r="AC979" s="11"/>
      <c r="AD979" s="29"/>
      <c r="AE979" s="11"/>
      <c r="AF979" s="29"/>
      <c r="AG979" s="11"/>
      <c r="AH979" s="29"/>
      <c r="AI979" s="11"/>
      <c r="AJ979" s="29"/>
      <c r="AK979" s="29"/>
      <c r="AL979" s="29"/>
      <c r="AM979" s="11"/>
      <c r="AN979" s="29"/>
      <c r="AO979" s="29"/>
      <c r="AP979" s="6"/>
      <c r="AQ979" s="113">
        <f>IF(AND(I979="",K979="",AF979="",AL979="",AN979="",O979=""),"",IF(OR(I979="SIM",K979="SIM",AF979="SIM",AL979="SIM",AN979="Dados pessoais",AN979="Dados sensíveis",AN979="Dados pessoais e sensíveis",O979="Acima de 10.000 titulares por mês"),"SIM - Alta criticidade",IF((IF(I979="SIM",2,0)+IF(K979="SIM",2,0)+IF(AF979="SIM",2,0)+IF(OR(AN979="Dados pessoais",AN979="Dados sensíveis",AN979="Dados pessoais e sensíveis"),2,0)+IF(O979="De 1.001 a 10.000 titulares por mês",1,0)+IF(AA979="SIM",1,0)+IF(R979="SIM",1,0)+IF(AL979="SIM",1,0)+IF(AJ979="NÃO",1,0))&gt;=5,"SIM - Alta criticidade",IF((IF(I979="SIM",2,0)+IF(K979="SIM",2,0)+IF(AF979="SIM",2,0)+IF(OR(AN979="Dados pessoais",AN979="Dados sensíveis",AN979="Dados pessoais e sensíveis"),2,0)+IF(O979="De 1.001 a 10.000 titulares por mês",1,0)+IF(AA979="SIM",1,0)+IF(R979="SIM",1,0)+IF(AL979="SIM",1,0)+IF(AJ979="NÃO",1,0))&gt;=3,"Avaliação necessária","NÃO"))))</f>
      </c>
      <c r="AR979" s="11"/>
      <c r="AS979" s="113">
        <f>IF(AND(I979="",K979="",AF979="",AL979="",AN979="",O979=""),"",IF(OR(I979="SIM",K979="SIM",AF979="SIM",AL979="SIM",OR(AN979="Dados pessoais",AN979="Dados sensíveis",AN979="Dados pessoais e sensíveis"),O979="Acima de 10.000 titulares por mês",(IF(I979="SIM",2,0)+IF(K979="SIM",2,0)+IF(AF979="SIM",2,0)+IF(OR(AN979="Dados pessoais",AN979="Dados sensíveis",AN979="Dados pessoais e sensíveis"),2,0)+IF(O979="De 1.001 a 10.000 titulares por mês",1,0)+IF(AA979="SIM",1,0)+IF(R979="SIM",1,0)+IF(AL979="SIM",1,0)+IF(AJ979="NÃO",1,0))&gt;=3),"DPIA indicado ou em avaliação em razão de: " &amp; TRIM(IF(I979="SIM","tratamento de dados sensíveis; ","") &amp; IF(K979="SIM","utilização de dados de menores; ","") &amp; IF(AF979="SIM","transferência internacional de dados; ","") &amp; IF(AL979="SIM","utilização de inteligência artificial; ","") &amp; IF(OR(AN979="Dados pessoais",AN979="Dados sensíveis",AN979="Dados pessoais e sensíveis"),"dados inseridos em IA; ","") &amp; IF(O979="Acima de 10.000 titulares por mês","volume crítico de titulares; ","") &amp; IF(O979="De 1.001 a 10.000 titulares por mês","volume moderado de titulares; ","") &amp; IF(AA979="SIM","compartilhamento com terceiros; ","") &amp; IF(R979="SIM","compartilhamento com órgãos governamentais; ","") &amp; IF(AJ979="NÃO","ausência de controle de acesso por perfil; ","")),"DPIA não indicado: Processo de baixa criticidade."))</f>
      </c>
    </row>
    <row x14ac:dyDescent="0.25" r="980" customHeight="1" ht="15.75">
      <c r="A980" s="46"/>
      <c r="B980" s="6"/>
      <c r="C980" s="11"/>
      <c r="D980" s="11"/>
      <c r="E980" s="11"/>
      <c r="F980" s="29"/>
      <c r="G980" s="11"/>
      <c r="H980" s="11"/>
      <c r="I980" s="29"/>
      <c r="J980" s="11"/>
      <c r="K980" s="29"/>
      <c r="L980" s="11"/>
      <c r="M980" s="11"/>
      <c r="N980" s="11"/>
      <c r="O980" s="29"/>
      <c r="P980" s="29"/>
      <c r="Q980" s="11"/>
      <c r="R980" s="29"/>
      <c r="S980" s="11"/>
      <c r="T980" s="6"/>
      <c r="U980" s="29"/>
      <c r="V980" s="11"/>
      <c r="W980" s="11"/>
      <c r="X980" s="29"/>
      <c r="Y980" s="11"/>
      <c r="Z980" s="29"/>
      <c r="AA980" s="29"/>
      <c r="AB980" s="11"/>
      <c r="AC980" s="11"/>
      <c r="AD980" s="29"/>
      <c r="AE980" s="11"/>
      <c r="AF980" s="29"/>
      <c r="AG980" s="11"/>
      <c r="AH980" s="29"/>
      <c r="AI980" s="11"/>
      <c r="AJ980" s="29"/>
      <c r="AK980" s="29"/>
      <c r="AL980" s="29"/>
      <c r="AM980" s="11"/>
      <c r="AN980" s="29"/>
      <c r="AO980" s="29"/>
      <c r="AP980" s="6"/>
      <c r="AQ980" s="113">
        <f>IF(AND(I980="",K980="",AF980="",AL980="",AN980="",O980=""),"",IF(OR(I980="SIM",K980="SIM",AF980="SIM",AL980="SIM",AN980="Dados pessoais",AN980="Dados sensíveis",AN980="Dados pessoais e sensíveis",O980="Acima de 10.000 titulares por mês"),"SIM - Alta criticidade",IF((IF(I980="SIM",2,0)+IF(K980="SIM",2,0)+IF(AF980="SIM",2,0)+IF(OR(AN980="Dados pessoais",AN980="Dados sensíveis",AN980="Dados pessoais e sensíveis"),2,0)+IF(O980="De 1.001 a 10.000 titulares por mês",1,0)+IF(AA980="SIM",1,0)+IF(R980="SIM",1,0)+IF(AL980="SIM",1,0)+IF(AJ980="NÃO",1,0))&gt;=5,"SIM - Alta criticidade",IF((IF(I980="SIM",2,0)+IF(K980="SIM",2,0)+IF(AF980="SIM",2,0)+IF(OR(AN980="Dados pessoais",AN980="Dados sensíveis",AN980="Dados pessoais e sensíveis"),2,0)+IF(O980="De 1.001 a 10.000 titulares por mês",1,0)+IF(AA980="SIM",1,0)+IF(R980="SIM",1,0)+IF(AL980="SIM",1,0)+IF(AJ980="NÃO",1,0))&gt;=3,"Avaliação necessária","NÃO"))))</f>
      </c>
      <c r="AR980" s="11"/>
      <c r="AS980" s="113">
        <f>IF(AND(I980="",K980="",AF980="",AL980="",AN980="",O980=""),"",IF(OR(I980="SIM",K980="SIM",AF980="SIM",AL980="SIM",OR(AN980="Dados pessoais",AN980="Dados sensíveis",AN980="Dados pessoais e sensíveis"),O980="Acima de 10.000 titulares por mês",(IF(I980="SIM",2,0)+IF(K980="SIM",2,0)+IF(AF980="SIM",2,0)+IF(OR(AN980="Dados pessoais",AN980="Dados sensíveis",AN980="Dados pessoais e sensíveis"),2,0)+IF(O980="De 1.001 a 10.000 titulares por mês",1,0)+IF(AA980="SIM",1,0)+IF(R980="SIM",1,0)+IF(AL980="SIM",1,0)+IF(AJ980="NÃO",1,0))&gt;=3),"DPIA indicado ou em avaliação em razão de: " &amp; TRIM(IF(I980="SIM","tratamento de dados sensíveis; ","") &amp; IF(K980="SIM","utilização de dados de menores; ","") &amp; IF(AF980="SIM","transferência internacional de dados; ","") &amp; IF(AL980="SIM","utilização de inteligência artificial; ","") &amp; IF(OR(AN980="Dados pessoais",AN980="Dados sensíveis",AN980="Dados pessoais e sensíveis"),"dados inseridos em IA; ","") &amp; IF(O980="Acima de 10.000 titulares por mês","volume crítico de titulares; ","") &amp; IF(O980="De 1.001 a 10.000 titulares por mês","volume moderado de titulares; ","") &amp; IF(AA980="SIM","compartilhamento com terceiros; ","") &amp; IF(R980="SIM","compartilhamento com órgãos governamentais; ","") &amp; IF(AJ980="NÃO","ausência de controle de acesso por perfil; ","")),"DPIA não indicado: Processo de baixa criticidade."))</f>
      </c>
    </row>
    <row x14ac:dyDescent="0.25" r="981" customHeight="1" ht="15.75">
      <c r="A981" s="46"/>
      <c r="B981" s="6"/>
      <c r="C981" s="11"/>
      <c r="D981" s="11"/>
      <c r="E981" s="11"/>
      <c r="F981" s="29"/>
      <c r="G981" s="11"/>
      <c r="H981" s="11"/>
      <c r="I981" s="29"/>
      <c r="J981" s="11"/>
      <c r="K981" s="29"/>
      <c r="L981" s="11"/>
      <c r="M981" s="11"/>
      <c r="N981" s="11"/>
      <c r="O981" s="29"/>
      <c r="P981" s="29"/>
      <c r="Q981" s="11"/>
      <c r="R981" s="29"/>
      <c r="S981" s="11"/>
      <c r="T981" s="6"/>
      <c r="U981" s="29"/>
      <c r="V981" s="11"/>
      <c r="W981" s="11"/>
      <c r="X981" s="29"/>
      <c r="Y981" s="11"/>
      <c r="Z981" s="29"/>
      <c r="AA981" s="29"/>
      <c r="AB981" s="11"/>
      <c r="AC981" s="11"/>
      <c r="AD981" s="29"/>
      <c r="AE981" s="11"/>
      <c r="AF981" s="29"/>
      <c r="AG981" s="11"/>
      <c r="AH981" s="29"/>
      <c r="AI981" s="11"/>
      <c r="AJ981" s="29"/>
      <c r="AK981" s="29"/>
      <c r="AL981" s="29"/>
      <c r="AM981" s="11"/>
      <c r="AN981" s="29"/>
      <c r="AO981" s="29"/>
      <c r="AP981" s="6"/>
      <c r="AQ981" s="113">
        <f>IF(AND(I981="",K981="",AF981="",AL981="",AN981="",O981=""),"",IF(OR(I981="SIM",K981="SIM",AF981="SIM",AL981="SIM",AN981="Dados pessoais",AN981="Dados sensíveis",AN981="Dados pessoais e sensíveis",O981="Acima de 10.000 titulares por mês"),"SIM - Alta criticidade",IF((IF(I981="SIM",2,0)+IF(K981="SIM",2,0)+IF(AF981="SIM",2,0)+IF(OR(AN981="Dados pessoais",AN981="Dados sensíveis",AN981="Dados pessoais e sensíveis"),2,0)+IF(O981="De 1.001 a 10.000 titulares por mês",1,0)+IF(AA981="SIM",1,0)+IF(R981="SIM",1,0)+IF(AL981="SIM",1,0)+IF(AJ981="NÃO",1,0))&gt;=5,"SIM - Alta criticidade",IF((IF(I981="SIM",2,0)+IF(K981="SIM",2,0)+IF(AF981="SIM",2,0)+IF(OR(AN981="Dados pessoais",AN981="Dados sensíveis",AN981="Dados pessoais e sensíveis"),2,0)+IF(O981="De 1.001 a 10.000 titulares por mês",1,0)+IF(AA981="SIM",1,0)+IF(R981="SIM",1,0)+IF(AL981="SIM",1,0)+IF(AJ981="NÃO",1,0))&gt;=3,"Avaliação necessária","NÃO"))))</f>
      </c>
      <c r="AR981" s="11"/>
      <c r="AS981" s="113">
        <f>IF(AND(I981="",K981="",AF981="",AL981="",AN981="",O981=""),"",IF(OR(I981="SIM",K981="SIM",AF981="SIM",AL981="SIM",OR(AN981="Dados pessoais",AN981="Dados sensíveis",AN981="Dados pessoais e sensíveis"),O981="Acima de 10.000 titulares por mês",(IF(I981="SIM",2,0)+IF(K981="SIM",2,0)+IF(AF981="SIM",2,0)+IF(OR(AN981="Dados pessoais",AN981="Dados sensíveis",AN981="Dados pessoais e sensíveis"),2,0)+IF(O981="De 1.001 a 10.000 titulares por mês",1,0)+IF(AA981="SIM",1,0)+IF(R981="SIM",1,0)+IF(AL981="SIM",1,0)+IF(AJ981="NÃO",1,0))&gt;=3),"DPIA indicado ou em avaliação em razão de: " &amp; TRIM(IF(I981="SIM","tratamento de dados sensíveis; ","") &amp; IF(K981="SIM","utilização de dados de menores; ","") &amp; IF(AF981="SIM","transferência internacional de dados; ","") &amp; IF(AL981="SIM","utilização de inteligência artificial; ","") &amp; IF(OR(AN981="Dados pessoais",AN981="Dados sensíveis",AN981="Dados pessoais e sensíveis"),"dados inseridos em IA; ","") &amp; IF(O981="Acima de 10.000 titulares por mês","volume crítico de titulares; ","") &amp; IF(O981="De 1.001 a 10.000 titulares por mês","volume moderado de titulares; ","") &amp; IF(AA981="SIM","compartilhamento com terceiros; ","") &amp; IF(R981="SIM","compartilhamento com órgãos governamentais; ","") &amp; IF(AJ981="NÃO","ausência de controle de acesso por perfil; ","")),"DPIA não indicado: Processo de baixa criticidade."))</f>
      </c>
    </row>
    <row x14ac:dyDescent="0.25" r="982" customHeight="1" ht="15.75">
      <c r="A982" s="46"/>
      <c r="B982" s="6"/>
      <c r="C982" s="11"/>
      <c r="D982" s="11"/>
      <c r="E982" s="11"/>
      <c r="F982" s="29"/>
      <c r="G982" s="11"/>
      <c r="H982" s="11"/>
      <c r="I982" s="29"/>
      <c r="J982" s="11"/>
      <c r="K982" s="29"/>
      <c r="L982" s="11"/>
      <c r="M982" s="11"/>
      <c r="N982" s="11"/>
      <c r="O982" s="29"/>
      <c r="P982" s="29"/>
      <c r="Q982" s="11"/>
      <c r="R982" s="29"/>
      <c r="S982" s="11"/>
      <c r="T982" s="6"/>
      <c r="U982" s="29"/>
      <c r="V982" s="11"/>
      <c r="W982" s="11"/>
      <c r="X982" s="29"/>
      <c r="Y982" s="11"/>
      <c r="Z982" s="29"/>
      <c r="AA982" s="29"/>
      <c r="AB982" s="11"/>
      <c r="AC982" s="11"/>
      <c r="AD982" s="29"/>
      <c r="AE982" s="11"/>
      <c r="AF982" s="29"/>
      <c r="AG982" s="11"/>
      <c r="AH982" s="29"/>
      <c r="AI982" s="11"/>
      <c r="AJ982" s="29"/>
      <c r="AK982" s="29"/>
      <c r="AL982" s="29"/>
      <c r="AM982" s="11"/>
      <c r="AN982" s="29"/>
      <c r="AO982" s="29"/>
      <c r="AP982" s="6"/>
      <c r="AQ982" s="113">
        <f>IF(AND(I982="",K982="",AF982="",AL982="",AN982="",O982=""),"",IF(OR(I982="SIM",K982="SIM",AF982="SIM",AL982="SIM",AN982="Dados pessoais",AN982="Dados sensíveis",AN982="Dados pessoais e sensíveis",O982="Acima de 10.000 titulares por mês"),"SIM - Alta criticidade",IF((IF(I982="SIM",2,0)+IF(K982="SIM",2,0)+IF(AF982="SIM",2,0)+IF(OR(AN982="Dados pessoais",AN982="Dados sensíveis",AN982="Dados pessoais e sensíveis"),2,0)+IF(O982="De 1.001 a 10.000 titulares por mês",1,0)+IF(AA982="SIM",1,0)+IF(R982="SIM",1,0)+IF(AL982="SIM",1,0)+IF(AJ982="NÃO",1,0))&gt;=5,"SIM - Alta criticidade",IF((IF(I982="SIM",2,0)+IF(K982="SIM",2,0)+IF(AF982="SIM",2,0)+IF(OR(AN982="Dados pessoais",AN982="Dados sensíveis",AN982="Dados pessoais e sensíveis"),2,0)+IF(O982="De 1.001 a 10.000 titulares por mês",1,0)+IF(AA982="SIM",1,0)+IF(R982="SIM",1,0)+IF(AL982="SIM",1,0)+IF(AJ982="NÃO",1,0))&gt;=3,"Avaliação necessária","NÃO"))))</f>
      </c>
      <c r="AR982" s="11"/>
      <c r="AS982" s="113">
        <f>IF(AND(I982="",K982="",AF982="",AL982="",AN982="",O982=""),"",IF(OR(I982="SIM",K982="SIM",AF982="SIM",AL982="SIM",OR(AN982="Dados pessoais",AN982="Dados sensíveis",AN982="Dados pessoais e sensíveis"),O982="Acima de 10.000 titulares por mês",(IF(I982="SIM",2,0)+IF(K982="SIM",2,0)+IF(AF982="SIM",2,0)+IF(OR(AN982="Dados pessoais",AN982="Dados sensíveis",AN982="Dados pessoais e sensíveis"),2,0)+IF(O982="De 1.001 a 10.000 titulares por mês",1,0)+IF(AA982="SIM",1,0)+IF(R982="SIM",1,0)+IF(AL982="SIM",1,0)+IF(AJ982="NÃO",1,0))&gt;=3),"DPIA indicado ou em avaliação em razão de: " &amp; TRIM(IF(I982="SIM","tratamento de dados sensíveis; ","") &amp; IF(K982="SIM","utilização de dados de menores; ","") &amp; IF(AF982="SIM","transferência internacional de dados; ","") &amp; IF(AL982="SIM","utilização de inteligência artificial; ","") &amp; IF(OR(AN982="Dados pessoais",AN982="Dados sensíveis",AN982="Dados pessoais e sensíveis"),"dados inseridos em IA; ","") &amp; IF(O982="Acima de 10.000 titulares por mês","volume crítico de titulares; ","") &amp; IF(O982="De 1.001 a 10.000 titulares por mês","volume moderado de titulares; ","") &amp; IF(AA982="SIM","compartilhamento com terceiros; ","") &amp; IF(R982="SIM","compartilhamento com órgãos governamentais; ","") &amp; IF(AJ982="NÃO","ausência de controle de acesso por perfil; ","")),"DPIA não indicado: Processo de baixa criticidade."))</f>
      </c>
    </row>
    <row x14ac:dyDescent="0.25" r="983" customHeight="1" ht="15.75">
      <c r="A983" s="46"/>
      <c r="B983" s="6"/>
      <c r="C983" s="11"/>
      <c r="D983" s="11"/>
      <c r="E983" s="11"/>
      <c r="F983" s="29"/>
      <c r="G983" s="11"/>
      <c r="H983" s="11"/>
      <c r="I983" s="29"/>
      <c r="J983" s="11"/>
      <c r="K983" s="29"/>
      <c r="L983" s="11"/>
      <c r="M983" s="11"/>
      <c r="N983" s="11"/>
      <c r="O983" s="29"/>
      <c r="P983" s="29"/>
      <c r="Q983" s="11"/>
      <c r="R983" s="29"/>
      <c r="S983" s="11"/>
      <c r="T983" s="6"/>
      <c r="U983" s="29"/>
      <c r="V983" s="11"/>
      <c r="W983" s="11"/>
      <c r="X983" s="29"/>
      <c r="Y983" s="11"/>
      <c r="Z983" s="29"/>
      <c r="AA983" s="29"/>
      <c r="AB983" s="11"/>
      <c r="AC983" s="11"/>
      <c r="AD983" s="29"/>
      <c r="AE983" s="11"/>
      <c r="AF983" s="29"/>
      <c r="AG983" s="11"/>
      <c r="AH983" s="29"/>
      <c r="AI983" s="11"/>
      <c r="AJ983" s="29"/>
      <c r="AK983" s="29"/>
      <c r="AL983" s="29"/>
      <c r="AM983" s="11"/>
      <c r="AN983" s="29"/>
      <c r="AO983" s="29"/>
      <c r="AP983" s="6"/>
      <c r="AQ983" s="113">
        <f>IF(AND(I983="",K983="",AF983="",AL983="",AN983="",O983=""),"",IF(OR(I983="SIM",K983="SIM",AF983="SIM",AL983="SIM",AN983="Dados pessoais",AN983="Dados sensíveis",AN983="Dados pessoais e sensíveis",O983="Acima de 10.000 titulares por mês"),"SIM - Alta criticidade",IF((IF(I983="SIM",2,0)+IF(K983="SIM",2,0)+IF(AF983="SIM",2,0)+IF(OR(AN983="Dados pessoais",AN983="Dados sensíveis",AN983="Dados pessoais e sensíveis"),2,0)+IF(O983="De 1.001 a 10.000 titulares por mês",1,0)+IF(AA983="SIM",1,0)+IF(R983="SIM",1,0)+IF(AL983="SIM",1,0)+IF(AJ983="NÃO",1,0))&gt;=5,"SIM - Alta criticidade",IF((IF(I983="SIM",2,0)+IF(K983="SIM",2,0)+IF(AF983="SIM",2,0)+IF(OR(AN983="Dados pessoais",AN983="Dados sensíveis",AN983="Dados pessoais e sensíveis"),2,0)+IF(O983="De 1.001 a 10.000 titulares por mês",1,0)+IF(AA983="SIM",1,0)+IF(R983="SIM",1,0)+IF(AL983="SIM",1,0)+IF(AJ983="NÃO",1,0))&gt;=3,"Avaliação necessária","NÃO"))))</f>
      </c>
      <c r="AR983" s="11"/>
      <c r="AS983" s="113">
        <f>IF(AND(I983="",K983="",AF983="",AL983="",AN983="",O983=""),"",IF(OR(I983="SIM",K983="SIM",AF983="SIM",AL983="SIM",OR(AN983="Dados pessoais",AN983="Dados sensíveis",AN983="Dados pessoais e sensíveis"),O983="Acima de 10.000 titulares por mês",(IF(I983="SIM",2,0)+IF(K983="SIM",2,0)+IF(AF983="SIM",2,0)+IF(OR(AN983="Dados pessoais",AN983="Dados sensíveis",AN983="Dados pessoais e sensíveis"),2,0)+IF(O983="De 1.001 a 10.000 titulares por mês",1,0)+IF(AA983="SIM",1,0)+IF(R983="SIM",1,0)+IF(AL983="SIM",1,0)+IF(AJ983="NÃO",1,0))&gt;=3),"DPIA indicado ou em avaliação em razão de: " &amp; TRIM(IF(I983="SIM","tratamento de dados sensíveis; ","") &amp; IF(K983="SIM","utilização de dados de menores; ","") &amp; IF(AF983="SIM","transferência internacional de dados; ","") &amp; IF(AL983="SIM","utilização de inteligência artificial; ","") &amp; IF(OR(AN983="Dados pessoais",AN983="Dados sensíveis",AN983="Dados pessoais e sensíveis"),"dados inseridos em IA; ","") &amp; IF(O983="Acima de 10.000 titulares por mês","volume crítico de titulares; ","") &amp; IF(O983="De 1.001 a 10.000 titulares por mês","volume moderado de titulares; ","") &amp; IF(AA983="SIM","compartilhamento com terceiros; ","") &amp; IF(R983="SIM","compartilhamento com órgãos governamentais; ","") &amp; IF(AJ983="NÃO","ausência de controle de acesso por perfil; ","")),"DPIA não indicado: Processo de baixa criticidade."))</f>
      </c>
    </row>
    <row x14ac:dyDescent="0.25" r="984" customHeight="1" ht="15.75">
      <c r="A984" s="46"/>
      <c r="B984" s="6"/>
      <c r="C984" s="11"/>
      <c r="D984" s="11"/>
      <c r="E984" s="11"/>
      <c r="F984" s="29"/>
      <c r="G984" s="11"/>
      <c r="H984" s="11"/>
      <c r="I984" s="29"/>
      <c r="J984" s="11"/>
      <c r="K984" s="29"/>
      <c r="L984" s="11"/>
      <c r="M984" s="11"/>
      <c r="N984" s="11"/>
      <c r="O984" s="29"/>
      <c r="P984" s="29"/>
      <c r="Q984" s="11"/>
      <c r="R984" s="29"/>
      <c r="S984" s="11"/>
      <c r="T984" s="6"/>
      <c r="U984" s="29"/>
      <c r="V984" s="11"/>
      <c r="W984" s="11"/>
      <c r="X984" s="29"/>
      <c r="Y984" s="11"/>
      <c r="Z984" s="29"/>
      <c r="AA984" s="29"/>
      <c r="AB984" s="11"/>
      <c r="AC984" s="11"/>
      <c r="AD984" s="29"/>
      <c r="AE984" s="11"/>
      <c r="AF984" s="29"/>
      <c r="AG984" s="11"/>
      <c r="AH984" s="29"/>
      <c r="AI984" s="11"/>
      <c r="AJ984" s="29"/>
      <c r="AK984" s="29"/>
      <c r="AL984" s="29"/>
      <c r="AM984" s="11"/>
      <c r="AN984" s="29"/>
      <c r="AO984" s="29"/>
      <c r="AP984" s="6"/>
      <c r="AQ984" s="113">
        <f>IF(AND(I984="",K984="",AF984="",AL984="",AN984="",O984=""),"",IF(OR(I984="SIM",K984="SIM",AF984="SIM",AL984="SIM",AN984="Dados pessoais",AN984="Dados sensíveis",AN984="Dados pessoais e sensíveis",O984="Acima de 10.000 titulares por mês"),"SIM - Alta criticidade",IF((IF(I984="SIM",2,0)+IF(K984="SIM",2,0)+IF(AF984="SIM",2,0)+IF(OR(AN984="Dados pessoais",AN984="Dados sensíveis",AN984="Dados pessoais e sensíveis"),2,0)+IF(O984="De 1.001 a 10.000 titulares por mês",1,0)+IF(AA984="SIM",1,0)+IF(R984="SIM",1,0)+IF(AL984="SIM",1,0)+IF(AJ984="NÃO",1,0))&gt;=5,"SIM - Alta criticidade",IF((IF(I984="SIM",2,0)+IF(K984="SIM",2,0)+IF(AF984="SIM",2,0)+IF(OR(AN984="Dados pessoais",AN984="Dados sensíveis",AN984="Dados pessoais e sensíveis"),2,0)+IF(O984="De 1.001 a 10.000 titulares por mês",1,0)+IF(AA984="SIM",1,0)+IF(R984="SIM",1,0)+IF(AL984="SIM",1,0)+IF(AJ984="NÃO",1,0))&gt;=3,"Avaliação necessária","NÃO"))))</f>
      </c>
      <c r="AR984" s="11"/>
      <c r="AS984" s="113">
        <f>IF(AND(I984="",K984="",AF984="",AL984="",AN984="",O984=""),"",IF(OR(I984="SIM",K984="SIM",AF984="SIM",AL984="SIM",OR(AN984="Dados pessoais",AN984="Dados sensíveis",AN984="Dados pessoais e sensíveis"),O984="Acima de 10.000 titulares por mês",(IF(I984="SIM",2,0)+IF(K984="SIM",2,0)+IF(AF984="SIM",2,0)+IF(OR(AN984="Dados pessoais",AN984="Dados sensíveis",AN984="Dados pessoais e sensíveis"),2,0)+IF(O984="De 1.001 a 10.000 titulares por mês",1,0)+IF(AA984="SIM",1,0)+IF(R984="SIM",1,0)+IF(AL984="SIM",1,0)+IF(AJ984="NÃO",1,0))&gt;=3),"DPIA indicado ou em avaliação em razão de: " &amp; TRIM(IF(I984="SIM","tratamento de dados sensíveis; ","") &amp; IF(K984="SIM","utilização de dados de menores; ","") &amp; IF(AF984="SIM","transferência internacional de dados; ","") &amp; IF(AL984="SIM","utilização de inteligência artificial; ","") &amp; IF(OR(AN984="Dados pessoais",AN984="Dados sensíveis",AN984="Dados pessoais e sensíveis"),"dados inseridos em IA; ","") &amp; IF(O984="Acima de 10.000 titulares por mês","volume crítico de titulares; ","") &amp; IF(O984="De 1.001 a 10.000 titulares por mês","volume moderado de titulares; ","") &amp; IF(AA984="SIM","compartilhamento com terceiros; ","") &amp; IF(R984="SIM","compartilhamento com órgãos governamentais; ","") &amp; IF(AJ984="NÃO","ausência de controle de acesso por perfil; ","")),"DPIA não indicado: Processo de baixa criticidade."))</f>
      </c>
    </row>
    <row x14ac:dyDescent="0.25" r="985" customHeight="1" ht="15.75">
      <c r="A985" s="46"/>
      <c r="B985" s="6"/>
      <c r="C985" s="11"/>
      <c r="D985" s="11"/>
      <c r="E985" s="11"/>
      <c r="F985" s="29"/>
      <c r="G985" s="11"/>
      <c r="H985" s="11"/>
      <c r="I985" s="29"/>
      <c r="J985" s="11"/>
      <c r="K985" s="29"/>
      <c r="L985" s="11"/>
      <c r="M985" s="11"/>
      <c r="N985" s="11"/>
      <c r="O985" s="29"/>
      <c r="P985" s="29"/>
      <c r="Q985" s="11"/>
      <c r="R985" s="29"/>
      <c r="S985" s="11"/>
      <c r="T985" s="6"/>
      <c r="U985" s="29"/>
      <c r="V985" s="11"/>
      <c r="W985" s="11"/>
      <c r="X985" s="29"/>
      <c r="Y985" s="11"/>
      <c r="Z985" s="29"/>
      <c r="AA985" s="29"/>
      <c r="AB985" s="11"/>
      <c r="AC985" s="11"/>
      <c r="AD985" s="29"/>
      <c r="AE985" s="11"/>
      <c r="AF985" s="29"/>
      <c r="AG985" s="11"/>
      <c r="AH985" s="29"/>
      <c r="AI985" s="11"/>
      <c r="AJ985" s="29"/>
      <c r="AK985" s="29"/>
      <c r="AL985" s="29"/>
      <c r="AM985" s="11"/>
      <c r="AN985" s="29"/>
      <c r="AO985" s="29"/>
      <c r="AP985" s="6"/>
      <c r="AQ985" s="113">
        <f>IF(AND(I985="",K985="",AF985="",AL985="",AN985="",O985=""),"",IF(OR(I985="SIM",K985="SIM",AF985="SIM",AL985="SIM",AN985="Dados pessoais",AN985="Dados sensíveis",AN985="Dados pessoais e sensíveis",O985="Acima de 10.000 titulares por mês"),"SIM - Alta criticidade",IF((IF(I985="SIM",2,0)+IF(K985="SIM",2,0)+IF(AF985="SIM",2,0)+IF(OR(AN985="Dados pessoais",AN985="Dados sensíveis",AN985="Dados pessoais e sensíveis"),2,0)+IF(O985="De 1.001 a 10.000 titulares por mês",1,0)+IF(AA985="SIM",1,0)+IF(R985="SIM",1,0)+IF(AL985="SIM",1,0)+IF(AJ985="NÃO",1,0))&gt;=5,"SIM - Alta criticidade",IF((IF(I985="SIM",2,0)+IF(K985="SIM",2,0)+IF(AF985="SIM",2,0)+IF(OR(AN985="Dados pessoais",AN985="Dados sensíveis",AN985="Dados pessoais e sensíveis"),2,0)+IF(O985="De 1.001 a 10.000 titulares por mês",1,0)+IF(AA985="SIM",1,0)+IF(R985="SIM",1,0)+IF(AL985="SIM",1,0)+IF(AJ985="NÃO",1,0))&gt;=3,"Avaliação necessária","NÃO"))))</f>
      </c>
      <c r="AR985" s="11"/>
      <c r="AS985" s="113">
        <f>IF(AND(I985="",K985="",AF985="",AL985="",AN985="",O985=""),"",IF(OR(I985="SIM",K985="SIM",AF985="SIM",AL985="SIM",OR(AN985="Dados pessoais",AN985="Dados sensíveis",AN985="Dados pessoais e sensíveis"),O985="Acima de 10.000 titulares por mês",(IF(I985="SIM",2,0)+IF(K985="SIM",2,0)+IF(AF985="SIM",2,0)+IF(OR(AN985="Dados pessoais",AN985="Dados sensíveis",AN985="Dados pessoais e sensíveis"),2,0)+IF(O985="De 1.001 a 10.000 titulares por mês",1,0)+IF(AA985="SIM",1,0)+IF(R985="SIM",1,0)+IF(AL985="SIM",1,0)+IF(AJ985="NÃO",1,0))&gt;=3),"DPIA indicado ou em avaliação em razão de: " &amp; TRIM(IF(I985="SIM","tratamento de dados sensíveis; ","") &amp; IF(K985="SIM","utilização de dados de menores; ","") &amp; IF(AF985="SIM","transferência internacional de dados; ","") &amp; IF(AL985="SIM","utilização de inteligência artificial; ","") &amp; IF(OR(AN985="Dados pessoais",AN985="Dados sensíveis",AN985="Dados pessoais e sensíveis"),"dados inseridos em IA; ","") &amp; IF(O985="Acima de 10.000 titulares por mês","volume crítico de titulares; ","") &amp; IF(O985="De 1.001 a 10.000 titulares por mês","volume moderado de titulares; ","") &amp; IF(AA985="SIM","compartilhamento com terceiros; ","") &amp; IF(R985="SIM","compartilhamento com órgãos governamentais; ","") &amp; IF(AJ985="NÃO","ausência de controle de acesso por perfil; ","")),"DPIA não indicado: Processo de baixa criticidade."))</f>
      </c>
    </row>
    <row x14ac:dyDescent="0.25" r="986" customHeight="1" ht="15.75">
      <c r="A986" s="46"/>
      <c r="B986" s="6"/>
      <c r="C986" s="11"/>
      <c r="D986" s="11"/>
      <c r="E986" s="11"/>
      <c r="F986" s="29"/>
      <c r="G986" s="11"/>
      <c r="H986" s="11"/>
      <c r="I986" s="29"/>
      <c r="J986" s="11"/>
      <c r="K986" s="29"/>
      <c r="L986" s="11"/>
      <c r="M986" s="11"/>
      <c r="N986" s="11"/>
      <c r="O986" s="29"/>
      <c r="P986" s="29"/>
      <c r="Q986" s="11"/>
      <c r="R986" s="29"/>
      <c r="S986" s="11"/>
      <c r="T986" s="6"/>
      <c r="U986" s="29"/>
      <c r="V986" s="11"/>
      <c r="W986" s="11"/>
      <c r="X986" s="29"/>
      <c r="Y986" s="11"/>
      <c r="Z986" s="29"/>
      <c r="AA986" s="29"/>
      <c r="AB986" s="11"/>
      <c r="AC986" s="11"/>
      <c r="AD986" s="29"/>
      <c r="AE986" s="11"/>
      <c r="AF986" s="29"/>
      <c r="AG986" s="11"/>
      <c r="AH986" s="29"/>
      <c r="AI986" s="11"/>
      <c r="AJ986" s="29"/>
      <c r="AK986" s="29"/>
      <c r="AL986" s="29"/>
      <c r="AM986" s="11"/>
      <c r="AN986" s="29"/>
      <c r="AO986" s="29"/>
      <c r="AP986" s="6"/>
      <c r="AQ986" s="113">
        <f>IF(AND(I986="",K986="",AF986="",AL986="",AN986="",O986=""),"",IF(OR(I986="SIM",K986="SIM",AF986="SIM",AL986="SIM",AN986="Dados pessoais",AN986="Dados sensíveis",AN986="Dados pessoais e sensíveis",O986="Acima de 10.000 titulares por mês"),"SIM - Alta criticidade",IF((IF(I986="SIM",2,0)+IF(K986="SIM",2,0)+IF(AF986="SIM",2,0)+IF(OR(AN986="Dados pessoais",AN986="Dados sensíveis",AN986="Dados pessoais e sensíveis"),2,0)+IF(O986="De 1.001 a 10.000 titulares por mês",1,0)+IF(AA986="SIM",1,0)+IF(R986="SIM",1,0)+IF(AL986="SIM",1,0)+IF(AJ986="NÃO",1,0))&gt;=5,"SIM - Alta criticidade",IF((IF(I986="SIM",2,0)+IF(K986="SIM",2,0)+IF(AF986="SIM",2,0)+IF(OR(AN986="Dados pessoais",AN986="Dados sensíveis",AN986="Dados pessoais e sensíveis"),2,0)+IF(O986="De 1.001 a 10.000 titulares por mês",1,0)+IF(AA986="SIM",1,0)+IF(R986="SIM",1,0)+IF(AL986="SIM",1,0)+IF(AJ986="NÃO",1,0))&gt;=3,"Avaliação necessária","NÃO"))))</f>
      </c>
      <c r="AR986" s="11"/>
      <c r="AS986" s="113">
        <f>IF(AND(I986="",K986="",AF986="",AL986="",AN986="",O986=""),"",IF(OR(I986="SIM",K986="SIM",AF986="SIM",AL986="SIM",OR(AN986="Dados pessoais",AN986="Dados sensíveis",AN986="Dados pessoais e sensíveis"),O986="Acima de 10.000 titulares por mês",(IF(I986="SIM",2,0)+IF(K986="SIM",2,0)+IF(AF986="SIM",2,0)+IF(OR(AN986="Dados pessoais",AN986="Dados sensíveis",AN986="Dados pessoais e sensíveis"),2,0)+IF(O986="De 1.001 a 10.000 titulares por mês",1,0)+IF(AA986="SIM",1,0)+IF(R986="SIM",1,0)+IF(AL986="SIM",1,0)+IF(AJ986="NÃO",1,0))&gt;=3),"DPIA indicado ou em avaliação em razão de: " &amp; TRIM(IF(I986="SIM","tratamento de dados sensíveis; ","") &amp; IF(K986="SIM","utilização de dados de menores; ","") &amp; IF(AF986="SIM","transferência internacional de dados; ","") &amp; IF(AL986="SIM","utilização de inteligência artificial; ","") &amp; IF(OR(AN986="Dados pessoais",AN986="Dados sensíveis",AN986="Dados pessoais e sensíveis"),"dados inseridos em IA; ","") &amp; IF(O986="Acima de 10.000 titulares por mês","volume crítico de titulares; ","") &amp; IF(O986="De 1.001 a 10.000 titulares por mês","volume moderado de titulares; ","") &amp; IF(AA986="SIM","compartilhamento com terceiros; ","") &amp; IF(R986="SIM","compartilhamento com órgãos governamentais; ","") &amp; IF(AJ986="NÃO","ausência de controle de acesso por perfil; ","")),"DPIA não indicado: Processo de baixa criticidade."))</f>
      </c>
    </row>
    <row x14ac:dyDescent="0.25" r="987" customHeight="1" ht="15.75">
      <c r="A987" s="46"/>
      <c r="B987" s="6"/>
      <c r="C987" s="11"/>
      <c r="D987" s="11"/>
      <c r="E987" s="11"/>
      <c r="F987" s="29"/>
      <c r="G987" s="11"/>
      <c r="H987" s="11"/>
      <c r="I987" s="29"/>
      <c r="J987" s="11"/>
      <c r="K987" s="29"/>
      <c r="L987" s="11"/>
      <c r="M987" s="11"/>
      <c r="N987" s="11"/>
      <c r="O987" s="29"/>
      <c r="P987" s="29"/>
      <c r="Q987" s="11"/>
      <c r="R987" s="29"/>
      <c r="S987" s="11"/>
      <c r="T987" s="6"/>
      <c r="U987" s="29"/>
      <c r="V987" s="11"/>
      <c r="W987" s="11"/>
      <c r="X987" s="29"/>
      <c r="Y987" s="11"/>
      <c r="Z987" s="29"/>
      <c r="AA987" s="29"/>
      <c r="AB987" s="11"/>
      <c r="AC987" s="11"/>
      <c r="AD987" s="29"/>
      <c r="AE987" s="11"/>
      <c r="AF987" s="29"/>
      <c r="AG987" s="11"/>
      <c r="AH987" s="29"/>
      <c r="AI987" s="11"/>
      <c r="AJ987" s="29"/>
      <c r="AK987" s="29"/>
      <c r="AL987" s="29"/>
      <c r="AM987" s="11"/>
      <c r="AN987" s="29"/>
      <c r="AO987" s="29"/>
      <c r="AP987" s="6"/>
      <c r="AQ987" s="113">
        <f>IF(AND(I987="",K987="",AF987="",AL987="",AN987="",O987=""),"",IF(OR(I987="SIM",K987="SIM",AF987="SIM",AL987="SIM",AN987="Dados pessoais",AN987="Dados sensíveis",AN987="Dados pessoais e sensíveis",O987="Acima de 10.000 titulares por mês"),"SIM - Alta criticidade",IF((IF(I987="SIM",2,0)+IF(K987="SIM",2,0)+IF(AF987="SIM",2,0)+IF(OR(AN987="Dados pessoais",AN987="Dados sensíveis",AN987="Dados pessoais e sensíveis"),2,0)+IF(O987="De 1.001 a 10.000 titulares por mês",1,0)+IF(AA987="SIM",1,0)+IF(R987="SIM",1,0)+IF(AL987="SIM",1,0)+IF(AJ987="NÃO",1,0))&gt;=5,"SIM - Alta criticidade",IF((IF(I987="SIM",2,0)+IF(K987="SIM",2,0)+IF(AF987="SIM",2,0)+IF(OR(AN987="Dados pessoais",AN987="Dados sensíveis",AN987="Dados pessoais e sensíveis"),2,0)+IF(O987="De 1.001 a 10.000 titulares por mês",1,0)+IF(AA987="SIM",1,0)+IF(R987="SIM",1,0)+IF(AL987="SIM",1,0)+IF(AJ987="NÃO",1,0))&gt;=3,"Avaliação necessária","NÃO"))))</f>
      </c>
      <c r="AR987" s="11"/>
      <c r="AS987" s="113">
        <f>IF(AND(I987="",K987="",AF987="",AL987="",AN987="",O987=""),"",IF(OR(I987="SIM",K987="SIM",AF987="SIM",AL987="SIM",OR(AN987="Dados pessoais",AN987="Dados sensíveis",AN987="Dados pessoais e sensíveis"),O987="Acima de 10.000 titulares por mês",(IF(I987="SIM",2,0)+IF(K987="SIM",2,0)+IF(AF987="SIM",2,0)+IF(OR(AN987="Dados pessoais",AN987="Dados sensíveis",AN987="Dados pessoais e sensíveis"),2,0)+IF(O987="De 1.001 a 10.000 titulares por mês",1,0)+IF(AA987="SIM",1,0)+IF(R987="SIM",1,0)+IF(AL987="SIM",1,0)+IF(AJ987="NÃO",1,0))&gt;=3),"DPIA indicado ou em avaliação em razão de: " &amp; TRIM(IF(I987="SIM","tratamento de dados sensíveis; ","") &amp; IF(K987="SIM","utilização de dados de menores; ","") &amp; IF(AF987="SIM","transferência internacional de dados; ","") &amp; IF(AL987="SIM","utilização de inteligência artificial; ","") &amp; IF(OR(AN987="Dados pessoais",AN987="Dados sensíveis",AN987="Dados pessoais e sensíveis"),"dados inseridos em IA; ","") &amp; IF(O987="Acima de 10.000 titulares por mês","volume crítico de titulares; ","") &amp; IF(O987="De 1.001 a 10.000 titulares por mês","volume moderado de titulares; ","") &amp; IF(AA987="SIM","compartilhamento com terceiros; ","") &amp; IF(R987="SIM","compartilhamento com órgãos governamentais; ","") &amp; IF(AJ987="NÃO","ausência de controle de acesso por perfil; ","")),"DPIA não indicado: Processo de baixa criticidade."))</f>
      </c>
    </row>
    <row x14ac:dyDescent="0.25" r="988" customHeight="1" ht="15.75">
      <c r="A988" s="46"/>
      <c r="B988" s="6"/>
      <c r="C988" s="11"/>
      <c r="D988" s="11"/>
      <c r="E988" s="11"/>
      <c r="F988" s="29"/>
      <c r="G988" s="11"/>
      <c r="H988" s="11"/>
      <c r="I988" s="29"/>
      <c r="J988" s="11"/>
      <c r="K988" s="29"/>
      <c r="L988" s="11"/>
      <c r="M988" s="11"/>
      <c r="N988" s="11"/>
      <c r="O988" s="29"/>
      <c r="P988" s="29"/>
      <c r="Q988" s="11"/>
      <c r="R988" s="29"/>
      <c r="S988" s="11"/>
      <c r="T988" s="6"/>
      <c r="U988" s="29"/>
      <c r="V988" s="11"/>
      <c r="W988" s="11"/>
      <c r="X988" s="29"/>
      <c r="Y988" s="11"/>
      <c r="Z988" s="29"/>
      <c r="AA988" s="29"/>
      <c r="AB988" s="11"/>
      <c r="AC988" s="11"/>
      <c r="AD988" s="29"/>
      <c r="AE988" s="11"/>
      <c r="AF988" s="29"/>
      <c r="AG988" s="11"/>
      <c r="AH988" s="29"/>
      <c r="AI988" s="11"/>
      <c r="AJ988" s="29"/>
      <c r="AK988" s="29"/>
      <c r="AL988" s="29"/>
      <c r="AM988" s="11"/>
      <c r="AN988" s="29"/>
      <c r="AO988" s="29"/>
      <c r="AP988" s="6"/>
      <c r="AQ988" s="113">
        <f>IF(AND(I988="",K988="",AF988="",AL988="",AN988="",O988=""),"",IF(OR(I988="SIM",K988="SIM",AF988="SIM",AL988="SIM",AN988="Dados pessoais",AN988="Dados sensíveis",AN988="Dados pessoais e sensíveis",O988="Acima de 10.000 titulares por mês"),"SIM - Alta criticidade",IF((IF(I988="SIM",2,0)+IF(K988="SIM",2,0)+IF(AF988="SIM",2,0)+IF(OR(AN988="Dados pessoais",AN988="Dados sensíveis",AN988="Dados pessoais e sensíveis"),2,0)+IF(O988="De 1.001 a 10.000 titulares por mês",1,0)+IF(AA988="SIM",1,0)+IF(R988="SIM",1,0)+IF(AL988="SIM",1,0)+IF(AJ988="NÃO",1,0))&gt;=5,"SIM - Alta criticidade",IF((IF(I988="SIM",2,0)+IF(K988="SIM",2,0)+IF(AF988="SIM",2,0)+IF(OR(AN988="Dados pessoais",AN988="Dados sensíveis",AN988="Dados pessoais e sensíveis"),2,0)+IF(O988="De 1.001 a 10.000 titulares por mês",1,0)+IF(AA988="SIM",1,0)+IF(R988="SIM",1,0)+IF(AL988="SIM",1,0)+IF(AJ988="NÃO",1,0))&gt;=3,"Avaliação necessária","NÃO"))))</f>
      </c>
      <c r="AR988" s="11"/>
      <c r="AS988" s="113">
        <f>IF(AND(I988="",K988="",AF988="",AL988="",AN988="",O988=""),"",IF(OR(I988="SIM",K988="SIM",AF988="SIM",AL988="SIM",OR(AN988="Dados pessoais",AN988="Dados sensíveis",AN988="Dados pessoais e sensíveis"),O988="Acima de 10.000 titulares por mês",(IF(I988="SIM",2,0)+IF(K988="SIM",2,0)+IF(AF988="SIM",2,0)+IF(OR(AN988="Dados pessoais",AN988="Dados sensíveis",AN988="Dados pessoais e sensíveis"),2,0)+IF(O988="De 1.001 a 10.000 titulares por mês",1,0)+IF(AA988="SIM",1,0)+IF(R988="SIM",1,0)+IF(AL988="SIM",1,0)+IF(AJ988="NÃO",1,0))&gt;=3),"DPIA indicado ou em avaliação em razão de: " &amp; TRIM(IF(I988="SIM","tratamento de dados sensíveis; ","") &amp; IF(K988="SIM","utilização de dados de menores; ","") &amp; IF(AF988="SIM","transferência internacional de dados; ","") &amp; IF(AL988="SIM","utilização de inteligência artificial; ","") &amp; IF(OR(AN988="Dados pessoais",AN988="Dados sensíveis",AN988="Dados pessoais e sensíveis"),"dados inseridos em IA; ","") &amp; IF(O988="Acima de 10.000 titulares por mês","volume crítico de titulares; ","") &amp; IF(O988="De 1.001 a 10.000 titulares por mês","volume moderado de titulares; ","") &amp; IF(AA988="SIM","compartilhamento com terceiros; ","") &amp; IF(R988="SIM","compartilhamento com órgãos governamentais; ","") &amp; IF(AJ988="NÃO","ausência de controle de acesso por perfil; ","")),"DPIA não indicado: Processo de baixa criticidade."))</f>
      </c>
    </row>
    <row x14ac:dyDescent="0.25" r="989" customHeight="1" ht="15.75">
      <c r="A989" s="46"/>
      <c r="B989" s="6"/>
      <c r="C989" s="11"/>
      <c r="D989" s="11"/>
      <c r="E989" s="11"/>
      <c r="F989" s="29"/>
      <c r="G989" s="11"/>
      <c r="H989" s="11"/>
      <c r="I989" s="29"/>
      <c r="J989" s="11"/>
      <c r="K989" s="29"/>
      <c r="L989" s="11"/>
      <c r="M989" s="11"/>
      <c r="N989" s="11"/>
      <c r="O989" s="29"/>
      <c r="P989" s="29"/>
      <c r="Q989" s="11"/>
      <c r="R989" s="29"/>
      <c r="S989" s="11"/>
      <c r="T989" s="6"/>
      <c r="U989" s="29"/>
      <c r="V989" s="11"/>
      <c r="W989" s="11"/>
      <c r="X989" s="29"/>
      <c r="Y989" s="11"/>
      <c r="Z989" s="29"/>
      <c r="AA989" s="29"/>
      <c r="AB989" s="11"/>
      <c r="AC989" s="11"/>
      <c r="AD989" s="29"/>
      <c r="AE989" s="11"/>
      <c r="AF989" s="29"/>
      <c r="AG989" s="11"/>
      <c r="AH989" s="29"/>
      <c r="AI989" s="11"/>
      <c r="AJ989" s="29"/>
      <c r="AK989" s="29"/>
      <c r="AL989" s="29"/>
      <c r="AM989" s="11"/>
      <c r="AN989" s="29"/>
      <c r="AO989" s="29"/>
      <c r="AP989" s="6"/>
      <c r="AQ989" s="113">
        <f>IF(AND(I989="",K989="",AF989="",AL989="",AN989="",O989=""),"",IF(OR(I989="SIM",K989="SIM",AF989="SIM",AL989="SIM",AN989="Dados pessoais",AN989="Dados sensíveis",AN989="Dados pessoais e sensíveis",O989="Acima de 10.000 titulares por mês"),"SIM - Alta criticidade",IF((IF(I989="SIM",2,0)+IF(K989="SIM",2,0)+IF(AF989="SIM",2,0)+IF(OR(AN989="Dados pessoais",AN989="Dados sensíveis",AN989="Dados pessoais e sensíveis"),2,0)+IF(O989="De 1.001 a 10.000 titulares por mês",1,0)+IF(AA989="SIM",1,0)+IF(R989="SIM",1,0)+IF(AL989="SIM",1,0)+IF(AJ989="NÃO",1,0))&gt;=5,"SIM - Alta criticidade",IF((IF(I989="SIM",2,0)+IF(K989="SIM",2,0)+IF(AF989="SIM",2,0)+IF(OR(AN989="Dados pessoais",AN989="Dados sensíveis",AN989="Dados pessoais e sensíveis"),2,0)+IF(O989="De 1.001 a 10.000 titulares por mês",1,0)+IF(AA989="SIM",1,0)+IF(R989="SIM",1,0)+IF(AL989="SIM",1,0)+IF(AJ989="NÃO",1,0))&gt;=3,"Avaliação necessária","NÃO"))))</f>
      </c>
      <c r="AR989" s="11"/>
      <c r="AS989" s="113">
        <f>IF(AND(I989="",K989="",AF989="",AL989="",AN989="",O989=""),"",IF(OR(I989="SIM",K989="SIM",AF989="SIM",AL989="SIM",OR(AN989="Dados pessoais",AN989="Dados sensíveis",AN989="Dados pessoais e sensíveis"),O989="Acima de 10.000 titulares por mês",(IF(I989="SIM",2,0)+IF(K989="SIM",2,0)+IF(AF989="SIM",2,0)+IF(OR(AN989="Dados pessoais",AN989="Dados sensíveis",AN989="Dados pessoais e sensíveis"),2,0)+IF(O989="De 1.001 a 10.000 titulares por mês",1,0)+IF(AA989="SIM",1,0)+IF(R989="SIM",1,0)+IF(AL989="SIM",1,0)+IF(AJ989="NÃO",1,0))&gt;=3),"DPIA indicado ou em avaliação em razão de: " &amp; TRIM(IF(I989="SIM","tratamento de dados sensíveis; ","") &amp; IF(K989="SIM","utilização de dados de menores; ","") &amp; IF(AF989="SIM","transferência internacional de dados; ","") &amp; IF(AL989="SIM","utilização de inteligência artificial; ","") &amp; IF(OR(AN989="Dados pessoais",AN989="Dados sensíveis",AN989="Dados pessoais e sensíveis"),"dados inseridos em IA; ","") &amp; IF(O989="Acima de 10.000 titulares por mês","volume crítico de titulares; ","") &amp; IF(O989="De 1.001 a 10.000 titulares por mês","volume moderado de titulares; ","") &amp; IF(AA989="SIM","compartilhamento com terceiros; ","") &amp; IF(R989="SIM","compartilhamento com órgãos governamentais; ","") &amp; IF(AJ989="NÃO","ausência de controle de acesso por perfil; ","")),"DPIA não indicado: Processo de baixa criticidade."))</f>
      </c>
    </row>
    <row x14ac:dyDescent="0.25" r="990" customHeight="1" ht="15.75">
      <c r="A990" s="46"/>
      <c r="B990" s="6"/>
      <c r="C990" s="11"/>
      <c r="D990" s="11"/>
      <c r="E990" s="11"/>
      <c r="F990" s="29"/>
      <c r="G990" s="11"/>
      <c r="H990" s="11"/>
      <c r="I990" s="29"/>
      <c r="J990" s="11"/>
      <c r="K990" s="29"/>
      <c r="L990" s="11"/>
      <c r="M990" s="11"/>
      <c r="N990" s="11"/>
      <c r="O990" s="29"/>
      <c r="P990" s="29"/>
      <c r="Q990" s="11"/>
      <c r="R990" s="29"/>
      <c r="S990" s="11"/>
      <c r="T990" s="6"/>
      <c r="U990" s="29"/>
      <c r="V990" s="11"/>
      <c r="W990" s="11"/>
      <c r="X990" s="29"/>
      <c r="Y990" s="11"/>
      <c r="Z990" s="29"/>
      <c r="AA990" s="29"/>
      <c r="AB990" s="11"/>
      <c r="AC990" s="11"/>
      <c r="AD990" s="29"/>
      <c r="AE990" s="11"/>
      <c r="AF990" s="29"/>
      <c r="AG990" s="11"/>
      <c r="AH990" s="29"/>
      <c r="AI990" s="11"/>
      <c r="AJ990" s="29"/>
      <c r="AK990" s="29"/>
      <c r="AL990" s="29"/>
      <c r="AM990" s="11"/>
      <c r="AN990" s="29"/>
      <c r="AO990" s="29"/>
      <c r="AP990" s="6"/>
      <c r="AQ990" s="113">
        <f>IF(AND(I990="",K990="",AF990="",AL990="",AN990="",O990=""),"",IF(OR(I990="SIM",K990="SIM",AF990="SIM",AL990="SIM",AN990="Dados pessoais",AN990="Dados sensíveis",AN990="Dados pessoais e sensíveis",O990="Acima de 10.000 titulares por mês"),"SIM - Alta criticidade",IF((IF(I990="SIM",2,0)+IF(K990="SIM",2,0)+IF(AF990="SIM",2,0)+IF(OR(AN990="Dados pessoais",AN990="Dados sensíveis",AN990="Dados pessoais e sensíveis"),2,0)+IF(O990="De 1.001 a 10.000 titulares por mês",1,0)+IF(AA990="SIM",1,0)+IF(R990="SIM",1,0)+IF(AL990="SIM",1,0)+IF(AJ990="NÃO",1,0))&gt;=5,"SIM - Alta criticidade",IF((IF(I990="SIM",2,0)+IF(K990="SIM",2,0)+IF(AF990="SIM",2,0)+IF(OR(AN990="Dados pessoais",AN990="Dados sensíveis",AN990="Dados pessoais e sensíveis"),2,0)+IF(O990="De 1.001 a 10.000 titulares por mês",1,0)+IF(AA990="SIM",1,0)+IF(R990="SIM",1,0)+IF(AL990="SIM",1,0)+IF(AJ990="NÃO",1,0))&gt;=3,"Avaliação necessária","NÃO"))))</f>
      </c>
      <c r="AR990" s="11"/>
      <c r="AS990" s="113">
        <f>IF(AND(I990="",K990="",AF990="",AL990="",AN990="",O990=""),"",IF(OR(I990="SIM",K990="SIM",AF990="SIM",AL990="SIM",OR(AN990="Dados pessoais",AN990="Dados sensíveis",AN990="Dados pessoais e sensíveis"),O990="Acima de 10.000 titulares por mês",(IF(I990="SIM",2,0)+IF(K990="SIM",2,0)+IF(AF990="SIM",2,0)+IF(OR(AN990="Dados pessoais",AN990="Dados sensíveis",AN990="Dados pessoais e sensíveis"),2,0)+IF(O990="De 1.001 a 10.000 titulares por mês",1,0)+IF(AA990="SIM",1,0)+IF(R990="SIM",1,0)+IF(AL990="SIM",1,0)+IF(AJ990="NÃO",1,0))&gt;=3),"DPIA indicado ou em avaliação em razão de: " &amp; TRIM(IF(I990="SIM","tratamento de dados sensíveis; ","") &amp; IF(K990="SIM","utilização de dados de menores; ","") &amp; IF(AF990="SIM","transferência internacional de dados; ","") &amp; IF(AL990="SIM","utilização de inteligência artificial; ","") &amp; IF(OR(AN990="Dados pessoais",AN990="Dados sensíveis",AN990="Dados pessoais e sensíveis"),"dados inseridos em IA; ","") &amp; IF(O990="Acima de 10.000 titulares por mês","volume crítico de titulares; ","") &amp; IF(O990="De 1.001 a 10.000 titulares por mês","volume moderado de titulares; ","") &amp; IF(AA990="SIM","compartilhamento com terceiros; ","") &amp; IF(R990="SIM","compartilhamento com órgãos governamentais; ","") &amp; IF(AJ990="NÃO","ausência de controle de acesso por perfil; ","")),"DPIA não indicado: Processo de baixa criticidade."))</f>
      </c>
    </row>
    <row x14ac:dyDescent="0.25" r="991" customHeight="1" ht="15.75">
      <c r="A991" s="46"/>
      <c r="B991" s="6"/>
      <c r="C991" s="11"/>
      <c r="D991" s="11"/>
      <c r="E991" s="11"/>
      <c r="F991" s="29"/>
      <c r="G991" s="11"/>
      <c r="H991" s="11"/>
      <c r="I991" s="29"/>
      <c r="J991" s="11"/>
      <c r="K991" s="29"/>
      <c r="L991" s="11"/>
      <c r="M991" s="11"/>
      <c r="N991" s="11"/>
      <c r="O991" s="29"/>
      <c r="P991" s="29"/>
      <c r="Q991" s="11"/>
      <c r="R991" s="29"/>
      <c r="S991" s="11"/>
      <c r="T991" s="6"/>
      <c r="U991" s="29"/>
      <c r="V991" s="11"/>
      <c r="W991" s="11"/>
      <c r="X991" s="29"/>
      <c r="Y991" s="11"/>
      <c r="Z991" s="29"/>
      <c r="AA991" s="29"/>
      <c r="AB991" s="11"/>
      <c r="AC991" s="11"/>
      <c r="AD991" s="29"/>
      <c r="AE991" s="11"/>
      <c r="AF991" s="29"/>
      <c r="AG991" s="11"/>
      <c r="AH991" s="29"/>
      <c r="AI991" s="11"/>
      <c r="AJ991" s="29"/>
      <c r="AK991" s="29"/>
      <c r="AL991" s="29"/>
      <c r="AM991" s="11"/>
      <c r="AN991" s="29"/>
      <c r="AO991" s="29"/>
      <c r="AP991" s="6"/>
      <c r="AQ991" s="113">
        <f>IF(AND(I991="",K991="",AF991="",AL991="",AN991="",O991=""),"",IF(OR(I991="SIM",K991="SIM",AF991="SIM",AL991="SIM",AN991="Dados pessoais",AN991="Dados sensíveis",AN991="Dados pessoais e sensíveis",O991="Acima de 10.000 titulares por mês"),"SIM - Alta criticidade",IF((IF(I991="SIM",2,0)+IF(K991="SIM",2,0)+IF(AF991="SIM",2,0)+IF(OR(AN991="Dados pessoais",AN991="Dados sensíveis",AN991="Dados pessoais e sensíveis"),2,0)+IF(O991="De 1.001 a 10.000 titulares por mês",1,0)+IF(AA991="SIM",1,0)+IF(R991="SIM",1,0)+IF(AL991="SIM",1,0)+IF(AJ991="NÃO",1,0))&gt;=5,"SIM - Alta criticidade",IF((IF(I991="SIM",2,0)+IF(K991="SIM",2,0)+IF(AF991="SIM",2,0)+IF(OR(AN991="Dados pessoais",AN991="Dados sensíveis",AN991="Dados pessoais e sensíveis"),2,0)+IF(O991="De 1.001 a 10.000 titulares por mês",1,0)+IF(AA991="SIM",1,0)+IF(R991="SIM",1,0)+IF(AL991="SIM",1,0)+IF(AJ991="NÃO",1,0))&gt;=3,"Avaliação necessária","NÃO"))))</f>
      </c>
      <c r="AR991" s="11"/>
      <c r="AS991" s="113">
        <f>IF(AND(I991="",K991="",AF991="",AL991="",AN991="",O991=""),"",IF(OR(I991="SIM",K991="SIM",AF991="SIM",AL991="SIM",OR(AN991="Dados pessoais",AN991="Dados sensíveis",AN991="Dados pessoais e sensíveis"),O991="Acima de 10.000 titulares por mês",(IF(I991="SIM",2,0)+IF(K991="SIM",2,0)+IF(AF991="SIM",2,0)+IF(OR(AN991="Dados pessoais",AN991="Dados sensíveis",AN991="Dados pessoais e sensíveis"),2,0)+IF(O991="De 1.001 a 10.000 titulares por mês",1,0)+IF(AA991="SIM",1,0)+IF(R991="SIM",1,0)+IF(AL991="SIM",1,0)+IF(AJ991="NÃO",1,0))&gt;=3),"DPIA indicado ou em avaliação em razão de: " &amp; TRIM(IF(I991="SIM","tratamento de dados sensíveis; ","") &amp; IF(K991="SIM","utilização de dados de menores; ","") &amp; IF(AF991="SIM","transferência internacional de dados; ","") &amp; IF(AL991="SIM","utilização de inteligência artificial; ","") &amp; IF(OR(AN991="Dados pessoais",AN991="Dados sensíveis",AN991="Dados pessoais e sensíveis"),"dados inseridos em IA; ","") &amp; IF(O991="Acima de 10.000 titulares por mês","volume crítico de titulares; ","") &amp; IF(O991="De 1.001 a 10.000 titulares por mês","volume moderado de titulares; ","") &amp; IF(AA991="SIM","compartilhamento com terceiros; ","") &amp; IF(R991="SIM","compartilhamento com órgãos governamentais; ","") &amp; IF(AJ991="NÃO","ausência de controle de acesso por perfil; ","")),"DPIA não indicado: Processo de baixa criticidade."))</f>
      </c>
    </row>
    <row x14ac:dyDescent="0.25" r="992" customHeight="1" ht="15.75">
      <c r="A992" s="46"/>
      <c r="B992" s="6"/>
      <c r="C992" s="11"/>
      <c r="D992" s="11"/>
      <c r="E992" s="11"/>
      <c r="F992" s="29"/>
      <c r="G992" s="11"/>
      <c r="H992" s="11"/>
      <c r="I992" s="29"/>
      <c r="J992" s="11"/>
      <c r="K992" s="29"/>
      <c r="L992" s="11"/>
      <c r="M992" s="11"/>
      <c r="N992" s="11"/>
      <c r="O992" s="29"/>
      <c r="P992" s="29"/>
      <c r="Q992" s="11"/>
      <c r="R992" s="29"/>
      <c r="S992" s="11"/>
      <c r="T992" s="6"/>
      <c r="U992" s="29"/>
      <c r="V992" s="11"/>
      <c r="W992" s="11"/>
      <c r="X992" s="29"/>
      <c r="Y992" s="11"/>
      <c r="Z992" s="29"/>
      <c r="AA992" s="29"/>
      <c r="AB992" s="11"/>
      <c r="AC992" s="11"/>
      <c r="AD992" s="29"/>
      <c r="AE992" s="11"/>
      <c r="AF992" s="29"/>
      <c r="AG992" s="11"/>
      <c r="AH992" s="29"/>
      <c r="AI992" s="11"/>
      <c r="AJ992" s="29"/>
      <c r="AK992" s="29"/>
      <c r="AL992" s="29"/>
      <c r="AM992" s="11"/>
      <c r="AN992" s="29"/>
      <c r="AO992" s="29"/>
      <c r="AP992" s="6"/>
      <c r="AQ992" s="113">
        <f>IF(AND(I992="",K992="",AF992="",AL992="",AN992="",O992=""),"",IF(OR(I992="SIM",K992="SIM",AF992="SIM",AL992="SIM",AN992="Dados pessoais",AN992="Dados sensíveis",AN992="Dados pessoais e sensíveis",O992="Acima de 10.000 titulares por mês"),"SIM - Alta criticidade",IF((IF(I992="SIM",2,0)+IF(K992="SIM",2,0)+IF(AF992="SIM",2,0)+IF(OR(AN992="Dados pessoais",AN992="Dados sensíveis",AN992="Dados pessoais e sensíveis"),2,0)+IF(O992="De 1.001 a 10.000 titulares por mês",1,0)+IF(AA992="SIM",1,0)+IF(R992="SIM",1,0)+IF(AL992="SIM",1,0)+IF(AJ992="NÃO",1,0))&gt;=5,"SIM - Alta criticidade",IF((IF(I992="SIM",2,0)+IF(K992="SIM",2,0)+IF(AF992="SIM",2,0)+IF(OR(AN992="Dados pessoais",AN992="Dados sensíveis",AN992="Dados pessoais e sensíveis"),2,0)+IF(O992="De 1.001 a 10.000 titulares por mês",1,0)+IF(AA992="SIM",1,0)+IF(R992="SIM",1,0)+IF(AL992="SIM",1,0)+IF(AJ992="NÃO",1,0))&gt;=3,"Avaliação necessária","NÃO"))))</f>
      </c>
      <c r="AR992" s="11"/>
      <c r="AS992" s="113">
        <f>IF(AND(I992="",K992="",AF992="",AL992="",AN992="",O992=""),"",IF(OR(I992="SIM",K992="SIM",AF992="SIM",AL992="SIM",OR(AN992="Dados pessoais",AN992="Dados sensíveis",AN992="Dados pessoais e sensíveis"),O992="Acima de 10.000 titulares por mês",(IF(I992="SIM",2,0)+IF(K992="SIM",2,0)+IF(AF992="SIM",2,0)+IF(OR(AN992="Dados pessoais",AN992="Dados sensíveis",AN992="Dados pessoais e sensíveis"),2,0)+IF(O992="De 1.001 a 10.000 titulares por mês",1,0)+IF(AA992="SIM",1,0)+IF(R992="SIM",1,0)+IF(AL992="SIM",1,0)+IF(AJ992="NÃO",1,0))&gt;=3),"DPIA indicado ou em avaliação em razão de: " &amp; TRIM(IF(I992="SIM","tratamento de dados sensíveis; ","") &amp; IF(K992="SIM","utilização de dados de menores; ","") &amp; IF(AF992="SIM","transferência internacional de dados; ","") &amp; IF(AL992="SIM","utilização de inteligência artificial; ","") &amp; IF(OR(AN992="Dados pessoais",AN992="Dados sensíveis",AN992="Dados pessoais e sensíveis"),"dados inseridos em IA; ","") &amp; IF(O992="Acima de 10.000 titulares por mês","volume crítico de titulares; ","") &amp; IF(O992="De 1.001 a 10.000 titulares por mês","volume moderado de titulares; ","") &amp; IF(AA992="SIM","compartilhamento com terceiros; ","") &amp; IF(R992="SIM","compartilhamento com órgãos governamentais; ","") &amp; IF(AJ992="NÃO","ausência de controle de acesso por perfil; ","")),"DPIA não indicado: Processo de baixa criticidade."))</f>
      </c>
    </row>
    <row x14ac:dyDescent="0.25" r="993" customHeight="1" ht="15.75">
      <c r="A993" s="46"/>
      <c r="B993" s="6"/>
      <c r="C993" s="11"/>
      <c r="D993" s="11"/>
      <c r="E993" s="11"/>
      <c r="F993" s="29"/>
      <c r="G993" s="11"/>
      <c r="H993" s="11"/>
      <c r="I993" s="29"/>
      <c r="J993" s="11"/>
      <c r="K993" s="29"/>
      <c r="L993" s="11"/>
      <c r="M993" s="11"/>
      <c r="N993" s="11"/>
      <c r="O993" s="29"/>
      <c r="P993" s="29"/>
      <c r="Q993" s="11"/>
      <c r="R993" s="29"/>
      <c r="S993" s="11"/>
      <c r="T993" s="6"/>
      <c r="U993" s="29"/>
      <c r="V993" s="11"/>
      <c r="W993" s="11"/>
      <c r="X993" s="29"/>
      <c r="Y993" s="11"/>
      <c r="Z993" s="29"/>
      <c r="AA993" s="29"/>
      <c r="AB993" s="11"/>
      <c r="AC993" s="11"/>
      <c r="AD993" s="29"/>
      <c r="AE993" s="11"/>
      <c r="AF993" s="29"/>
      <c r="AG993" s="11"/>
      <c r="AH993" s="29"/>
      <c r="AI993" s="11"/>
      <c r="AJ993" s="29"/>
      <c r="AK993" s="29"/>
      <c r="AL993" s="29"/>
      <c r="AM993" s="11"/>
      <c r="AN993" s="29"/>
      <c r="AO993" s="29"/>
      <c r="AP993" s="6"/>
      <c r="AQ993" s="113">
        <f>IF(AND(I993="",K993="",AF993="",AL993="",AN993="",O993=""),"",IF(OR(I993="SIM",K993="SIM",AF993="SIM",AL993="SIM",AN993="Dados pessoais",AN993="Dados sensíveis",AN993="Dados pessoais e sensíveis",O993="Acima de 10.000 titulares por mês"),"SIM - Alta criticidade",IF((IF(I993="SIM",2,0)+IF(K993="SIM",2,0)+IF(AF993="SIM",2,0)+IF(OR(AN993="Dados pessoais",AN993="Dados sensíveis",AN993="Dados pessoais e sensíveis"),2,0)+IF(O993="De 1.001 a 10.000 titulares por mês",1,0)+IF(AA993="SIM",1,0)+IF(R993="SIM",1,0)+IF(AL993="SIM",1,0)+IF(AJ993="NÃO",1,0))&gt;=5,"SIM - Alta criticidade",IF((IF(I993="SIM",2,0)+IF(K993="SIM",2,0)+IF(AF993="SIM",2,0)+IF(OR(AN993="Dados pessoais",AN993="Dados sensíveis",AN993="Dados pessoais e sensíveis"),2,0)+IF(O993="De 1.001 a 10.000 titulares por mês",1,0)+IF(AA993="SIM",1,0)+IF(R993="SIM",1,0)+IF(AL993="SIM",1,0)+IF(AJ993="NÃO",1,0))&gt;=3,"Avaliação necessária","NÃO"))))</f>
      </c>
      <c r="AR993" s="11"/>
      <c r="AS993" s="113">
        <f>IF(AND(I993="",K993="",AF993="",AL993="",AN993="",O993=""),"",IF(OR(I993="SIM",K993="SIM",AF993="SIM",AL993="SIM",OR(AN993="Dados pessoais",AN993="Dados sensíveis",AN993="Dados pessoais e sensíveis"),O993="Acima de 10.000 titulares por mês",(IF(I993="SIM",2,0)+IF(K993="SIM",2,0)+IF(AF993="SIM",2,0)+IF(OR(AN993="Dados pessoais",AN993="Dados sensíveis",AN993="Dados pessoais e sensíveis"),2,0)+IF(O993="De 1.001 a 10.000 titulares por mês",1,0)+IF(AA993="SIM",1,0)+IF(R993="SIM",1,0)+IF(AL993="SIM",1,0)+IF(AJ993="NÃO",1,0))&gt;=3),"DPIA indicado ou em avaliação em razão de: " &amp; TRIM(IF(I993="SIM","tratamento de dados sensíveis; ","") &amp; IF(K993="SIM","utilização de dados de menores; ","") &amp; IF(AF993="SIM","transferência internacional de dados; ","") &amp; IF(AL993="SIM","utilização de inteligência artificial; ","") &amp; IF(OR(AN993="Dados pessoais",AN993="Dados sensíveis",AN993="Dados pessoais e sensíveis"),"dados inseridos em IA; ","") &amp; IF(O993="Acima de 10.000 titulares por mês","volume crítico de titulares; ","") &amp; IF(O993="De 1.001 a 10.000 titulares por mês","volume moderado de titulares; ","") &amp; IF(AA993="SIM","compartilhamento com terceiros; ","") &amp; IF(R993="SIM","compartilhamento com órgãos governamentais; ","") &amp; IF(AJ993="NÃO","ausência de controle de acesso por perfil; ","")),"DPIA não indicado: Processo de baixa criticidade."))</f>
      </c>
    </row>
    <row x14ac:dyDescent="0.25" r="994" customHeight="1" ht="15.75">
      <c r="A994" s="46"/>
      <c r="B994" s="6"/>
      <c r="C994" s="11"/>
      <c r="D994" s="11"/>
      <c r="E994" s="11"/>
      <c r="F994" s="29"/>
      <c r="G994" s="11"/>
      <c r="H994" s="11"/>
      <c r="I994" s="29"/>
      <c r="J994" s="11"/>
      <c r="K994" s="29"/>
      <c r="L994" s="11"/>
      <c r="M994" s="11"/>
      <c r="N994" s="11"/>
      <c r="O994" s="29"/>
      <c r="P994" s="29"/>
      <c r="Q994" s="11"/>
      <c r="R994" s="29"/>
      <c r="S994" s="11"/>
      <c r="T994" s="6"/>
      <c r="U994" s="29"/>
      <c r="V994" s="11"/>
      <c r="W994" s="11"/>
      <c r="X994" s="29"/>
      <c r="Y994" s="11"/>
      <c r="Z994" s="29"/>
      <c r="AA994" s="29"/>
      <c r="AB994" s="11"/>
      <c r="AC994" s="11"/>
      <c r="AD994" s="29"/>
      <c r="AE994" s="11"/>
      <c r="AF994" s="29"/>
      <c r="AG994" s="11"/>
      <c r="AH994" s="29"/>
      <c r="AI994" s="11"/>
      <c r="AJ994" s="29"/>
      <c r="AK994" s="29"/>
      <c r="AL994" s="29"/>
      <c r="AM994" s="11"/>
      <c r="AN994" s="29"/>
      <c r="AO994" s="29"/>
      <c r="AP994" s="6"/>
      <c r="AQ994" s="113">
        <f>IF(AND(I994="",K994="",AF994="",AL994="",AN994="",O994=""),"",IF(OR(I994="SIM",K994="SIM",AF994="SIM",AL994="SIM",AN994="Dados pessoais",AN994="Dados sensíveis",AN994="Dados pessoais e sensíveis",O994="Acima de 10.000 titulares por mês"),"SIM - Alta criticidade",IF((IF(I994="SIM",2,0)+IF(K994="SIM",2,0)+IF(AF994="SIM",2,0)+IF(OR(AN994="Dados pessoais",AN994="Dados sensíveis",AN994="Dados pessoais e sensíveis"),2,0)+IF(O994="De 1.001 a 10.000 titulares por mês",1,0)+IF(AA994="SIM",1,0)+IF(R994="SIM",1,0)+IF(AL994="SIM",1,0)+IF(AJ994="NÃO",1,0))&gt;=5,"SIM - Alta criticidade",IF((IF(I994="SIM",2,0)+IF(K994="SIM",2,0)+IF(AF994="SIM",2,0)+IF(OR(AN994="Dados pessoais",AN994="Dados sensíveis",AN994="Dados pessoais e sensíveis"),2,0)+IF(O994="De 1.001 a 10.000 titulares por mês",1,0)+IF(AA994="SIM",1,0)+IF(R994="SIM",1,0)+IF(AL994="SIM",1,0)+IF(AJ994="NÃO",1,0))&gt;=3,"Avaliação necessária","NÃO"))))</f>
      </c>
      <c r="AR994" s="11"/>
      <c r="AS994" s="113">
        <f>IF(AND(I994="",K994="",AF994="",AL994="",AN994="",O994=""),"",IF(OR(I994="SIM",K994="SIM",AF994="SIM",AL994="SIM",OR(AN994="Dados pessoais",AN994="Dados sensíveis",AN994="Dados pessoais e sensíveis"),O994="Acima de 10.000 titulares por mês",(IF(I994="SIM",2,0)+IF(K994="SIM",2,0)+IF(AF994="SIM",2,0)+IF(OR(AN994="Dados pessoais",AN994="Dados sensíveis",AN994="Dados pessoais e sensíveis"),2,0)+IF(O994="De 1.001 a 10.000 titulares por mês",1,0)+IF(AA994="SIM",1,0)+IF(R994="SIM",1,0)+IF(AL994="SIM",1,0)+IF(AJ994="NÃO",1,0))&gt;=3),"DPIA indicado ou em avaliação em razão de: " &amp; TRIM(IF(I994="SIM","tratamento de dados sensíveis; ","") &amp; IF(K994="SIM","utilização de dados de menores; ","") &amp; IF(AF994="SIM","transferência internacional de dados; ","") &amp; IF(AL994="SIM","utilização de inteligência artificial; ","") &amp; IF(OR(AN994="Dados pessoais",AN994="Dados sensíveis",AN994="Dados pessoais e sensíveis"),"dados inseridos em IA; ","") &amp; IF(O994="Acima de 10.000 titulares por mês","volume crítico de titulares; ","") &amp; IF(O994="De 1.001 a 10.000 titulares por mês","volume moderado de titulares; ","") &amp; IF(AA994="SIM","compartilhamento com terceiros; ","") &amp; IF(R994="SIM","compartilhamento com órgãos governamentais; ","") &amp; IF(AJ994="NÃO","ausência de controle de acesso por perfil; ","")),"DPIA não indicado: Processo de baixa criticidade."))</f>
      </c>
    </row>
    <row x14ac:dyDescent="0.25" r="995" customHeight="1" ht="15.75">
      <c r="A995" s="46"/>
      <c r="B995" s="6"/>
      <c r="C995" s="11"/>
      <c r="D995" s="11"/>
      <c r="E995" s="11"/>
      <c r="F995" s="29"/>
      <c r="G995" s="11"/>
      <c r="H995" s="11"/>
      <c r="I995" s="29"/>
      <c r="J995" s="11"/>
      <c r="K995" s="29"/>
      <c r="L995" s="11"/>
      <c r="M995" s="11"/>
      <c r="N995" s="11"/>
      <c r="O995" s="29"/>
      <c r="P995" s="29"/>
      <c r="Q995" s="11"/>
      <c r="R995" s="29"/>
      <c r="S995" s="11"/>
      <c r="T995" s="6"/>
      <c r="U995" s="29"/>
      <c r="V995" s="11"/>
      <c r="W995" s="11"/>
      <c r="X995" s="29"/>
      <c r="Y995" s="11"/>
      <c r="Z995" s="29"/>
      <c r="AA995" s="29"/>
      <c r="AB995" s="11"/>
      <c r="AC995" s="11"/>
      <c r="AD995" s="29"/>
      <c r="AE995" s="11"/>
      <c r="AF995" s="29"/>
      <c r="AG995" s="11"/>
      <c r="AH995" s="29"/>
      <c r="AI995" s="11"/>
      <c r="AJ995" s="29"/>
      <c r="AK995" s="29"/>
      <c r="AL995" s="29"/>
      <c r="AM995" s="11"/>
      <c r="AN995" s="29"/>
      <c r="AO995" s="29"/>
      <c r="AP995" s="6"/>
      <c r="AQ995" s="113">
        <f>IF(AND(I995="",K995="",AF995="",AL995="",AN995="",O995=""),"",IF(OR(I995="SIM",K995="SIM",AF995="SIM",AL995="SIM",AN995="Dados pessoais",AN995="Dados sensíveis",AN995="Dados pessoais e sensíveis",O995="Acima de 10.000 titulares por mês"),"SIM - Alta criticidade",IF((IF(I995="SIM",2,0)+IF(K995="SIM",2,0)+IF(AF995="SIM",2,0)+IF(OR(AN995="Dados pessoais",AN995="Dados sensíveis",AN995="Dados pessoais e sensíveis"),2,0)+IF(O995="De 1.001 a 10.000 titulares por mês",1,0)+IF(AA995="SIM",1,0)+IF(R995="SIM",1,0)+IF(AL995="SIM",1,0)+IF(AJ995="NÃO",1,0))&gt;=5,"SIM - Alta criticidade",IF((IF(I995="SIM",2,0)+IF(K995="SIM",2,0)+IF(AF995="SIM",2,0)+IF(OR(AN995="Dados pessoais",AN995="Dados sensíveis",AN995="Dados pessoais e sensíveis"),2,0)+IF(O995="De 1.001 a 10.000 titulares por mês",1,0)+IF(AA995="SIM",1,0)+IF(R995="SIM",1,0)+IF(AL995="SIM",1,0)+IF(AJ995="NÃO",1,0))&gt;=3,"Avaliação necessária","NÃO"))))</f>
      </c>
      <c r="AR995" s="11"/>
      <c r="AS995" s="113">
        <f>IF(AND(I995="",K995="",AF995="",AL995="",AN995="",O995=""),"",IF(OR(I995="SIM",K995="SIM",AF995="SIM",AL995="SIM",OR(AN995="Dados pessoais",AN995="Dados sensíveis",AN995="Dados pessoais e sensíveis"),O995="Acima de 10.000 titulares por mês",(IF(I995="SIM",2,0)+IF(K995="SIM",2,0)+IF(AF995="SIM",2,0)+IF(OR(AN995="Dados pessoais",AN995="Dados sensíveis",AN995="Dados pessoais e sensíveis"),2,0)+IF(O995="De 1.001 a 10.000 titulares por mês",1,0)+IF(AA995="SIM",1,0)+IF(R995="SIM",1,0)+IF(AL995="SIM",1,0)+IF(AJ995="NÃO",1,0))&gt;=3),"DPIA indicado ou em avaliação em razão de: " &amp; TRIM(IF(I995="SIM","tratamento de dados sensíveis; ","") &amp; IF(K995="SIM","utilização de dados de menores; ","") &amp; IF(AF995="SIM","transferência internacional de dados; ","") &amp; IF(AL995="SIM","utilização de inteligência artificial; ","") &amp; IF(OR(AN995="Dados pessoais",AN995="Dados sensíveis",AN995="Dados pessoais e sensíveis"),"dados inseridos em IA; ","") &amp; IF(O995="Acima de 10.000 titulares por mês","volume crítico de titulares; ","") &amp; IF(O995="De 1.001 a 10.000 titulares por mês","volume moderado de titulares; ","") &amp; IF(AA995="SIM","compartilhamento com terceiros; ","") &amp; IF(R995="SIM","compartilhamento com órgãos governamentais; ","") &amp; IF(AJ995="NÃO","ausência de controle de acesso por perfil; ","")),"DPIA não indicado: Processo de baixa criticidade."))</f>
      </c>
    </row>
    <row x14ac:dyDescent="0.25" r="996" customHeight="1" ht="15.75">
      <c r="A996" s="46"/>
      <c r="B996" s="6"/>
      <c r="C996" s="11"/>
      <c r="D996" s="11"/>
      <c r="E996" s="11"/>
      <c r="F996" s="29"/>
      <c r="G996" s="11"/>
      <c r="H996" s="11"/>
      <c r="I996" s="29"/>
      <c r="J996" s="11"/>
      <c r="K996" s="29"/>
      <c r="L996" s="11"/>
      <c r="M996" s="11"/>
      <c r="N996" s="11"/>
      <c r="O996" s="29"/>
      <c r="P996" s="29"/>
      <c r="Q996" s="11"/>
      <c r="R996" s="29"/>
      <c r="S996" s="11"/>
      <c r="T996" s="6"/>
      <c r="U996" s="29"/>
      <c r="V996" s="11"/>
      <c r="W996" s="11"/>
      <c r="X996" s="29"/>
      <c r="Y996" s="11"/>
      <c r="Z996" s="29"/>
      <c r="AA996" s="29"/>
      <c r="AB996" s="11"/>
      <c r="AC996" s="11"/>
      <c r="AD996" s="29"/>
      <c r="AE996" s="11"/>
      <c r="AF996" s="29"/>
      <c r="AG996" s="11"/>
      <c r="AH996" s="29"/>
      <c r="AI996" s="11"/>
      <c r="AJ996" s="29"/>
      <c r="AK996" s="29"/>
      <c r="AL996" s="29"/>
      <c r="AM996" s="11"/>
      <c r="AN996" s="29"/>
      <c r="AO996" s="29"/>
      <c r="AP996" s="6"/>
      <c r="AQ996" s="113">
        <f>IF(AND(I996="",K996="",AF996="",AL996="",AN996="",O996=""),"",IF(OR(I996="SIM",K996="SIM",AF996="SIM",AL996="SIM",AN996="Dados pessoais",AN996="Dados sensíveis",AN996="Dados pessoais e sensíveis",O996="Acima de 10.000 titulares por mês"),"SIM - Alta criticidade",IF((IF(I996="SIM",2,0)+IF(K996="SIM",2,0)+IF(AF996="SIM",2,0)+IF(OR(AN996="Dados pessoais",AN996="Dados sensíveis",AN996="Dados pessoais e sensíveis"),2,0)+IF(O996="De 1.001 a 10.000 titulares por mês",1,0)+IF(AA996="SIM",1,0)+IF(R996="SIM",1,0)+IF(AL996="SIM",1,0)+IF(AJ996="NÃO",1,0))&gt;=5,"SIM - Alta criticidade",IF((IF(I996="SIM",2,0)+IF(K996="SIM",2,0)+IF(AF996="SIM",2,0)+IF(OR(AN996="Dados pessoais",AN996="Dados sensíveis",AN996="Dados pessoais e sensíveis"),2,0)+IF(O996="De 1.001 a 10.000 titulares por mês",1,0)+IF(AA996="SIM",1,0)+IF(R996="SIM",1,0)+IF(AL996="SIM",1,0)+IF(AJ996="NÃO",1,0))&gt;=3,"Avaliação necessária","NÃO"))))</f>
      </c>
      <c r="AR996" s="11"/>
      <c r="AS996" s="113">
        <f>IF(AND(I996="",K996="",AF996="",AL996="",AN996="",O996=""),"",IF(OR(I996="SIM",K996="SIM",AF996="SIM",AL996="SIM",OR(AN996="Dados pessoais",AN996="Dados sensíveis",AN996="Dados pessoais e sensíveis"),O996="Acima de 10.000 titulares por mês",(IF(I996="SIM",2,0)+IF(K996="SIM",2,0)+IF(AF996="SIM",2,0)+IF(OR(AN996="Dados pessoais",AN996="Dados sensíveis",AN996="Dados pessoais e sensíveis"),2,0)+IF(O996="De 1.001 a 10.000 titulares por mês",1,0)+IF(AA996="SIM",1,0)+IF(R996="SIM",1,0)+IF(AL996="SIM",1,0)+IF(AJ996="NÃO",1,0))&gt;=3),"DPIA indicado ou em avaliação em razão de: " &amp; TRIM(IF(I996="SIM","tratamento de dados sensíveis; ","") &amp; IF(K996="SIM","utilização de dados de menores; ","") &amp; IF(AF996="SIM","transferência internacional de dados; ","") &amp; IF(AL996="SIM","utilização de inteligência artificial; ","") &amp; IF(OR(AN996="Dados pessoais",AN996="Dados sensíveis",AN996="Dados pessoais e sensíveis"),"dados inseridos em IA; ","") &amp; IF(O996="Acima de 10.000 titulares por mês","volume crítico de titulares; ","") &amp; IF(O996="De 1.001 a 10.000 titulares por mês","volume moderado de titulares; ","") &amp; IF(AA996="SIM","compartilhamento com terceiros; ","") &amp; IF(R996="SIM","compartilhamento com órgãos governamentais; ","") &amp; IF(AJ996="NÃO","ausência de controle de acesso por perfil; ","")),"DPIA não indicado: Processo de baixa criticidade."))</f>
      </c>
    </row>
    <row x14ac:dyDescent="0.25" r="997" customHeight="1" ht="15.75">
      <c r="A997" s="46"/>
      <c r="B997" s="6"/>
      <c r="C997" s="11"/>
      <c r="D997" s="11"/>
      <c r="E997" s="11"/>
      <c r="F997" s="29"/>
      <c r="G997" s="11"/>
      <c r="H997" s="11"/>
      <c r="I997" s="29"/>
      <c r="J997" s="11"/>
      <c r="K997" s="29"/>
      <c r="L997" s="11"/>
      <c r="M997" s="11"/>
      <c r="N997" s="11"/>
      <c r="O997" s="29"/>
      <c r="P997" s="29"/>
      <c r="Q997" s="11"/>
      <c r="R997" s="29"/>
      <c r="S997" s="11"/>
      <c r="T997" s="6"/>
      <c r="U997" s="29"/>
      <c r="V997" s="11"/>
      <c r="W997" s="11"/>
      <c r="X997" s="29"/>
      <c r="Y997" s="11"/>
      <c r="Z997" s="29"/>
      <c r="AA997" s="29"/>
      <c r="AB997" s="11"/>
      <c r="AC997" s="11"/>
      <c r="AD997" s="29"/>
      <c r="AE997" s="11"/>
      <c r="AF997" s="29"/>
      <c r="AG997" s="11"/>
      <c r="AH997" s="29"/>
      <c r="AI997" s="11"/>
      <c r="AJ997" s="29"/>
      <c r="AK997" s="29"/>
      <c r="AL997" s="29"/>
      <c r="AM997" s="11"/>
      <c r="AN997" s="29"/>
      <c r="AO997" s="29"/>
      <c r="AP997" s="6"/>
      <c r="AQ997" s="113">
        <f>IF(AND(I997="",K997="",AF997="",AL997="",AN997="",O997=""),"",IF(OR(I997="SIM",K997="SIM",AF997="SIM",AL997="SIM",AN997="Dados pessoais",AN997="Dados sensíveis",AN997="Dados pessoais e sensíveis",O997="Acima de 10.000 titulares por mês"),"SIM - Alta criticidade",IF((IF(I997="SIM",2,0)+IF(K997="SIM",2,0)+IF(AF997="SIM",2,0)+IF(OR(AN997="Dados pessoais",AN997="Dados sensíveis",AN997="Dados pessoais e sensíveis"),2,0)+IF(O997="De 1.001 a 10.000 titulares por mês",1,0)+IF(AA997="SIM",1,0)+IF(R997="SIM",1,0)+IF(AL997="SIM",1,0)+IF(AJ997="NÃO",1,0))&gt;=5,"SIM - Alta criticidade",IF((IF(I997="SIM",2,0)+IF(K997="SIM",2,0)+IF(AF997="SIM",2,0)+IF(OR(AN997="Dados pessoais",AN997="Dados sensíveis",AN997="Dados pessoais e sensíveis"),2,0)+IF(O997="De 1.001 a 10.000 titulares por mês",1,0)+IF(AA997="SIM",1,0)+IF(R997="SIM",1,0)+IF(AL997="SIM",1,0)+IF(AJ997="NÃO",1,0))&gt;=3,"Avaliação necessária","NÃO"))))</f>
      </c>
      <c r="AR997" s="11"/>
      <c r="AS997" s="113">
        <f>IF(AND(I997="",K997="",AF997="",AL997="",AN997="",O997=""),"",IF(OR(I997="SIM",K997="SIM",AF997="SIM",AL997="SIM",OR(AN997="Dados pessoais",AN997="Dados sensíveis",AN997="Dados pessoais e sensíveis"),O997="Acima de 10.000 titulares por mês",(IF(I997="SIM",2,0)+IF(K997="SIM",2,0)+IF(AF997="SIM",2,0)+IF(OR(AN997="Dados pessoais",AN997="Dados sensíveis",AN997="Dados pessoais e sensíveis"),2,0)+IF(O997="De 1.001 a 10.000 titulares por mês",1,0)+IF(AA997="SIM",1,0)+IF(R997="SIM",1,0)+IF(AL997="SIM",1,0)+IF(AJ997="NÃO",1,0))&gt;=3),"DPIA indicado ou em avaliação em razão de: " &amp; TRIM(IF(I997="SIM","tratamento de dados sensíveis; ","") &amp; IF(K997="SIM","utilização de dados de menores; ","") &amp; IF(AF997="SIM","transferência internacional de dados; ","") &amp; IF(AL997="SIM","utilização de inteligência artificial; ","") &amp; IF(OR(AN997="Dados pessoais",AN997="Dados sensíveis",AN997="Dados pessoais e sensíveis"),"dados inseridos em IA; ","") &amp; IF(O997="Acima de 10.000 titulares por mês","volume crítico de titulares; ","") &amp; IF(O997="De 1.001 a 10.000 titulares por mês","volume moderado de titulares; ","") &amp; IF(AA997="SIM","compartilhamento com terceiros; ","") &amp; IF(R997="SIM","compartilhamento com órgãos governamentais; ","") &amp; IF(AJ997="NÃO","ausência de controle de acesso por perfil; ","")),"DPIA não indicado: Processo de baixa criticidade."))</f>
      </c>
    </row>
    <row x14ac:dyDescent="0.25" r="998" customHeight="1" ht="15.75">
      <c r="A998" s="46"/>
      <c r="B998" s="6"/>
      <c r="C998" s="11"/>
      <c r="D998" s="11"/>
      <c r="E998" s="11"/>
      <c r="F998" s="29"/>
      <c r="G998" s="11"/>
      <c r="H998" s="11"/>
      <c r="I998" s="29"/>
      <c r="J998" s="11"/>
      <c r="K998" s="29"/>
      <c r="L998" s="11"/>
      <c r="M998" s="11"/>
      <c r="N998" s="11"/>
      <c r="O998" s="29"/>
      <c r="P998" s="29"/>
      <c r="Q998" s="11"/>
      <c r="R998" s="29"/>
      <c r="S998" s="11"/>
      <c r="T998" s="6"/>
      <c r="U998" s="29"/>
      <c r="V998" s="11"/>
      <c r="W998" s="11"/>
      <c r="X998" s="29"/>
      <c r="Y998" s="11"/>
      <c r="Z998" s="29"/>
      <c r="AA998" s="29"/>
      <c r="AB998" s="11"/>
      <c r="AC998" s="11"/>
      <c r="AD998" s="29"/>
      <c r="AE998" s="11"/>
      <c r="AF998" s="29"/>
      <c r="AG998" s="11"/>
      <c r="AH998" s="29"/>
      <c r="AI998" s="11"/>
      <c r="AJ998" s="29"/>
      <c r="AK998" s="29"/>
      <c r="AL998" s="29"/>
      <c r="AM998" s="11"/>
      <c r="AN998" s="29"/>
      <c r="AO998" s="29"/>
      <c r="AP998" s="6"/>
      <c r="AQ998" s="113">
        <f>IF(AND(I998="",K998="",AF998="",AL998="",AN998="",O998=""),"",IF(OR(I998="SIM",K998="SIM",AF998="SIM",AL998="SIM",AN998="Dados pessoais",AN998="Dados sensíveis",AN998="Dados pessoais e sensíveis",O998="Acima de 10.000 titulares por mês"),"SIM - Alta criticidade",IF((IF(I998="SIM",2,0)+IF(K998="SIM",2,0)+IF(AF998="SIM",2,0)+IF(OR(AN998="Dados pessoais",AN998="Dados sensíveis",AN998="Dados pessoais e sensíveis"),2,0)+IF(O998="De 1.001 a 10.000 titulares por mês",1,0)+IF(AA998="SIM",1,0)+IF(R998="SIM",1,0)+IF(AL998="SIM",1,0)+IF(AJ998="NÃO",1,0))&gt;=5,"SIM - Alta criticidade",IF((IF(I998="SIM",2,0)+IF(K998="SIM",2,0)+IF(AF998="SIM",2,0)+IF(OR(AN998="Dados pessoais",AN998="Dados sensíveis",AN998="Dados pessoais e sensíveis"),2,0)+IF(O998="De 1.001 a 10.000 titulares por mês",1,0)+IF(AA998="SIM",1,0)+IF(R998="SIM",1,0)+IF(AL998="SIM",1,0)+IF(AJ998="NÃO",1,0))&gt;=3,"Avaliação necessária","NÃO"))))</f>
      </c>
      <c r="AR998" s="11"/>
      <c r="AS998" s="113">
        <f>IF(AND(I998="",K998="",AF998="",AL998="",AN998="",O998=""),"",IF(OR(I998="SIM",K998="SIM",AF998="SIM",AL998="SIM",OR(AN998="Dados pessoais",AN998="Dados sensíveis",AN998="Dados pessoais e sensíveis"),O998="Acima de 10.000 titulares por mês",(IF(I998="SIM",2,0)+IF(K998="SIM",2,0)+IF(AF998="SIM",2,0)+IF(OR(AN998="Dados pessoais",AN998="Dados sensíveis",AN998="Dados pessoais e sensíveis"),2,0)+IF(O998="De 1.001 a 10.000 titulares por mês",1,0)+IF(AA998="SIM",1,0)+IF(R998="SIM",1,0)+IF(AL998="SIM",1,0)+IF(AJ998="NÃO",1,0))&gt;=3),"DPIA indicado ou em avaliação em razão de: " &amp; TRIM(IF(I998="SIM","tratamento de dados sensíveis; ","") &amp; IF(K998="SIM","utilização de dados de menores; ","") &amp; IF(AF998="SIM","transferência internacional de dados; ","") &amp; IF(AL998="SIM","utilização de inteligência artificial; ","") &amp; IF(OR(AN998="Dados pessoais",AN998="Dados sensíveis",AN998="Dados pessoais e sensíveis"),"dados inseridos em IA; ","") &amp; IF(O998="Acima de 10.000 titulares por mês","volume crítico de titulares; ","") &amp; IF(O998="De 1.001 a 10.000 titulares por mês","volume moderado de titulares; ","") &amp; IF(AA998="SIM","compartilhamento com terceiros; ","") &amp; IF(R998="SIM","compartilhamento com órgãos governamentais; ","") &amp; IF(AJ998="NÃO","ausência de controle de acesso por perfil; ","")),"DPIA não indicado: Processo de baixa criticidade."))</f>
      </c>
    </row>
    <row x14ac:dyDescent="0.25" r="999" customHeight="1" ht="15.75">
      <c r="A999" s="46"/>
      <c r="B999" s="6"/>
      <c r="C999" s="11"/>
      <c r="D999" s="11"/>
      <c r="E999" s="11"/>
      <c r="F999" s="29"/>
      <c r="G999" s="11"/>
      <c r="H999" s="11"/>
      <c r="I999" s="29"/>
      <c r="J999" s="11"/>
      <c r="K999" s="29"/>
      <c r="L999" s="11"/>
      <c r="M999" s="11"/>
      <c r="N999" s="11"/>
      <c r="O999" s="29"/>
      <c r="P999" s="29"/>
      <c r="Q999" s="11"/>
      <c r="R999" s="29"/>
      <c r="S999" s="11"/>
      <c r="T999" s="6"/>
      <c r="U999" s="29"/>
      <c r="V999" s="11"/>
      <c r="W999" s="11"/>
      <c r="X999" s="29"/>
      <c r="Y999" s="11"/>
      <c r="Z999" s="29"/>
      <c r="AA999" s="29"/>
      <c r="AB999" s="11"/>
      <c r="AC999" s="11"/>
      <c r="AD999" s="29"/>
      <c r="AE999" s="11"/>
      <c r="AF999" s="29"/>
      <c r="AG999" s="11"/>
      <c r="AH999" s="29"/>
      <c r="AI999" s="11"/>
      <c r="AJ999" s="29"/>
      <c r="AK999" s="29"/>
      <c r="AL999" s="29"/>
      <c r="AM999" s="11"/>
      <c r="AN999" s="29"/>
      <c r="AO999" s="29"/>
      <c r="AP999" s="6"/>
      <c r="AQ999" s="113">
        <f>IF(AND(I999="",K999="",AF999="",AL999="",AN999="",O999=""),"",IF(OR(I999="SIM",K999="SIM",AF999="SIM",AL999="SIM",AN999="Dados pessoais",AN999="Dados sensíveis",AN999="Dados pessoais e sensíveis",O999="Acima de 10.000 titulares por mês"),"SIM - Alta criticidade",IF((IF(I999="SIM",2,0)+IF(K999="SIM",2,0)+IF(AF999="SIM",2,0)+IF(OR(AN999="Dados pessoais",AN999="Dados sensíveis",AN999="Dados pessoais e sensíveis"),2,0)+IF(O999="De 1.001 a 10.000 titulares por mês",1,0)+IF(AA999="SIM",1,0)+IF(R999="SIM",1,0)+IF(AL999="SIM",1,0)+IF(AJ999="NÃO",1,0))&gt;=5,"SIM - Alta criticidade",IF((IF(I999="SIM",2,0)+IF(K999="SIM",2,0)+IF(AF999="SIM",2,0)+IF(OR(AN999="Dados pessoais",AN999="Dados sensíveis",AN999="Dados pessoais e sensíveis"),2,0)+IF(O999="De 1.001 a 10.000 titulares por mês",1,0)+IF(AA999="SIM",1,0)+IF(R999="SIM",1,0)+IF(AL999="SIM",1,0)+IF(AJ999="NÃO",1,0))&gt;=3,"Avaliação necessária","NÃO"))))</f>
      </c>
      <c r="AR999" s="11"/>
      <c r="AS999" s="113">
        <f>IF(AND(I999="",K999="",AF999="",AL999="",AN999="",O999=""),"",IF(OR(I999="SIM",K999="SIM",AF999="SIM",AL999="SIM",OR(AN999="Dados pessoais",AN999="Dados sensíveis",AN999="Dados pessoais e sensíveis"),O999="Acima de 10.000 titulares por mês",(IF(I999="SIM",2,0)+IF(K999="SIM",2,0)+IF(AF999="SIM",2,0)+IF(OR(AN999="Dados pessoais",AN999="Dados sensíveis",AN999="Dados pessoais e sensíveis"),2,0)+IF(O999="De 1.001 a 10.000 titulares por mês",1,0)+IF(AA999="SIM",1,0)+IF(R999="SIM",1,0)+IF(AL999="SIM",1,0)+IF(AJ999="NÃO",1,0))&gt;=3),"DPIA indicado ou em avaliação em razão de: " &amp; TRIM(IF(I999="SIM","tratamento de dados sensíveis; ","") &amp; IF(K999="SIM","utilização de dados de menores; ","") &amp; IF(AF999="SIM","transferência internacional de dados; ","") &amp; IF(AL999="SIM","utilização de inteligência artificial; ","") &amp; IF(OR(AN999="Dados pessoais",AN999="Dados sensíveis",AN999="Dados pessoais e sensíveis"),"dados inseridos em IA; ","") &amp; IF(O999="Acima de 10.000 titulares por mês","volume crítico de titulares; ","") &amp; IF(O999="De 1.001 a 10.000 titulares por mês","volume moderado de titulares; ","") &amp; IF(AA999="SIM","compartilhamento com terceiros; ","") &amp; IF(R999="SIM","compartilhamento com órgãos governamentais; ","") &amp; IF(AJ999="NÃO","ausência de controle de acesso por perfil; ","")),"DPIA não indicado: Processo de baixa criticidade."))</f>
      </c>
    </row>
    <row x14ac:dyDescent="0.25" r="1000" customHeight="1" ht="15.75">
      <c r="A1000" s="46"/>
      <c r="B1000" s="6"/>
      <c r="C1000" s="11"/>
      <c r="D1000" s="11"/>
      <c r="E1000" s="11"/>
      <c r="F1000" s="29"/>
      <c r="G1000" s="11"/>
      <c r="H1000" s="11"/>
      <c r="I1000" s="29"/>
      <c r="J1000" s="11"/>
      <c r="K1000" s="29"/>
      <c r="L1000" s="11"/>
      <c r="M1000" s="11"/>
      <c r="N1000" s="11"/>
      <c r="O1000" s="29"/>
      <c r="P1000" s="29"/>
      <c r="Q1000" s="11"/>
      <c r="R1000" s="29"/>
      <c r="S1000" s="11"/>
      <c r="T1000" s="6"/>
      <c r="U1000" s="29"/>
      <c r="V1000" s="11"/>
      <c r="W1000" s="11"/>
      <c r="X1000" s="29"/>
      <c r="Y1000" s="11"/>
      <c r="Z1000" s="29"/>
      <c r="AA1000" s="29"/>
      <c r="AB1000" s="11"/>
      <c r="AC1000" s="11"/>
      <c r="AD1000" s="29"/>
      <c r="AE1000" s="11"/>
      <c r="AF1000" s="29"/>
      <c r="AG1000" s="11"/>
      <c r="AH1000" s="29"/>
      <c r="AI1000" s="11"/>
      <c r="AJ1000" s="29"/>
      <c r="AK1000" s="29"/>
      <c r="AL1000" s="29"/>
      <c r="AM1000" s="11"/>
      <c r="AN1000" s="29"/>
      <c r="AO1000" s="29"/>
      <c r="AP1000" s="6"/>
      <c r="AQ1000" s="113">
        <f>IF(AND(I1000="",K1000="",AF1000="",AL1000="",AN1000="",O1000=""),"",IF(OR(I1000="SIM",K1000="SIM",AF1000="SIM",AL1000="SIM",AN1000="Dados pessoais",AN1000="Dados sensíveis",AN1000="Dados pessoais e sensíveis",O1000="Acima de 10.000 titulares por mês"),"SIM - Alta criticidade",IF((IF(I1000="SIM",2,0)+IF(K1000="SIM",2,0)+IF(AF1000="SIM",2,0)+IF(OR(AN1000="Dados pessoais",AN1000="Dados sensíveis",AN1000="Dados pessoais e sensíveis"),2,0)+IF(O1000="De 1.001 a 10.000 titulares por mês",1,0)+IF(AA1000="SIM",1,0)+IF(R1000="SIM",1,0)+IF(AL1000="SIM",1,0)+IF(AJ1000="NÃO",1,0))&gt;=5,"SIM - Alta criticidade",IF((IF(I1000="SIM",2,0)+IF(K1000="SIM",2,0)+IF(AF1000="SIM",2,0)+IF(OR(AN1000="Dados pessoais",AN1000="Dados sensíveis",AN1000="Dados pessoais e sensíveis"),2,0)+IF(O1000="De 1.001 a 10.000 titulares por mês",1,0)+IF(AA1000="SIM",1,0)+IF(R1000="SIM",1,0)+IF(AL1000="SIM",1,0)+IF(AJ1000="NÃO",1,0))&gt;=3,"Avaliação necessária","NÃO"))))</f>
      </c>
      <c r="AR1000" s="11"/>
      <c r="AS1000" s="113">
        <f>IF(AND(I1000="",K1000="",AF1000="",AL1000="",AN1000="",O1000=""),"",IF(OR(I1000="SIM",K1000="SIM",AF1000="SIM",AL1000="SIM",OR(AN1000="Dados pessoais",AN1000="Dados sensíveis",AN1000="Dados pessoais e sensíveis"),O1000="Acima de 10.000 titulares por mês",(IF(I1000="SIM",2,0)+IF(K1000="SIM",2,0)+IF(AF1000="SIM",2,0)+IF(OR(AN1000="Dados pessoais",AN1000="Dados sensíveis",AN1000="Dados pessoais e sensíveis"),2,0)+IF(O1000="De 1.001 a 10.000 titulares por mês",1,0)+IF(AA1000="SIM",1,0)+IF(R1000="SIM",1,0)+IF(AL1000="SIM",1,0)+IF(AJ1000="NÃO",1,0))&gt;=3),"DPIA indicado ou em avaliação em razão de: " &amp; TRIM(IF(I1000="SIM","tratamento de dados sensíveis; ","") &amp; IF(K1000="SIM","utilização de dados de menores; ","") &amp; IF(AF1000="SIM","transferência internacional de dados; ","") &amp; IF(AL1000="SIM","utilização de inteligência artificial; ","") &amp; IF(OR(AN1000="Dados pessoais",AN1000="Dados sensíveis",AN1000="Dados pessoais e sensíveis"),"dados inseridos em IA; ","") &amp; IF(O1000="Acima de 10.000 titulares por mês","volume crítico de titulares; ","") &amp; IF(O1000="De 1.001 a 10.000 titulares por mês","volume moderado de titulares; ","") &amp; IF(AA1000="SIM","compartilhamento com terceiros; ","") &amp; IF(R1000="SIM","compartilhamento com órgãos governamentais; ","") &amp; IF(AJ1000="NÃO","ausência de controle de acesso por perfil; ","")),"DPIA não indicado: Processo de baixa criticidade."))</f>
      </c>
    </row>
  </sheetData>
  <mergeCells count="9">
    <mergeCell ref="B2:E2"/>
    <mergeCell ref="F2:O2"/>
    <mergeCell ref="P2:S2"/>
    <mergeCell ref="T2:W2"/>
    <mergeCell ref="X2:Z2"/>
    <mergeCell ref="AA2:AE2"/>
    <mergeCell ref="AF2:AI2"/>
    <mergeCell ref="AL2:AO2"/>
    <mergeCell ref="AP2:AR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1000"/>
  <sheetViews>
    <sheetView workbookViewId="0"/>
  </sheetViews>
  <sheetFormatPr defaultRowHeight="15" x14ac:dyDescent="0.25"/>
  <cols>
    <col min="1" max="1" style="12" width="39.14785714285715" customWidth="1" bestFit="1"/>
    <col min="2" max="2" style="13" width="8.719285714285713" customWidth="1" bestFit="1"/>
    <col min="3" max="3" style="12" width="46.71928571428572" customWidth="1" bestFit="1"/>
    <col min="4" max="4" style="13" width="14.147857142857141" customWidth="1" bestFit="1"/>
  </cols>
  <sheetData>
    <row x14ac:dyDescent="0.25" r="1" customHeight="1" ht="112.5" customFormat="1" s="1">
      <c r="A1" s="52" t="s">
        <v>431</v>
      </c>
      <c r="B1" s="6"/>
      <c r="C1" s="52"/>
      <c r="D1" s="97" t="s">
        <v>432</v>
      </c>
    </row>
    <row x14ac:dyDescent="0.25" r="2" customHeight="1" ht="14.25" customFormat="1" s="1">
      <c r="A2" s="52" t="s">
        <v>433</v>
      </c>
      <c r="B2" s="6"/>
      <c r="C2" s="52"/>
      <c r="D2" s="6"/>
    </row>
    <row x14ac:dyDescent="0.25" r="3" customHeight="1" ht="14.25" customFormat="1" s="1">
      <c r="A3" s="52" t="s">
        <v>337</v>
      </c>
      <c r="B3" s="6"/>
      <c r="C3" s="52"/>
      <c r="D3" s="6"/>
    </row>
    <row x14ac:dyDescent="0.25" r="4" customHeight="1" ht="14.25" customFormat="1" s="1">
      <c r="A4" s="52" t="s">
        <v>205</v>
      </c>
      <c r="B4" s="6"/>
      <c r="C4" s="52"/>
      <c r="D4" s="6"/>
    </row>
    <row x14ac:dyDescent="0.25" r="5" customHeight="1" ht="14.25" customFormat="1" s="1">
      <c r="A5" s="52" t="s">
        <v>189</v>
      </c>
      <c r="B5" s="6"/>
      <c r="C5" s="53" t="s">
        <v>434</v>
      </c>
      <c r="D5" s="6"/>
    </row>
    <row x14ac:dyDescent="0.25" r="6" customHeight="1" ht="14.25" customFormat="1" s="1">
      <c r="A6" s="52" t="s">
        <v>435</v>
      </c>
      <c r="B6" s="6"/>
      <c r="C6" s="52"/>
      <c r="D6" s="6"/>
    </row>
    <row x14ac:dyDescent="0.25" r="7" customHeight="1" ht="14.25" customFormat="1" s="1">
      <c r="A7" s="52" t="s">
        <v>436</v>
      </c>
      <c r="B7" s="6"/>
      <c r="C7" s="52"/>
      <c r="D7" s="6"/>
    </row>
    <row x14ac:dyDescent="0.25" r="8" customHeight="1" ht="14.25" customFormat="1" s="1">
      <c r="A8" s="52" t="s">
        <v>437</v>
      </c>
      <c r="B8" s="6"/>
      <c r="C8" s="52"/>
      <c r="D8" s="6"/>
    </row>
    <row x14ac:dyDescent="0.25" r="9" customHeight="1" ht="14.25" customFormat="1" s="1">
      <c r="A9" s="53" t="s">
        <v>438</v>
      </c>
      <c r="B9" s="6"/>
      <c r="C9" s="52"/>
      <c r="D9" s="6"/>
    </row>
    <row x14ac:dyDescent="0.25" r="10" customHeight="1" ht="14.25" customFormat="1" s="1">
      <c r="A10" s="52" t="s">
        <v>439</v>
      </c>
      <c r="B10" s="6"/>
      <c r="C10" s="52"/>
      <c r="D10" s="6"/>
    </row>
    <row x14ac:dyDescent="0.25" r="11" customHeight="1" ht="14.25" customFormat="1" s="1">
      <c r="A11" s="52" t="s">
        <v>440</v>
      </c>
      <c r="B11" s="6"/>
      <c r="C11" s="52"/>
      <c r="D11" s="6"/>
    </row>
    <row x14ac:dyDescent="0.25" r="12" customHeight="1" ht="14.25" customFormat="1" s="1">
      <c r="A12" s="52" t="s">
        <v>441</v>
      </c>
      <c r="B12" s="6"/>
      <c r="C12" s="52"/>
      <c r="D12" s="6"/>
    </row>
    <row x14ac:dyDescent="0.25" r="13" customHeight="1" ht="14.25" customFormat="1" s="1">
      <c r="A13" s="52" t="s">
        <v>442</v>
      </c>
      <c r="B13" s="6"/>
      <c r="C13" s="52"/>
      <c r="D13" s="6"/>
    </row>
    <row x14ac:dyDescent="0.25" r="14" customHeight="1" ht="14.25" customFormat="1" s="1">
      <c r="A14" s="52" t="s">
        <v>443</v>
      </c>
      <c r="B14" s="6"/>
      <c r="C14" s="6"/>
      <c r="D14" s="6"/>
    </row>
    <row x14ac:dyDescent="0.25" r="15" customHeight="1" ht="14.25" customFormat="1" s="1">
      <c r="A15" s="52" t="s">
        <v>444</v>
      </c>
      <c r="B15" s="6"/>
      <c r="C15" s="52"/>
      <c r="D15" s="6"/>
    </row>
    <row x14ac:dyDescent="0.25" r="16" customHeight="1" ht="14.25" customFormat="1" s="1">
      <c r="A16" s="52" t="s">
        <v>445</v>
      </c>
      <c r="B16" s="6"/>
      <c r="C16" s="6"/>
      <c r="D16" s="6"/>
    </row>
    <row x14ac:dyDescent="0.25" r="17" customHeight="1" ht="14.25" customFormat="1" s="1">
      <c r="A17" s="6"/>
      <c r="B17" s="6"/>
      <c r="C17" s="52"/>
      <c r="D17" s="6"/>
    </row>
    <row x14ac:dyDescent="0.25" r="18" customHeight="1" ht="14.25" customFormat="1" s="1">
      <c r="A18" s="6"/>
      <c r="B18" s="6"/>
      <c r="C18" s="52" t="s">
        <v>446</v>
      </c>
      <c r="D18" s="6"/>
    </row>
    <row x14ac:dyDescent="0.25" r="19" customHeight="1" ht="14.25">
      <c r="A19" s="6"/>
      <c r="B19" s="11"/>
      <c r="C19" s="6"/>
      <c r="D19" s="11"/>
    </row>
    <row x14ac:dyDescent="0.25" r="20" customHeight="1" ht="14.25">
      <c r="A20" s="6"/>
      <c r="B20" s="11"/>
      <c r="C20" s="6"/>
      <c r="D20" s="11"/>
    </row>
    <row x14ac:dyDescent="0.25" r="21" customHeight="1" ht="14.25">
      <c r="A21" s="6"/>
      <c r="B21" s="11"/>
      <c r="C21" s="6"/>
      <c r="D21" s="11"/>
    </row>
    <row x14ac:dyDescent="0.25" r="22" customHeight="1" ht="14.25">
      <c r="A22" s="6"/>
      <c r="B22" s="11"/>
      <c r="C22" s="6"/>
      <c r="D22" s="11"/>
    </row>
    <row x14ac:dyDescent="0.25" r="23" customHeight="1" ht="14.25">
      <c r="A23" s="6"/>
      <c r="B23" s="11"/>
      <c r="C23" s="6"/>
      <c r="D23" s="11"/>
    </row>
    <row x14ac:dyDescent="0.25" r="24" customHeight="1" ht="14.25">
      <c r="A24" s="6"/>
      <c r="B24" s="11"/>
      <c r="C24" s="6"/>
      <c r="D24" s="11"/>
    </row>
    <row x14ac:dyDescent="0.25" r="25" customHeight="1" ht="14.25">
      <c r="A25" s="6"/>
      <c r="B25" s="11"/>
      <c r="C25" s="6"/>
      <c r="D25" s="11"/>
    </row>
    <row x14ac:dyDescent="0.25" r="26" customHeight="1" ht="14.25">
      <c r="A26" s="6"/>
      <c r="B26" s="11"/>
      <c r="C26" s="6"/>
      <c r="D26" s="11"/>
    </row>
    <row x14ac:dyDescent="0.25" r="27" customHeight="1" ht="14.25">
      <c r="A27" s="6"/>
      <c r="B27" s="11"/>
      <c r="C27" s="6"/>
      <c r="D27" s="11"/>
    </row>
    <row x14ac:dyDescent="0.25" r="28" customHeight="1" ht="14.25">
      <c r="A28" s="6"/>
      <c r="B28" s="11"/>
      <c r="C28" s="6"/>
      <c r="D28" s="11"/>
    </row>
    <row x14ac:dyDescent="0.25" r="29" customHeight="1" ht="14.25">
      <c r="A29" s="6"/>
      <c r="B29" s="11"/>
      <c r="C29" s="6"/>
      <c r="D29" s="11"/>
    </row>
    <row x14ac:dyDescent="0.25" r="30" customHeight="1" ht="14.25">
      <c r="A30" s="6"/>
      <c r="B30" s="11"/>
      <c r="C30" s="6"/>
      <c r="D30" s="11"/>
    </row>
    <row x14ac:dyDescent="0.25" r="31" customHeight="1" ht="14.25">
      <c r="A31" s="6"/>
      <c r="B31" s="11"/>
      <c r="C31" s="6"/>
      <c r="D31" s="11"/>
    </row>
    <row x14ac:dyDescent="0.25" r="32" customHeight="1" ht="14.25">
      <c r="A32" s="6"/>
      <c r="B32" s="11"/>
      <c r="C32" s="6"/>
      <c r="D32" s="11"/>
    </row>
    <row x14ac:dyDescent="0.25" r="33" customHeight="1" ht="14.25">
      <c r="A33" s="6"/>
      <c r="B33" s="11"/>
      <c r="C33" s="6"/>
      <c r="D33" s="11"/>
    </row>
    <row x14ac:dyDescent="0.25" r="34" customHeight="1" ht="14.25">
      <c r="A34" s="6"/>
      <c r="B34" s="11"/>
      <c r="C34" s="6"/>
      <c r="D34" s="11"/>
    </row>
    <row x14ac:dyDescent="0.25" r="35" customHeight="1" ht="14.25">
      <c r="A35" s="6"/>
      <c r="B35" s="11"/>
      <c r="C35" s="6"/>
      <c r="D35" s="11"/>
    </row>
    <row x14ac:dyDescent="0.25" r="36" customHeight="1" ht="14.25">
      <c r="A36" s="6"/>
      <c r="B36" s="11"/>
      <c r="C36" s="6"/>
      <c r="D36" s="11"/>
    </row>
    <row x14ac:dyDescent="0.25" r="37" customHeight="1" ht="14.25">
      <c r="A37" s="6"/>
      <c r="B37" s="11"/>
      <c r="C37" s="6"/>
      <c r="D37" s="11"/>
    </row>
    <row x14ac:dyDescent="0.25" r="38" customHeight="1" ht="14.25">
      <c r="A38" s="6"/>
      <c r="B38" s="11"/>
      <c r="C38" s="6"/>
      <c r="D38" s="11"/>
    </row>
    <row x14ac:dyDescent="0.25" r="39" customHeight="1" ht="14.25">
      <c r="A39" s="6"/>
      <c r="B39" s="11"/>
      <c r="C39" s="6"/>
      <c r="D39" s="11"/>
    </row>
    <row x14ac:dyDescent="0.25" r="40" customHeight="1" ht="14.25">
      <c r="A40" s="6"/>
      <c r="B40" s="11"/>
      <c r="C40" s="6"/>
      <c r="D40" s="11"/>
    </row>
    <row x14ac:dyDescent="0.25" r="41" customHeight="1" ht="14.25">
      <c r="A41" s="6"/>
      <c r="B41" s="11"/>
      <c r="C41" s="6"/>
      <c r="D41" s="11"/>
    </row>
    <row x14ac:dyDescent="0.25" r="42" customHeight="1" ht="14.25">
      <c r="A42" s="6"/>
      <c r="B42" s="11"/>
      <c r="C42" s="6"/>
      <c r="D42" s="11"/>
    </row>
    <row x14ac:dyDescent="0.25" r="43" customHeight="1" ht="14.25">
      <c r="A43" s="6"/>
      <c r="B43" s="11"/>
      <c r="C43" s="6"/>
      <c r="D43" s="11"/>
    </row>
    <row x14ac:dyDescent="0.25" r="44" customHeight="1" ht="14.25">
      <c r="A44" s="6"/>
      <c r="B44" s="11"/>
      <c r="C44" s="6"/>
      <c r="D44" s="11"/>
    </row>
    <row x14ac:dyDescent="0.25" r="45" customHeight="1" ht="14.25">
      <c r="A45" s="6"/>
      <c r="B45" s="11"/>
      <c r="C45" s="6"/>
      <c r="D45" s="11"/>
    </row>
    <row x14ac:dyDescent="0.25" r="46" customHeight="1" ht="14.25">
      <c r="A46" s="6"/>
      <c r="B46" s="11"/>
      <c r="C46" s="6"/>
      <c r="D46" s="11"/>
    </row>
    <row x14ac:dyDescent="0.25" r="47" customHeight="1" ht="14.25">
      <c r="A47" s="6"/>
      <c r="B47" s="11"/>
      <c r="C47" s="6"/>
      <c r="D47" s="11"/>
    </row>
    <row x14ac:dyDescent="0.25" r="48" customHeight="1" ht="14.25">
      <c r="A48" s="6"/>
      <c r="B48" s="11"/>
      <c r="C48" s="6"/>
      <c r="D48" s="11"/>
    </row>
    <row x14ac:dyDescent="0.25" r="49" customHeight="1" ht="14.25">
      <c r="A49" s="6"/>
      <c r="B49" s="11"/>
      <c r="C49" s="6"/>
      <c r="D49" s="11"/>
    </row>
    <row x14ac:dyDescent="0.25" r="50" customHeight="1" ht="14.25">
      <c r="A50" s="6"/>
      <c r="B50" s="11"/>
      <c r="C50" s="6"/>
      <c r="D50" s="11"/>
    </row>
    <row x14ac:dyDescent="0.25" r="51" customHeight="1" ht="14.25">
      <c r="A51" s="6"/>
      <c r="B51" s="11"/>
      <c r="C51" s="6"/>
      <c r="D51" s="11"/>
    </row>
    <row x14ac:dyDescent="0.25" r="52" customHeight="1" ht="14.25">
      <c r="A52" s="6"/>
      <c r="B52" s="11"/>
      <c r="C52" s="6"/>
      <c r="D52" s="11"/>
    </row>
    <row x14ac:dyDescent="0.25" r="53" customHeight="1" ht="14.25">
      <c r="A53" s="6"/>
      <c r="B53" s="11"/>
      <c r="C53" s="6"/>
      <c r="D53" s="11"/>
    </row>
    <row x14ac:dyDescent="0.25" r="54" customHeight="1" ht="14.25">
      <c r="A54" s="6"/>
      <c r="B54" s="11"/>
      <c r="C54" s="6"/>
      <c r="D54" s="11"/>
    </row>
    <row x14ac:dyDescent="0.25" r="55" customHeight="1" ht="14.25">
      <c r="A55" s="6"/>
      <c r="B55" s="11"/>
      <c r="C55" s="6"/>
      <c r="D55" s="11"/>
    </row>
    <row x14ac:dyDescent="0.25" r="56" customHeight="1" ht="14.25">
      <c r="A56" s="6"/>
      <c r="B56" s="11"/>
      <c r="C56" s="6"/>
      <c r="D56" s="11"/>
    </row>
    <row x14ac:dyDescent="0.25" r="57" customHeight="1" ht="14.25">
      <c r="A57" s="6"/>
      <c r="B57" s="11"/>
      <c r="C57" s="6"/>
      <c r="D57" s="11"/>
    </row>
    <row x14ac:dyDescent="0.25" r="58" customHeight="1" ht="14.25">
      <c r="A58" s="6"/>
      <c r="B58" s="11"/>
      <c r="C58" s="6"/>
      <c r="D58" s="11"/>
    </row>
    <row x14ac:dyDescent="0.25" r="59" customHeight="1" ht="14.25">
      <c r="A59" s="6"/>
      <c r="B59" s="11"/>
      <c r="C59" s="6"/>
      <c r="D59" s="11"/>
    </row>
    <row x14ac:dyDescent="0.25" r="60" customHeight="1" ht="14.25">
      <c r="A60" s="6"/>
      <c r="B60" s="11"/>
      <c r="C60" s="6"/>
      <c r="D60" s="11"/>
    </row>
    <row x14ac:dyDescent="0.25" r="61" customHeight="1" ht="14.25">
      <c r="A61" s="6"/>
      <c r="B61" s="11"/>
      <c r="C61" s="6"/>
      <c r="D61" s="11"/>
    </row>
    <row x14ac:dyDescent="0.25" r="62" customHeight="1" ht="14.25">
      <c r="A62" s="6"/>
      <c r="B62" s="11"/>
      <c r="C62" s="6"/>
      <c r="D62" s="11"/>
    </row>
    <row x14ac:dyDescent="0.25" r="63" customHeight="1" ht="14.25">
      <c r="A63" s="6"/>
      <c r="B63" s="11"/>
      <c r="C63" s="6"/>
      <c r="D63" s="11"/>
    </row>
    <row x14ac:dyDescent="0.25" r="64" customHeight="1" ht="14.25">
      <c r="A64" s="6"/>
      <c r="B64" s="11"/>
      <c r="C64" s="6"/>
      <c r="D64" s="11"/>
    </row>
    <row x14ac:dyDescent="0.25" r="65" customHeight="1" ht="14.25">
      <c r="A65" s="6"/>
      <c r="B65" s="11"/>
      <c r="C65" s="6"/>
      <c r="D65" s="11"/>
    </row>
    <row x14ac:dyDescent="0.25" r="66" customHeight="1" ht="14.25">
      <c r="A66" s="6"/>
      <c r="B66" s="11"/>
      <c r="C66" s="6"/>
      <c r="D66" s="11"/>
    </row>
    <row x14ac:dyDescent="0.25" r="67" customHeight="1" ht="14.25">
      <c r="A67" s="6"/>
      <c r="B67" s="11"/>
      <c r="C67" s="6"/>
      <c r="D67" s="11"/>
    </row>
    <row x14ac:dyDescent="0.25" r="68" customHeight="1" ht="14.25">
      <c r="A68" s="6"/>
      <c r="B68" s="11"/>
      <c r="C68" s="6"/>
      <c r="D68" s="11"/>
    </row>
    <row x14ac:dyDescent="0.25" r="69" customHeight="1" ht="14.25">
      <c r="A69" s="6"/>
      <c r="B69" s="11"/>
      <c r="C69" s="6"/>
      <c r="D69" s="11"/>
    </row>
    <row x14ac:dyDescent="0.25" r="70" customHeight="1" ht="14.25">
      <c r="A70" s="6"/>
      <c r="B70" s="11"/>
      <c r="C70" s="6"/>
      <c r="D70" s="11"/>
    </row>
    <row x14ac:dyDescent="0.25" r="71" customHeight="1" ht="14.25">
      <c r="A71" s="6"/>
      <c r="B71" s="11"/>
      <c r="C71" s="6"/>
      <c r="D71" s="11"/>
    </row>
    <row x14ac:dyDescent="0.25" r="72" customHeight="1" ht="14.25">
      <c r="A72" s="6"/>
      <c r="B72" s="11"/>
      <c r="C72" s="6"/>
      <c r="D72" s="11"/>
    </row>
    <row x14ac:dyDescent="0.25" r="73" customHeight="1" ht="14.25">
      <c r="A73" s="6"/>
      <c r="B73" s="11"/>
      <c r="C73" s="6"/>
      <c r="D73" s="11"/>
    </row>
    <row x14ac:dyDescent="0.25" r="74" customHeight="1" ht="14.25">
      <c r="A74" s="6"/>
      <c r="B74" s="11"/>
      <c r="C74" s="6"/>
      <c r="D74" s="11"/>
    </row>
    <row x14ac:dyDescent="0.25" r="75" customHeight="1" ht="14.25">
      <c r="A75" s="6"/>
      <c r="B75" s="11"/>
      <c r="C75" s="6"/>
      <c r="D75" s="11"/>
    </row>
    <row x14ac:dyDescent="0.25" r="76" customHeight="1" ht="14.25">
      <c r="A76" s="6"/>
      <c r="B76" s="11"/>
      <c r="C76" s="6"/>
      <c r="D76" s="11"/>
    </row>
    <row x14ac:dyDescent="0.25" r="77" customHeight="1" ht="14.25">
      <c r="A77" s="6"/>
      <c r="B77" s="11"/>
      <c r="C77" s="6"/>
      <c r="D77" s="11"/>
    </row>
    <row x14ac:dyDescent="0.25" r="78" customHeight="1" ht="14.25">
      <c r="A78" s="6"/>
      <c r="B78" s="11"/>
      <c r="C78" s="6"/>
      <c r="D78" s="11"/>
    </row>
    <row x14ac:dyDescent="0.25" r="79" customHeight="1" ht="14.25">
      <c r="A79" s="6"/>
      <c r="B79" s="11"/>
      <c r="C79" s="6"/>
      <c r="D79" s="11"/>
    </row>
    <row x14ac:dyDescent="0.25" r="80" customHeight="1" ht="14.25">
      <c r="A80" s="6"/>
      <c r="B80" s="11"/>
      <c r="C80" s="6"/>
      <c r="D80" s="11"/>
    </row>
    <row x14ac:dyDescent="0.25" r="81" customHeight="1" ht="14.25">
      <c r="A81" s="6"/>
      <c r="B81" s="11"/>
      <c r="C81" s="6"/>
      <c r="D81" s="11"/>
    </row>
    <row x14ac:dyDescent="0.25" r="82" customHeight="1" ht="14.25">
      <c r="A82" s="6"/>
      <c r="B82" s="11"/>
      <c r="C82" s="6"/>
      <c r="D82" s="11"/>
    </row>
    <row x14ac:dyDescent="0.25" r="83" customHeight="1" ht="14.25">
      <c r="A83" s="6"/>
      <c r="B83" s="11"/>
      <c r="C83" s="6"/>
      <c r="D83" s="11"/>
    </row>
    <row x14ac:dyDescent="0.25" r="84" customHeight="1" ht="14.25">
      <c r="A84" s="6"/>
      <c r="B84" s="11"/>
      <c r="C84" s="6"/>
      <c r="D84" s="11"/>
    </row>
    <row x14ac:dyDescent="0.25" r="85" customHeight="1" ht="14.25">
      <c r="A85" s="6"/>
      <c r="B85" s="11"/>
      <c r="C85" s="6"/>
      <c r="D85" s="11"/>
    </row>
    <row x14ac:dyDescent="0.25" r="86" customHeight="1" ht="14.25">
      <c r="A86" s="6"/>
      <c r="B86" s="11"/>
      <c r="C86" s="6"/>
      <c r="D86" s="11"/>
    </row>
    <row x14ac:dyDescent="0.25" r="87" customHeight="1" ht="14.25">
      <c r="A87" s="6"/>
      <c r="B87" s="11"/>
      <c r="C87" s="6"/>
      <c r="D87" s="11"/>
    </row>
    <row x14ac:dyDescent="0.25" r="88" customHeight="1" ht="14.25">
      <c r="A88" s="6"/>
      <c r="B88" s="11"/>
      <c r="C88" s="6"/>
      <c r="D88" s="11"/>
    </row>
    <row x14ac:dyDescent="0.25" r="89" customHeight="1" ht="14.25">
      <c r="A89" s="6"/>
      <c r="B89" s="11"/>
      <c r="C89" s="6"/>
      <c r="D89" s="11"/>
    </row>
    <row x14ac:dyDescent="0.25" r="90" customHeight="1" ht="14.25">
      <c r="A90" s="6"/>
      <c r="B90" s="11"/>
      <c r="C90" s="6"/>
      <c r="D90" s="11"/>
    </row>
    <row x14ac:dyDescent="0.25" r="91" customHeight="1" ht="14.25">
      <c r="A91" s="6"/>
      <c r="B91" s="11"/>
      <c r="C91" s="6"/>
      <c r="D91" s="11"/>
    </row>
    <row x14ac:dyDescent="0.25" r="92" customHeight="1" ht="14.25">
      <c r="A92" s="6"/>
      <c r="B92" s="11"/>
      <c r="C92" s="6"/>
      <c r="D92" s="11"/>
    </row>
    <row x14ac:dyDescent="0.25" r="93" customHeight="1" ht="14.25">
      <c r="A93" s="6"/>
      <c r="B93" s="11"/>
      <c r="C93" s="6"/>
      <c r="D93" s="11"/>
    </row>
    <row x14ac:dyDescent="0.25" r="94" customHeight="1" ht="14.25">
      <c r="A94" s="6"/>
      <c r="B94" s="11"/>
      <c r="C94" s="6"/>
      <c r="D94" s="11"/>
    </row>
    <row x14ac:dyDescent="0.25" r="95" customHeight="1" ht="14.25">
      <c r="A95" s="6"/>
      <c r="B95" s="11"/>
      <c r="C95" s="6"/>
      <c r="D95" s="11"/>
    </row>
    <row x14ac:dyDescent="0.25" r="96" customHeight="1" ht="14.25">
      <c r="A96" s="6"/>
      <c r="B96" s="11"/>
      <c r="C96" s="6"/>
      <c r="D96" s="11"/>
    </row>
    <row x14ac:dyDescent="0.25" r="97" customHeight="1" ht="14.25">
      <c r="A97" s="6"/>
      <c r="B97" s="11"/>
      <c r="C97" s="6"/>
      <c r="D97" s="11"/>
    </row>
    <row x14ac:dyDescent="0.25" r="98" customHeight="1" ht="14.25">
      <c r="A98" s="6"/>
      <c r="B98" s="11"/>
      <c r="C98" s="6"/>
      <c r="D98" s="11"/>
    </row>
    <row x14ac:dyDescent="0.25" r="99" customHeight="1" ht="14.25">
      <c r="A99" s="6"/>
      <c r="B99" s="11"/>
      <c r="C99" s="6"/>
      <c r="D99" s="11"/>
    </row>
    <row x14ac:dyDescent="0.25" r="100" customHeight="1" ht="14.25">
      <c r="A100" s="6"/>
      <c r="B100" s="11"/>
      <c r="C100" s="6"/>
      <c r="D100" s="11"/>
    </row>
    <row x14ac:dyDescent="0.25" r="101" customHeight="1" ht="14.25">
      <c r="A101" s="6"/>
      <c r="B101" s="11"/>
      <c r="C101" s="6"/>
      <c r="D101" s="11"/>
    </row>
    <row x14ac:dyDescent="0.25" r="102" customHeight="1" ht="14.25">
      <c r="A102" s="6"/>
      <c r="B102" s="11"/>
      <c r="C102" s="6"/>
      <c r="D102" s="11"/>
    </row>
    <row x14ac:dyDescent="0.25" r="103" customHeight="1" ht="14.25">
      <c r="A103" s="6"/>
      <c r="B103" s="11"/>
      <c r="C103" s="6"/>
      <c r="D103" s="11"/>
    </row>
    <row x14ac:dyDescent="0.25" r="104" customHeight="1" ht="14.25">
      <c r="A104" s="6"/>
      <c r="B104" s="11"/>
      <c r="C104" s="6"/>
      <c r="D104" s="11"/>
    </row>
    <row x14ac:dyDescent="0.25" r="105" customHeight="1" ht="14.25">
      <c r="A105" s="6"/>
      <c r="B105" s="11"/>
      <c r="C105" s="6"/>
      <c r="D105" s="11"/>
    </row>
    <row x14ac:dyDescent="0.25" r="106" customHeight="1" ht="14.25">
      <c r="A106" s="6"/>
      <c r="B106" s="11"/>
      <c r="C106" s="6"/>
      <c r="D106" s="11"/>
    </row>
    <row x14ac:dyDescent="0.25" r="107" customHeight="1" ht="14.25">
      <c r="A107" s="6"/>
      <c r="B107" s="11"/>
      <c r="C107" s="6"/>
      <c r="D107" s="11"/>
    </row>
    <row x14ac:dyDescent="0.25" r="108" customHeight="1" ht="14.25">
      <c r="A108" s="6"/>
      <c r="B108" s="11"/>
      <c r="C108" s="6"/>
      <c r="D108" s="11"/>
    </row>
    <row x14ac:dyDescent="0.25" r="109" customHeight="1" ht="14.25">
      <c r="A109" s="6"/>
      <c r="B109" s="11"/>
      <c r="C109" s="6"/>
      <c r="D109" s="11"/>
    </row>
    <row x14ac:dyDescent="0.25" r="110" customHeight="1" ht="14.25">
      <c r="A110" s="6"/>
      <c r="B110" s="11"/>
      <c r="C110" s="6"/>
      <c r="D110" s="11"/>
    </row>
    <row x14ac:dyDescent="0.25" r="111" customHeight="1" ht="14.25">
      <c r="A111" s="6"/>
      <c r="B111" s="11"/>
      <c r="C111" s="6"/>
      <c r="D111" s="11"/>
    </row>
    <row x14ac:dyDescent="0.25" r="112" customHeight="1" ht="14.25">
      <c r="A112" s="6"/>
      <c r="B112" s="11"/>
      <c r="C112" s="6"/>
      <c r="D112" s="11"/>
    </row>
    <row x14ac:dyDescent="0.25" r="113" customHeight="1" ht="14.25">
      <c r="A113" s="6"/>
      <c r="B113" s="11"/>
      <c r="C113" s="6"/>
      <c r="D113" s="11"/>
    </row>
    <row x14ac:dyDescent="0.25" r="114" customHeight="1" ht="14.25">
      <c r="A114" s="6"/>
      <c r="B114" s="11"/>
      <c r="C114" s="6"/>
      <c r="D114" s="11"/>
    </row>
    <row x14ac:dyDescent="0.25" r="115" customHeight="1" ht="14.25">
      <c r="A115" s="6"/>
      <c r="B115" s="11"/>
      <c r="C115" s="6"/>
      <c r="D115" s="11"/>
    </row>
    <row x14ac:dyDescent="0.25" r="116" customHeight="1" ht="14.25">
      <c r="A116" s="6"/>
      <c r="B116" s="11"/>
      <c r="C116" s="6"/>
      <c r="D116" s="11"/>
    </row>
    <row x14ac:dyDescent="0.25" r="117" customHeight="1" ht="14.25">
      <c r="A117" s="6"/>
      <c r="B117" s="11"/>
      <c r="C117" s="6"/>
      <c r="D117" s="11"/>
    </row>
    <row x14ac:dyDescent="0.25" r="118" customHeight="1" ht="14.25">
      <c r="A118" s="6"/>
      <c r="B118" s="11"/>
      <c r="C118" s="6"/>
      <c r="D118" s="11"/>
    </row>
    <row x14ac:dyDescent="0.25" r="119" customHeight="1" ht="14.25">
      <c r="A119" s="6"/>
      <c r="B119" s="11"/>
      <c r="C119" s="6"/>
      <c r="D119" s="11"/>
    </row>
    <row x14ac:dyDescent="0.25" r="120" customHeight="1" ht="14.25">
      <c r="A120" s="6"/>
      <c r="B120" s="11"/>
      <c r="C120" s="6"/>
      <c r="D120" s="11"/>
    </row>
    <row x14ac:dyDescent="0.25" r="121" customHeight="1" ht="14.25">
      <c r="A121" s="6"/>
      <c r="B121" s="11"/>
      <c r="C121" s="6"/>
      <c r="D121" s="11"/>
    </row>
    <row x14ac:dyDescent="0.25" r="122" customHeight="1" ht="14.25">
      <c r="A122" s="6"/>
      <c r="B122" s="11"/>
      <c r="C122" s="6"/>
      <c r="D122" s="11"/>
    </row>
    <row x14ac:dyDescent="0.25" r="123" customHeight="1" ht="14.25">
      <c r="A123" s="6"/>
      <c r="B123" s="11"/>
      <c r="C123" s="6"/>
      <c r="D123" s="11"/>
    </row>
    <row x14ac:dyDescent="0.25" r="124" customHeight="1" ht="14.25">
      <c r="A124" s="6"/>
      <c r="B124" s="11"/>
      <c r="C124" s="6"/>
      <c r="D124" s="11"/>
    </row>
    <row x14ac:dyDescent="0.25" r="125" customHeight="1" ht="14.25">
      <c r="A125" s="6"/>
      <c r="B125" s="11"/>
      <c r="C125" s="6"/>
      <c r="D125" s="11"/>
    </row>
    <row x14ac:dyDescent="0.25" r="126" customHeight="1" ht="14.25">
      <c r="A126" s="6"/>
      <c r="B126" s="11"/>
      <c r="C126" s="6"/>
      <c r="D126" s="11"/>
    </row>
    <row x14ac:dyDescent="0.25" r="127" customHeight="1" ht="14.25">
      <c r="A127" s="6"/>
      <c r="B127" s="11"/>
      <c r="C127" s="6"/>
      <c r="D127" s="11"/>
    </row>
    <row x14ac:dyDescent="0.25" r="128" customHeight="1" ht="14.25">
      <c r="A128" s="6"/>
      <c r="B128" s="11"/>
      <c r="C128" s="6"/>
      <c r="D128" s="11"/>
    </row>
    <row x14ac:dyDescent="0.25" r="129" customHeight="1" ht="14.25">
      <c r="A129" s="6"/>
      <c r="B129" s="11"/>
      <c r="C129" s="6"/>
      <c r="D129" s="11"/>
    </row>
    <row x14ac:dyDescent="0.25" r="130" customHeight="1" ht="14.25">
      <c r="A130" s="6"/>
      <c r="B130" s="11"/>
      <c r="C130" s="6"/>
      <c r="D130" s="11"/>
    </row>
    <row x14ac:dyDescent="0.25" r="131" customHeight="1" ht="14.25">
      <c r="A131" s="6"/>
      <c r="B131" s="11"/>
      <c r="C131" s="6"/>
      <c r="D131" s="11"/>
    </row>
    <row x14ac:dyDescent="0.25" r="132" customHeight="1" ht="14.25">
      <c r="A132" s="6"/>
      <c r="B132" s="11"/>
      <c r="C132" s="6"/>
      <c r="D132" s="11"/>
    </row>
    <row x14ac:dyDescent="0.25" r="133" customHeight="1" ht="14.25">
      <c r="A133" s="6"/>
      <c r="B133" s="11"/>
      <c r="C133" s="6"/>
      <c r="D133" s="11"/>
    </row>
    <row x14ac:dyDescent="0.25" r="134" customHeight="1" ht="14.25">
      <c r="A134" s="6"/>
      <c r="B134" s="11"/>
      <c r="C134" s="6"/>
      <c r="D134" s="11"/>
    </row>
    <row x14ac:dyDescent="0.25" r="135" customHeight="1" ht="14.25">
      <c r="A135" s="6"/>
      <c r="B135" s="11"/>
      <c r="C135" s="6"/>
      <c r="D135" s="11"/>
    </row>
    <row x14ac:dyDescent="0.25" r="136" customHeight="1" ht="14.25">
      <c r="A136" s="6"/>
      <c r="B136" s="11"/>
      <c r="C136" s="6"/>
      <c r="D136" s="11"/>
    </row>
    <row x14ac:dyDescent="0.25" r="137" customHeight="1" ht="14.25">
      <c r="A137" s="6"/>
      <c r="B137" s="11"/>
      <c r="C137" s="6"/>
      <c r="D137" s="11"/>
    </row>
    <row x14ac:dyDescent="0.25" r="138" customHeight="1" ht="14.25">
      <c r="A138" s="6"/>
      <c r="B138" s="11"/>
      <c r="C138" s="6"/>
      <c r="D138" s="11"/>
    </row>
    <row x14ac:dyDescent="0.25" r="139" customHeight="1" ht="14.25">
      <c r="A139" s="6"/>
      <c r="B139" s="11"/>
      <c r="C139" s="6"/>
      <c r="D139" s="11"/>
    </row>
    <row x14ac:dyDescent="0.25" r="140" customHeight="1" ht="14.25">
      <c r="A140" s="6"/>
      <c r="B140" s="11"/>
      <c r="C140" s="6"/>
      <c r="D140" s="11"/>
    </row>
    <row x14ac:dyDescent="0.25" r="141" customHeight="1" ht="14.25">
      <c r="A141" s="6"/>
      <c r="B141" s="11"/>
      <c r="C141" s="6"/>
      <c r="D141" s="11"/>
    </row>
    <row x14ac:dyDescent="0.25" r="142" customHeight="1" ht="14.25">
      <c r="A142" s="6"/>
      <c r="B142" s="11"/>
      <c r="C142" s="6"/>
      <c r="D142" s="11"/>
    </row>
    <row x14ac:dyDescent="0.25" r="143" customHeight="1" ht="14.25">
      <c r="A143" s="6"/>
      <c r="B143" s="11"/>
      <c r="C143" s="6"/>
      <c r="D143" s="11"/>
    </row>
    <row x14ac:dyDescent="0.25" r="144" customHeight="1" ht="14.25">
      <c r="A144" s="6"/>
      <c r="B144" s="11"/>
      <c r="C144" s="6"/>
      <c r="D144" s="11"/>
    </row>
    <row x14ac:dyDescent="0.25" r="145" customHeight="1" ht="14.25">
      <c r="A145" s="6"/>
      <c r="B145" s="11"/>
      <c r="C145" s="6"/>
      <c r="D145" s="11"/>
    </row>
    <row x14ac:dyDescent="0.25" r="146" customHeight="1" ht="14.25">
      <c r="A146" s="6"/>
      <c r="B146" s="11"/>
      <c r="C146" s="6"/>
      <c r="D146" s="11"/>
    </row>
    <row x14ac:dyDescent="0.25" r="147" customHeight="1" ht="14.25">
      <c r="A147" s="6"/>
      <c r="B147" s="11"/>
      <c r="C147" s="6"/>
      <c r="D147" s="11"/>
    </row>
    <row x14ac:dyDescent="0.25" r="148" customHeight="1" ht="14.25">
      <c r="A148" s="6"/>
      <c r="B148" s="11"/>
      <c r="C148" s="6"/>
      <c r="D148" s="11"/>
    </row>
    <row x14ac:dyDescent="0.25" r="149" customHeight="1" ht="14.25">
      <c r="A149" s="6"/>
      <c r="B149" s="11"/>
      <c r="C149" s="6"/>
      <c r="D149" s="11"/>
    </row>
    <row x14ac:dyDescent="0.25" r="150" customHeight="1" ht="14.25">
      <c r="A150" s="6"/>
      <c r="B150" s="11"/>
      <c r="C150" s="6"/>
      <c r="D150" s="11"/>
    </row>
    <row x14ac:dyDescent="0.25" r="151" customHeight="1" ht="14.25">
      <c r="A151" s="6"/>
      <c r="B151" s="11"/>
      <c r="C151" s="6"/>
      <c r="D151" s="11"/>
    </row>
    <row x14ac:dyDescent="0.25" r="152" customHeight="1" ht="14.25">
      <c r="A152" s="6"/>
      <c r="B152" s="11"/>
      <c r="C152" s="6"/>
      <c r="D152" s="11"/>
    </row>
    <row x14ac:dyDescent="0.25" r="153" customHeight="1" ht="14.25">
      <c r="A153" s="6"/>
      <c r="B153" s="11"/>
      <c r="C153" s="6"/>
      <c r="D153" s="11"/>
    </row>
    <row x14ac:dyDescent="0.25" r="154" customHeight="1" ht="14.25">
      <c r="A154" s="6"/>
      <c r="B154" s="11"/>
      <c r="C154" s="6"/>
      <c r="D154" s="11"/>
    </row>
    <row x14ac:dyDescent="0.25" r="155" customHeight="1" ht="14.25">
      <c r="A155" s="6"/>
      <c r="B155" s="11"/>
      <c r="C155" s="6"/>
      <c r="D155" s="11"/>
    </row>
    <row x14ac:dyDescent="0.25" r="156" customHeight="1" ht="14.25">
      <c r="A156" s="6"/>
      <c r="B156" s="11"/>
      <c r="C156" s="6"/>
      <c r="D156" s="11"/>
    </row>
    <row x14ac:dyDescent="0.25" r="157" customHeight="1" ht="14.25">
      <c r="A157" s="6"/>
      <c r="B157" s="11"/>
      <c r="C157" s="6"/>
      <c r="D157" s="11"/>
    </row>
    <row x14ac:dyDescent="0.25" r="158" customHeight="1" ht="14.25">
      <c r="A158" s="6"/>
      <c r="B158" s="11"/>
      <c r="C158" s="6"/>
      <c r="D158" s="11"/>
    </row>
    <row x14ac:dyDescent="0.25" r="159" customHeight="1" ht="14.25">
      <c r="A159" s="6"/>
      <c r="B159" s="11"/>
      <c r="C159" s="6"/>
      <c r="D159" s="11"/>
    </row>
    <row x14ac:dyDescent="0.25" r="160" customHeight="1" ht="14.25">
      <c r="A160" s="6"/>
      <c r="B160" s="11"/>
      <c r="C160" s="6"/>
      <c r="D160" s="11"/>
    </row>
    <row x14ac:dyDescent="0.25" r="161" customHeight="1" ht="14.25">
      <c r="A161" s="6"/>
      <c r="B161" s="11"/>
      <c r="C161" s="6"/>
      <c r="D161" s="11"/>
    </row>
    <row x14ac:dyDescent="0.25" r="162" customHeight="1" ht="14.25">
      <c r="A162" s="6"/>
      <c r="B162" s="11"/>
      <c r="C162" s="6"/>
      <c r="D162" s="11"/>
    </row>
    <row x14ac:dyDescent="0.25" r="163" customHeight="1" ht="14.25">
      <c r="A163" s="6"/>
      <c r="B163" s="11"/>
      <c r="C163" s="6"/>
      <c r="D163" s="11"/>
    </row>
    <row x14ac:dyDescent="0.25" r="164" customHeight="1" ht="14.25">
      <c r="A164" s="6"/>
      <c r="B164" s="11"/>
      <c r="C164" s="6"/>
      <c r="D164" s="11"/>
    </row>
    <row x14ac:dyDescent="0.25" r="165" customHeight="1" ht="14.25">
      <c r="A165" s="6"/>
      <c r="B165" s="11"/>
      <c r="C165" s="6"/>
      <c r="D165" s="11"/>
    </row>
    <row x14ac:dyDescent="0.25" r="166" customHeight="1" ht="14.25">
      <c r="A166" s="6"/>
      <c r="B166" s="11"/>
      <c r="C166" s="6"/>
      <c r="D166" s="11"/>
    </row>
    <row x14ac:dyDescent="0.25" r="167" customHeight="1" ht="14.25">
      <c r="A167" s="6"/>
      <c r="B167" s="11"/>
      <c r="C167" s="6"/>
      <c r="D167" s="11"/>
    </row>
    <row x14ac:dyDescent="0.25" r="168" customHeight="1" ht="14.25">
      <c r="A168" s="6"/>
      <c r="B168" s="11"/>
      <c r="C168" s="6"/>
      <c r="D168" s="11"/>
    </row>
    <row x14ac:dyDescent="0.25" r="169" customHeight="1" ht="14.25">
      <c r="A169" s="6"/>
      <c r="B169" s="11"/>
      <c r="C169" s="6"/>
      <c r="D169" s="11"/>
    </row>
    <row x14ac:dyDescent="0.25" r="170" customHeight="1" ht="14.25">
      <c r="A170" s="6"/>
      <c r="B170" s="11"/>
      <c r="C170" s="6"/>
      <c r="D170" s="11"/>
    </row>
    <row x14ac:dyDescent="0.25" r="171" customHeight="1" ht="14.25">
      <c r="A171" s="6"/>
      <c r="B171" s="11"/>
      <c r="C171" s="6"/>
      <c r="D171" s="11"/>
    </row>
    <row x14ac:dyDescent="0.25" r="172" customHeight="1" ht="14.25">
      <c r="A172" s="6"/>
      <c r="B172" s="11"/>
      <c r="C172" s="6"/>
      <c r="D172" s="11"/>
    </row>
    <row x14ac:dyDescent="0.25" r="173" customHeight="1" ht="14.25">
      <c r="A173" s="6"/>
      <c r="B173" s="11"/>
      <c r="C173" s="6"/>
      <c r="D173" s="11"/>
    </row>
    <row x14ac:dyDescent="0.25" r="174" customHeight="1" ht="14.25">
      <c r="A174" s="6"/>
      <c r="B174" s="11"/>
      <c r="C174" s="6"/>
      <c r="D174" s="11"/>
    </row>
    <row x14ac:dyDescent="0.25" r="175" customHeight="1" ht="14.25">
      <c r="A175" s="6"/>
      <c r="B175" s="11"/>
      <c r="C175" s="6"/>
      <c r="D175" s="11"/>
    </row>
    <row x14ac:dyDescent="0.25" r="176" customHeight="1" ht="14.25">
      <c r="A176" s="6"/>
      <c r="B176" s="11"/>
      <c r="C176" s="6"/>
      <c r="D176" s="11"/>
    </row>
    <row x14ac:dyDescent="0.25" r="177" customHeight="1" ht="14.25">
      <c r="A177" s="6"/>
      <c r="B177" s="11"/>
      <c r="C177" s="6"/>
      <c r="D177" s="11"/>
    </row>
    <row x14ac:dyDescent="0.25" r="178" customHeight="1" ht="14.25">
      <c r="A178" s="6"/>
      <c r="B178" s="11"/>
      <c r="C178" s="6"/>
      <c r="D178" s="11"/>
    </row>
    <row x14ac:dyDescent="0.25" r="179" customHeight="1" ht="14.25">
      <c r="A179" s="6"/>
      <c r="B179" s="11"/>
      <c r="C179" s="6"/>
      <c r="D179" s="11"/>
    </row>
    <row x14ac:dyDescent="0.25" r="180" customHeight="1" ht="14.25">
      <c r="A180" s="6"/>
      <c r="B180" s="11"/>
      <c r="C180" s="6"/>
      <c r="D180" s="11"/>
    </row>
    <row x14ac:dyDescent="0.25" r="181" customHeight="1" ht="14.25">
      <c r="A181" s="6"/>
      <c r="B181" s="11"/>
      <c r="C181" s="6"/>
      <c r="D181" s="11"/>
    </row>
    <row x14ac:dyDescent="0.25" r="182" customHeight="1" ht="14.25">
      <c r="A182" s="6"/>
      <c r="B182" s="11"/>
      <c r="C182" s="6"/>
      <c r="D182" s="11"/>
    </row>
    <row x14ac:dyDescent="0.25" r="183" customHeight="1" ht="14.25">
      <c r="A183" s="6"/>
      <c r="B183" s="11"/>
      <c r="C183" s="6"/>
      <c r="D183" s="11"/>
    </row>
    <row x14ac:dyDescent="0.25" r="184" customHeight="1" ht="14.25">
      <c r="A184" s="6"/>
      <c r="B184" s="11"/>
      <c r="C184" s="6"/>
      <c r="D184" s="11"/>
    </row>
    <row x14ac:dyDescent="0.25" r="185" customHeight="1" ht="14.25">
      <c r="A185" s="6"/>
      <c r="B185" s="11"/>
      <c r="C185" s="6"/>
      <c r="D185" s="11"/>
    </row>
    <row x14ac:dyDescent="0.25" r="186" customHeight="1" ht="14.25">
      <c r="A186" s="6"/>
      <c r="B186" s="11"/>
      <c r="C186" s="6"/>
      <c r="D186" s="11"/>
    </row>
    <row x14ac:dyDescent="0.25" r="187" customHeight="1" ht="14.25">
      <c r="A187" s="6"/>
      <c r="B187" s="11"/>
      <c r="C187" s="6"/>
      <c r="D187" s="11"/>
    </row>
    <row x14ac:dyDescent="0.25" r="188" customHeight="1" ht="14.25">
      <c r="A188" s="6"/>
      <c r="B188" s="11"/>
      <c r="C188" s="6"/>
      <c r="D188" s="11"/>
    </row>
    <row x14ac:dyDescent="0.25" r="189" customHeight="1" ht="14.25">
      <c r="A189" s="6"/>
      <c r="B189" s="11"/>
      <c r="C189" s="6"/>
      <c r="D189" s="11"/>
    </row>
    <row x14ac:dyDescent="0.25" r="190" customHeight="1" ht="14.25">
      <c r="A190" s="6"/>
      <c r="B190" s="11"/>
      <c r="C190" s="6"/>
      <c r="D190" s="11"/>
    </row>
    <row x14ac:dyDescent="0.25" r="191" customHeight="1" ht="14.25">
      <c r="A191" s="6"/>
      <c r="B191" s="11"/>
      <c r="C191" s="6"/>
      <c r="D191" s="11"/>
    </row>
    <row x14ac:dyDescent="0.25" r="192" customHeight="1" ht="14.25">
      <c r="A192" s="6"/>
      <c r="B192" s="11"/>
      <c r="C192" s="6"/>
      <c r="D192" s="11"/>
    </row>
    <row x14ac:dyDescent="0.25" r="193" customHeight="1" ht="14.25">
      <c r="A193" s="6"/>
      <c r="B193" s="11"/>
      <c r="C193" s="6"/>
      <c r="D193" s="11"/>
    </row>
    <row x14ac:dyDescent="0.25" r="194" customHeight="1" ht="14.25">
      <c r="A194" s="6"/>
      <c r="B194" s="11"/>
      <c r="C194" s="6"/>
      <c r="D194" s="11"/>
    </row>
    <row x14ac:dyDescent="0.25" r="195" customHeight="1" ht="14.25">
      <c r="A195" s="6"/>
      <c r="B195" s="11"/>
      <c r="C195" s="6"/>
      <c r="D195" s="11"/>
    </row>
    <row x14ac:dyDescent="0.25" r="196" customHeight="1" ht="14.25">
      <c r="A196" s="6"/>
      <c r="B196" s="11"/>
      <c r="C196" s="6"/>
      <c r="D196" s="11"/>
    </row>
    <row x14ac:dyDescent="0.25" r="197" customHeight="1" ht="14.25">
      <c r="A197" s="6"/>
      <c r="B197" s="11"/>
      <c r="C197" s="6"/>
      <c r="D197" s="11"/>
    </row>
    <row x14ac:dyDescent="0.25" r="198" customHeight="1" ht="14.25">
      <c r="A198" s="6"/>
      <c r="B198" s="11"/>
      <c r="C198" s="6"/>
      <c r="D198" s="11"/>
    </row>
    <row x14ac:dyDescent="0.25" r="199" customHeight="1" ht="14.25">
      <c r="A199" s="6"/>
      <c r="B199" s="11"/>
      <c r="C199" s="6"/>
      <c r="D199" s="11"/>
    </row>
    <row x14ac:dyDescent="0.25" r="200" customHeight="1" ht="14.25">
      <c r="A200" s="6"/>
      <c r="B200" s="11"/>
      <c r="C200" s="6"/>
      <c r="D200" s="11"/>
    </row>
    <row x14ac:dyDescent="0.25" r="201" customHeight="1" ht="14.25">
      <c r="A201" s="6"/>
      <c r="B201" s="11"/>
      <c r="C201" s="6"/>
      <c r="D201" s="11"/>
    </row>
    <row x14ac:dyDescent="0.25" r="202" customHeight="1" ht="14.25">
      <c r="A202" s="6"/>
      <c r="B202" s="11"/>
      <c r="C202" s="6"/>
      <c r="D202" s="11"/>
    </row>
    <row x14ac:dyDescent="0.25" r="203" customHeight="1" ht="14.25">
      <c r="A203" s="6"/>
      <c r="B203" s="11"/>
      <c r="C203" s="6"/>
      <c r="D203" s="11"/>
    </row>
    <row x14ac:dyDescent="0.25" r="204" customHeight="1" ht="14.25">
      <c r="A204" s="6"/>
      <c r="B204" s="11"/>
      <c r="C204" s="6"/>
      <c r="D204" s="11"/>
    </row>
    <row x14ac:dyDescent="0.25" r="205" customHeight="1" ht="14.25">
      <c r="A205" s="6"/>
      <c r="B205" s="11"/>
      <c r="C205" s="6"/>
      <c r="D205" s="11"/>
    </row>
    <row x14ac:dyDescent="0.25" r="206" customHeight="1" ht="14.25">
      <c r="A206" s="6"/>
      <c r="B206" s="11"/>
      <c r="C206" s="6"/>
      <c r="D206" s="11"/>
    </row>
    <row x14ac:dyDescent="0.25" r="207" customHeight="1" ht="14.25">
      <c r="A207" s="6"/>
      <c r="B207" s="11"/>
      <c r="C207" s="6"/>
      <c r="D207" s="11"/>
    </row>
    <row x14ac:dyDescent="0.25" r="208" customHeight="1" ht="14.25">
      <c r="A208" s="6"/>
      <c r="B208" s="11"/>
      <c r="C208" s="6"/>
      <c r="D208" s="11"/>
    </row>
    <row x14ac:dyDescent="0.25" r="209" customHeight="1" ht="14.25">
      <c r="A209" s="6"/>
      <c r="B209" s="11"/>
      <c r="C209" s="6"/>
      <c r="D209" s="11"/>
    </row>
    <row x14ac:dyDescent="0.25" r="210" customHeight="1" ht="14.25">
      <c r="A210" s="6"/>
      <c r="B210" s="11"/>
      <c r="C210" s="6"/>
      <c r="D210" s="11"/>
    </row>
    <row x14ac:dyDescent="0.25" r="211" customHeight="1" ht="14.25">
      <c r="A211" s="6"/>
      <c r="B211" s="11"/>
      <c r="C211" s="6"/>
      <c r="D211" s="11"/>
    </row>
    <row x14ac:dyDescent="0.25" r="212" customHeight="1" ht="14.25">
      <c r="A212" s="6"/>
      <c r="B212" s="11"/>
      <c r="C212" s="6"/>
      <c r="D212" s="11"/>
    </row>
    <row x14ac:dyDescent="0.25" r="213" customHeight="1" ht="14.25">
      <c r="A213" s="6"/>
      <c r="B213" s="11"/>
      <c r="C213" s="6"/>
      <c r="D213" s="11"/>
    </row>
    <row x14ac:dyDescent="0.25" r="214" customHeight="1" ht="14.25">
      <c r="A214" s="6"/>
      <c r="B214" s="11"/>
      <c r="C214" s="6"/>
      <c r="D214" s="11"/>
    </row>
    <row x14ac:dyDescent="0.25" r="215" customHeight="1" ht="14.25">
      <c r="A215" s="6"/>
      <c r="B215" s="11"/>
      <c r="C215" s="6"/>
      <c r="D215" s="11"/>
    </row>
    <row x14ac:dyDescent="0.25" r="216" customHeight="1" ht="14.25">
      <c r="A216" s="6"/>
      <c r="B216" s="11"/>
      <c r="C216" s="6"/>
      <c r="D216" s="11"/>
    </row>
    <row x14ac:dyDescent="0.25" r="217" customHeight="1" ht="14.25">
      <c r="A217" s="6"/>
      <c r="B217" s="11"/>
      <c r="C217" s="6"/>
      <c r="D217" s="11"/>
    </row>
    <row x14ac:dyDescent="0.25" r="218" customHeight="1" ht="14.25">
      <c r="A218" s="6"/>
      <c r="B218" s="11"/>
      <c r="C218" s="6"/>
      <c r="D218" s="11"/>
    </row>
    <row x14ac:dyDescent="0.25" r="219" customHeight="1" ht="14.25">
      <c r="A219" s="6"/>
      <c r="B219" s="11"/>
      <c r="C219" s="6"/>
      <c r="D219" s="11"/>
    </row>
    <row x14ac:dyDescent="0.25" r="220" customHeight="1" ht="14.25">
      <c r="A220" s="6"/>
      <c r="B220" s="11"/>
      <c r="C220" s="6"/>
      <c r="D220" s="11"/>
    </row>
    <row x14ac:dyDescent="0.25" r="221" customHeight="1" ht="14.25">
      <c r="A221" s="6"/>
      <c r="B221" s="11"/>
      <c r="C221" s="6"/>
      <c r="D221" s="11"/>
    </row>
    <row x14ac:dyDescent="0.25" r="222" customHeight="1" ht="14.25">
      <c r="A222" s="6"/>
      <c r="B222" s="11"/>
      <c r="C222" s="6"/>
      <c r="D222" s="11"/>
    </row>
    <row x14ac:dyDescent="0.25" r="223" customHeight="1" ht="14.25">
      <c r="A223" s="6"/>
      <c r="B223" s="11"/>
      <c r="C223" s="6"/>
      <c r="D223" s="11"/>
    </row>
    <row x14ac:dyDescent="0.25" r="224" customHeight="1" ht="14.25">
      <c r="A224" s="6"/>
      <c r="B224" s="11"/>
      <c r="C224" s="6"/>
      <c r="D224" s="11"/>
    </row>
    <row x14ac:dyDescent="0.25" r="225" customHeight="1" ht="14.25">
      <c r="A225" s="6"/>
      <c r="B225" s="11"/>
      <c r="C225" s="6"/>
      <c r="D225" s="11"/>
    </row>
    <row x14ac:dyDescent="0.25" r="226" customHeight="1" ht="14.25">
      <c r="A226" s="6"/>
      <c r="B226" s="11"/>
      <c r="C226" s="6"/>
      <c r="D226" s="11"/>
    </row>
    <row x14ac:dyDescent="0.25" r="227" customHeight="1" ht="14.25">
      <c r="A227" s="6"/>
      <c r="B227" s="11"/>
      <c r="C227" s="6"/>
      <c r="D227" s="11"/>
    </row>
    <row x14ac:dyDescent="0.25" r="228" customHeight="1" ht="14.25">
      <c r="A228" s="6"/>
      <c r="B228" s="11"/>
      <c r="C228" s="6"/>
      <c r="D228" s="11"/>
    </row>
    <row x14ac:dyDescent="0.25" r="229" customHeight="1" ht="14.25">
      <c r="A229" s="6"/>
      <c r="B229" s="11"/>
      <c r="C229" s="6"/>
      <c r="D229" s="11"/>
    </row>
    <row x14ac:dyDescent="0.25" r="230" customHeight="1" ht="14.25">
      <c r="A230" s="6"/>
      <c r="B230" s="11"/>
      <c r="C230" s="6"/>
      <c r="D230" s="11"/>
    </row>
    <row x14ac:dyDescent="0.25" r="231" customHeight="1" ht="14.25">
      <c r="A231" s="6"/>
      <c r="B231" s="11"/>
      <c r="C231" s="6"/>
      <c r="D231" s="11"/>
    </row>
    <row x14ac:dyDescent="0.25" r="232" customHeight="1" ht="14.25">
      <c r="A232" s="6"/>
      <c r="B232" s="11"/>
      <c r="C232" s="6"/>
      <c r="D232" s="11"/>
    </row>
    <row x14ac:dyDescent="0.25" r="233" customHeight="1" ht="14.25">
      <c r="A233" s="6"/>
      <c r="B233" s="11"/>
      <c r="C233" s="6"/>
      <c r="D233" s="11"/>
    </row>
    <row x14ac:dyDescent="0.25" r="234" customHeight="1" ht="14.25">
      <c r="A234" s="6"/>
      <c r="B234" s="11"/>
      <c r="C234" s="6"/>
      <c r="D234" s="11"/>
    </row>
    <row x14ac:dyDescent="0.25" r="235" customHeight="1" ht="14.25">
      <c r="A235" s="6"/>
      <c r="B235" s="11"/>
      <c r="C235" s="6"/>
      <c r="D235" s="11"/>
    </row>
    <row x14ac:dyDescent="0.25" r="236" customHeight="1" ht="14.25">
      <c r="A236" s="6"/>
      <c r="B236" s="11"/>
      <c r="C236" s="6"/>
      <c r="D236" s="11"/>
    </row>
    <row x14ac:dyDescent="0.25" r="237" customHeight="1" ht="14.25">
      <c r="A237" s="6"/>
      <c r="B237" s="11"/>
      <c r="C237" s="6"/>
      <c r="D237" s="11"/>
    </row>
    <row x14ac:dyDescent="0.25" r="238" customHeight="1" ht="14.25">
      <c r="A238" s="6"/>
      <c r="B238" s="11"/>
      <c r="C238" s="6"/>
      <c r="D238" s="11"/>
    </row>
    <row x14ac:dyDescent="0.25" r="239" customHeight="1" ht="14.25">
      <c r="A239" s="6"/>
      <c r="B239" s="11"/>
      <c r="C239" s="6"/>
      <c r="D239" s="11"/>
    </row>
    <row x14ac:dyDescent="0.25" r="240" customHeight="1" ht="14.25">
      <c r="A240" s="6"/>
      <c r="B240" s="11"/>
      <c r="C240" s="6"/>
      <c r="D240" s="11"/>
    </row>
    <row x14ac:dyDescent="0.25" r="241" customHeight="1" ht="14.25">
      <c r="A241" s="6"/>
      <c r="B241" s="11"/>
      <c r="C241" s="6"/>
      <c r="D241" s="11"/>
    </row>
    <row x14ac:dyDescent="0.25" r="242" customHeight="1" ht="14.25">
      <c r="A242" s="6"/>
      <c r="B242" s="11"/>
      <c r="C242" s="6"/>
      <c r="D242" s="11"/>
    </row>
    <row x14ac:dyDescent="0.25" r="243" customHeight="1" ht="14.25">
      <c r="A243" s="6"/>
      <c r="B243" s="11"/>
      <c r="C243" s="6"/>
      <c r="D243" s="11"/>
    </row>
    <row x14ac:dyDescent="0.25" r="244" customHeight="1" ht="14.25">
      <c r="A244" s="6"/>
      <c r="B244" s="11"/>
      <c r="C244" s="6"/>
      <c r="D244" s="11"/>
    </row>
    <row x14ac:dyDescent="0.25" r="245" customHeight="1" ht="14.25">
      <c r="A245" s="6"/>
      <c r="B245" s="11"/>
      <c r="C245" s="6"/>
      <c r="D245" s="11"/>
    </row>
    <row x14ac:dyDescent="0.25" r="246" customHeight="1" ht="14.25">
      <c r="A246" s="6"/>
      <c r="B246" s="11"/>
      <c r="C246" s="6"/>
      <c r="D246" s="11"/>
    </row>
    <row x14ac:dyDescent="0.25" r="247" customHeight="1" ht="14.25">
      <c r="A247" s="6"/>
      <c r="B247" s="11"/>
      <c r="C247" s="6"/>
      <c r="D247" s="11"/>
    </row>
    <row x14ac:dyDescent="0.25" r="248" customHeight="1" ht="14.25">
      <c r="A248" s="6"/>
      <c r="B248" s="11"/>
      <c r="C248" s="6"/>
      <c r="D248" s="11"/>
    </row>
    <row x14ac:dyDescent="0.25" r="249" customHeight="1" ht="14.25">
      <c r="A249" s="6"/>
      <c r="B249" s="11"/>
      <c r="C249" s="6"/>
      <c r="D249" s="11"/>
    </row>
    <row x14ac:dyDescent="0.25" r="250" customHeight="1" ht="14.25">
      <c r="A250" s="6"/>
      <c r="B250" s="11"/>
      <c r="C250" s="6"/>
      <c r="D250" s="11"/>
    </row>
    <row x14ac:dyDescent="0.25" r="251" customHeight="1" ht="14.25">
      <c r="A251" s="6"/>
      <c r="B251" s="11"/>
      <c r="C251" s="6"/>
      <c r="D251" s="11"/>
    </row>
    <row x14ac:dyDescent="0.25" r="252" customHeight="1" ht="14.25">
      <c r="A252" s="6"/>
      <c r="B252" s="11"/>
      <c r="C252" s="6"/>
      <c r="D252" s="11"/>
    </row>
    <row x14ac:dyDescent="0.25" r="253" customHeight="1" ht="14.25">
      <c r="A253" s="6"/>
      <c r="B253" s="11"/>
      <c r="C253" s="6"/>
      <c r="D253" s="11"/>
    </row>
    <row x14ac:dyDescent="0.25" r="254" customHeight="1" ht="14.25">
      <c r="A254" s="6"/>
      <c r="B254" s="11"/>
      <c r="C254" s="6"/>
      <c r="D254" s="11"/>
    </row>
    <row x14ac:dyDescent="0.25" r="255" customHeight="1" ht="14.25">
      <c r="A255" s="6"/>
      <c r="B255" s="11"/>
      <c r="C255" s="6"/>
      <c r="D255" s="11"/>
    </row>
    <row x14ac:dyDescent="0.25" r="256" customHeight="1" ht="14.25">
      <c r="A256" s="6"/>
      <c r="B256" s="11"/>
      <c r="C256" s="6"/>
      <c r="D256" s="11"/>
    </row>
    <row x14ac:dyDescent="0.25" r="257" customHeight="1" ht="14.25">
      <c r="A257" s="6"/>
      <c r="B257" s="11"/>
      <c r="C257" s="6"/>
      <c r="D257" s="11"/>
    </row>
    <row x14ac:dyDescent="0.25" r="258" customHeight="1" ht="14.25">
      <c r="A258" s="6"/>
      <c r="B258" s="11"/>
      <c r="C258" s="6"/>
      <c r="D258" s="11"/>
    </row>
    <row x14ac:dyDescent="0.25" r="259" customHeight="1" ht="14.25">
      <c r="A259" s="6"/>
      <c r="B259" s="11"/>
      <c r="C259" s="6"/>
      <c r="D259" s="11"/>
    </row>
    <row x14ac:dyDescent="0.25" r="260" customHeight="1" ht="14.25">
      <c r="A260" s="6"/>
      <c r="B260" s="11"/>
      <c r="C260" s="6"/>
      <c r="D260" s="11"/>
    </row>
    <row x14ac:dyDescent="0.25" r="261" customHeight="1" ht="14.25">
      <c r="A261" s="6"/>
      <c r="B261" s="11"/>
      <c r="C261" s="6"/>
      <c r="D261" s="11"/>
    </row>
    <row x14ac:dyDescent="0.25" r="262" customHeight="1" ht="14.25">
      <c r="A262" s="6"/>
      <c r="B262" s="11"/>
      <c r="C262" s="6"/>
      <c r="D262" s="11"/>
    </row>
    <row x14ac:dyDescent="0.25" r="263" customHeight="1" ht="14.25">
      <c r="A263" s="6"/>
      <c r="B263" s="11"/>
      <c r="C263" s="6"/>
      <c r="D263" s="11"/>
    </row>
    <row x14ac:dyDescent="0.25" r="264" customHeight="1" ht="14.25">
      <c r="A264" s="6"/>
      <c r="B264" s="11"/>
      <c r="C264" s="6"/>
      <c r="D264" s="11"/>
    </row>
    <row x14ac:dyDescent="0.25" r="265" customHeight="1" ht="14.25">
      <c r="A265" s="6"/>
      <c r="B265" s="11"/>
      <c r="C265" s="6"/>
      <c r="D265" s="11"/>
    </row>
    <row x14ac:dyDescent="0.25" r="266" customHeight="1" ht="14.25">
      <c r="A266" s="6"/>
      <c r="B266" s="11"/>
      <c r="C266" s="6"/>
      <c r="D266" s="11"/>
    </row>
    <row x14ac:dyDescent="0.25" r="267" customHeight="1" ht="14.25">
      <c r="A267" s="6"/>
      <c r="B267" s="11"/>
      <c r="C267" s="6"/>
      <c r="D267" s="11"/>
    </row>
    <row x14ac:dyDescent="0.25" r="268" customHeight="1" ht="14.25">
      <c r="A268" s="6"/>
      <c r="B268" s="11"/>
      <c r="C268" s="6"/>
      <c r="D268" s="11"/>
    </row>
    <row x14ac:dyDescent="0.25" r="269" customHeight="1" ht="14.25">
      <c r="A269" s="6"/>
      <c r="B269" s="11"/>
      <c r="C269" s="6"/>
      <c r="D269" s="11"/>
    </row>
    <row x14ac:dyDescent="0.25" r="270" customHeight="1" ht="14.25">
      <c r="A270" s="6"/>
      <c r="B270" s="11"/>
      <c r="C270" s="6"/>
      <c r="D270" s="11"/>
    </row>
    <row x14ac:dyDescent="0.25" r="271" customHeight="1" ht="14.25">
      <c r="A271" s="6"/>
      <c r="B271" s="11"/>
      <c r="C271" s="6"/>
      <c r="D271" s="11"/>
    </row>
    <row x14ac:dyDescent="0.25" r="272" customHeight="1" ht="14.25">
      <c r="A272" s="6"/>
      <c r="B272" s="11"/>
      <c r="C272" s="6"/>
      <c r="D272" s="11"/>
    </row>
    <row x14ac:dyDescent="0.25" r="273" customHeight="1" ht="14.25">
      <c r="A273" s="6"/>
      <c r="B273" s="11"/>
      <c r="C273" s="6"/>
      <c r="D273" s="11"/>
    </row>
    <row x14ac:dyDescent="0.25" r="274" customHeight="1" ht="14.25">
      <c r="A274" s="6"/>
      <c r="B274" s="11"/>
      <c r="C274" s="6"/>
      <c r="D274" s="11"/>
    </row>
    <row x14ac:dyDescent="0.25" r="275" customHeight="1" ht="14.25">
      <c r="A275" s="6"/>
      <c r="B275" s="11"/>
      <c r="C275" s="6"/>
      <c r="D275" s="11"/>
    </row>
    <row x14ac:dyDescent="0.25" r="276" customHeight="1" ht="14.25">
      <c r="A276" s="6"/>
      <c r="B276" s="11"/>
      <c r="C276" s="6"/>
      <c r="D276" s="11"/>
    </row>
    <row x14ac:dyDescent="0.25" r="277" customHeight="1" ht="14.25">
      <c r="A277" s="6"/>
      <c r="B277" s="11"/>
      <c r="C277" s="6"/>
      <c r="D277" s="11"/>
    </row>
    <row x14ac:dyDescent="0.25" r="278" customHeight="1" ht="14.25">
      <c r="A278" s="6"/>
      <c r="B278" s="11"/>
      <c r="C278" s="6"/>
      <c r="D278" s="11"/>
    </row>
    <row x14ac:dyDescent="0.25" r="279" customHeight="1" ht="14.25">
      <c r="A279" s="6"/>
      <c r="B279" s="11"/>
      <c r="C279" s="6"/>
      <c r="D279" s="11"/>
    </row>
    <row x14ac:dyDescent="0.25" r="280" customHeight="1" ht="14.25">
      <c r="A280" s="6"/>
      <c r="B280" s="11"/>
      <c r="C280" s="6"/>
      <c r="D280" s="11"/>
    </row>
    <row x14ac:dyDescent="0.25" r="281" customHeight="1" ht="14.25">
      <c r="A281" s="6"/>
      <c r="B281" s="11"/>
      <c r="C281" s="6"/>
      <c r="D281" s="11"/>
    </row>
    <row x14ac:dyDescent="0.25" r="282" customHeight="1" ht="14.25">
      <c r="A282" s="6"/>
      <c r="B282" s="11"/>
      <c r="C282" s="6"/>
      <c r="D282" s="11"/>
    </row>
    <row x14ac:dyDescent="0.25" r="283" customHeight="1" ht="14.25">
      <c r="A283" s="6"/>
      <c r="B283" s="11"/>
      <c r="C283" s="6"/>
      <c r="D283" s="11"/>
    </row>
    <row x14ac:dyDescent="0.25" r="284" customHeight="1" ht="14.25">
      <c r="A284" s="6"/>
      <c r="B284" s="11"/>
      <c r="C284" s="6"/>
      <c r="D284" s="11"/>
    </row>
    <row x14ac:dyDescent="0.25" r="285" customHeight="1" ht="14.25">
      <c r="A285" s="6"/>
      <c r="B285" s="11"/>
      <c r="C285" s="6"/>
      <c r="D285" s="11"/>
    </row>
    <row x14ac:dyDescent="0.25" r="286" customHeight="1" ht="14.25">
      <c r="A286" s="6"/>
      <c r="B286" s="11"/>
      <c r="C286" s="6"/>
      <c r="D286" s="11"/>
    </row>
    <row x14ac:dyDescent="0.25" r="287" customHeight="1" ht="14.25">
      <c r="A287" s="6"/>
      <c r="B287" s="11"/>
      <c r="C287" s="6"/>
      <c r="D287" s="11"/>
    </row>
    <row x14ac:dyDescent="0.25" r="288" customHeight="1" ht="14.25">
      <c r="A288" s="6"/>
      <c r="B288" s="11"/>
      <c r="C288" s="6"/>
      <c r="D288" s="11"/>
    </row>
    <row x14ac:dyDescent="0.25" r="289" customHeight="1" ht="14.25">
      <c r="A289" s="6"/>
      <c r="B289" s="11"/>
      <c r="C289" s="6"/>
      <c r="D289" s="11"/>
    </row>
    <row x14ac:dyDescent="0.25" r="290" customHeight="1" ht="14.25">
      <c r="A290" s="6"/>
      <c r="B290" s="11"/>
      <c r="C290" s="6"/>
      <c r="D290" s="11"/>
    </row>
    <row x14ac:dyDescent="0.25" r="291" customHeight="1" ht="14.25">
      <c r="A291" s="6"/>
      <c r="B291" s="11"/>
      <c r="C291" s="6"/>
      <c r="D291" s="11"/>
    </row>
    <row x14ac:dyDescent="0.25" r="292" customHeight="1" ht="14.25">
      <c r="A292" s="6"/>
      <c r="B292" s="11"/>
      <c r="C292" s="6"/>
      <c r="D292" s="11"/>
    </row>
    <row x14ac:dyDescent="0.25" r="293" customHeight="1" ht="14.25">
      <c r="A293" s="6"/>
      <c r="B293" s="11"/>
      <c r="C293" s="6"/>
      <c r="D293" s="11"/>
    </row>
    <row x14ac:dyDescent="0.25" r="294" customHeight="1" ht="14.25">
      <c r="A294" s="6"/>
      <c r="B294" s="11"/>
      <c r="C294" s="6"/>
      <c r="D294" s="11"/>
    </row>
    <row x14ac:dyDescent="0.25" r="295" customHeight="1" ht="14.25">
      <c r="A295" s="6"/>
      <c r="B295" s="11"/>
      <c r="C295" s="6"/>
      <c r="D295" s="11"/>
    </row>
    <row x14ac:dyDescent="0.25" r="296" customHeight="1" ht="14.25">
      <c r="A296" s="6"/>
      <c r="B296" s="11"/>
      <c r="C296" s="6"/>
      <c r="D296" s="11"/>
    </row>
    <row x14ac:dyDescent="0.25" r="297" customHeight="1" ht="14.25">
      <c r="A297" s="6"/>
      <c r="B297" s="11"/>
      <c r="C297" s="6"/>
      <c r="D297" s="11"/>
    </row>
    <row x14ac:dyDescent="0.25" r="298" customHeight="1" ht="14.25">
      <c r="A298" s="6"/>
      <c r="B298" s="11"/>
      <c r="C298" s="6"/>
      <c r="D298" s="11"/>
    </row>
    <row x14ac:dyDescent="0.25" r="299" customHeight="1" ht="14.25">
      <c r="A299" s="6"/>
      <c r="B299" s="11"/>
      <c r="C299" s="6"/>
      <c r="D299" s="11"/>
    </row>
    <row x14ac:dyDescent="0.25" r="300" customHeight="1" ht="14.25">
      <c r="A300" s="6"/>
      <c r="B300" s="11"/>
      <c r="C300" s="6"/>
      <c r="D300" s="11"/>
    </row>
    <row x14ac:dyDescent="0.25" r="301" customHeight="1" ht="14.25">
      <c r="A301" s="6"/>
      <c r="B301" s="11"/>
      <c r="C301" s="6"/>
      <c r="D301" s="11"/>
    </row>
    <row x14ac:dyDescent="0.25" r="302" customHeight="1" ht="14.25">
      <c r="A302" s="6"/>
      <c r="B302" s="11"/>
      <c r="C302" s="6"/>
      <c r="D302" s="11"/>
    </row>
    <row x14ac:dyDescent="0.25" r="303" customHeight="1" ht="14.25">
      <c r="A303" s="6"/>
      <c r="B303" s="11"/>
      <c r="C303" s="6"/>
      <c r="D303" s="11"/>
    </row>
    <row x14ac:dyDescent="0.25" r="304" customHeight="1" ht="14.25">
      <c r="A304" s="6"/>
      <c r="B304" s="11"/>
      <c r="C304" s="6"/>
      <c r="D304" s="11"/>
    </row>
    <row x14ac:dyDescent="0.25" r="305" customHeight="1" ht="14.25">
      <c r="A305" s="6"/>
      <c r="B305" s="11"/>
      <c r="C305" s="6"/>
      <c r="D305" s="11"/>
    </row>
    <row x14ac:dyDescent="0.25" r="306" customHeight="1" ht="14.25">
      <c r="A306" s="6"/>
      <c r="B306" s="11"/>
      <c r="C306" s="6"/>
      <c r="D306" s="11"/>
    </row>
    <row x14ac:dyDescent="0.25" r="307" customHeight="1" ht="14.25">
      <c r="A307" s="6"/>
      <c r="B307" s="11"/>
      <c r="C307" s="6"/>
      <c r="D307" s="11"/>
    </row>
    <row x14ac:dyDescent="0.25" r="308" customHeight="1" ht="14.25">
      <c r="A308" s="6"/>
      <c r="B308" s="11"/>
      <c r="C308" s="6"/>
      <c r="D308" s="11"/>
    </row>
    <row x14ac:dyDescent="0.25" r="309" customHeight="1" ht="14.25">
      <c r="A309" s="6"/>
      <c r="B309" s="11"/>
      <c r="C309" s="6"/>
      <c r="D309" s="11"/>
    </row>
    <row x14ac:dyDescent="0.25" r="310" customHeight="1" ht="14.25">
      <c r="A310" s="6"/>
      <c r="B310" s="11"/>
      <c r="C310" s="6"/>
      <c r="D310" s="11"/>
    </row>
    <row x14ac:dyDescent="0.25" r="311" customHeight="1" ht="14.25">
      <c r="A311" s="6"/>
      <c r="B311" s="11"/>
      <c r="C311" s="6"/>
      <c r="D311" s="11"/>
    </row>
    <row x14ac:dyDescent="0.25" r="312" customHeight="1" ht="14.25">
      <c r="A312" s="6"/>
      <c r="B312" s="11"/>
      <c r="C312" s="6"/>
      <c r="D312" s="11"/>
    </row>
    <row x14ac:dyDescent="0.25" r="313" customHeight="1" ht="14.25">
      <c r="A313" s="6"/>
      <c r="B313" s="11"/>
      <c r="C313" s="6"/>
      <c r="D313" s="11"/>
    </row>
    <row x14ac:dyDescent="0.25" r="314" customHeight="1" ht="14.25">
      <c r="A314" s="6"/>
      <c r="B314" s="11"/>
      <c r="C314" s="6"/>
      <c r="D314" s="11"/>
    </row>
    <row x14ac:dyDescent="0.25" r="315" customHeight="1" ht="14.25">
      <c r="A315" s="6"/>
      <c r="B315" s="11"/>
      <c r="C315" s="6"/>
      <c r="D315" s="11"/>
    </row>
    <row x14ac:dyDescent="0.25" r="316" customHeight="1" ht="14.25">
      <c r="A316" s="6"/>
      <c r="B316" s="11"/>
      <c r="C316" s="6"/>
      <c r="D316" s="11"/>
    </row>
    <row x14ac:dyDescent="0.25" r="317" customHeight="1" ht="14.25">
      <c r="A317" s="6"/>
      <c r="B317" s="11"/>
      <c r="C317" s="6"/>
      <c r="D317" s="11"/>
    </row>
    <row x14ac:dyDescent="0.25" r="318" customHeight="1" ht="14.25">
      <c r="A318" s="6"/>
      <c r="B318" s="11"/>
      <c r="C318" s="6"/>
      <c r="D318" s="11"/>
    </row>
    <row x14ac:dyDescent="0.25" r="319" customHeight="1" ht="14.25">
      <c r="A319" s="6"/>
      <c r="B319" s="11"/>
      <c r="C319" s="6"/>
      <c r="D319" s="11"/>
    </row>
    <row x14ac:dyDescent="0.25" r="320" customHeight="1" ht="14.25">
      <c r="A320" s="6"/>
      <c r="B320" s="11"/>
      <c r="C320" s="6"/>
      <c r="D320" s="11"/>
    </row>
    <row x14ac:dyDescent="0.25" r="321" customHeight="1" ht="14.25">
      <c r="A321" s="6"/>
      <c r="B321" s="11"/>
      <c r="C321" s="6"/>
      <c r="D321" s="11"/>
    </row>
    <row x14ac:dyDescent="0.25" r="322" customHeight="1" ht="14.25">
      <c r="A322" s="6"/>
      <c r="B322" s="11"/>
      <c r="C322" s="6"/>
      <c r="D322" s="11"/>
    </row>
    <row x14ac:dyDescent="0.25" r="323" customHeight="1" ht="14.25">
      <c r="A323" s="6"/>
      <c r="B323" s="11"/>
      <c r="C323" s="6"/>
      <c r="D323" s="11"/>
    </row>
    <row x14ac:dyDescent="0.25" r="324" customHeight="1" ht="14.25">
      <c r="A324" s="6"/>
      <c r="B324" s="11"/>
      <c r="C324" s="6"/>
      <c r="D324" s="11"/>
    </row>
    <row x14ac:dyDescent="0.25" r="325" customHeight="1" ht="14.25">
      <c r="A325" s="6"/>
      <c r="B325" s="11"/>
      <c r="C325" s="6"/>
      <c r="D325" s="11"/>
    </row>
    <row x14ac:dyDescent="0.25" r="326" customHeight="1" ht="14.25">
      <c r="A326" s="6"/>
      <c r="B326" s="11"/>
      <c r="C326" s="6"/>
      <c r="D326" s="11"/>
    </row>
    <row x14ac:dyDescent="0.25" r="327" customHeight="1" ht="14.25">
      <c r="A327" s="6"/>
      <c r="B327" s="11"/>
      <c r="C327" s="6"/>
      <c r="D327" s="11"/>
    </row>
    <row x14ac:dyDescent="0.25" r="328" customHeight="1" ht="14.25">
      <c r="A328" s="6"/>
      <c r="B328" s="11"/>
      <c r="C328" s="6"/>
      <c r="D328" s="11"/>
    </row>
    <row x14ac:dyDescent="0.25" r="329" customHeight="1" ht="14.25">
      <c r="A329" s="6"/>
      <c r="B329" s="11"/>
      <c r="C329" s="6"/>
      <c r="D329" s="11"/>
    </row>
    <row x14ac:dyDescent="0.25" r="330" customHeight="1" ht="14.25">
      <c r="A330" s="6"/>
      <c r="B330" s="11"/>
      <c r="C330" s="6"/>
      <c r="D330" s="11"/>
    </row>
    <row x14ac:dyDescent="0.25" r="331" customHeight="1" ht="14.25">
      <c r="A331" s="6"/>
      <c r="B331" s="11"/>
      <c r="C331" s="6"/>
      <c r="D331" s="11"/>
    </row>
    <row x14ac:dyDescent="0.25" r="332" customHeight="1" ht="14.25">
      <c r="A332" s="6"/>
      <c r="B332" s="11"/>
      <c r="C332" s="6"/>
      <c r="D332" s="11"/>
    </row>
    <row x14ac:dyDescent="0.25" r="333" customHeight="1" ht="14.25">
      <c r="A333" s="6"/>
      <c r="B333" s="11"/>
      <c r="C333" s="6"/>
      <c r="D333" s="11"/>
    </row>
    <row x14ac:dyDescent="0.25" r="334" customHeight="1" ht="14.25">
      <c r="A334" s="6"/>
      <c r="B334" s="11"/>
      <c r="C334" s="6"/>
      <c r="D334" s="11"/>
    </row>
    <row x14ac:dyDescent="0.25" r="335" customHeight="1" ht="14.25">
      <c r="A335" s="6"/>
      <c r="B335" s="11"/>
      <c r="C335" s="6"/>
      <c r="D335" s="11"/>
    </row>
    <row x14ac:dyDescent="0.25" r="336" customHeight="1" ht="14.25">
      <c r="A336" s="6"/>
      <c r="B336" s="11"/>
      <c r="C336" s="6"/>
      <c r="D336" s="11"/>
    </row>
    <row x14ac:dyDescent="0.25" r="337" customHeight="1" ht="14.25">
      <c r="A337" s="6"/>
      <c r="B337" s="11"/>
      <c r="C337" s="6"/>
      <c r="D337" s="11"/>
    </row>
    <row x14ac:dyDescent="0.25" r="338" customHeight="1" ht="14.25">
      <c r="A338" s="6"/>
      <c r="B338" s="11"/>
      <c r="C338" s="6"/>
      <c r="D338" s="11"/>
    </row>
    <row x14ac:dyDescent="0.25" r="339" customHeight="1" ht="14.25">
      <c r="A339" s="6"/>
      <c r="B339" s="11"/>
      <c r="C339" s="6"/>
      <c r="D339" s="11"/>
    </row>
    <row x14ac:dyDescent="0.25" r="340" customHeight="1" ht="14.25">
      <c r="A340" s="6"/>
      <c r="B340" s="11"/>
      <c r="C340" s="6"/>
      <c r="D340" s="11"/>
    </row>
    <row x14ac:dyDescent="0.25" r="341" customHeight="1" ht="14.25">
      <c r="A341" s="6"/>
      <c r="B341" s="11"/>
      <c r="C341" s="6"/>
      <c r="D341" s="11"/>
    </row>
    <row x14ac:dyDescent="0.25" r="342" customHeight="1" ht="14.25">
      <c r="A342" s="6"/>
      <c r="B342" s="11"/>
      <c r="C342" s="6"/>
      <c r="D342" s="11"/>
    </row>
    <row x14ac:dyDescent="0.25" r="343" customHeight="1" ht="14.25">
      <c r="A343" s="6"/>
      <c r="B343" s="11"/>
      <c r="C343" s="6"/>
      <c r="D343" s="11"/>
    </row>
    <row x14ac:dyDescent="0.25" r="344" customHeight="1" ht="14.25">
      <c r="A344" s="6"/>
      <c r="B344" s="11"/>
      <c r="C344" s="6"/>
      <c r="D344" s="11"/>
    </row>
    <row x14ac:dyDescent="0.25" r="345" customHeight="1" ht="14.25">
      <c r="A345" s="6"/>
      <c r="B345" s="11"/>
      <c r="C345" s="6"/>
      <c r="D345" s="11"/>
    </row>
    <row x14ac:dyDescent="0.25" r="346" customHeight="1" ht="14.25">
      <c r="A346" s="6"/>
      <c r="B346" s="11"/>
      <c r="C346" s="6"/>
      <c r="D346" s="11"/>
    </row>
    <row x14ac:dyDescent="0.25" r="347" customHeight="1" ht="14.25">
      <c r="A347" s="6"/>
      <c r="B347" s="11"/>
      <c r="C347" s="6"/>
      <c r="D347" s="11"/>
    </row>
    <row x14ac:dyDescent="0.25" r="348" customHeight="1" ht="14.25">
      <c r="A348" s="6"/>
      <c r="B348" s="11"/>
      <c r="C348" s="6"/>
      <c r="D348" s="11"/>
    </row>
    <row x14ac:dyDescent="0.25" r="349" customHeight="1" ht="14.25">
      <c r="A349" s="6"/>
      <c r="B349" s="11"/>
      <c r="C349" s="6"/>
      <c r="D349" s="11"/>
    </row>
    <row x14ac:dyDescent="0.25" r="350" customHeight="1" ht="14.25">
      <c r="A350" s="6"/>
      <c r="B350" s="11"/>
      <c r="C350" s="6"/>
      <c r="D350" s="11"/>
    </row>
    <row x14ac:dyDescent="0.25" r="351" customHeight="1" ht="14.25">
      <c r="A351" s="6"/>
      <c r="B351" s="11"/>
      <c r="C351" s="6"/>
      <c r="D351" s="11"/>
    </row>
    <row x14ac:dyDescent="0.25" r="352" customHeight="1" ht="14.25">
      <c r="A352" s="6"/>
      <c r="B352" s="11"/>
      <c r="C352" s="6"/>
      <c r="D352" s="11"/>
    </row>
    <row x14ac:dyDescent="0.25" r="353" customHeight="1" ht="14.25">
      <c r="A353" s="6"/>
      <c r="B353" s="11"/>
      <c r="C353" s="6"/>
      <c r="D353" s="11"/>
    </row>
    <row x14ac:dyDescent="0.25" r="354" customHeight="1" ht="14.25">
      <c r="A354" s="6"/>
      <c r="B354" s="11"/>
      <c r="C354" s="6"/>
      <c r="D354" s="11"/>
    </row>
    <row x14ac:dyDescent="0.25" r="355" customHeight="1" ht="14.25">
      <c r="A355" s="6"/>
      <c r="B355" s="11"/>
      <c r="C355" s="6"/>
      <c r="D355" s="11"/>
    </row>
    <row x14ac:dyDescent="0.25" r="356" customHeight="1" ht="14.25">
      <c r="A356" s="6"/>
      <c r="B356" s="11"/>
      <c r="C356" s="6"/>
      <c r="D356" s="11"/>
    </row>
    <row x14ac:dyDescent="0.25" r="357" customHeight="1" ht="14.25">
      <c r="A357" s="6"/>
      <c r="B357" s="11"/>
      <c r="C357" s="6"/>
      <c r="D357" s="11"/>
    </row>
    <row x14ac:dyDescent="0.25" r="358" customHeight="1" ht="14.25">
      <c r="A358" s="6"/>
      <c r="B358" s="11"/>
      <c r="C358" s="6"/>
      <c r="D358" s="11"/>
    </row>
    <row x14ac:dyDescent="0.25" r="359" customHeight="1" ht="14.25">
      <c r="A359" s="6"/>
      <c r="B359" s="11"/>
      <c r="C359" s="6"/>
      <c r="D359" s="11"/>
    </row>
    <row x14ac:dyDescent="0.25" r="360" customHeight="1" ht="14.25">
      <c r="A360" s="6"/>
      <c r="B360" s="11"/>
      <c r="C360" s="6"/>
      <c r="D360" s="11"/>
    </row>
    <row x14ac:dyDescent="0.25" r="361" customHeight="1" ht="14.25">
      <c r="A361" s="6"/>
      <c r="B361" s="11"/>
      <c r="C361" s="6"/>
      <c r="D361" s="11"/>
    </row>
    <row x14ac:dyDescent="0.25" r="362" customHeight="1" ht="14.25">
      <c r="A362" s="6"/>
      <c r="B362" s="11"/>
      <c r="C362" s="6"/>
      <c r="D362" s="11"/>
    </row>
    <row x14ac:dyDescent="0.25" r="363" customHeight="1" ht="14.25">
      <c r="A363" s="6"/>
      <c r="B363" s="11"/>
      <c r="C363" s="6"/>
      <c r="D363" s="11"/>
    </row>
    <row x14ac:dyDescent="0.25" r="364" customHeight="1" ht="14.25">
      <c r="A364" s="6"/>
      <c r="B364" s="11"/>
      <c r="C364" s="6"/>
      <c r="D364" s="11"/>
    </row>
    <row x14ac:dyDescent="0.25" r="365" customHeight="1" ht="14.25">
      <c r="A365" s="6"/>
      <c r="B365" s="11"/>
      <c r="C365" s="6"/>
      <c r="D365" s="11"/>
    </row>
    <row x14ac:dyDescent="0.25" r="366" customHeight="1" ht="14.25">
      <c r="A366" s="6"/>
      <c r="B366" s="11"/>
      <c r="C366" s="6"/>
      <c r="D366" s="11"/>
    </row>
    <row x14ac:dyDescent="0.25" r="367" customHeight="1" ht="14.25">
      <c r="A367" s="6"/>
      <c r="B367" s="11"/>
      <c r="C367" s="6"/>
      <c r="D367" s="11"/>
    </row>
    <row x14ac:dyDescent="0.25" r="368" customHeight="1" ht="14.25">
      <c r="A368" s="6"/>
      <c r="B368" s="11"/>
      <c r="C368" s="6"/>
      <c r="D368" s="11"/>
    </row>
    <row x14ac:dyDescent="0.25" r="369" customHeight="1" ht="14.25">
      <c r="A369" s="6"/>
      <c r="B369" s="11"/>
      <c r="C369" s="6"/>
      <c r="D369" s="11"/>
    </row>
    <row x14ac:dyDescent="0.25" r="370" customHeight="1" ht="14.25">
      <c r="A370" s="6"/>
      <c r="B370" s="11"/>
      <c r="C370" s="6"/>
      <c r="D370" s="11"/>
    </row>
    <row x14ac:dyDescent="0.25" r="371" customHeight="1" ht="14.25">
      <c r="A371" s="6"/>
      <c r="B371" s="11"/>
      <c r="C371" s="6"/>
      <c r="D371" s="11"/>
    </row>
    <row x14ac:dyDescent="0.25" r="372" customHeight="1" ht="14.25">
      <c r="A372" s="6"/>
      <c r="B372" s="11"/>
      <c r="C372" s="6"/>
      <c r="D372" s="11"/>
    </row>
    <row x14ac:dyDescent="0.25" r="373" customHeight="1" ht="14.25">
      <c r="A373" s="6"/>
      <c r="B373" s="11"/>
      <c r="C373" s="6"/>
      <c r="D373" s="11"/>
    </row>
    <row x14ac:dyDescent="0.25" r="374" customHeight="1" ht="14.25">
      <c r="A374" s="6"/>
      <c r="B374" s="11"/>
      <c r="C374" s="6"/>
      <c r="D374" s="11"/>
    </row>
    <row x14ac:dyDescent="0.25" r="375" customHeight="1" ht="14.25">
      <c r="A375" s="6"/>
      <c r="B375" s="11"/>
      <c r="C375" s="6"/>
      <c r="D375" s="11"/>
    </row>
    <row x14ac:dyDescent="0.25" r="376" customHeight="1" ht="14.25">
      <c r="A376" s="6"/>
      <c r="B376" s="11"/>
      <c r="C376" s="6"/>
      <c r="D376" s="11"/>
    </row>
    <row x14ac:dyDescent="0.25" r="377" customHeight="1" ht="14.25">
      <c r="A377" s="6"/>
      <c r="B377" s="11"/>
      <c r="C377" s="6"/>
      <c r="D377" s="11"/>
    </row>
    <row x14ac:dyDescent="0.25" r="378" customHeight="1" ht="14.25">
      <c r="A378" s="6"/>
      <c r="B378" s="11"/>
      <c r="C378" s="6"/>
      <c r="D378" s="11"/>
    </row>
    <row x14ac:dyDescent="0.25" r="379" customHeight="1" ht="14.25">
      <c r="A379" s="6"/>
      <c r="B379" s="11"/>
      <c r="C379" s="6"/>
      <c r="D379" s="11"/>
    </row>
    <row x14ac:dyDescent="0.25" r="380" customHeight="1" ht="14.25">
      <c r="A380" s="6"/>
      <c r="B380" s="11"/>
      <c r="C380" s="6"/>
      <c r="D380" s="11"/>
    </row>
    <row x14ac:dyDescent="0.25" r="381" customHeight="1" ht="14.25">
      <c r="A381" s="6"/>
      <c r="B381" s="11"/>
      <c r="C381" s="6"/>
      <c r="D381" s="11"/>
    </row>
    <row x14ac:dyDescent="0.25" r="382" customHeight="1" ht="14.25">
      <c r="A382" s="6"/>
      <c r="B382" s="11"/>
      <c r="C382" s="6"/>
      <c r="D382" s="11"/>
    </row>
    <row x14ac:dyDescent="0.25" r="383" customHeight="1" ht="14.25">
      <c r="A383" s="6"/>
      <c r="B383" s="11"/>
      <c r="C383" s="6"/>
      <c r="D383" s="11"/>
    </row>
    <row x14ac:dyDescent="0.25" r="384" customHeight="1" ht="14.25">
      <c r="A384" s="6"/>
      <c r="B384" s="11"/>
      <c r="C384" s="6"/>
      <c r="D384" s="11"/>
    </row>
    <row x14ac:dyDescent="0.25" r="385" customHeight="1" ht="14.25">
      <c r="A385" s="6"/>
      <c r="B385" s="11"/>
      <c r="C385" s="6"/>
      <c r="D385" s="11"/>
    </row>
    <row x14ac:dyDescent="0.25" r="386" customHeight="1" ht="14.25">
      <c r="A386" s="6"/>
      <c r="B386" s="11"/>
      <c r="C386" s="6"/>
      <c r="D386" s="11"/>
    </row>
    <row x14ac:dyDescent="0.25" r="387" customHeight="1" ht="14.25">
      <c r="A387" s="6"/>
      <c r="B387" s="11"/>
      <c r="C387" s="6"/>
      <c r="D387" s="11"/>
    </row>
    <row x14ac:dyDescent="0.25" r="388" customHeight="1" ht="14.25">
      <c r="A388" s="6"/>
      <c r="B388" s="11"/>
      <c r="C388" s="6"/>
      <c r="D388" s="11"/>
    </row>
    <row x14ac:dyDescent="0.25" r="389" customHeight="1" ht="14.25">
      <c r="A389" s="6"/>
      <c r="B389" s="11"/>
      <c r="C389" s="6"/>
      <c r="D389" s="11"/>
    </row>
    <row x14ac:dyDescent="0.25" r="390" customHeight="1" ht="14.25">
      <c r="A390" s="6"/>
      <c r="B390" s="11"/>
      <c r="C390" s="6"/>
      <c r="D390" s="11"/>
    </row>
    <row x14ac:dyDescent="0.25" r="391" customHeight="1" ht="14.25">
      <c r="A391" s="6"/>
      <c r="B391" s="11"/>
      <c r="C391" s="6"/>
      <c r="D391" s="11"/>
    </row>
    <row x14ac:dyDescent="0.25" r="392" customHeight="1" ht="14.25">
      <c r="A392" s="6"/>
      <c r="B392" s="11"/>
      <c r="C392" s="6"/>
      <c r="D392" s="11"/>
    </row>
    <row x14ac:dyDescent="0.25" r="393" customHeight="1" ht="14.25">
      <c r="A393" s="6"/>
      <c r="B393" s="11"/>
      <c r="C393" s="6"/>
      <c r="D393" s="11"/>
    </row>
    <row x14ac:dyDescent="0.25" r="394" customHeight="1" ht="14.25">
      <c r="A394" s="6"/>
      <c r="B394" s="11"/>
      <c r="C394" s="6"/>
      <c r="D394" s="11"/>
    </row>
    <row x14ac:dyDescent="0.25" r="395" customHeight="1" ht="14.25">
      <c r="A395" s="6"/>
      <c r="B395" s="11"/>
      <c r="C395" s="6"/>
      <c r="D395" s="11"/>
    </row>
    <row x14ac:dyDescent="0.25" r="396" customHeight="1" ht="14.25">
      <c r="A396" s="6"/>
      <c r="B396" s="11"/>
      <c r="C396" s="6"/>
      <c r="D396" s="11"/>
    </row>
    <row x14ac:dyDescent="0.25" r="397" customHeight="1" ht="14.25">
      <c r="A397" s="6"/>
      <c r="B397" s="11"/>
      <c r="C397" s="6"/>
      <c r="D397" s="11"/>
    </row>
    <row x14ac:dyDescent="0.25" r="398" customHeight="1" ht="14.25">
      <c r="A398" s="6"/>
      <c r="B398" s="11"/>
      <c r="C398" s="6"/>
      <c r="D398" s="11"/>
    </row>
    <row x14ac:dyDescent="0.25" r="399" customHeight="1" ht="14.25">
      <c r="A399" s="6"/>
      <c r="B399" s="11"/>
      <c r="C399" s="6"/>
      <c r="D399" s="11"/>
    </row>
    <row x14ac:dyDescent="0.25" r="400" customHeight="1" ht="14.25">
      <c r="A400" s="6"/>
      <c r="B400" s="11"/>
      <c r="C400" s="6"/>
      <c r="D400" s="11"/>
    </row>
    <row x14ac:dyDescent="0.25" r="401" customHeight="1" ht="14.25">
      <c r="A401" s="6"/>
      <c r="B401" s="11"/>
      <c r="C401" s="6"/>
      <c r="D401" s="11"/>
    </row>
    <row x14ac:dyDescent="0.25" r="402" customHeight="1" ht="14.25">
      <c r="A402" s="6"/>
      <c r="B402" s="11"/>
      <c r="C402" s="6"/>
      <c r="D402" s="11"/>
    </row>
    <row x14ac:dyDescent="0.25" r="403" customHeight="1" ht="14.25">
      <c r="A403" s="6"/>
      <c r="B403" s="11"/>
      <c r="C403" s="6"/>
      <c r="D403" s="11"/>
    </row>
    <row x14ac:dyDescent="0.25" r="404" customHeight="1" ht="14.25">
      <c r="A404" s="6"/>
      <c r="B404" s="11"/>
      <c r="C404" s="6"/>
      <c r="D404" s="11"/>
    </row>
    <row x14ac:dyDescent="0.25" r="405" customHeight="1" ht="14.25">
      <c r="A405" s="6"/>
      <c r="B405" s="11"/>
      <c r="C405" s="6"/>
      <c r="D405" s="11"/>
    </row>
    <row x14ac:dyDescent="0.25" r="406" customHeight="1" ht="14.25">
      <c r="A406" s="6"/>
      <c r="B406" s="11"/>
      <c r="C406" s="6"/>
      <c r="D406" s="11"/>
    </row>
    <row x14ac:dyDescent="0.25" r="407" customHeight="1" ht="14.25">
      <c r="A407" s="6"/>
      <c r="B407" s="11"/>
      <c r="C407" s="6"/>
      <c r="D407" s="11"/>
    </row>
    <row x14ac:dyDescent="0.25" r="408" customHeight="1" ht="14.25">
      <c r="A408" s="6"/>
      <c r="B408" s="11"/>
      <c r="C408" s="6"/>
      <c r="D408" s="11"/>
    </row>
    <row x14ac:dyDescent="0.25" r="409" customHeight="1" ht="14.25">
      <c r="A409" s="6"/>
      <c r="B409" s="11"/>
      <c r="C409" s="6"/>
      <c r="D409" s="11"/>
    </row>
    <row x14ac:dyDescent="0.25" r="410" customHeight="1" ht="14.25">
      <c r="A410" s="6"/>
      <c r="B410" s="11"/>
      <c r="C410" s="6"/>
      <c r="D410" s="11"/>
    </row>
    <row x14ac:dyDescent="0.25" r="411" customHeight="1" ht="14.25">
      <c r="A411" s="6"/>
      <c r="B411" s="11"/>
      <c r="C411" s="6"/>
      <c r="D411" s="11"/>
    </row>
    <row x14ac:dyDescent="0.25" r="412" customHeight="1" ht="14.25">
      <c r="A412" s="6"/>
      <c r="B412" s="11"/>
      <c r="C412" s="6"/>
      <c r="D412" s="11"/>
    </row>
    <row x14ac:dyDescent="0.25" r="413" customHeight="1" ht="14.25">
      <c r="A413" s="6"/>
      <c r="B413" s="11"/>
      <c r="C413" s="6"/>
      <c r="D413" s="11"/>
    </row>
    <row x14ac:dyDescent="0.25" r="414" customHeight="1" ht="14.25">
      <c r="A414" s="6"/>
      <c r="B414" s="11"/>
      <c r="C414" s="6"/>
      <c r="D414" s="11"/>
    </row>
    <row x14ac:dyDescent="0.25" r="415" customHeight="1" ht="14.25">
      <c r="A415" s="6"/>
      <c r="B415" s="11"/>
      <c r="C415" s="6"/>
      <c r="D415" s="11"/>
    </row>
    <row x14ac:dyDescent="0.25" r="416" customHeight="1" ht="14.25">
      <c r="A416" s="6"/>
      <c r="B416" s="11"/>
      <c r="C416" s="6"/>
      <c r="D416" s="11"/>
    </row>
    <row x14ac:dyDescent="0.25" r="417" customHeight="1" ht="14.25">
      <c r="A417" s="6"/>
      <c r="B417" s="11"/>
      <c r="C417" s="6"/>
      <c r="D417" s="11"/>
    </row>
    <row x14ac:dyDescent="0.25" r="418" customHeight="1" ht="14.25">
      <c r="A418" s="6"/>
      <c r="B418" s="11"/>
      <c r="C418" s="6"/>
      <c r="D418" s="11"/>
    </row>
    <row x14ac:dyDescent="0.25" r="419" customHeight="1" ht="14.25">
      <c r="A419" s="6"/>
      <c r="B419" s="11"/>
      <c r="C419" s="6"/>
      <c r="D419" s="11"/>
    </row>
    <row x14ac:dyDescent="0.25" r="420" customHeight="1" ht="14.25">
      <c r="A420" s="6"/>
      <c r="B420" s="11"/>
      <c r="C420" s="6"/>
      <c r="D420" s="11"/>
    </row>
    <row x14ac:dyDescent="0.25" r="421" customHeight="1" ht="14.25">
      <c r="A421" s="6"/>
      <c r="B421" s="11"/>
      <c r="C421" s="6"/>
      <c r="D421" s="11"/>
    </row>
    <row x14ac:dyDescent="0.25" r="422" customHeight="1" ht="14.25">
      <c r="A422" s="6"/>
      <c r="B422" s="11"/>
      <c r="C422" s="6"/>
      <c r="D422" s="11"/>
    </row>
    <row x14ac:dyDescent="0.25" r="423" customHeight="1" ht="14.25">
      <c r="A423" s="6"/>
      <c r="B423" s="11"/>
      <c r="C423" s="6"/>
      <c r="D423" s="11"/>
    </row>
    <row x14ac:dyDescent="0.25" r="424" customHeight="1" ht="14.25">
      <c r="A424" s="6"/>
      <c r="B424" s="11"/>
      <c r="C424" s="6"/>
      <c r="D424" s="11"/>
    </row>
    <row x14ac:dyDescent="0.25" r="425" customHeight="1" ht="14.25">
      <c r="A425" s="6"/>
      <c r="B425" s="11"/>
      <c r="C425" s="6"/>
      <c r="D425" s="11"/>
    </row>
    <row x14ac:dyDescent="0.25" r="426" customHeight="1" ht="14.25">
      <c r="A426" s="6"/>
      <c r="B426" s="11"/>
      <c r="C426" s="6"/>
      <c r="D426" s="11"/>
    </row>
    <row x14ac:dyDescent="0.25" r="427" customHeight="1" ht="14.25">
      <c r="A427" s="6"/>
      <c r="B427" s="11"/>
      <c r="C427" s="6"/>
      <c r="D427" s="11"/>
    </row>
    <row x14ac:dyDescent="0.25" r="428" customHeight="1" ht="14.25">
      <c r="A428" s="6"/>
      <c r="B428" s="11"/>
      <c r="C428" s="6"/>
      <c r="D428" s="11"/>
    </row>
    <row x14ac:dyDescent="0.25" r="429" customHeight="1" ht="14.25">
      <c r="A429" s="6"/>
      <c r="B429" s="11"/>
      <c r="C429" s="6"/>
      <c r="D429" s="11"/>
    </row>
    <row x14ac:dyDescent="0.25" r="430" customHeight="1" ht="14.25">
      <c r="A430" s="6"/>
      <c r="B430" s="11"/>
      <c r="C430" s="6"/>
      <c r="D430" s="11"/>
    </row>
    <row x14ac:dyDescent="0.25" r="431" customHeight="1" ht="14.25">
      <c r="A431" s="6"/>
      <c r="B431" s="11"/>
      <c r="C431" s="6"/>
      <c r="D431" s="11"/>
    </row>
    <row x14ac:dyDescent="0.25" r="432" customHeight="1" ht="14.25">
      <c r="A432" s="6"/>
      <c r="B432" s="11"/>
      <c r="C432" s="6"/>
      <c r="D432" s="11"/>
    </row>
    <row x14ac:dyDescent="0.25" r="433" customHeight="1" ht="14.25">
      <c r="A433" s="6"/>
      <c r="B433" s="11"/>
      <c r="C433" s="6"/>
      <c r="D433" s="11"/>
    </row>
    <row x14ac:dyDescent="0.25" r="434" customHeight="1" ht="14.25">
      <c r="A434" s="6"/>
      <c r="B434" s="11"/>
      <c r="C434" s="6"/>
      <c r="D434" s="11"/>
    </row>
    <row x14ac:dyDescent="0.25" r="435" customHeight="1" ht="14.25">
      <c r="A435" s="6"/>
      <c r="B435" s="11"/>
      <c r="C435" s="6"/>
      <c r="D435" s="11"/>
    </row>
    <row x14ac:dyDescent="0.25" r="436" customHeight="1" ht="14.25">
      <c r="A436" s="6"/>
      <c r="B436" s="11"/>
      <c r="C436" s="6"/>
      <c r="D436" s="11"/>
    </row>
    <row x14ac:dyDescent="0.25" r="437" customHeight="1" ht="14.25">
      <c r="A437" s="6"/>
      <c r="B437" s="11"/>
      <c r="C437" s="6"/>
      <c r="D437" s="11"/>
    </row>
    <row x14ac:dyDescent="0.25" r="438" customHeight="1" ht="14.25">
      <c r="A438" s="6"/>
      <c r="B438" s="11"/>
      <c r="C438" s="6"/>
      <c r="D438" s="11"/>
    </row>
    <row x14ac:dyDescent="0.25" r="439" customHeight="1" ht="14.25">
      <c r="A439" s="6"/>
      <c r="B439" s="11"/>
      <c r="C439" s="6"/>
      <c r="D439" s="11"/>
    </row>
    <row x14ac:dyDescent="0.25" r="440" customHeight="1" ht="14.25">
      <c r="A440" s="6"/>
      <c r="B440" s="11"/>
      <c r="C440" s="6"/>
      <c r="D440" s="11"/>
    </row>
    <row x14ac:dyDescent="0.25" r="441" customHeight="1" ht="14.25">
      <c r="A441" s="6"/>
      <c r="B441" s="11"/>
      <c r="C441" s="6"/>
      <c r="D441" s="11"/>
    </row>
    <row x14ac:dyDescent="0.25" r="442" customHeight="1" ht="14.25">
      <c r="A442" s="6"/>
      <c r="B442" s="11"/>
      <c r="C442" s="6"/>
      <c r="D442" s="11"/>
    </row>
    <row x14ac:dyDescent="0.25" r="443" customHeight="1" ht="14.25">
      <c r="A443" s="6"/>
      <c r="B443" s="11"/>
      <c r="C443" s="6"/>
      <c r="D443" s="11"/>
    </row>
    <row x14ac:dyDescent="0.25" r="444" customHeight="1" ht="14.25">
      <c r="A444" s="6"/>
      <c r="B444" s="11"/>
      <c r="C444" s="6"/>
      <c r="D444" s="11"/>
    </row>
    <row x14ac:dyDescent="0.25" r="445" customHeight="1" ht="14.25">
      <c r="A445" s="6"/>
      <c r="B445" s="11"/>
      <c r="C445" s="6"/>
      <c r="D445" s="11"/>
    </row>
    <row x14ac:dyDescent="0.25" r="446" customHeight="1" ht="14.25">
      <c r="A446" s="6"/>
      <c r="B446" s="11"/>
      <c r="C446" s="6"/>
      <c r="D446" s="11"/>
    </row>
    <row x14ac:dyDescent="0.25" r="447" customHeight="1" ht="14.25">
      <c r="A447" s="6"/>
      <c r="B447" s="11"/>
      <c r="C447" s="6"/>
      <c r="D447" s="11"/>
    </row>
    <row x14ac:dyDescent="0.25" r="448" customHeight="1" ht="14.25">
      <c r="A448" s="6"/>
      <c r="B448" s="11"/>
      <c r="C448" s="6"/>
      <c r="D448" s="11"/>
    </row>
    <row x14ac:dyDescent="0.25" r="449" customHeight="1" ht="14.25">
      <c r="A449" s="6"/>
      <c r="B449" s="11"/>
      <c r="C449" s="6"/>
      <c r="D449" s="11"/>
    </row>
    <row x14ac:dyDescent="0.25" r="450" customHeight="1" ht="14.25">
      <c r="A450" s="6"/>
      <c r="B450" s="11"/>
      <c r="C450" s="6"/>
      <c r="D450" s="11"/>
    </row>
    <row x14ac:dyDescent="0.25" r="451" customHeight="1" ht="14.25">
      <c r="A451" s="6"/>
      <c r="B451" s="11"/>
      <c r="C451" s="6"/>
      <c r="D451" s="11"/>
    </row>
    <row x14ac:dyDescent="0.25" r="452" customHeight="1" ht="14.25">
      <c r="A452" s="6"/>
      <c r="B452" s="11"/>
      <c r="C452" s="6"/>
      <c r="D452" s="11"/>
    </row>
    <row x14ac:dyDescent="0.25" r="453" customHeight="1" ht="14.25">
      <c r="A453" s="6"/>
      <c r="B453" s="11"/>
      <c r="C453" s="6"/>
      <c r="D453" s="11"/>
    </row>
    <row x14ac:dyDescent="0.25" r="454" customHeight="1" ht="14.25">
      <c r="A454" s="6"/>
      <c r="B454" s="11"/>
      <c r="C454" s="6"/>
      <c r="D454" s="11"/>
    </row>
    <row x14ac:dyDescent="0.25" r="455" customHeight="1" ht="14.25">
      <c r="A455" s="6"/>
      <c r="B455" s="11"/>
      <c r="C455" s="6"/>
      <c r="D455" s="11"/>
    </row>
    <row x14ac:dyDescent="0.25" r="456" customHeight="1" ht="14.25">
      <c r="A456" s="6"/>
      <c r="B456" s="11"/>
      <c r="C456" s="6"/>
      <c r="D456" s="11"/>
    </row>
    <row x14ac:dyDescent="0.25" r="457" customHeight="1" ht="14.25">
      <c r="A457" s="6"/>
      <c r="B457" s="11"/>
      <c r="C457" s="6"/>
      <c r="D457" s="11"/>
    </row>
    <row x14ac:dyDescent="0.25" r="458" customHeight="1" ht="14.25">
      <c r="A458" s="6"/>
      <c r="B458" s="11"/>
      <c r="C458" s="6"/>
      <c r="D458" s="11"/>
    </row>
    <row x14ac:dyDescent="0.25" r="459" customHeight="1" ht="14.25">
      <c r="A459" s="6"/>
      <c r="B459" s="11"/>
      <c r="C459" s="6"/>
      <c r="D459" s="11"/>
    </row>
    <row x14ac:dyDescent="0.25" r="460" customHeight="1" ht="14.25">
      <c r="A460" s="6"/>
      <c r="B460" s="11"/>
      <c r="C460" s="6"/>
      <c r="D460" s="11"/>
    </row>
    <row x14ac:dyDescent="0.25" r="461" customHeight="1" ht="14.25">
      <c r="A461" s="6"/>
      <c r="B461" s="11"/>
      <c r="C461" s="6"/>
      <c r="D461" s="11"/>
    </row>
    <row x14ac:dyDescent="0.25" r="462" customHeight="1" ht="14.25">
      <c r="A462" s="6"/>
      <c r="B462" s="11"/>
      <c r="C462" s="6"/>
      <c r="D462" s="11"/>
    </row>
    <row x14ac:dyDescent="0.25" r="463" customHeight="1" ht="14.25">
      <c r="A463" s="6"/>
      <c r="B463" s="11"/>
      <c r="C463" s="6"/>
      <c r="D463" s="11"/>
    </row>
    <row x14ac:dyDescent="0.25" r="464" customHeight="1" ht="14.25">
      <c r="A464" s="6"/>
      <c r="B464" s="11"/>
      <c r="C464" s="6"/>
      <c r="D464" s="11"/>
    </row>
    <row x14ac:dyDescent="0.25" r="465" customHeight="1" ht="14.25">
      <c r="A465" s="6"/>
      <c r="B465" s="11"/>
      <c r="C465" s="6"/>
      <c r="D465" s="11"/>
    </row>
    <row x14ac:dyDescent="0.25" r="466" customHeight="1" ht="14.25">
      <c r="A466" s="6"/>
      <c r="B466" s="11"/>
      <c r="C466" s="6"/>
      <c r="D466" s="11"/>
    </row>
    <row x14ac:dyDescent="0.25" r="467" customHeight="1" ht="14.25">
      <c r="A467" s="6"/>
      <c r="B467" s="11"/>
      <c r="C467" s="6"/>
      <c r="D467" s="11"/>
    </row>
    <row x14ac:dyDescent="0.25" r="468" customHeight="1" ht="14.25">
      <c r="A468" s="6"/>
      <c r="B468" s="11"/>
      <c r="C468" s="6"/>
      <c r="D468" s="11"/>
    </row>
    <row x14ac:dyDescent="0.25" r="469" customHeight="1" ht="14.25">
      <c r="A469" s="6"/>
      <c r="B469" s="11"/>
      <c r="C469" s="6"/>
      <c r="D469" s="11"/>
    </row>
    <row x14ac:dyDescent="0.25" r="470" customHeight="1" ht="14.25">
      <c r="A470" s="6"/>
      <c r="B470" s="11"/>
      <c r="C470" s="6"/>
      <c r="D470" s="11"/>
    </row>
    <row x14ac:dyDescent="0.25" r="471" customHeight="1" ht="14.25">
      <c r="A471" s="6"/>
      <c r="B471" s="11"/>
      <c r="C471" s="6"/>
      <c r="D471" s="11"/>
    </row>
    <row x14ac:dyDescent="0.25" r="472" customHeight="1" ht="14.25">
      <c r="A472" s="6"/>
      <c r="B472" s="11"/>
      <c r="C472" s="6"/>
      <c r="D472" s="11"/>
    </row>
    <row x14ac:dyDescent="0.25" r="473" customHeight="1" ht="14.25">
      <c r="A473" s="6"/>
      <c r="B473" s="11"/>
      <c r="C473" s="6"/>
      <c r="D473" s="11"/>
    </row>
    <row x14ac:dyDescent="0.25" r="474" customHeight="1" ht="14.25">
      <c r="A474" s="6"/>
      <c r="B474" s="11"/>
      <c r="C474" s="6"/>
      <c r="D474" s="11"/>
    </row>
    <row x14ac:dyDescent="0.25" r="475" customHeight="1" ht="14.25">
      <c r="A475" s="6"/>
      <c r="B475" s="11"/>
      <c r="C475" s="6"/>
      <c r="D475" s="11"/>
    </row>
    <row x14ac:dyDescent="0.25" r="476" customHeight="1" ht="14.25">
      <c r="A476" s="6"/>
      <c r="B476" s="11"/>
      <c r="C476" s="6"/>
      <c r="D476" s="11"/>
    </row>
    <row x14ac:dyDescent="0.25" r="477" customHeight="1" ht="14.25">
      <c r="A477" s="6"/>
      <c r="B477" s="11"/>
      <c r="C477" s="6"/>
      <c r="D477" s="11"/>
    </row>
    <row x14ac:dyDescent="0.25" r="478" customHeight="1" ht="14.25">
      <c r="A478" s="6"/>
      <c r="B478" s="11"/>
      <c r="C478" s="6"/>
      <c r="D478" s="11"/>
    </row>
    <row x14ac:dyDescent="0.25" r="479" customHeight="1" ht="14.25">
      <c r="A479" s="6"/>
      <c r="B479" s="11"/>
      <c r="C479" s="6"/>
      <c r="D479" s="11"/>
    </row>
    <row x14ac:dyDescent="0.25" r="480" customHeight="1" ht="14.25">
      <c r="A480" s="6"/>
      <c r="B480" s="11"/>
      <c r="C480" s="6"/>
      <c r="D480" s="11"/>
    </row>
    <row x14ac:dyDescent="0.25" r="481" customHeight="1" ht="14.25">
      <c r="A481" s="6"/>
      <c r="B481" s="11"/>
      <c r="C481" s="6"/>
      <c r="D481" s="11"/>
    </row>
    <row x14ac:dyDescent="0.25" r="482" customHeight="1" ht="14.25">
      <c r="A482" s="6"/>
      <c r="B482" s="11"/>
      <c r="C482" s="6"/>
      <c r="D482" s="11"/>
    </row>
    <row x14ac:dyDescent="0.25" r="483" customHeight="1" ht="14.25">
      <c r="A483" s="6"/>
      <c r="B483" s="11"/>
      <c r="C483" s="6"/>
      <c r="D483" s="11"/>
    </row>
    <row x14ac:dyDescent="0.25" r="484" customHeight="1" ht="14.25">
      <c r="A484" s="6"/>
      <c r="B484" s="11"/>
      <c r="C484" s="6"/>
      <c r="D484" s="11"/>
    </row>
    <row x14ac:dyDescent="0.25" r="485" customHeight="1" ht="14.25">
      <c r="A485" s="6"/>
      <c r="B485" s="11"/>
      <c r="C485" s="6"/>
      <c r="D485" s="11"/>
    </row>
    <row x14ac:dyDescent="0.25" r="486" customHeight="1" ht="14.25">
      <c r="A486" s="6"/>
      <c r="B486" s="11"/>
      <c r="C486" s="6"/>
      <c r="D486" s="11"/>
    </row>
    <row x14ac:dyDescent="0.25" r="487" customHeight="1" ht="14.25">
      <c r="A487" s="6"/>
      <c r="B487" s="11"/>
      <c r="C487" s="6"/>
      <c r="D487" s="11"/>
    </row>
    <row x14ac:dyDescent="0.25" r="488" customHeight="1" ht="14.25">
      <c r="A488" s="6"/>
      <c r="B488" s="11"/>
      <c r="C488" s="6"/>
      <c r="D488" s="11"/>
    </row>
    <row x14ac:dyDescent="0.25" r="489" customHeight="1" ht="14.25">
      <c r="A489" s="6"/>
      <c r="B489" s="11"/>
      <c r="C489" s="6"/>
      <c r="D489" s="11"/>
    </row>
    <row x14ac:dyDescent="0.25" r="490" customHeight="1" ht="14.25">
      <c r="A490" s="6"/>
      <c r="B490" s="11"/>
      <c r="C490" s="6"/>
      <c r="D490" s="11"/>
    </row>
    <row x14ac:dyDescent="0.25" r="491" customHeight="1" ht="14.25">
      <c r="A491" s="6"/>
      <c r="B491" s="11"/>
      <c r="C491" s="6"/>
      <c r="D491" s="11"/>
    </row>
    <row x14ac:dyDescent="0.25" r="492" customHeight="1" ht="14.25">
      <c r="A492" s="6"/>
      <c r="B492" s="11"/>
      <c r="C492" s="6"/>
      <c r="D492" s="11"/>
    </row>
    <row x14ac:dyDescent="0.25" r="493" customHeight="1" ht="14.25">
      <c r="A493" s="6"/>
      <c r="B493" s="11"/>
      <c r="C493" s="6"/>
      <c r="D493" s="11"/>
    </row>
    <row x14ac:dyDescent="0.25" r="494" customHeight="1" ht="14.25">
      <c r="A494" s="6"/>
      <c r="B494" s="11"/>
      <c r="C494" s="6"/>
      <c r="D494" s="11"/>
    </row>
    <row x14ac:dyDescent="0.25" r="495" customHeight="1" ht="14.25">
      <c r="A495" s="6"/>
      <c r="B495" s="11"/>
      <c r="C495" s="6"/>
      <c r="D495" s="11"/>
    </row>
    <row x14ac:dyDescent="0.25" r="496" customHeight="1" ht="14.25">
      <c r="A496" s="6"/>
      <c r="B496" s="11"/>
      <c r="C496" s="6"/>
      <c r="D496" s="11"/>
    </row>
    <row x14ac:dyDescent="0.25" r="497" customHeight="1" ht="14.25">
      <c r="A497" s="6"/>
      <c r="B497" s="11"/>
      <c r="C497" s="6"/>
      <c r="D497" s="11"/>
    </row>
    <row x14ac:dyDescent="0.25" r="498" customHeight="1" ht="14.25">
      <c r="A498" s="6"/>
      <c r="B498" s="11"/>
      <c r="C498" s="6"/>
      <c r="D498" s="11"/>
    </row>
    <row x14ac:dyDescent="0.25" r="499" customHeight="1" ht="14.25">
      <c r="A499" s="6"/>
      <c r="B499" s="11"/>
      <c r="C499" s="6"/>
      <c r="D499" s="11"/>
    </row>
    <row x14ac:dyDescent="0.25" r="500" customHeight="1" ht="14.25">
      <c r="A500" s="6"/>
      <c r="B500" s="11"/>
      <c r="C500" s="6"/>
      <c r="D500" s="11"/>
    </row>
    <row x14ac:dyDescent="0.25" r="501" customHeight="1" ht="14.25">
      <c r="A501" s="6"/>
      <c r="B501" s="11"/>
      <c r="C501" s="6"/>
      <c r="D501" s="11"/>
    </row>
    <row x14ac:dyDescent="0.25" r="502" customHeight="1" ht="14.25">
      <c r="A502" s="6"/>
      <c r="B502" s="11"/>
      <c r="C502" s="6"/>
      <c r="D502" s="11"/>
    </row>
    <row x14ac:dyDescent="0.25" r="503" customHeight="1" ht="14.25">
      <c r="A503" s="6"/>
      <c r="B503" s="11"/>
      <c r="C503" s="6"/>
      <c r="D503" s="11"/>
    </row>
    <row x14ac:dyDescent="0.25" r="504" customHeight="1" ht="14.25">
      <c r="A504" s="6"/>
      <c r="B504" s="11"/>
      <c r="C504" s="6"/>
      <c r="D504" s="11"/>
    </row>
    <row x14ac:dyDescent="0.25" r="505" customHeight="1" ht="14.25">
      <c r="A505" s="6"/>
      <c r="B505" s="11"/>
      <c r="C505" s="6"/>
      <c r="D505" s="11"/>
    </row>
    <row x14ac:dyDescent="0.25" r="506" customHeight="1" ht="14.25">
      <c r="A506" s="6"/>
      <c r="B506" s="11"/>
      <c r="C506" s="6"/>
      <c r="D506" s="11"/>
    </row>
    <row x14ac:dyDescent="0.25" r="507" customHeight="1" ht="14.25">
      <c r="A507" s="6"/>
      <c r="B507" s="11"/>
      <c r="C507" s="6"/>
      <c r="D507" s="11"/>
    </row>
    <row x14ac:dyDescent="0.25" r="508" customHeight="1" ht="14.25">
      <c r="A508" s="6"/>
      <c r="B508" s="11"/>
      <c r="C508" s="6"/>
      <c r="D508" s="11"/>
    </row>
    <row x14ac:dyDescent="0.25" r="509" customHeight="1" ht="14.25">
      <c r="A509" s="6"/>
      <c r="B509" s="11"/>
      <c r="C509" s="6"/>
      <c r="D509" s="11"/>
    </row>
    <row x14ac:dyDescent="0.25" r="510" customHeight="1" ht="14.25">
      <c r="A510" s="6"/>
      <c r="B510" s="11"/>
      <c r="C510" s="6"/>
      <c r="D510" s="11"/>
    </row>
    <row x14ac:dyDescent="0.25" r="511" customHeight="1" ht="14.25">
      <c r="A511" s="6"/>
      <c r="B511" s="11"/>
      <c r="C511" s="6"/>
      <c r="D511" s="11"/>
    </row>
    <row x14ac:dyDescent="0.25" r="512" customHeight="1" ht="14.25">
      <c r="A512" s="6"/>
      <c r="B512" s="11"/>
      <c r="C512" s="6"/>
      <c r="D512" s="11"/>
    </row>
    <row x14ac:dyDescent="0.25" r="513" customHeight="1" ht="14.25">
      <c r="A513" s="6"/>
      <c r="B513" s="11"/>
      <c r="C513" s="6"/>
      <c r="D513" s="11"/>
    </row>
    <row x14ac:dyDescent="0.25" r="514" customHeight="1" ht="14.25">
      <c r="A514" s="6"/>
      <c r="B514" s="11"/>
      <c r="C514" s="6"/>
      <c r="D514" s="11"/>
    </row>
    <row x14ac:dyDescent="0.25" r="515" customHeight="1" ht="14.25">
      <c r="A515" s="6"/>
      <c r="B515" s="11"/>
      <c r="C515" s="6"/>
      <c r="D515" s="11"/>
    </row>
    <row x14ac:dyDescent="0.25" r="516" customHeight="1" ht="14.25">
      <c r="A516" s="6"/>
      <c r="B516" s="11"/>
      <c r="C516" s="6"/>
      <c r="D516" s="11"/>
    </row>
    <row x14ac:dyDescent="0.25" r="517" customHeight="1" ht="14.25">
      <c r="A517" s="6"/>
      <c r="B517" s="11"/>
      <c r="C517" s="6"/>
      <c r="D517" s="11"/>
    </row>
    <row x14ac:dyDescent="0.25" r="518" customHeight="1" ht="14.25">
      <c r="A518" s="6"/>
      <c r="B518" s="11"/>
      <c r="C518" s="6"/>
      <c r="D518" s="11"/>
    </row>
    <row x14ac:dyDescent="0.25" r="519" customHeight="1" ht="14.25">
      <c r="A519" s="6"/>
      <c r="B519" s="11"/>
      <c r="C519" s="6"/>
      <c r="D519" s="11"/>
    </row>
    <row x14ac:dyDescent="0.25" r="520" customHeight="1" ht="14.25">
      <c r="A520" s="6"/>
      <c r="B520" s="11"/>
      <c r="C520" s="6"/>
      <c r="D520" s="11"/>
    </row>
    <row x14ac:dyDescent="0.25" r="521" customHeight="1" ht="14.25">
      <c r="A521" s="6"/>
      <c r="B521" s="11"/>
      <c r="C521" s="6"/>
      <c r="D521" s="11"/>
    </row>
    <row x14ac:dyDescent="0.25" r="522" customHeight="1" ht="14.25">
      <c r="A522" s="6"/>
      <c r="B522" s="11"/>
      <c r="C522" s="6"/>
      <c r="D522" s="11"/>
    </row>
    <row x14ac:dyDescent="0.25" r="523" customHeight="1" ht="14.25">
      <c r="A523" s="6"/>
      <c r="B523" s="11"/>
      <c r="C523" s="6"/>
      <c r="D523" s="11"/>
    </row>
    <row x14ac:dyDescent="0.25" r="524" customHeight="1" ht="14.25">
      <c r="A524" s="6"/>
      <c r="B524" s="11"/>
      <c r="C524" s="6"/>
      <c r="D524" s="11"/>
    </row>
    <row x14ac:dyDescent="0.25" r="525" customHeight="1" ht="14.25">
      <c r="A525" s="6"/>
      <c r="B525" s="11"/>
      <c r="C525" s="6"/>
      <c r="D525" s="11"/>
    </row>
    <row x14ac:dyDescent="0.25" r="526" customHeight="1" ht="14.25">
      <c r="A526" s="6"/>
      <c r="B526" s="11"/>
      <c r="C526" s="6"/>
      <c r="D526" s="11"/>
    </row>
    <row x14ac:dyDescent="0.25" r="527" customHeight="1" ht="14.25">
      <c r="A527" s="6"/>
      <c r="B527" s="11"/>
      <c r="C527" s="6"/>
      <c r="D527" s="11"/>
    </row>
    <row x14ac:dyDescent="0.25" r="528" customHeight="1" ht="14.25">
      <c r="A528" s="6"/>
      <c r="B528" s="11"/>
      <c r="C528" s="6"/>
      <c r="D528" s="11"/>
    </row>
    <row x14ac:dyDescent="0.25" r="529" customHeight="1" ht="14.25">
      <c r="A529" s="6"/>
      <c r="B529" s="11"/>
      <c r="C529" s="6"/>
      <c r="D529" s="11"/>
    </row>
    <row x14ac:dyDescent="0.25" r="530" customHeight="1" ht="14.25">
      <c r="A530" s="6"/>
      <c r="B530" s="11"/>
      <c r="C530" s="6"/>
      <c r="D530" s="11"/>
    </row>
    <row x14ac:dyDescent="0.25" r="531" customHeight="1" ht="14.25">
      <c r="A531" s="6"/>
      <c r="B531" s="11"/>
      <c r="C531" s="6"/>
      <c r="D531" s="11"/>
    </row>
    <row x14ac:dyDescent="0.25" r="532" customHeight="1" ht="14.25">
      <c r="A532" s="6"/>
      <c r="B532" s="11"/>
      <c r="C532" s="6"/>
      <c r="D532" s="11"/>
    </row>
    <row x14ac:dyDescent="0.25" r="533" customHeight="1" ht="14.25">
      <c r="A533" s="6"/>
      <c r="B533" s="11"/>
      <c r="C533" s="6"/>
      <c r="D533" s="11"/>
    </row>
    <row x14ac:dyDescent="0.25" r="534" customHeight="1" ht="14.25">
      <c r="A534" s="6"/>
      <c r="B534" s="11"/>
      <c r="C534" s="6"/>
      <c r="D534" s="11"/>
    </row>
    <row x14ac:dyDescent="0.25" r="535" customHeight="1" ht="14.25">
      <c r="A535" s="6"/>
      <c r="B535" s="11"/>
      <c r="C535" s="6"/>
      <c r="D535" s="11"/>
    </row>
    <row x14ac:dyDescent="0.25" r="536" customHeight="1" ht="14.25">
      <c r="A536" s="6"/>
      <c r="B536" s="11"/>
      <c r="C536" s="6"/>
      <c r="D536" s="11"/>
    </row>
    <row x14ac:dyDescent="0.25" r="537" customHeight="1" ht="14.25">
      <c r="A537" s="6"/>
      <c r="B537" s="11"/>
      <c r="C537" s="6"/>
      <c r="D537" s="11"/>
    </row>
    <row x14ac:dyDescent="0.25" r="538" customHeight="1" ht="14.25">
      <c r="A538" s="6"/>
      <c r="B538" s="11"/>
      <c r="C538" s="6"/>
      <c r="D538" s="11"/>
    </row>
    <row x14ac:dyDescent="0.25" r="539" customHeight="1" ht="14.25">
      <c r="A539" s="6"/>
      <c r="B539" s="11"/>
      <c r="C539" s="6"/>
      <c r="D539" s="11"/>
    </row>
    <row x14ac:dyDescent="0.25" r="540" customHeight="1" ht="14.25">
      <c r="A540" s="6"/>
      <c r="B540" s="11"/>
      <c r="C540" s="6"/>
      <c r="D540" s="11"/>
    </row>
    <row x14ac:dyDescent="0.25" r="541" customHeight="1" ht="14.25">
      <c r="A541" s="6"/>
      <c r="B541" s="11"/>
      <c r="C541" s="6"/>
      <c r="D541" s="11"/>
    </row>
    <row x14ac:dyDescent="0.25" r="542" customHeight="1" ht="14.25">
      <c r="A542" s="6"/>
      <c r="B542" s="11"/>
      <c r="C542" s="6"/>
      <c r="D542" s="11"/>
    </row>
    <row x14ac:dyDescent="0.25" r="543" customHeight="1" ht="14.25">
      <c r="A543" s="6"/>
      <c r="B543" s="11"/>
      <c r="C543" s="6"/>
      <c r="D543" s="11"/>
    </row>
    <row x14ac:dyDescent="0.25" r="544" customHeight="1" ht="14.25">
      <c r="A544" s="6"/>
      <c r="B544" s="11"/>
      <c r="C544" s="6"/>
      <c r="D544" s="11"/>
    </row>
    <row x14ac:dyDescent="0.25" r="545" customHeight="1" ht="14.25">
      <c r="A545" s="6"/>
      <c r="B545" s="11"/>
      <c r="C545" s="6"/>
      <c r="D545" s="11"/>
    </row>
    <row x14ac:dyDescent="0.25" r="546" customHeight="1" ht="14.25">
      <c r="A546" s="6"/>
      <c r="B546" s="11"/>
      <c r="C546" s="6"/>
      <c r="D546" s="11"/>
    </row>
    <row x14ac:dyDescent="0.25" r="547" customHeight="1" ht="14.25">
      <c r="A547" s="6"/>
      <c r="B547" s="11"/>
      <c r="C547" s="6"/>
      <c r="D547" s="11"/>
    </row>
    <row x14ac:dyDescent="0.25" r="548" customHeight="1" ht="14.25">
      <c r="A548" s="6"/>
      <c r="B548" s="11"/>
      <c r="C548" s="6"/>
      <c r="D548" s="11"/>
    </row>
    <row x14ac:dyDescent="0.25" r="549" customHeight="1" ht="14.25">
      <c r="A549" s="6"/>
      <c r="B549" s="11"/>
      <c r="C549" s="6"/>
      <c r="D549" s="11"/>
    </row>
    <row x14ac:dyDescent="0.25" r="550" customHeight="1" ht="14.25">
      <c r="A550" s="6"/>
      <c r="B550" s="11"/>
      <c r="C550" s="6"/>
      <c r="D550" s="11"/>
    </row>
    <row x14ac:dyDescent="0.25" r="551" customHeight="1" ht="14.25">
      <c r="A551" s="6"/>
      <c r="B551" s="11"/>
      <c r="C551" s="6"/>
      <c r="D551" s="11"/>
    </row>
    <row x14ac:dyDescent="0.25" r="552" customHeight="1" ht="14.25">
      <c r="A552" s="6"/>
      <c r="B552" s="11"/>
      <c r="C552" s="6"/>
      <c r="D552" s="11"/>
    </row>
    <row x14ac:dyDescent="0.25" r="553" customHeight="1" ht="14.25">
      <c r="A553" s="6"/>
      <c r="B553" s="11"/>
      <c r="C553" s="6"/>
      <c r="D553" s="11"/>
    </row>
    <row x14ac:dyDescent="0.25" r="554" customHeight="1" ht="14.25">
      <c r="A554" s="6"/>
      <c r="B554" s="11"/>
      <c r="C554" s="6"/>
      <c r="D554" s="11"/>
    </row>
    <row x14ac:dyDescent="0.25" r="555" customHeight="1" ht="14.25">
      <c r="A555" s="6"/>
      <c r="B555" s="11"/>
      <c r="C555" s="6"/>
      <c r="D555" s="11"/>
    </row>
    <row x14ac:dyDescent="0.25" r="556" customHeight="1" ht="14.25">
      <c r="A556" s="6"/>
      <c r="B556" s="11"/>
      <c r="C556" s="6"/>
      <c r="D556" s="11"/>
    </row>
    <row x14ac:dyDescent="0.25" r="557" customHeight="1" ht="14.25">
      <c r="A557" s="6"/>
      <c r="B557" s="11"/>
      <c r="C557" s="6"/>
      <c r="D557" s="11"/>
    </row>
    <row x14ac:dyDescent="0.25" r="558" customHeight="1" ht="14.25">
      <c r="A558" s="6"/>
      <c r="B558" s="11"/>
      <c r="C558" s="6"/>
      <c r="D558" s="11"/>
    </row>
    <row x14ac:dyDescent="0.25" r="559" customHeight="1" ht="14.25">
      <c r="A559" s="6"/>
      <c r="B559" s="11"/>
      <c r="C559" s="6"/>
      <c r="D559" s="11"/>
    </row>
    <row x14ac:dyDescent="0.25" r="560" customHeight="1" ht="14.25">
      <c r="A560" s="6"/>
      <c r="B560" s="11"/>
      <c r="C560" s="6"/>
      <c r="D560" s="11"/>
    </row>
    <row x14ac:dyDescent="0.25" r="561" customHeight="1" ht="14.25">
      <c r="A561" s="6"/>
      <c r="B561" s="11"/>
      <c r="C561" s="6"/>
      <c r="D561" s="11"/>
    </row>
    <row x14ac:dyDescent="0.25" r="562" customHeight="1" ht="14.25">
      <c r="A562" s="6"/>
      <c r="B562" s="11"/>
      <c r="C562" s="6"/>
      <c r="D562" s="11"/>
    </row>
    <row x14ac:dyDescent="0.25" r="563" customHeight="1" ht="14.25">
      <c r="A563" s="6"/>
      <c r="B563" s="11"/>
      <c r="C563" s="6"/>
      <c r="D563" s="11"/>
    </row>
    <row x14ac:dyDescent="0.25" r="564" customHeight="1" ht="14.25">
      <c r="A564" s="6"/>
      <c r="B564" s="11"/>
      <c r="C564" s="6"/>
      <c r="D564" s="11"/>
    </row>
    <row x14ac:dyDescent="0.25" r="565" customHeight="1" ht="14.25">
      <c r="A565" s="6"/>
      <c r="B565" s="11"/>
      <c r="C565" s="6"/>
      <c r="D565" s="11"/>
    </row>
    <row x14ac:dyDescent="0.25" r="566" customHeight="1" ht="14.25">
      <c r="A566" s="6"/>
      <c r="B566" s="11"/>
      <c r="C566" s="6"/>
      <c r="D566" s="11"/>
    </row>
    <row x14ac:dyDescent="0.25" r="567" customHeight="1" ht="14.25">
      <c r="A567" s="6"/>
      <c r="B567" s="11"/>
      <c r="C567" s="6"/>
      <c r="D567" s="11"/>
    </row>
    <row x14ac:dyDescent="0.25" r="568" customHeight="1" ht="14.25">
      <c r="A568" s="6"/>
      <c r="B568" s="11"/>
      <c r="C568" s="6"/>
      <c r="D568" s="11"/>
    </row>
    <row x14ac:dyDescent="0.25" r="569" customHeight="1" ht="14.25">
      <c r="A569" s="6"/>
      <c r="B569" s="11"/>
      <c r="C569" s="6"/>
      <c r="D569" s="11"/>
    </row>
    <row x14ac:dyDescent="0.25" r="570" customHeight="1" ht="14.25">
      <c r="A570" s="6"/>
      <c r="B570" s="11"/>
      <c r="C570" s="6"/>
      <c r="D570" s="11"/>
    </row>
    <row x14ac:dyDescent="0.25" r="571" customHeight="1" ht="14.25">
      <c r="A571" s="6"/>
      <c r="B571" s="11"/>
      <c r="C571" s="6"/>
      <c r="D571" s="11"/>
    </row>
    <row x14ac:dyDescent="0.25" r="572" customHeight="1" ht="14.25">
      <c r="A572" s="6"/>
      <c r="B572" s="11"/>
      <c r="C572" s="6"/>
      <c r="D572" s="11"/>
    </row>
    <row x14ac:dyDescent="0.25" r="573" customHeight="1" ht="14.25">
      <c r="A573" s="6"/>
      <c r="B573" s="11"/>
      <c r="C573" s="6"/>
      <c r="D573" s="11"/>
    </row>
    <row x14ac:dyDescent="0.25" r="574" customHeight="1" ht="14.25">
      <c r="A574" s="6"/>
      <c r="B574" s="11"/>
      <c r="C574" s="6"/>
      <c r="D574" s="11"/>
    </row>
    <row x14ac:dyDescent="0.25" r="575" customHeight="1" ht="14.25">
      <c r="A575" s="6"/>
      <c r="B575" s="11"/>
      <c r="C575" s="6"/>
      <c r="D575" s="11"/>
    </row>
    <row x14ac:dyDescent="0.25" r="576" customHeight="1" ht="14.25">
      <c r="A576" s="6"/>
      <c r="B576" s="11"/>
      <c r="C576" s="6"/>
      <c r="D576" s="11"/>
    </row>
    <row x14ac:dyDescent="0.25" r="577" customHeight="1" ht="14.25">
      <c r="A577" s="6"/>
      <c r="B577" s="11"/>
      <c r="C577" s="6"/>
      <c r="D577" s="11"/>
    </row>
    <row x14ac:dyDescent="0.25" r="578" customHeight="1" ht="14.25">
      <c r="A578" s="6"/>
      <c r="B578" s="11"/>
      <c r="C578" s="6"/>
      <c r="D578" s="11"/>
    </row>
    <row x14ac:dyDescent="0.25" r="579" customHeight="1" ht="14.25">
      <c r="A579" s="6"/>
      <c r="B579" s="11"/>
      <c r="C579" s="6"/>
      <c r="D579" s="11"/>
    </row>
    <row x14ac:dyDescent="0.25" r="580" customHeight="1" ht="14.25">
      <c r="A580" s="6"/>
      <c r="B580" s="11"/>
      <c r="C580" s="6"/>
      <c r="D580" s="11"/>
    </row>
    <row x14ac:dyDescent="0.25" r="581" customHeight="1" ht="14.25">
      <c r="A581" s="6"/>
      <c r="B581" s="11"/>
      <c r="C581" s="6"/>
      <c r="D581" s="11"/>
    </row>
    <row x14ac:dyDescent="0.25" r="582" customHeight="1" ht="14.25">
      <c r="A582" s="6"/>
      <c r="B582" s="11"/>
      <c r="C582" s="6"/>
      <c r="D582" s="11"/>
    </row>
    <row x14ac:dyDescent="0.25" r="583" customHeight="1" ht="14.25">
      <c r="A583" s="6"/>
      <c r="B583" s="11"/>
      <c r="C583" s="6"/>
      <c r="D583" s="11"/>
    </row>
    <row x14ac:dyDescent="0.25" r="584" customHeight="1" ht="14.25">
      <c r="A584" s="6"/>
      <c r="B584" s="11"/>
      <c r="C584" s="6"/>
      <c r="D584" s="11"/>
    </row>
    <row x14ac:dyDescent="0.25" r="585" customHeight="1" ht="14.25">
      <c r="A585" s="6"/>
      <c r="B585" s="11"/>
      <c r="C585" s="6"/>
      <c r="D585" s="11"/>
    </row>
    <row x14ac:dyDescent="0.25" r="586" customHeight="1" ht="14.25">
      <c r="A586" s="6"/>
      <c r="B586" s="11"/>
      <c r="C586" s="6"/>
      <c r="D586" s="11"/>
    </row>
    <row x14ac:dyDescent="0.25" r="587" customHeight="1" ht="14.25">
      <c r="A587" s="6"/>
      <c r="B587" s="11"/>
      <c r="C587" s="6"/>
      <c r="D587" s="11"/>
    </row>
    <row x14ac:dyDescent="0.25" r="588" customHeight="1" ht="14.25">
      <c r="A588" s="6"/>
      <c r="B588" s="11"/>
      <c r="C588" s="6"/>
      <c r="D588" s="11"/>
    </row>
    <row x14ac:dyDescent="0.25" r="589" customHeight="1" ht="14.25">
      <c r="A589" s="6"/>
      <c r="B589" s="11"/>
      <c r="C589" s="6"/>
      <c r="D589" s="11"/>
    </row>
    <row x14ac:dyDescent="0.25" r="590" customHeight="1" ht="14.25">
      <c r="A590" s="6"/>
      <c r="B590" s="11"/>
      <c r="C590" s="6"/>
      <c r="D590" s="11"/>
    </row>
    <row x14ac:dyDescent="0.25" r="591" customHeight="1" ht="14.25">
      <c r="A591" s="6"/>
      <c r="B591" s="11"/>
      <c r="C591" s="6"/>
      <c r="D591" s="11"/>
    </row>
    <row x14ac:dyDescent="0.25" r="592" customHeight="1" ht="14.25">
      <c r="A592" s="6"/>
      <c r="B592" s="11"/>
      <c r="C592" s="6"/>
      <c r="D592" s="11"/>
    </row>
    <row x14ac:dyDescent="0.25" r="593" customHeight="1" ht="14.25">
      <c r="A593" s="6"/>
      <c r="B593" s="11"/>
      <c r="C593" s="6"/>
      <c r="D593" s="11"/>
    </row>
    <row x14ac:dyDescent="0.25" r="594" customHeight="1" ht="14.25">
      <c r="A594" s="6"/>
      <c r="B594" s="11"/>
      <c r="C594" s="6"/>
      <c r="D594" s="11"/>
    </row>
    <row x14ac:dyDescent="0.25" r="595" customHeight="1" ht="14.25">
      <c r="A595" s="6"/>
      <c r="B595" s="11"/>
      <c r="C595" s="6"/>
      <c r="D595" s="11"/>
    </row>
    <row x14ac:dyDescent="0.25" r="596" customHeight="1" ht="14.25">
      <c r="A596" s="6"/>
      <c r="B596" s="11"/>
      <c r="C596" s="6"/>
      <c r="D596" s="11"/>
    </row>
    <row x14ac:dyDescent="0.25" r="597" customHeight="1" ht="14.25">
      <c r="A597" s="6"/>
      <c r="B597" s="11"/>
      <c r="C597" s="6"/>
      <c r="D597" s="11"/>
    </row>
    <row x14ac:dyDescent="0.25" r="598" customHeight="1" ht="14.25">
      <c r="A598" s="6"/>
      <c r="B598" s="11"/>
      <c r="C598" s="6"/>
      <c r="D598" s="11"/>
    </row>
    <row x14ac:dyDescent="0.25" r="599" customHeight="1" ht="14.25">
      <c r="A599" s="6"/>
      <c r="B599" s="11"/>
      <c r="C599" s="6"/>
      <c r="D599" s="11"/>
    </row>
    <row x14ac:dyDescent="0.25" r="600" customHeight="1" ht="14.25">
      <c r="A600" s="6"/>
      <c r="B600" s="11"/>
      <c r="C600" s="6"/>
      <c r="D600" s="11"/>
    </row>
    <row x14ac:dyDescent="0.25" r="601" customHeight="1" ht="14.25">
      <c r="A601" s="6"/>
      <c r="B601" s="11"/>
      <c r="C601" s="6"/>
      <c r="D601" s="11"/>
    </row>
    <row x14ac:dyDescent="0.25" r="602" customHeight="1" ht="14.25">
      <c r="A602" s="6"/>
      <c r="B602" s="11"/>
      <c r="C602" s="6"/>
      <c r="D602" s="11"/>
    </row>
    <row x14ac:dyDescent="0.25" r="603" customHeight="1" ht="14.25">
      <c r="A603" s="6"/>
      <c r="B603" s="11"/>
      <c r="C603" s="6"/>
      <c r="D603" s="11"/>
    </row>
    <row x14ac:dyDescent="0.25" r="604" customHeight="1" ht="14.25">
      <c r="A604" s="6"/>
      <c r="B604" s="11"/>
      <c r="C604" s="6"/>
      <c r="D604" s="11"/>
    </row>
    <row x14ac:dyDescent="0.25" r="605" customHeight="1" ht="14.25">
      <c r="A605" s="6"/>
      <c r="B605" s="11"/>
      <c r="C605" s="6"/>
      <c r="D605" s="11"/>
    </row>
    <row x14ac:dyDescent="0.25" r="606" customHeight="1" ht="14.25">
      <c r="A606" s="6"/>
      <c r="B606" s="11"/>
      <c r="C606" s="6"/>
      <c r="D606" s="11"/>
    </row>
    <row x14ac:dyDescent="0.25" r="607" customHeight="1" ht="14.25">
      <c r="A607" s="6"/>
      <c r="B607" s="11"/>
      <c r="C607" s="6"/>
      <c r="D607" s="11"/>
    </row>
    <row x14ac:dyDescent="0.25" r="608" customHeight="1" ht="14.25">
      <c r="A608" s="6"/>
      <c r="B608" s="11"/>
      <c r="C608" s="6"/>
      <c r="D608" s="11"/>
    </row>
    <row x14ac:dyDescent="0.25" r="609" customHeight="1" ht="14.25">
      <c r="A609" s="6"/>
      <c r="B609" s="11"/>
      <c r="C609" s="6"/>
      <c r="D609" s="11"/>
    </row>
    <row x14ac:dyDescent="0.25" r="610" customHeight="1" ht="14.25">
      <c r="A610" s="6"/>
      <c r="B610" s="11"/>
      <c r="C610" s="6"/>
      <c r="D610" s="11"/>
    </row>
    <row x14ac:dyDescent="0.25" r="611" customHeight="1" ht="14.25">
      <c r="A611" s="6"/>
      <c r="B611" s="11"/>
      <c r="C611" s="6"/>
      <c r="D611" s="11"/>
    </row>
    <row x14ac:dyDescent="0.25" r="612" customHeight="1" ht="14.25">
      <c r="A612" s="6"/>
      <c r="B612" s="11"/>
      <c r="C612" s="6"/>
      <c r="D612" s="11"/>
    </row>
    <row x14ac:dyDescent="0.25" r="613" customHeight="1" ht="14.25">
      <c r="A613" s="6"/>
      <c r="B613" s="11"/>
      <c r="C613" s="6"/>
      <c r="D613" s="11"/>
    </row>
    <row x14ac:dyDescent="0.25" r="614" customHeight="1" ht="14.25">
      <c r="A614" s="6"/>
      <c r="B614" s="11"/>
      <c r="C614" s="6"/>
      <c r="D614" s="11"/>
    </row>
    <row x14ac:dyDescent="0.25" r="615" customHeight="1" ht="14.25">
      <c r="A615" s="6"/>
      <c r="B615" s="11"/>
      <c r="C615" s="6"/>
      <c r="D615" s="11"/>
    </row>
    <row x14ac:dyDescent="0.25" r="616" customHeight="1" ht="14.25">
      <c r="A616" s="6"/>
      <c r="B616" s="11"/>
      <c r="C616" s="6"/>
      <c r="D616" s="11"/>
    </row>
    <row x14ac:dyDescent="0.25" r="617" customHeight="1" ht="14.25">
      <c r="A617" s="6"/>
      <c r="B617" s="11"/>
      <c r="C617" s="6"/>
      <c r="D617" s="11"/>
    </row>
    <row x14ac:dyDescent="0.25" r="618" customHeight="1" ht="14.25">
      <c r="A618" s="6"/>
      <c r="B618" s="11"/>
      <c r="C618" s="6"/>
      <c r="D618" s="11"/>
    </row>
    <row x14ac:dyDescent="0.25" r="619" customHeight="1" ht="14.25">
      <c r="A619" s="6"/>
      <c r="B619" s="11"/>
      <c r="C619" s="6"/>
      <c r="D619" s="11"/>
    </row>
    <row x14ac:dyDescent="0.25" r="620" customHeight="1" ht="14.25">
      <c r="A620" s="6"/>
      <c r="B620" s="11"/>
      <c r="C620" s="6"/>
      <c r="D620" s="11"/>
    </row>
    <row x14ac:dyDescent="0.25" r="621" customHeight="1" ht="14.25">
      <c r="A621" s="6"/>
      <c r="B621" s="11"/>
      <c r="C621" s="6"/>
      <c r="D621" s="11"/>
    </row>
    <row x14ac:dyDescent="0.25" r="622" customHeight="1" ht="14.25">
      <c r="A622" s="6"/>
      <c r="B622" s="11"/>
      <c r="C622" s="6"/>
      <c r="D622" s="11"/>
    </row>
    <row x14ac:dyDescent="0.25" r="623" customHeight="1" ht="14.25">
      <c r="A623" s="6"/>
      <c r="B623" s="11"/>
      <c r="C623" s="6"/>
      <c r="D623" s="11"/>
    </row>
    <row x14ac:dyDescent="0.25" r="624" customHeight="1" ht="14.25">
      <c r="A624" s="6"/>
      <c r="B624" s="11"/>
      <c r="C624" s="6"/>
      <c r="D624" s="11"/>
    </row>
    <row x14ac:dyDescent="0.25" r="625" customHeight="1" ht="14.25">
      <c r="A625" s="6"/>
      <c r="B625" s="11"/>
      <c r="C625" s="6"/>
      <c r="D625" s="11"/>
    </row>
    <row x14ac:dyDescent="0.25" r="626" customHeight="1" ht="14.25">
      <c r="A626" s="6"/>
      <c r="B626" s="11"/>
      <c r="C626" s="6"/>
      <c r="D626" s="11"/>
    </row>
    <row x14ac:dyDescent="0.25" r="627" customHeight="1" ht="14.25">
      <c r="A627" s="6"/>
      <c r="B627" s="11"/>
      <c r="C627" s="6"/>
      <c r="D627" s="11"/>
    </row>
    <row x14ac:dyDescent="0.25" r="628" customHeight="1" ht="14.25">
      <c r="A628" s="6"/>
      <c r="B628" s="11"/>
      <c r="C628" s="6"/>
      <c r="D628" s="11"/>
    </row>
    <row x14ac:dyDescent="0.25" r="629" customHeight="1" ht="14.25">
      <c r="A629" s="6"/>
      <c r="B629" s="11"/>
      <c r="C629" s="6"/>
      <c r="D629" s="11"/>
    </row>
    <row x14ac:dyDescent="0.25" r="630" customHeight="1" ht="14.25">
      <c r="A630" s="6"/>
      <c r="B630" s="11"/>
      <c r="C630" s="6"/>
      <c r="D630" s="11"/>
    </row>
    <row x14ac:dyDescent="0.25" r="631" customHeight="1" ht="14.25">
      <c r="A631" s="6"/>
      <c r="B631" s="11"/>
      <c r="C631" s="6"/>
      <c r="D631" s="11"/>
    </row>
    <row x14ac:dyDescent="0.25" r="632" customHeight="1" ht="14.25">
      <c r="A632" s="6"/>
      <c r="B632" s="11"/>
      <c r="C632" s="6"/>
      <c r="D632" s="11"/>
    </row>
    <row x14ac:dyDescent="0.25" r="633" customHeight="1" ht="14.25">
      <c r="A633" s="6"/>
      <c r="B633" s="11"/>
      <c r="C633" s="6"/>
      <c r="D633" s="11"/>
    </row>
    <row x14ac:dyDescent="0.25" r="634" customHeight="1" ht="14.25">
      <c r="A634" s="6"/>
      <c r="B634" s="11"/>
      <c r="C634" s="6"/>
      <c r="D634" s="11"/>
    </row>
    <row x14ac:dyDescent="0.25" r="635" customHeight="1" ht="14.25">
      <c r="A635" s="6"/>
      <c r="B635" s="11"/>
      <c r="C635" s="6"/>
      <c r="D635" s="11"/>
    </row>
    <row x14ac:dyDescent="0.25" r="636" customHeight="1" ht="14.25">
      <c r="A636" s="6"/>
      <c r="B636" s="11"/>
      <c r="C636" s="6"/>
      <c r="D636" s="11"/>
    </row>
    <row x14ac:dyDescent="0.25" r="637" customHeight="1" ht="14.25">
      <c r="A637" s="6"/>
      <c r="B637" s="11"/>
      <c r="C637" s="6"/>
      <c r="D637" s="11"/>
    </row>
    <row x14ac:dyDescent="0.25" r="638" customHeight="1" ht="14.25">
      <c r="A638" s="6"/>
      <c r="B638" s="11"/>
      <c r="C638" s="6"/>
      <c r="D638" s="11"/>
    </row>
    <row x14ac:dyDescent="0.25" r="639" customHeight="1" ht="14.25">
      <c r="A639" s="6"/>
      <c r="B639" s="11"/>
      <c r="C639" s="6"/>
      <c r="D639" s="11"/>
    </row>
    <row x14ac:dyDescent="0.25" r="640" customHeight="1" ht="14.25">
      <c r="A640" s="6"/>
      <c r="B640" s="11"/>
      <c r="C640" s="6"/>
      <c r="D640" s="11"/>
    </row>
    <row x14ac:dyDescent="0.25" r="641" customHeight="1" ht="14.25">
      <c r="A641" s="6"/>
      <c r="B641" s="11"/>
      <c r="C641" s="6"/>
      <c r="D641" s="11"/>
    </row>
    <row x14ac:dyDescent="0.25" r="642" customHeight="1" ht="14.25">
      <c r="A642" s="6"/>
      <c r="B642" s="11"/>
      <c r="C642" s="6"/>
      <c r="D642" s="11"/>
    </row>
    <row x14ac:dyDescent="0.25" r="643" customHeight="1" ht="14.25">
      <c r="A643" s="6"/>
      <c r="B643" s="11"/>
      <c r="C643" s="6"/>
      <c r="D643" s="11"/>
    </row>
    <row x14ac:dyDescent="0.25" r="644" customHeight="1" ht="14.25">
      <c r="A644" s="6"/>
      <c r="B644" s="11"/>
      <c r="C644" s="6"/>
      <c r="D644" s="11"/>
    </row>
    <row x14ac:dyDescent="0.25" r="645" customHeight="1" ht="14.25">
      <c r="A645" s="6"/>
      <c r="B645" s="11"/>
      <c r="C645" s="6"/>
      <c r="D645" s="11"/>
    </row>
    <row x14ac:dyDescent="0.25" r="646" customHeight="1" ht="14.25">
      <c r="A646" s="6"/>
      <c r="B646" s="11"/>
      <c r="C646" s="6"/>
      <c r="D646" s="11"/>
    </row>
    <row x14ac:dyDescent="0.25" r="647" customHeight="1" ht="14.25">
      <c r="A647" s="6"/>
      <c r="B647" s="11"/>
      <c r="C647" s="6"/>
      <c r="D647" s="11"/>
    </row>
    <row x14ac:dyDescent="0.25" r="648" customHeight="1" ht="14.25">
      <c r="A648" s="6"/>
      <c r="B648" s="11"/>
      <c r="C648" s="6"/>
      <c r="D648" s="11"/>
    </row>
    <row x14ac:dyDescent="0.25" r="649" customHeight="1" ht="14.25">
      <c r="A649" s="6"/>
      <c r="B649" s="11"/>
      <c r="C649" s="6"/>
      <c r="D649" s="11"/>
    </row>
    <row x14ac:dyDescent="0.25" r="650" customHeight="1" ht="14.25">
      <c r="A650" s="6"/>
      <c r="B650" s="11"/>
      <c r="C650" s="6"/>
      <c r="D650" s="11"/>
    </row>
    <row x14ac:dyDescent="0.25" r="651" customHeight="1" ht="14.25">
      <c r="A651" s="6"/>
      <c r="B651" s="11"/>
      <c r="C651" s="6"/>
      <c r="D651" s="11"/>
    </row>
    <row x14ac:dyDescent="0.25" r="652" customHeight="1" ht="14.25">
      <c r="A652" s="6"/>
      <c r="B652" s="11"/>
      <c r="C652" s="6"/>
      <c r="D652" s="11"/>
    </row>
    <row x14ac:dyDescent="0.25" r="653" customHeight="1" ht="14.25">
      <c r="A653" s="6"/>
      <c r="B653" s="11"/>
      <c r="C653" s="6"/>
      <c r="D653" s="11"/>
    </row>
    <row x14ac:dyDescent="0.25" r="654" customHeight="1" ht="14.25">
      <c r="A654" s="6"/>
      <c r="B654" s="11"/>
      <c r="C654" s="6"/>
      <c r="D654" s="11"/>
    </row>
    <row x14ac:dyDescent="0.25" r="655" customHeight="1" ht="14.25">
      <c r="A655" s="6"/>
      <c r="B655" s="11"/>
      <c r="C655" s="6"/>
      <c r="D655" s="11"/>
    </row>
    <row x14ac:dyDescent="0.25" r="656" customHeight="1" ht="14.25">
      <c r="A656" s="6"/>
      <c r="B656" s="11"/>
      <c r="C656" s="6"/>
      <c r="D656" s="11"/>
    </row>
    <row x14ac:dyDescent="0.25" r="657" customHeight="1" ht="14.25">
      <c r="A657" s="6"/>
      <c r="B657" s="11"/>
      <c r="C657" s="6"/>
      <c r="D657" s="11"/>
    </row>
    <row x14ac:dyDescent="0.25" r="658" customHeight="1" ht="14.25">
      <c r="A658" s="6"/>
      <c r="B658" s="11"/>
      <c r="C658" s="6"/>
      <c r="D658" s="11"/>
    </row>
    <row x14ac:dyDescent="0.25" r="659" customHeight="1" ht="14.25">
      <c r="A659" s="6"/>
      <c r="B659" s="11"/>
      <c r="C659" s="6"/>
      <c r="D659" s="11"/>
    </row>
    <row x14ac:dyDescent="0.25" r="660" customHeight="1" ht="14.25">
      <c r="A660" s="6"/>
      <c r="B660" s="11"/>
      <c r="C660" s="6"/>
      <c r="D660" s="11"/>
    </row>
    <row x14ac:dyDescent="0.25" r="661" customHeight="1" ht="14.25">
      <c r="A661" s="6"/>
      <c r="B661" s="11"/>
      <c r="C661" s="6"/>
      <c r="D661" s="11"/>
    </row>
    <row x14ac:dyDescent="0.25" r="662" customHeight="1" ht="14.25">
      <c r="A662" s="6"/>
      <c r="B662" s="11"/>
      <c r="C662" s="6"/>
      <c r="D662" s="11"/>
    </row>
    <row x14ac:dyDescent="0.25" r="663" customHeight="1" ht="14.25">
      <c r="A663" s="6"/>
      <c r="B663" s="11"/>
      <c r="C663" s="6"/>
      <c r="D663" s="11"/>
    </row>
    <row x14ac:dyDescent="0.25" r="664" customHeight="1" ht="14.25">
      <c r="A664" s="6"/>
      <c r="B664" s="11"/>
      <c r="C664" s="6"/>
      <c r="D664" s="11"/>
    </row>
    <row x14ac:dyDescent="0.25" r="665" customHeight="1" ht="14.25">
      <c r="A665" s="6"/>
      <c r="B665" s="11"/>
      <c r="C665" s="6"/>
      <c r="D665" s="11"/>
    </row>
    <row x14ac:dyDescent="0.25" r="666" customHeight="1" ht="14.25">
      <c r="A666" s="6"/>
      <c r="B666" s="11"/>
      <c r="C666" s="6"/>
      <c r="D666" s="11"/>
    </row>
    <row x14ac:dyDescent="0.25" r="667" customHeight="1" ht="14.25">
      <c r="A667" s="6"/>
      <c r="B667" s="11"/>
      <c r="C667" s="6"/>
      <c r="D667" s="11"/>
    </row>
    <row x14ac:dyDescent="0.25" r="668" customHeight="1" ht="14.25">
      <c r="A668" s="6"/>
      <c r="B668" s="11"/>
      <c r="C668" s="6"/>
      <c r="D668" s="11"/>
    </row>
    <row x14ac:dyDescent="0.25" r="669" customHeight="1" ht="14.25">
      <c r="A669" s="6"/>
      <c r="B669" s="11"/>
      <c r="C669" s="6"/>
      <c r="D669" s="11"/>
    </row>
    <row x14ac:dyDescent="0.25" r="670" customHeight="1" ht="14.25">
      <c r="A670" s="6"/>
      <c r="B670" s="11"/>
      <c r="C670" s="6"/>
      <c r="D670" s="11"/>
    </row>
    <row x14ac:dyDescent="0.25" r="671" customHeight="1" ht="14.25">
      <c r="A671" s="6"/>
      <c r="B671" s="11"/>
      <c r="C671" s="6"/>
      <c r="D671" s="11"/>
    </row>
    <row x14ac:dyDescent="0.25" r="672" customHeight="1" ht="14.25">
      <c r="A672" s="6"/>
      <c r="B672" s="11"/>
      <c r="C672" s="6"/>
      <c r="D672" s="11"/>
    </row>
    <row x14ac:dyDescent="0.25" r="673" customHeight="1" ht="14.25">
      <c r="A673" s="6"/>
      <c r="B673" s="11"/>
      <c r="C673" s="6"/>
      <c r="D673" s="11"/>
    </row>
    <row x14ac:dyDescent="0.25" r="674" customHeight="1" ht="14.25">
      <c r="A674" s="6"/>
      <c r="B674" s="11"/>
      <c r="C674" s="6"/>
      <c r="D674" s="11"/>
    </row>
    <row x14ac:dyDescent="0.25" r="675" customHeight="1" ht="14.25">
      <c r="A675" s="6"/>
      <c r="B675" s="11"/>
      <c r="C675" s="6"/>
      <c r="D675" s="11"/>
    </row>
    <row x14ac:dyDescent="0.25" r="676" customHeight="1" ht="14.25">
      <c r="A676" s="6"/>
      <c r="B676" s="11"/>
      <c r="C676" s="6"/>
      <c r="D676" s="11"/>
    </row>
    <row x14ac:dyDescent="0.25" r="677" customHeight="1" ht="14.25">
      <c r="A677" s="6"/>
      <c r="B677" s="11"/>
      <c r="C677" s="6"/>
      <c r="D677" s="11"/>
    </row>
    <row x14ac:dyDescent="0.25" r="678" customHeight="1" ht="14.25">
      <c r="A678" s="6"/>
      <c r="B678" s="11"/>
      <c r="C678" s="6"/>
      <c r="D678" s="11"/>
    </row>
    <row x14ac:dyDescent="0.25" r="679" customHeight="1" ht="14.25">
      <c r="A679" s="6"/>
      <c r="B679" s="11"/>
      <c r="C679" s="6"/>
      <c r="D679" s="11"/>
    </row>
    <row x14ac:dyDescent="0.25" r="680" customHeight="1" ht="14.25">
      <c r="A680" s="6"/>
      <c r="B680" s="11"/>
      <c r="C680" s="6"/>
      <c r="D680" s="11"/>
    </row>
    <row x14ac:dyDescent="0.25" r="681" customHeight="1" ht="14.25">
      <c r="A681" s="6"/>
      <c r="B681" s="11"/>
      <c r="C681" s="6"/>
      <c r="D681" s="11"/>
    </row>
    <row x14ac:dyDescent="0.25" r="682" customHeight="1" ht="14.25">
      <c r="A682" s="6"/>
      <c r="B682" s="11"/>
      <c r="C682" s="6"/>
      <c r="D682" s="11"/>
    </row>
    <row x14ac:dyDescent="0.25" r="683" customHeight="1" ht="14.25">
      <c r="A683" s="6"/>
      <c r="B683" s="11"/>
      <c r="C683" s="6"/>
      <c r="D683" s="11"/>
    </row>
    <row x14ac:dyDescent="0.25" r="684" customHeight="1" ht="14.25">
      <c r="A684" s="6"/>
      <c r="B684" s="11"/>
      <c r="C684" s="6"/>
      <c r="D684" s="11"/>
    </row>
    <row x14ac:dyDescent="0.25" r="685" customHeight="1" ht="14.25">
      <c r="A685" s="6"/>
      <c r="B685" s="11"/>
      <c r="C685" s="6"/>
      <c r="D685" s="11"/>
    </row>
    <row x14ac:dyDescent="0.25" r="686" customHeight="1" ht="14.25">
      <c r="A686" s="6"/>
      <c r="B686" s="11"/>
      <c r="C686" s="6"/>
      <c r="D686" s="11"/>
    </row>
    <row x14ac:dyDescent="0.25" r="687" customHeight="1" ht="14.25">
      <c r="A687" s="6"/>
      <c r="B687" s="11"/>
      <c r="C687" s="6"/>
      <c r="D687" s="11"/>
    </row>
    <row x14ac:dyDescent="0.25" r="688" customHeight="1" ht="14.25">
      <c r="A688" s="6"/>
      <c r="B688" s="11"/>
      <c r="C688" s="6"/>
      <c r="D688" s="11"/>
    </row>
    <row x14ac:dyDescent="0.25" r="689" customHeight="1" ht="14.25">
      <c r="A689" s="6"/>
      <c r="B689" s="11"/>
      <c r="C689" s="6"/>
      <c r="D689" s="11"/>
    </row>
    <row x14ac:dyDescent="0.25" r="690" customHeight="1" ht="14.25">
      <c r="A690" s="6"/>
      <c r="B690" s="11"/>
      <c r="C690" s="6"/>
      <c r="D690" s="11"/>
    </row>
    <row x14ac:dyDescent="0.25" r="691" customHeight="1" ht="14.25">
      <c r="A691" s="6"/>
      <c r="B691" s="11"/>
      <c r="C691" s="6"/>
      <c r="D691" s="11"/>
    </row>
    <row x14ac:dyDescent="0.25" r="692" customHeight="1" ht="14.25">
      <c r="A692" s="6"/>
      <c r="B692" s="11"/>
      <c r="C692" s="6"/>
      <c r="D692" s="11"/>
    </row>
    <row x14ac:dyDescent="0.25" r="693" customHeight="1" ht="14.25">
      <c r="A693" s="6"/>
      <c r="B693" s="11"/>
      <c r="C693" s="6"/>
      <c r="D693" s="11"/>
    </row>
    <row x14ac:dyDescent="0.25" r="694" customHeight="1" ht="14.25">
      <c r="A694" s="6"/>
      <c r="B694" s="11"/>
      <c r="C694" s="6"/>
      <c r="D694" s="11"/>
    </row>
    <row x14ac:dyDescent="0.25" r="695" customHeight="1" ht="14.25">
      <c r="A695" s="6"/>
      <c r="B695" s="11"/>
      <c r="C695" s="6"/>
      <c r="D695" s="11"/>
    </row>
    <row x14ac:dyDescent="0.25" r="696" customHeight="1" ht="14.25">
      <c r="A696" s="6"/>
      <c r="B696" s="11"/>
      <c r="C696" s="6"/>
      <c r="D696" s="11"/>
    </row>
    <row x14ac:dyDescent="0.25" r="697" customHeight="1" ht="14.25">
      <c r="A697" s="6"/>
      <c r="B697" s="11"/>
      <c r="C697" s="6"/>
      <c r="D697" s="11"/>
    </row>
    <row x14ac:dyDescent="0.25" r="698" customHeight="1" ht="14.25">
      <c r="A698" s="6"/>
      <c r="B698" s="11"/>
      <c r="C698" s="6"/>
      <c r="D698" s="11"/>
    </row>
    <row x14ac:dyDescent="0.25" r="699" customHeight="1" ht="14.25">
      <c r="A699" s="6"/>
      <c r="B699" s="11"/>
      <c r="C699" s="6"/>
      <c r="D699" s="11"/>
    </row>
    <row x14ac:dyDescent="0.25" r="700" customHeight="1" ht="14.25">
      <c r="A700" s="6"/>
      <c r="B700" s="11"/>
      <c r="C700" s="6"/>
      <c r="D700" s="11"/>
    </row>
    <row x14ac:dyDescent="0.25" r="701" customHeight="1" ht="14.25">
      <c r="A701" s="6"/>
      <c r="B701" s="11"/>
      <c r="C701" s="6"/>
      <c r="D701" s="11"/>
    </row>
    <row x14ac:dyDescent="0.25" r="702" customHeight="1" ht="14.25">
      <c r="A702" s="6"/>
      <c r="B702" s="11"/>
      <c r="C702" s="6"/>
      <c r="D702" s="11"/>
    </row>
    <row x14ac:dyDescent="0.25" r="703" customHeight="1" ht="14.25">
      <c r="A703" s="6"/>
      <c r="B703" s="11"/>
      <c r="C703" s="6"/>
      <c r="D703" s="11"/>
    </row>
    <row x14ac:dyDescent="0.25" r="704" customHeight="1" ht="14.25">
      <c r="A704" s="6"/>
      <c r="B704" s="11"/>
      <c r="C704" s="6"/>
      <c r="D704" s="11"/>
    </row>
    <row x14ac:dyDescent="0.25" r="705" customHeight="1" ht="14.25">
      <c r="A705" s="6"/>
      <c r="B705" s="11"/>
      <c r="C705" s="6"/>
      <c r="D705" s="11"/>
    </row>
    <row x14ac:dyDescent="0.25" r="706" customHeight="1" ht="14.25">
      <c r="A706" s="6"/>
      <c r="B706" s="11"/>
      <c r="C706" s="6"/>
      <c r="D706" s="11"/>
    </row>
    <row x14ac:dyDescent="0.25" r="707" customHeight="1" ht="14.25">
      <c r="A707" s="6"/>
      <c r="B707" s="11"/>
      <c r="C707" s="6"/>
      <c r="D707" s="11"/>
    </row>
    <row x14ac:dyDescent="0.25" r="708" customHeight="1" ht="14.25">
      <c r="A708" s="6"/>
      <c r="B708" s="11"/>
      <c r="C708" s="6"/>
      <c r="D708" s="11"/>
    </row>
    <row x14ac:dyDescent="0.25" r="709" customHeight="1" ht="14.25">
      <c r="A709" s="6"/>
      <c r="B709" s="11"/>
      <c r="C709" s="6"/>
      <c r="D709" s="11"/>
    </row>
    <row x14ac:dyDescent="0.25" r="710" customHeight="1" ht="14.25">
      <c r="A710" s="6"/>
      <c r="B710" s="11"/>
      <c r="C710" s="6"/>
      <c r="D710" s="11"/>
    </row>
    <row x14ac:dyDescent="0.25" r="711" customHeight="1" ht="14.25">
      <c r="A711" s="6"/>
      <c r="B711" s="11"/>
      <c r="C711" s="6"/>
      <c r="D711" s="11"/>
    </row>
    <row x14ac:dyDescent="0.25" r="712" customHeight="1" ht="14.25">
      <c r="A712" s="6"/>
      <c r="B712" s="11"/>
      <c r="C712" s="6"/>
      <c r="D712" s="11"/>
    </row>
    <row x14ac:dyDescent="0.25" r="713" customHeight="1" ht="14.25">
      <c r="A713" s="6"/>
      <c r="B713" s="11"/>
      <c r="C713" s="6"/>
      <c r="D713" s="11"/>
    </row>
    <row x14ac:dyDescent="0.25" r="714" customHeight="1" ht="14.25">
      <c r="A714" s="6"/>
      <c r="B714" s="11"/>
      <c r="C714" s="6"/>
      <c r="D714" s="11"/>
    </row>
    <row x14ac:dyDescent="0.25" r="715" customHeight="1" ht="14.25">
      <c r="A715" s="6"/>
      <c r="B715" s="11"/>
      <c r="C715" s="6"/>
      <c r="D715" s="11"/>
    </row>
    <row x14ac:dyDescent="0.25" r="716" customHeight="1" ht="14.25">
      <c r="A716" s="6"/>
      <c r="B716" s="11"/>
      <c r="C716" s="6"/>
      <c r="D716" s="11"/>
    </row>
    <row x14ac:dyDescent="0.25" r="717" customHeight="1" ht="14.25">
      <c r="A717" s="6"/>
      <c r="B717" s="11"/>
      <c r="C717" s="6"/>
      <c r="D717" s="11"/>
    </row>
    <row x14ac:dyDescent="0.25" r="718" customHeight="1" ht="14.25">
      <c r="A718" s="6"/>
      <c r="B718" s="11"/>
      <c r="C718" s="6"/>
      <c r="D718" s="11"/>
    </row>
    <row x14ac:dyDescent="0.25" r="719" customHeight="1" ht="14.25">
      <c r="A719" s="6"/>
      <c r="B719" s="11"/>
      <c r="C719" s="6"/>
      <c r="D719" s="11"/>
    </row>
    <row x14ac:dyDescent="0.25" r="720" customHeight="1" ht="14.25">
      <c r="A720" s="6"/>
      <c r="B720" s="11"/>
      <c r="C720" s="6"/>
      <c r="D720" s="11"/>
    </row>
    <row x14ac:dyDescent="0.25" r="721" customHeight="1" ht="14.25">
      <c r="A721" s="6"/>
      <c r="B721" s="11"/>
      <c r="C721" s="6"/>
      <c r="D721" s="11"/>
    </row>
    <row x14ac:dyDescent="0.25" r="722" customHeight="1" ht="14.25">
      <c r="A722" s="6"/>
      <c r="B722" s="11"/>
      <c r="C722" s="6"/>
      <c r="D722" s="11"/>
    </row>
    <row x14ac:dyDescent="0.25" r="723" customHeight="1" ht="14.25">
      <c r="A723" s="6"/>
      <c r="B723" s="11"/>
      <c r="C723" s="6"/>
      <c r="D723" s="11"/>
    </row>
    <row x14ac:dyDescent="0.25" r="724" customHeight="1" ht="14.25">
      <c r="A724" s="6"/>
      <c r="B724" s="11"/>
      <c r="C724" s="6"/>
      <c r="D724" s="11"/>
    </row>
    <row x14ac:dyDescent="0.25" r="725" customHeight="1" ht="14.25">
      <c r="A725" s="6"/>
      <c r="B725" s="11"/>
      <c r="C725" s="6"/>
      <c r="D725" s="11"/>
    </row>
    <row x14ac:dyDescent="0.25" r="726" customHeight="1" ht="14.25">
      <c r="A726" s="6"/>
      <c r="B726" s="11"/>
      <c r="C726" s="6"/>
      <c r="D726" s="11"/>
    </row>
    <row x14ac:dyDescent="0.25" r="727" customHeight="1" ht="14.25">
      <c r="A727" s="6"/>
      <c r="B727" s="11"/>
      <c r="C727" s="6"/>
      <c r="D727" s="11"/>
    </row>
    <row x14ac:dyDescent="0.25" r="728" customHeight="1" ht="14.25">
      <c r="A728" s="6"/>
      <c r="B728" s="11"/>
      <c r="C728" s="6"/>
      <c r="D728" s="11"/>
    </row>
    <row x14ac:dyDescent="0.25" r="729" customHeight="1" ht="14.25">
      <c r="A729" s="6"/>
      <c r="B729" s="11"/>
      <c r="C729" s="6"/>
      <c r="D729" s="11"/>
    </row>
    <row x14ac:dyDescent="0.25" r="730" customHeight="1" ht="14.25">
      <c r="A730" s="6"/>
      <c r="B730" s="11"/>
      <c r="C730" s="6"/>
      <c r="D730" s="11"/>
    </row>
    <row x14ac:dyDescent="0.25" r="731" customHeight="1" ht="14.25">
      <c r="A731" s="6"/>
      <c r="B731" s="11"/>
      <c r="C731" s="6"/>
      <c r="D731" s="11"/>
    </row>
    <row x14ac:dyDescent="0.25" r="732" customHeight="1" ht="14.25">
      <c r="A732" s="6"/>
      <c r="B732" s="11"/>
      <c r="C732" s="6"/>
      <c r="D732" s="11"/>
    </row>
    <row x14ac:dyDescent="0.25" r="733" customHeight="1" ht="14.25">
      <c r="A733" s="6"/>
      <c r="B733" s="11"/>
      <c r="C733" s="6"/>
      <c r="D733" s="11"/>
    </row>
    <row x14ac:dyDescent="0.25" r="734" customHeight="1" ht="14.25">
      <c r="A734" s="6"/>
      <c r="B734" s="11"/>
      <c r="C734" s="6"/>
      <c r="D734" s="11"/>
    </row>
    <row x14ac:dyDescent="0.25" r="735" customHeight="1" ht="14.25">
      <c r="A735" s="6"/>
      <c r="B735" s="11"/>
      <c r="C735" s="6"/>
      <c r="D735" s="11"/>
    </row>
    <row x14ac:dyDescent="0.25" r="736" customHeight="1" ht="14.25">
      <c r="A736" s="6"/>
      <c r="B736" s="11"/>
      <c r="C736" s="6"/>
      <c r="D736" s="11"/>
    </row>
    <row x14ac:dyDescent="0.25" r="737" customHeight="1" ht="14.25">
      <c r="A737" s="6"/>
      <c r="B737" s="11"/>
      <c r="C737" s="6"/>
      <c r="D737" s="11"/>
    </row>
    <row x14ac:dyDescent="0.25" r="738" customHeight="1" ht="14.25">
      <c r="A738" s="6"/>
      <c r="B738" s="11"/>
      <c r="C738" s="6"/>
      <c r="D738" s="11"/>
    </row>
    <row x14ac:dyDescent="0.25" r="739" customHeight="1" ht="14.25">
      <c r="A739" s="6"/>
      <c r="B739" s="11"/>
      <c r="C739" s="6"/>
      <c r="D739" s="11"/>
    </row>
    <row x14ac:dyDescent="0.25" r="740" customHeight="1" ht="14.25">
      <c r="A740" s="6"/>
      <c r="B740" s="11"/>
      <c r="C740" s="6"/>
      <c r="D740" s="11"/>
    </row>
    <row x14ac:dyDescent="0.25" r="741" customHeight="1" ht="14.25">
      <c r="A741" s="6"/>
      <c r="B741" s="11"/>
      <c r="C741" s="6"/>
      <c r="D741" s="11"/>
    </row>
    <row x14ac:dyDescent="0.25" r="742" customHeight="1" ht="14.25">
      <c r="A742" s="6"/>
      <c r="B742" s="11"/>
      <c r="C742" s="6"/>
      <c r="D742" s="11"/>
    </row>
    <row x14ac:dyDescent="0.25" r="743" customHeight="1" ht="14.25">
      <c r="A743" s="6"/>
      <c r="B743" s="11"/>
      <c r="C743" s="6"/>
      <c r="D743" s="11"/>
    </row>
    <row x14ac:dyDescent="0.25" r="744" customHeight="1" ht="14.25">
      <c r="A744" s="6"/>
      <c r="B744" s="11"/>
      <c r="C744" s="6"/>
      <c r="D744" s="11"/>
    </row>
    <row x14ac:dyDescent="0.25" r="745" customHeight="1" ht="14.25">
      <c r="A745" s="6"/>
      <c r="B745" s="11"/>
      <c r="C745" s="6"/>
      <c r="D745" s="11"/>
    </row>
    <row x14ac:dyDescent="0.25" r="746" customHeight="1" ht="14.25">
      <c r="A746" s="6"/>
      <c r="B746" s="11"/>
      <c r="C746" s="6"/>
      <c r="D746" s="11"/>
    </row>
    <row x14ac:dyDescent="0.25" r="747" customHeight="1" ht="14.25">
      <c r="A747" s="6"/>
      <c r="B747" s="11"/>
      <c r="C747" s="6"/>
      <c r="D747" s="11"/>
    </row>
    <row x14ac:dyDescent="0.25" r="748" customHeight="1" ht="14.25">
      <c r="A748" s="6"/>
      <c r="B748" s="11"/>
      <c r="C748" s="6"/>
      <c r="D748" s="11"/>
    </row>
    <row x14ac:dyDescent="0.25" r="749" customHeight="1" ht="14.25">
      <c r="A749" s="6"/>
      <c r="B749" s="11"/>
      <c r="C749" s="6"/>
      <c r="D749" s="11"/>
    </row>
    <row x14ac:dyDescent="0.25" r="750" customHeight="1" ht="14.25">
      <c r="A750" s="6"/>
      <c r="B750" s="11"/>
      <c r="C750" s="6"/>
      <c r="D750" s="11"/>
    </row>
    <row x14ac:dyDescent="0.25" r="751" customHeight="1" ht="14.25">
      <c r="A751" s="6"/>
      <c r="B751" s="11"/>
      <c r="C751" s="6"/>
      <c r="D751" s="11"/>
    </row>
    <row x14ac:dyDescent="0.25" r="752" customHeight="1" ht="14.25">
      <c r="A752" s="6"/>
      <c r="B752" s="11"/>
      <c r="C752" s="6"/>
      <c r="D752" s="11"/>
    </row>
    <row x14ac:dyDescent="0.25" r="753" customHeight="1" ht="14.25">
      <c r="A753" s="6"/>
      <c r="B753" s="11"/>
      <c r="C753" s="6"/>
      <c r="D753" s="11"/>
    </row>
    <row x14ac:dyDescent="0.25" r="754" customHeight="1" ht="14.25">
      <c r="A754" s="6"/>
      <c r="B754" s="11"/>
      <c r="C754" s="6"/>
      <c r="D754" s="11"/>
    </row>
    <row x14ac:dyDescent="0.25" r="755" customHeight="1" ht="14.25">
      <c r="A755" s="6"/>
      <c r="B755" s="11"/>
      <c r="C755" s="6"/>
      <c r="D755" s="11"/>
    </row>
    <row x14ac:dyDescent="0.25" r="756" customHeight="1" ht="14.25">
      <c r="A756" s="6"/>
      <c r="B756" s="11"/>
      <c r="C756" s="6"/>
      <c r="D756" s="11"/>
    </row>
    <row x14ac:dyDescent="0.25" r="757" customHeight="1" ht="14.25">
      <c r="A757" s="6"/>
      <c r="B757" s="11"/>
      <c r="C757" s="6"/>
      <c r="D757" s="11"/>
    </row>
    <row x14ac:dyDescent="0.25" r="758" customHeight="1" ht="14.25">
      <c r="A758" s="6"/>
      <c r="B758" s="11"/>
      <c r="C758" s="6"/>
      <c r="D758" s="11"/>
    </row>
    <row x14ac:dyDescent="0.25" r="759" customHeight="1" ht="14.25">
      <c r="A759" s="6"/>
      <c r="B759" s="11"/>
      <c r="C759" s="6"/>
      <c r="D759" s="11"/>
    </row>
    <row x14ac:dyDescent="0.25" r="760" customHeight="1" ht="14.25">
      <c r="A760" s="6"/>
      <c r="B760" s="11"/>
      <c r="C760" s="6"/>
      <c r="D760" s="11"/>
    </row>
    <row x14ac:dyDescent="0.25" r="761" customHeight="1" ht="14.25">
      <c r="A761" s="6"/>
      <c r="B761" s="11"/>
      <c r="C761" s="6"/>
      <c r="D761" s="11"/>
    </row>
    <row x14ac:dyDescent="0.25" r="762" customHeight="1" ht="14.25">
      <c r="A762" s="6"/>
      <c r="B762" s="11"/>
      <c r="C762" s="6"/>
      <c r="D762" s="11"/>
    </row>
    <row x14ac:dyDescent="0.25" r="763" customHeight="1" ht="14.25">
      <c r="A763" s="6"/>
      <c r="B763" s="11"/>
      <c r="C763" s="6"/>
      <c r="D763" s="11"/>
    </row>
    <row x14ac:dyDescent="0.25" r="764" customHeight="1" ht="14.25">
      <c r="A764" s="6"/>
      <c r="B764" s="11"/>
      <c r="C764" s="6"/>
      <c r="D764" s="11"/>
    </row>
    <row x14ac:dyDescent="0.25" r="765" customHeight="1" ht="14.25">
      <c r="A765" s="6"/>
      <c r="B765" s="11"/>
      <c r="C765" s="6"/>
      <c r="D765" s="11"/>
    </row>
    <row x14ac:dyDescent="0.25" r="766" customHeight="1" ht="14.25">
      <c r="A766" s="6"/>
      <c r="B766" s="11"/>
      <c r="C766" s="6"/>
      <c r="D766" s="11"/>
    </row>
    <row x14ac:dyDescent="0.25" r="767" customHeight="1" ht="14.25">
      <c r="A767" s="6"/>
      <c r="B767" s="11"/>
      <c r="C767" s="6"/>
      <c r="D767" s="11"/>
    </row>
    <row x14ac:dyDescent="0.25" r="768" customHeight="1" ht="14.25">
      <c r="A768" s="6"/>
      <c r="B768" s="11"/>
      <c r="C768" s="6"/>
      <c r="D768" s="11"/>
    </row>
    <row x14ac:dyDescent="0.25" r="769" customHeight="1" ht="14.25">
      <c r="A769" s="6"/>
      <c r="B769" s="11"/>
      <c r="C769" s="6"/>
      <c r="D769" s="11"/>
    </row>
    <row x14ac:dyDescent="0.25" r="770" customHeight="1" ht="14.25">
      <c r="A770" s="6"/>
      <c r="B770" s="11"/>
      <c r="C770" s="6"/>
      <c r="D770" s="11"/>
    </row>
    <row x14ac:dyDescent="0.25" r="771" customHeight="1" ht="14.25">
      <c r="A771" s="6"/>
      <c r="B771" s="11"/>
      <c r="C771" s="6"/>
      <c r="D771" s="11"/>
    </row>
    <row x14ac:dyDescent="0.25" r="772" customHeight="1" ht="14.25">
      <c r="A772" s="6"/>
      <c r="B772" s="11"/>
      <c r="C772" s="6"/>
      <c r="D772" s="11"/>
    </row>
    <row x14ac:dyDescent="0.25" r="773" customHeight="1" ht="14.25">
      <c r="A773" s="6"/>
      <c r="B773" s="11"/>
      <c r="C773" s="6"/>
      <c r="D773" s="11"/>
    </row>
    <row x14ac:dyDescent="0.25" r="774" customHeight="1" ht="14.25">
      <c r="A774" s="6"/>
      <c r="B774" s="11"/>
      <c r="C774" s="6"/>
      <c r="D774" s="11"/>
    </row>
    <row x14ac:dyDescent="0.25" r="775" customHeight="1" ht="14.25">
      <c r="A775" s="6"/>
      <c r="B775" s="11"/>
      <c r="C775" s="6"/>
      <c r="D775" s="11"/>
    </row>
    <row x14ac:dyDescent="0.25" r="776" customHeight="1" ht="14.25">
      <c r="A776" s="6"/>
      <c r="B776" s="11"/>
      <c r="C776" s="6"/>
      <c r="D776" s="11"/>
    </row>
    <row x14ac:dyDescent="0.25" r="777" customHeight="1" ht="14.25">
      <c r="A777" s="6"/>
      <c r="B777" s="11"/>
      <c r="C777" s="6"/>
      <c r="D777" s="11"/>
    </row>
    <row x14ac:dyDescent="0.25" r="778" customHeight="1" ht="14.25">
      <c r="A778" s="6"/>
      <c r="B778" s="11"/>
      <c r="C778" s="6"/>
      <c r="D778" s="11"/>
    </row>
    <row x14ac:dyDescent="0.25" r="779" customHeight="1" ht="14.25">
      <c r="A779" s="6"/>
      <c r="B779" s="11"/>
      <c r="C779" s="6"/>
      <c r="D779" s="11"/>
    </row>
    <row x14ac:dyDescent="0.25" r="780" customHeight="1" ht="14.25">
      <c r="A780" s="6"/>
      <c r="B780" s="11"/>
      <c r="C780" s="6"/>
      <c r="D780" s="11"/>
    </row>
    <row x14ac:dyDescent="0.25" r="781" customHeight="1" ht="14.25">
      <c r="A781" s="6"/>
      <c r="B781" s="11"/>
      <c r="C781" s="6"/>
      <c r="D781" s="11"/>
    </row>
    <row x14ac:dyDescent="0.25" r="782" customHeight="1" ht="14.25">
      <c r="A782" s="6"/>
      <c r="B782" s="11"/>
      <c r="C782" s="6"/>
      <c r="D782" s="11"/>
    </row>
    <row x14ac:dyDescent="0.25" r="783" customHeight="1" ht="14.25">
      <c r="A783" s="6"/>
      <c r="B783" s="11"/>
      <c r="C783" s="6"/>
      <c r="D783" s="11"/>
    </row>
    <row x14ac:dyDescent="0.25" r="784" customHeight="1" ht="14.25">
      <c r="A784" s="6"/>
      <c r="B784" s="11"/>
      <c r="C784" s="6"/>
      <c r="D784" s="11"/>
    </row>
    <row x14ac:dyDescent="0.25" r="785" customHeight="1" ht="14.25">
      <c r="A785" s="6"/>
      <c r="B785" s="11"/>
      <c r="C785" s="6"/>
      <c r="D785" s="11"/>
    </row>
    <row x14ac:dyDescent="0.25" r="786" customHeight="1" ht="14.25">
      <c r="A786" s="6"/>
      <c r="B786" s="11"/>
      <c r="C786" s="6"/>
      <c r="D786" s="11"/>
    </row>
    <row x14ac:dyDescent="0.25" r="787" customHeight="1" ht="14.25">
      <c r="A787" s="6"/>
      <c r="B787" s="11"/>
      <c r="C787" s="6"/>
      <c r="D787" s="11"/>
    </row>
    <row x14ac:dyDescent="0.25" r="788" customHeight="1" ht="14.25">
      <c r="A788" s="6"/>
      <c r="B788" s="11"/>
      <c r="C788" s="6"/>
      <c r="D788" s="11"/>
    </row>
    <row x14ac:dyDescent="0.25" r="789" customHeight="1" ht="14.25">
      <c r="A789" s="6"/>
      <c r="B789" s="11"/>
      <c r="C789" s="6"/>
      <c r="D789" s="11"/>
    </row>
    <row x14ac:dyDescent="0.25" r="790" customHeight="1" ht="14.25">
      <c r="A790" s="6"/>
      <c r="B790" s="11"/>
      <c r="C790" s="6"/>
      <c r="D790" s="11"/>
    </row>
    <row x14ac:dyDescent="0.25" r="791" customHeight="1" ht="14.25">
      <c r="A791" s="6"/>
      <c r="B791" s="11"/>
      <c r="C791" s="6"/>
      <c r="D791" s="11"/>
    </row>
    <row x14ac:dyDescent="0.25" r="792" customHeight="1" ht="14.25">
      <c r="A792" s="6"/>
      <c r="B792" s="11"/>
      <c r="C792" s="6"/>
      <c r="D792" s="11"/>
    </row>
    <row x14ac:dyDescent="0.25" r="793" customHeight="1" ht="14.25">
      <c r="A793" s="6"/>
      <c r="B793" s="11"/>
      <c r="C793" s="6"/>
      <c r="D793" s="11"/>
    </row>
    <row x14ac:dyDescent="0.25" r="794" customHeight="1" ht="14.25">
      <c r="A794" s="6"/>
      <c r="B794" s="11"/>
      <c r="C794" s="6"/>
      <c r="D794" s="11"/>
    </row>
    <row x14ac:dyDescent="0.25" r="795" customHeight="1" ht="14.25">
      <c r="A795" s="6"/>
      <c r="B795" s="11"/>
      <c r="C795" s="6"/>
      <c r="D795" s="11"/>
    </row>
    <row x14ac:dyDescent="0.25" r="796" customHeight="1" ht="14.25">
      <c r="A796" s="6"/>
      <c r="B796" s="11"/>
      <c r="C796" s="6"/>
      <c r="D796" s="11"/>
    </row>
    <row x14ac:dyDescent="0.25" r="797" customHeight="1" ht="14.25">
      <c r="A797" s="6"/>
      <c r="B797" s="11"/>
      <c r="C797" s="6"/>
      <c r="D797" s="11"/>
    </row>
    <row x14ac:dyDescent="0.25" r="798" customHeight="1" ht="14.25">
      <c r="A798" s="6"/>
      <c r="B798" s="11"/>
      <c r="C798" s="6"/>
      <c r="D798" s="11"/>
    </row>
    <row x14ac:dyDescent="0.25" r="799" customHeight="1" ht="14.25">
      <c r="A799" s="6"/>
      <c r="B799" s="11"/>
      <c r="C799" s="6"/>
      <c r="D799" s="11"/>
    </row>
    <row x14ac:dyDescent="0.25" r="800" customHeight="1" ht="14.25">
      <c r="A800" s="6"/>
      <c r="B800" s="11"/>
      <c r="C800" s="6"/>
      <c r="D800" s="11"/>
    </row>
    <row x14ac:dyDescent="0.25" r="801" customHeight="1" ht="14.25">
      <c r="A801" s="6"/>
      <c r="B801" s="11"/>
      <c r="C801" s="6"/>
      <c r="D801" s="11"/>
    </row>
    <row x14ac:dyDescent="0.25" r="802" customHeight="1" ht="14.25">
      <c r="A802" s="6"/>
      <c r="B802" s="11"/>
      <c r="C802" s="6"/>
      <c r="D802" s="11"/>
    </row>
    <row x14ac:dyDescent="0.25" r="803" customHeight="1" ht="14.25">
      <c r="A803" s="6"/>
      <c r="B803" s="11"/>
      <c r="C803" s="6"/>
      <c r="D803" s="11"/>
    </row>
    <row x14ac:dyDescent="0.25" r="804" customHeight="1" ht="14.25">
      <c r="A804" s="6"/>
      <c r="B804" s="11"/>
      <c r="C804" s="6"/>
      <c r="D804" s="11"/>
    </row>
    <row x14ac:dyDescent="0.25" r="805" customHeight="1" ht="14.25">
      <c r="A805" s="6"/>
      <c r="B805" s="11"/>
      <c r="C805" s="6"/>
      <c r="D805" s="11"/>
    </row>
    <row x14ac:dyDescent="0.25" r="806" customHeight="1" ht="14.25">
      <c r="A806" s="6"/>
      <c r="B806" s="11"/>
      <c r="C806" s="6"/>
      <c r="D806" s="11"/>
    </row>
    <row x14ac:dyDescent="0.25" r="807" customHeight="1" ht="14.25">
      <c r="A807" s="6"/>
      <c r="B807" s="11"/>
      <c r="C807" s="6"/>
      <c r="D807" s="11"/>
    </row>
    <row x14ac:dyDescent="0.25" r="808" customHeight="1" ht="14.25">
      <c r="A808" s="6"/>
      <c r="B808" s="11"/>
      <c r="C808" s="6"/>
      <c r="D808" s="11"/>
    </row>
    <row x14ac:dyDescent="0.25" r="809" customHeight="1" ht="14.25">
      <c r="A809" s="6"/>
      <c r="B809" s="11"/>
      <c r="C809" s="6"/>
      <c r="D809" s="11"/>
    </row>
    <row x14ac:dyDescent="0.25" r="810" customHeight="1" ht="14.25">
      <c r="A810" s="6"/>
      <c r="B810" s="11"/>
      <c r="C810" s="6"/>
      <c r="D810" s="11"/>
    </row>
    <row x14ac:dyDescent="0.25" r="811" customHeight="1" ht="14.25">
      <c r="A811" s="6"/>
      <c r="B811" s="11"/>
      <c r="C811" s="6"/>
      <c r="D811" s="11"/>
    </row>
    <row x14ac:dyDescent="0.25" r="812" customHeight="1" ht="14.25">
      <c r="A812" s="6"/>
      <c r="B812" s="11"/>
      <c r="C812" s="6"/>
      <c r="D812" s="11"/>
    </row>
    <row x14ac:dyDescent="0.25" r="813" customHeight="1" ht="14.25">
      <c r="A813" s="6"/>
      <c r="B813" s="11"/>
      <c r="C813" s="6"/>
      <c r="D813" s="11"/>
    </row>
    <row x14ac:dyDescent="0.25" r="814" customHeight="1" ht="14.25">
      <c r="A814" s="6"/>
      <c r="B814" s="11"/>
      <c r="C814" s="6"/>
      <c r="D814" s="11"/>
    </row>
    <row x14ac:dyDescent="0.25" r="815" customHeight="1" ht="14.25">
      <c r="A815" s="6"/>
      <c r="B815" s="11"/>
      <c r="C815" s="6"/>
      <c r="D815" s="11"/>
    </row>
    <row x14ac:dyDescent="0.25" r="816" customHeight="1" ht="14.25">
      <c r="A816" s="6"/>
      <c r="B816" s="11"/>
      <c r="C816" s="6"/>
      <c r="D816" s="11"/>
    </row>
    <row x14ac:dyDescent="0.25" r="817" customHeight="1" ht="14.25">
      <c r="A817" s="6"/>
      <c r="B817" s="11"/>
      <c r="C817" s="6"/>
      <c r="D817" s="11"/>
    </row>
    <row x14ac:dyDescent="0.25" r="818" customHeight="1" ht="14.25">
      <c r="A818" s="6"/>
      <c r="B818" s="11"/>
      <c r="C818" s="6"/>
      <c r="D818" s="11"/>
    </row>
    <row x14ac:dyDescent="0.25" r="819" customHeight="1" ht="14.25">
      <c r="A819" s="6"/>
      <c r="B819" s="11"/>
      <c r="C819" s="6"/>
      <c r="D819" s="11"/>
    </row>
    <row x14ac:dyDescent="0.25" r="820" customHeight="1" ht="14.25">
      <c r="A820" s="6"/>
      <c r="B820" s="11"/>
      <c r="C820" s="6"/>
      <c r="D820" s="11"/>
    </row>
    <row x14ac:dyDescent="0.25" r="821" customHeight="1" ht="14.25">
      <c r="A821" s="6"/>
      <c r="B821" s="11"/>
      <c r="C821" s="6"/>
      <c r="D821" s="11"/>
    </row>
    <row x14ac:dyDescent="0.25" r="822" customHeight="1" ht="14.25">
      <c r="A822" s="6"/>
      <c r="B822" s="11"/>
      <c r="C822" s="6"/>
      <c r="D822" s="11"/>
    </row>
    <row x14ac:dyDescent="0.25" r="823" customHeight="1" ht="14.25">
      <c r="A823" s="6"/>
      <c r="B823" s="11"/>
      <c r="C823" s="6"/>
      <c r="D823" s="11"/>
    </row>
    <row x14ac:dyDescent="0.25" r="824" customHeight="1" ht="14.25">
      <c r="A824" s="6"/>
      <c r="B824" s="11"/>
      <c r="C824" s="6"/>
      <c r="D824" s="11"/>
    </row>
    <row x14ac:dyDescent="0.25" r="825" customHeight="1" ht="14.25">
      <c r="A825" s="6"/>
      <c r="B825" s="11"/>
      <c r="C825" s="6"/>
      <c r="D825" s="11"/>
    </row>
    <row x14ac:dyDescent="0.25" r="826" customHeight="1" ht="14.25">
      <c r="A826" s="6"/>
      <c r="B826" s="11"/>
      <c r="C826" s="6"/>
      <c r="D826" s="11"/>
    </row>
    <row x14ac:dyDescent="0.25" r="827" customHeight="1" ht="14.25">
      <c r="A827" s="6"/>
      <c r="B827" s="11"/>
      <c r="C827" s="6"/>
      <c r="D827" s="11"/>
    </row>
    <row x14ac:dyDescent="0.25" r="828" customHeight="1" ht="14.25">
      <c r="A828" s="6"/>
      <c r="B828" s="11"/>
      <c r="C828" s="6"/>
      <c r="D828" s="11"/>
    </row>
    <row x14ac:dyDescent="0.25" r="829" customHeight="1" ht="14.25">
      <c r="A829" s="6"/>
      <c r="B829" s="11"/>
      <c r="C829" s="6"/>
      <c r="D829" s="11"/>
    </row>
    <row x14ac:dyDescent="0.25" r="830" customHeight="1" ht="14.25">
      <c r="A830" s="6"/>
      <c r="B830" s="11"/>
      <c r="C830" s="6"/>
      <c r="D830" s="11"/>
    </row>
    <row x14ac:dyDescent="0.25" r="831" customHeight="1" ht="14.25">
      <c r="A831" s="6"/>
      <c r="B831" s="11"/>
      <c r="C831" s="6"/>
      <c r="D831" s="11"/>
    </row>
    <row x14ac:dyDescent="0.25" r="832" customHeight="1" ht="14.25">
      <c r="A832" s="6"/>
      <c r="B832" s="11"/>
      <c r="C832" s="6"/>
      <c r="D832" s="11"/>
    </row>
    <row x14ac:dyDescent="0.25" r="833" customHeight="1" ht="14.25">
      <c r="A833" s="6"/>
      <c r="B833" s="11"/>
      <c r="C833" s="6"/>
      <c r="D833" s="11"/>
    </row>
    <row x14ac:dyDescent="0.25" r="834" customHeight="1" ht="14.25">
      <c r="A834" s="6"/>
      <c r="B834" s="11"/>
      <c r="C834" s="6"/>
      <c r="D834" s="11"/>
    </row>
    <row x14ac:dyDescent="0.25" r="835" customHeight="1" ht="14.25">
      <c r="A835" s="6"/>
      <c r="B835" s="11"/>
      <c r="C835" s="6"/>
      <c r="D835" s="11"/>
    </row>
    <row x14ac:dyDescent="0.25" r="836" customHeight="1" ht="14.25">
      <c r="A836" s="6"/>
      <c r="B836" s="11"/>
      <c r="C836" s="6"/>
      <c r="D836" s="11"/>
    </row>
    <row x14ac:dyDescent="0.25" r="837" customHeight="1" ht="14.25">
      <c r="A837" s="6"/>
      <c r="B837" s="11"/>
      <c r="C837" s="6"/>
      <c r="D837" s="11"/>
    </row>
    <row x14ac:dyDescent="0.25" r="838" customHeight="1" ht="14.25">
      <c r="A838" s="6"/>
      <c r="B838" s="11"/>
      <c r="C838" s="6"/>
      <c r="D838" s="11"/>
    </row>
    <row x14ac:dyDescent="0.25" r="839" customHeight="1" ht="14.25">
      <c r="A839" s="6"/>
      <c r="B839" s="11"/>
      <c r="C839" s="6"/>
      <c r="D839" s="11"/>
    </row>
    <row x14ac:dyDescent="0.25" r="840" customHeight="1" ht="14.25">
      <c r="A840" s="6"/>
      <c r="B840" s="11"/>
      <c r="C840" s="6"/>
      <c r="D840" s="11"/>
    </row>
    <row x14ac:dyDescent="0.25" r="841" customHeight="1" ht="14.25">
      <c r="A841" s="6"/>
      <c r="B841" s="11"/>
      <c r="C841" s="6"/>
      <c r="D841" s="11"/>
    </row>
    <row x14ac:dyDescent="0.25" r="842" customHeight="1" ht="14.25">
      <c r="A842" s="6"/>
      <c r="B842" s="11"/>
      <c r="C842" s="6"/>
      <c r="D842" s="11"/>
    </row>
    <row x14ac:dyDescent="0.25" r="843" customHeight="1" ht="14.25">
      <c r="A843" s="6"/>
      <c r="B843" s="11"/>
      <c r="C843" s="6"/>
      <c r="D843" s="11"/>
    </row>
    <row x14ac:dyDescent="0.25" r="844" customHeight="1" ht="14.25">
      <c r="A844" s="6"/>
      <c r="B844" s="11"/>
      <c r="C844" s="6"/>
      <c r="D844" s="11"/>
    </row>
    <row x14ac:dyDescent="0.25" r="845" customHeight="1" ht="14.25">
      <c r="A845" s="6"/>
      <c r="B845" s="11"/>
      <c r="C845" s="6"/>
      <c r="D845" s="11"/>
    </row>
    <row x14ac:dyDescent="0.25" r="846" customHeight="1" ht="14.25">
      <c r="A846" s="6"/>
      <c r="B846" s="11"/>
      <c r="C846" s="6"/>
      <c r="D846" s="11"/>
    </row>
    <row x14ac:dyDescent="0.25" r="847" customHeight="1" ht="14.25">
      <c r="A847" s="6"/>
      <c r="B847" s="11"/>
      <c r="C847" s="6"/>
      <c r="D847" s="11"/>
    </row>
    <row x14ac:dyDescent="0.25" r="848" customHeight="1" ht="14.25">
      <c r="A848" s="6"/>
      <c r="B848" s="11"/>
      <c r="C848" s="6"/>
      <c r="D848" s="11"/>
    </row>
    <row x14ac:dyDescent="0.25" r="849" customHeight="1" ht="14.25">
      <c r="A849" s="6"/>
      <c r="B849" s="11"/>
      <c r="C849" s="6"/>
      <c r="D849" s="11"/>
    </row>
    <row x14ac:dyDescent="0.25" r="850" customHeight="1" ht="14.25">
      <c r="A850" s="6"/>
      <c r="B850" s="11"/>
      <c r="C850" s="6"/>
      <c r="D850" s="11"/>
    </row>
    <row x14ac:dyDescent="0.25" r="851" customHeight="1" ht="14.25">
      <c r="A851" s="6"/>
      <c r="B851" s="11"/>
      <c r="C851" s="6"/>
      <c r="D851" s="11"/>
    </row>
    <row x14ac:dyDescent="0.25" r="852" customHeight="1" ht="14.25">
      <c r="A852" s="6"/>
      <c r="B852" s="11"/>
      <c r="C852" s="6"/>
      <c r="D852" s="11"/>
    </row>
    <row x14ac:dyDescent="0.25" r="853" customHeight="1" ht="14.25">
      <c r="A853" s="6"/>
      <c r="B853" s="11"/>
      <c r="C853" s="6"/>
      <c r="D853" s="11"/>
    </row>
    <row x14ac:dyDescent="0.25" r="854" customHeight="1" ht="14.25">
      <c r="A854" s="6"/>
      <c r="B854" s="11"/>
      <c r="C854" s="6"/>
      <c r="D854" s="11"/>
    </row>
    <row x14ac:dyDescent="0.25" r="855" customHeight="1" ht="14.25">
      <c r="A855" s="6"/>
      <c r="B855" s="11"/>
      <c r="C855" s="6"/>
      <c r="D855" s="11"/>
    </row>
    <row x14ac:dyDescent="0.25" r="856" customHeight="1" ht="14.25">
      <c r="A856" s="6"/>
      <c r="B856" s="11"/>
      <c r="C856" s="6"/>
      <c r="D856" s="11"/>
    </row>
    <row x14ac:dyDescent="0.25" r="857" customHeight="1" ht="14.25">
      <c r="A857" s="6"/>
      <c r="B857" s="11"/>
      <c r="C857" s="6"/>
      <c r="D857" s="11"/>
    </row>
    <row x14ac:dyDescent="0.25" r="858" customHeight="1" ht="14.25">
      <c r="A858" s="6"/>
      <c r="B858" s="11"/>
      <c r="C858" s="6"/>
      <c r="D858" s="11"/>
    </row>
    <row x14ac:dyDescent="0.25" r="859" customHeight="1" ht="14.25">
      <c r="A859" s="6"/>
      <c r="B859" s="11"/>
      <c r="C859" s="6"/>
      <c r="D859" s="11"/>
    </row>
    <row x14ac:dyDescent="0.25" r="860" customHeight="1" ht="14.25">
      <c r="A860" s="6"/>
      <c r="B860" s="11"/>
      <c r="C860" s="6"/>
      <c r="D860" s="11"/>
    </row>
    <row x14ac:dyDescent="0.25" r="861" customHeight="1" ht="14.25">
      <c r="A861" s="6"/>
      <c r="B861" s="11"/>
      <c r="C861" s="6"/>
      <c r="D861" s="11"/>
    </row>
    <row x14ac:dyDescent="0.25" r="862" customHeight="1" ht="14.25">
      <c r="A862" s="6"/>
      <c r="B862" s="11"/>
      <c r="C862" s="6"/>
      <c r="D862" s="11"/>
    </row>
    <row x14ac:dyDescent="0.25" r="863" customHeight="1" ht="14.25">
      <c r="A863" s="6"/>
      <c r="B863" s="11"/>
      <c r="C863" s="6"/>
      <c r="D863" s="11"/>
    </row>
    <row x14ac:dyDescent="0.25" r="864" customHeight="1" ht="14.25">
      <c r="A864" s="6"/>
      <c r="B864" s="11"/>
      <c r="C864" s="6"/>
      <c r="D864" s="11"/>
    </row>
    <row x14ac:dyDescent="0.25" r="865" customHeight="1" ht="14.25">
      <c r="A865" s="6"/>
      <c r="B865" s="11"/>
      <c r="C865" s="6"/>
      <c r="D865" s="11"/>
    </row>
    <row x14ac:dyDescent="0.25" r="866" customHeight="1" ht="14.25">
      <c r="A866" s="6"/>
      <c r="B866" s="11"/>
      <c r="C866" s="6"/>
      <c r="D866" s="11"/>
    </row>
    <row x14ac:dyDescent="0.25" r="867" customHeight="1" ht="14.25">
      <c r="A867" s="6"/>
      <c r="B867" s="11"/>
      <c r="C867" s="6"/>
      <c r="D867" s="11"/>
    </row>
    <row x14ac:dyDescent="0.25" r="868" customHeight="1" ht="14.25">
      <c r="A868" s="6"/>
      <c r="B868" s="11"/>
      <c r="C868" s="6"/>
      <c r="D868" s="11"/>
    </row>
    <row x14ac:dyDescent="0.25" r="869" customHeight="1" ht="14.25">
      <c r="A869" s="6"/>
      <c r="B869" s="11"/>
      <c r="C869" s="6"/>
      <c r="D869" s="11"/>
    </row>
    <row x14ac:dyDescent="0.25" r="870" customHeight="1" ht="14.25">
      <c r="A870" s="6"/>
      <c r="B870" s="11"/>
      <c r="C870" s="6"/>
      <c r="D870" s="11"/>
    </row>
    <row x14ac:dyDescent="0.25" r="871" customHeight="1" ht="14.25">
      <c r="A871" s="6"/>
      <c r="B871" s="11"/>
      <c r="C871" s="6"/>
      <c r="D871" s="11"/>
    </row>
    <row x14ac:dyDescent="0.25" r="872" customHeight="1" ht="14.25">
      <c r="A872" s="6"/>
      <c r="B872" s="11"/>
      <c r="C872" s="6"/>
      <c r="D872" s="11"/>
    </row>
    <row x14ac:dyDescent="0.25" r="873" customHeight="1" ht="14.25">
      <c r="A873" s="6"/>
      <c r="B873" s="11"/>
      <c r="C873" s="6"/>
      <c r="D873" s="11"/>
    </row>
    <row x14ac:dyDescent="0.25" r="874" customHeight="1" ht="14.25">
      <c r="A874" s="6"/>
      <c r="B874" s="11"/>
      <c r="C874" s="6"/>
      <c r="D874" s="11"/>
    </row>
    <row x14ac:dyDescent="0.25" r="875" customHeight="1" ht="14.25">
      <c r="A875" s="6"/>
      <c r="B875" s="11"/>
      <c r="C875" s="6"/>
      <c r="D875" s="11"/>
    </row>
    <row x14ac:dyDescent="0.25" r="876" customHeight="1" ht="14.25">
      <c r="A876" s="6"/>
      <c r="B876" s="11"/>
      <c r="C876" s="6"/>
      <c r="D876" s="11"/>
    </row>
    <row x14ac:dyDescent="0.25" r="877" customHeight="1" ht="14.25">
      <c r="A877" s="6"/>
      <c r="B877" s="11"/>
      <c r="C877" s="6"/>
      <c r="D877" s="11"/>
    </row>
    <row x14ac:dyDescent="0.25" r="878" customHeight="1" ht="14.25">
      <c r="A878" s="6"/>
      <c r="B878" s="11"/>
      <c r="C878" s="6"/>
      <c r="D878" s="11"/>
    </row>
    <row x14ac:dyDescent="0.25" r="879" customHeight="1" ht="14.25">
      <c r="A879" s="6"/>
      <c r="B879" s="11"/>
      <c r="C879" s="6"/>
      <c r="D879" s="11"/>
    </row>
    <row x14ac:dyDescent="0.25" r="880" customHeight="1" ht="14.25">
      <c r="A880" s="6"/>
      <c r="B880" s="11"/>
      <c r="C880" s="6"/>
      <c r="D880" s="11"/>
    </row>
    <row x14ac:dyDescent="0.25" r="881" customHeight="1" ht="14.25">
      <c r="A881" s="6"/>
      <c r="B881" s="11"/>
      <c r="C881" s="6"/>
      <c r="D881" s="11"/>
    </row>
    <row x14ac:dyDescent="0.25" r="882" customHeight="1" ht="14.25">
      <c r="A882" s="6"/>
      <c r="B882" s="11"/>
      <c r="C882" s="6"/>
      <c r="D882" s="11"/>
    </row>
    <row x14ac:dyDescent="0.25" r="883" customHeight="1" ht="14.25">
      <c r="A883" s="6"/>
      <c r="B883" s="11"/>
      <c r="C883" s="6"/>
      <c r="D883" s="11"/>
    </row>
    <row x14ac:dyDescent="0.25" r="884" customHeight="1" ht="14.25">
      <c r="A884" s="6"/>
      <c r="B884" s="11"/>
      <c r="C884" s="6"/>
      <c r="D884" s="11"/>
    </row>
    <row x14ac:dyDescent="0.25" r="885" customHeight="1" ht="14.25">
      <c r="A885" s="6"/>
      <c r="B885" s="11"/>
      <c r="C885" s="6"/>
      <c r="D885" s="11"/>
    </row>
    <row x14ac:dyDescent="0.25" r="886" customHeight="1" ht="14.25">
      <c r="A886" s="6"/>
      <c r="B886" s="11"/>
      <c r="C886" s="6"/>
      <c r="D886" s="11"/>
    </row>
    <row x14ac:dyDescent="0.25" r="887" customHeight="1" ht="14.25">
      <c r="A887" s="6"/>
      <c r="B887" s="11"/>
      <c r="C887" s="6"/>
      <c r="D887" s="11"/>
    </row>
    <row x14ac:dyDescent="0.25" r="888" customHeight="1" ht="14.25">
      <c r="A888" s="6"/>
      <c r="B888" s="11"/>
      <c r="C888" s="6"/>
      <c r="D888" s="11"/>
    </row>
    <row x14ac:dyDescent="0.25" r="889" customHeight="1" ht="14.25">
      <c r="A889" s="6"/>
      <c r="B889" s="11"/>
      <c r="C889" s="6"/>
      <c r="D889" s="11"/>
    </row>
    <row x14ac:dyDescent="0.25" r="890" customHeight="1" ht="14.25">
      <c r="A890" s="6"/>
      <c r="B890" s="11"/>
      <c r="C890" s="6"/>
      <c r="D890" s="11"/>
    </row>
    <row x14ac:dyDescent="0.25" r="891" customHeight="1" ht="14.25">
      <c r="A891" s="6"/>
      <c r="B891" s="11"/>
      <c r="C891" s="6"/>
      <c r="D891" s="11"/>
    </row>
    <row x14ac:dyDescent="0.25" r="892" customHeight="1" ht="14.25">
      <c r="A892" s="6"/>
      <c r="B892" s="11"/>
      <c r="C892" s="6"/>
      <c r="D892" s="11"/>
    </row>
    <row x14ac:dyDescent="0.25" r="893" customHeight="1" ht="14.25">
      <c r="A893" s="6"/>
      <c r="B893" s="11"/>
      <c r="C893" s="6"/>
      <c r="D893" s="11"/>
    </row>
    <row x14ac:dyDescent="0.25" r="894" customHeight="1" ht="14.25">
      <c r="A894" s="6"/>
      <c r="B894" s="11"/>
      <c r="C894" s="6"/>
      <c r="D894" s="11"/>
    </row>
    <row x14ac:dyDescent="0.25" r="895" customHeight="1" ht="14.25">
      <c r="A895" s="6"/>
      <c r="B895" s="11"/>
      <c r="C895" s="6"/>
      <c r="D895" s="11"/>
    </row>
    <row x14ac:dyDescent="0.25" r="896" customHeight="1" ht="14.25">
      <c r="A896" s="6"/>
      <c r="B896" s="11"/>
      <c r="C896" s="6"/>
      <c r="D896" s="11"/>
    </row>
    <row x14ac:dyDescent="0.25" r="897" customHeight="1" ht="14.25">
      <c r="A897" s="6"/>
      <c r="B897" s="11"/>
      <c r="C897" s="6"/>
      <c r="D897" s="11"/>
    </row>
    <row x14ac:dyDescent="0.25" r="898" customHeight="1" ht="14.25">
      <c r="A898" s="6"/>
      <c r="B898" s="11"/>
      <c r="C898" s="6"/>
      <c r="D898" s="11"/>
    </row>
    <row x14ac:dyDescent="0.25" r="899" customHeight="1" ht="14.25">
      <c r="A899" s="6"/>
      <c r="B899" s="11"/>
      <c r="C899" s="6"/>
      <c r="D899" s="11"/>
    </row>
    <row x14ac:dyDescent="0.25" r="900" customHeight="1" ht="14.25">
      <c r="A900" s="6"/>
      <c r="B900" s="11"/>
      <c r="C900" s="6"/>
      <c r="D900" s="11"/>
    </row>
    <row x14ac:dyDescent="0.25" r="901" customHeight="1" ht="14.25">
      <c r="A901" s="6"/>
      <c r="B901" s="11"/>
      <c r="C901" s="6"/>
      <c r="D901" s="11"/>
    </row>
    <row x14ac:dyDescent="0.25" r="902" customHeight="1" ht="14.25">
      <c r="A902" s="6"/>
      <c r="B902" s="11"/>
      <c r="C902" s="6"/>
      <c r="D902" s="11"/>
    </row>
    <row x14ac:dyDescent="0.25" r="903" customHeight="1" ht="14.25">
      <c r="A903" s="6"/>
      <c r="B903" s="11"/>
      <c r="C903" s="6"/>
      <c r="D903" s="11"/>
    </row>
    <row x14ac:dyDescent="0.25" r="904" customHeight="1" ht="14.25">
      <c r="A904" s="6"/>
      <c r="B904" s="11"/>
      <c r="C904" s="6"/>
      <c r="D904" s="11"/>
    </row>
    <row x14ac:dyDescent="0.25" r="905" customHeight="1" ht="14.25">
      <c r="A905" s="6"/>
      <c r="B905" s="11"/>
      <c r="C905" s="6"/>
      <c r="D905" s="11"/>
    </row>
    <row x14ac:dyDescent="0.25" r="906" customHeight="1" ht="14.25">
      <c r="A906" s="6"/>
      <c r="B906" s="11"/>
      <c r="C906" s="6"/>
      <c r="D906" s="11"/>
    </row>
    <row x14ac:dyDescent="0.25" r="907" customHeight="1" ht="14.25">
      <c r="A907" s="6"/>
      <c r="B907" s="11"/>
      <c r="C907" s="6"/>
      <c r="D907" s="11"/>
    </row>
    <row x14ac:dyDescent="0.25" r="908" customHeight="1" ht="14.25">
      <c r="A908" s="6"/>
      <c r="B908" s="11"/>
      <c r="C908" s="6"/>
      <c r="D908" s="11"/>
    </row>
    <row x14ac:dyDescent="0.25" r="909" customHeight="1" ht="14.25">
      <c r="A909" s="6"/>
      <c r="B909" s="11"/>
      <c r="C909" s="6"/>
      <c r="D909" s="11"/>
    </row>
    <row x14ac:dyDescent="0.25" r="910" customHeight="1" ht="14.25">
      <c r="A910" s="6"/>
      <c r="B910" s="11"/>
      <c r="C910" s="6"/>
      <c r="D910" s="11"/>
    </row>
    <row x14ac:dyDescent="0.25" r="911" customHeight="1" ht="14.25">
      <c r="A911" s="6"/>
      <c r="B911" s="11"/>
      <c r="C911" s="6"/>
      <c r="D911" s="11"/>
    </row>
    <row x14ac:dyDescent="0.25" r="912" customHeight="1" ht="14.25">
      <c r="A912" s="6"/>
      <c r="B912" s="11"/>
      <c r="C912" s="6"/>
      <c r="D912" s="11"/>
    </row>
    <row x14ac:dyDescent="0.25" r="913" customHeight="1" ht="14.25">
      <c r="A913" s="6"/>
      <c r="B913" s="11"/>
      <c r="C913" s="6"/>
      <c r="D913" s="11"/>
    </row>
    <row x14ac:dyDescent="0.25" r="914" customHeight="1" ht="14.25">
      <c r="A914" s="6"/>
      <c r="B914" s="11"/>
      <c r="C914" s="6"/>
      <c r="D914" s="11"/>
    </row>
    <row x14ac:dyDescent="0.25" r="915" customHeight="1" ht="14.25">
      <c r="A915" s="6"/>
      <c r="B915" s="11"/>
      <c r="C915" s="6"/>
      <c r="D915" s="11"/>
    </row>
    <row x14ac:dyDescent="0.25" r="916" customHeight="1" ht="14.25">
      <c r="A916" s="6"/>
      <c r="B916" s="11"/>
      <c r="C916" s="6"/>
      <c r="D916" s="11"/>
    </row>
    <row x14ac:dyDescent="0.25" r="917" customHeight="1" ht="14.25">
      <c r="A917" s="6"/>
      <c r="B917" s="11"/>
      <c r="C917" s="6"/>
      <c r="D917" s="11"/>
    </row>
    <row x14ac:dyDescent="0.25" r="918" customHeight="1" ht="14.25">
      <c r="A918" s="6"/>
      <c r="B918" s="11"/>
      <c r="C918" s="6"/>
      <c r="D918" s="11"/>
    </row>
    <row x14ac:dyDescent="0.25" r="919" customHeight="1" ht="14.25">
      <c r="A919" s="6"/>
      <c r="B919" s="11"/>
      <c r="C919" s="6"/>
      <c r="D919" s="11"/>
    </row>
    <row x14ac:dyDescent="0.25" r="920" customHeight="1" ht="14.25">
      <c r="A920" s="6"/>
      <c r="B920" s="11"/>
      <c r="C920" s="6"/>
      <c r="D920" s="11"/>
    </row>
    <row x14ac:dyDescent="0.25" r="921" customHeight="1" ht="14.25">
      <c r="A921" s="6"/>
      <c r="B921" s="11"/>
      <c r="C921" s="6"/>
      <c r="D921" s="11"/>
    </row>
    <row x14ac:dyDescent="0.25" r="922" customHeight="1" ht="14.25">
      <c r="A922" s="6"/>
      <c r="B922" s="11"/>
      <c r="C922" s="6"/>
      <c r="D922" s="11"/>
    </row>
    <row x14ac:dyDescent="0.25" r="923" customHeight="1" ht="14.25">
      <c r="A923" s="6"/>
      <c r="B923" s="11"/>
      <c r="C923" s="6"/>
      <c r="D923" s="11"/>
    </row>
    <row x14ac:dyDescent="0.25" r="924" customHeight="1" ht="14.25">
      <c r="A924" s="6"/>
      <c r="B924" s="11"/>
      <c r="C924" s="6"/>
      <c r="D924" s="11"/>
    </row>
    <row x14ac:dyDescent="0.25" r="925" customHeight="1" ht="14.25">
      <c r="A925" s="6"/>
      <c r="B925" s="11"/>
      <c r="C925" s="6"/>
      <c r="D925" s="11"/>
    </row>
    <row x14ac:dyDescent="0.25" r="926" customHeight="1" ht="14.25">
      <c r="A926" s="6"/>
      <c r="B926" s="11"/>
      <c r="C926" s="6"/>
      <c r="D926" s="11"/>
    </row>
    <row x14ac:dyDescent="0.25" r="927" customHeight="1" ht="14.25">
      <c r="A927" s="6"/>
      <c r="B927" s="11"/>
      <c r="C927" s="6"/>
      <c r="D927" s="11"/>
    </row>
    <row x14ac:dyDescent="0.25" r="928" customHeight="1" ht="14.25">
      <c r="A928" s="6"/>
      <c r="B928" s="11"/>
      <c r="C928" s="6"/>
      <c r="D928" s="11"/>
    </row>
    <row x14ac:dyDescent="0.25" r="929" customHeight="1" ht="14.25">
      <c r="A929" s="6"/>
      <c r="B929" s="11"/>
      <c r="C929" s="6"/>
      <c r="D929" s="11"/>
    </row>
    <row x14ac:dyDescent="0.25" r="930" customHeight="1" ht="14.25">
      <c r="A930" s="6"/>
      <c r="B930" s="11"/>
      <c r="C930" s="6"/>
      <c r="D930" s="11"/>
    </row>
    <row x14ac:dyDescent="0.25" r="931" customHeight="1" ht="14.25">
      <c r="A931" s="6"/>
      <c r="B931" s="11"/>
      <c r="C931" s="6"/>
      <c r="D931" s="11"/>
    </row>
    <row x14ac:dyDescent="0.25" r="932" customHeight="1" ht="14.25">
      <c r="A932" s="6"/>
      <c r="B932" s="11"/>
      <c r="C932" s="6"/>
      <c r="D932" s="11"/>
    </row>
    <row x14ac:dyDescent="0.25" r="933" customHeight="1" ht="14.25">
      <c r="A933" s="6"/>
      <c r="B933" s="11"/>
      <c r="C933" s="6"/>
      <c r="D933" s="11"/>
    </row>
    <row x14ac:dyDescent="0.25" r="934" customHeight="1" ht="14.25">
      <c r="A934" s="6"/>
      <c r="B934" s="11"/>
      <c r="C934" s="6"/>
      <c r="D934" s="11"/>
    </row>
    <row x14ac:dyDescent="0.25" r="935" customHeight="1" ht="14.25">
      <c r="A935" s="6"/>
      <c r="B935" s="11"/>
      <c r="C935" s="6"/>
      <c r="D935" s="11"/>
    </row>
    <row x14ac:dyDescent="0.25" r="936" customHeight="1" ht="14.25">
      <c r="A936" s="6"/>
      <c r="B936" s="11"/>
      <c r="C936" s="6"/>
      <c r="D936" s="11"/>
    </row>
    <row x14ac:dyDescent="0.25" r="937" customHeight="1" ht="14.25">
      <c r="A937" s="6"/>
      <c r="B937" s="11"/>
      <c r="C937" s="6"/>
      <c r="D937" s="11"/>
    </row>
    <row x14ac:dyDescent="0.25" r="938" customHeight="1" ht="14.25">
      <c r="A938" s="6"/>
      <c r="B938" s="11"/>
      <c r="C938" s="6"/>
      <c r="D938" s="11"/>
    </row>
    <row x14ac:dyDescent="0.25" r="939" customHeight="1" ht="14.25">
      <c r="A939" s="6"/>
      <c r="B939" s="11"/>
      <c r="C939" s="6"/>
      <c r="D939" s="11"/>
    </row>
    <row x14ac:dyDescent="0.25" r="940" customHeight="1" ht="14.25">
      <c r="A940" s="6"/>
      <c r="B940" s="11"/>
      <c r="C940" s="6"/>
      <c r="D940" s="11"/>
    </row>
    <row x14ac:dyDescent="0.25" r="941" customHeight="1" ht="14.25">
      <c r="A941" s="6"/>
      <c r="B941" s="11"/>
      <c r="C941" s="6"/>
      <c r="D941" s="11"/>
    </row>
    <row x14ac:dyDescent="0.25" r="942" customHeight="1" ht="14.25">
      <c r="A942" s="6"/>
      <c r="B942" s="11"/>
      <c r="C942" s="6"/>
      <c r="D942" s="11"/>
    </row>
    <row x14ac:dyDescent="0.25" r="943" customHeight="1" ht="14.25">
      <c r="A943" s="6"/>
      <c r="B943" s="11"/>
      <c r="C943" s="6"/>
      <c r="D943" s="11"/>
    </row>
    <row x14ac:dyDescent="0.25" r="944" customHeight="1" ht="14.25">
      <c r="A944" s="6"/>
      <c r="B944" s="11"/>
      <c r="C944" s="6"/>
      <c r="D944" s="11"/>
    </row>
    <row x14ac:dyDescent="0.25" r="945" customHeight="1" ht="14.25">
      <c r="A945" s="6"/>
      <c r="B945" s="11"/>
      <c r="C945" s="6"/>
      <c r="D945" s="11"/>
    </row>
    <row x14ac:dyDescent="0.25" r="946" customHeight="1" ht="14.25">
      <c r="A946" s="6"/>
      <c r="B946" s="11"/>
      <c r="C946" s="6"/>
      <c r="D946" s="11"/>
    </row>
    <row x14ac:dyDescent="0.25" r="947" customHeight="1" ht="14.25">
      <c r="A947" s="6"/>
      <c r="B947" s="11"/>
      <c r="C947" s="6"/>
      <c r="D947" s="11"/>
    </row>
    <row x14ac:dyDescent="0.25" r="948" customHeight="1" ht="14.25">
      <c r="A948" s="6"/>
      <c r="B948" s="11"/>
      <c r="C948" s="6"/>
      <c r="D948" s="11"/>
    </row>
    <row x14ac:dyDescent="0.25" r="949" customHeight="1" ht="14.25">
      <c r="A949" s="6"/>
      <c r="B949" s="11"/>
      <c r="C949" s="6"/>
      <c r="D949" s="11"/>
    </row>
    <row x14ac:dyDescent="0.25" r="950" customHeight="1" ht="14.25">
      <c r="A950" s="6"/>
      <c r="B950" s="11"/>
      <c r="C950" s="6"/>
      <c r="D950" s="11"/>
    </row>
    <row x14ac:dyDescent="0.25" r="951" customHeight="1" ht="14.25">
      <c r="A951" s="6"/>
      <c r="B951" s="11"/>
      <c r="C951" s="6"/>
      <c r="D951" s="11"/>
    </row>
    <row x14ac:dyDescent="0.25" r="952" customHeight="1" ht="14.25">
      <c r="A952" s="6"/>
      <c r="B952" s="11"/>
      <c r="C952" s="6"/>
      <c r="D952" s="11"/>
    </row>
    <row x14ac:dyDescent="0.25" r="953" customHeight="1" ht="14.25">
      <c r="A953" s="6"/>
      <c r="B953" s="11"/>
      <c r="C953" s="6"/>
      <c r="D953" s="11"/>
    </row>
    <row x14ac:dyDescent="0.25" r="954" customHeight="1" ht="14.25">
      <c r="A954" s="6"/>
      <c r="B954" s="11"/>
      <c r="C954" s="6"/>
      <c r="D954" s="11"/>
    </row>
    <row x14ac:dyDescent="0.25" r="955" customHeight="1" ht="14.25">
      <c r="A955" s="6"/>
      <c r="B955" s="11"/>
      <c r="C955" s="6"/>
      <c r="D955" s="11"/>
    </row>
    <row x14ac:dyDescent="0.25" r="956" customHeight="1" ht="14.25">
      <c r="A956" s="6"/>
      <c r="B956" s="11"/>
      <c r="C956" s="6"/>
      <c r="D956" s="11"/>
    </row>
    <row x14ac:dyDescent="0.25" r="957" customHeight="1" ht="14.25">
      <c r="A957" s="6"/>
      <c r="B957" s="11"/>
      <c r="C957" s="6"/>
      <c r="D957" s="11"/>
    </row>
    <row x14ac:dyDescent="0.25" r="958" customHeight="1" ht="14.25">
      <c r="A958" s="6"/>
      <c r="B958" s="11"/>
      <c r="C958" s="6"/>
      <c r="D958" s="11"/>
    </row>
    <row x14ac:dyDescent="0.25" r="959" customHeight="1" ht="14.25">
      <c r="A959" s="6"/>
      <c r="B959" s="11"/>
      <c r="C959" s="6"/>
      <c r="D959" s="11"/>
    </row>
    <row x14ac:dyDescent="0.25" r="960" customHeight="1" ht="14.25">
      <c r="A960" s="6"/>
      <c r="B960" s="11"/>
      <c r="C960" s="6"/>
      <c r="D960" s="11"/>
    </row>
    <row x14ac:dyDescent="0.25" r="961" customHeight="1" ht="14.25">
      <c r="A961" s="6"/>
      <c r="B961" s="11"/>
      <c r="C961" s="6"/>
      <c r="D961" s="11"/>
    </row>
    <row x14ac:dyDescent="0.25" r="962" customHeight="1" ht="14.25">
      <c r="A962" s="6"/>
      <c r="B962" s="11"/>
      <c r="C962" s="6"/>
      <c r="D962" s="11"/>
    </row>
    <row x14ac:dyDescent="0.25" r="963" customHeight="1" ht="14.25">
      <c r="A963" s="6"/>
      <c r="B963" s="11"/>
      <c r="C963" s="6"/>
      <c r="D963" s="11"/>
    </row>
    <row x14ac:dyDescent="0.25" r="964" customHeight="1" ht="14.25">
      <c r="A964" s="6"/>
      <c r="B964" s="11"/>
      <c r="C964" s="6"/>
      <c r="D964" s="11"/>
    </row>
    <row x14ac:dyDescent="0.25" r="965" customHeight="1" ht="14.25">
      <c r="A965" s="6"/>
      <c r="B965" s="11"/>
      <c r="C965" s="6"/>
      <c r="D965" s="11"/>
    </row>
    <row x14ac:dyDescent="0.25" r="966" customHeight="1" ht="14.25">
      <c r="A966" s="6"/>
      <c r="B966" s="11"/>
      <c r="C966" s="6"/>
      <c r="D966" s="11"/>
    </row>
    <row x14ac:dyDescent="0.25" r="967" customHeight="1" ht="14.25">
      <c r="A967" s="6"/>
      <c r="B967" s="11"/>
      <c r="C967" s="6"/>
      <c r="D967" s="11"/>
    </row>
    <row x14ac:dyDescent="0.25" r="968" customHeight="1" ht="14.25">
      <c r="A968" s="6"/>
      <c r="B968" s="11"/>
      <c r="C968" s="6"/>
      <c r="D968" s="11"/>
    </row>
    <row x14ac:dyDescent="0.25" r="969" customHeight="1" ht="14.25">
      <c r="A969" s="6"/>
      <c r="B969" s="11"/>
      <c r="C969" s="6"/>
      <c r="D969" s="11"/>
    </row>
    <row x14ac:dyDescent="0.25" r="970" customHeight="1" ht="14.25">
      <c r="A970" s="6"/>
      <c r="B970" s="11"/>
      <c r="C970" s="6"/>
      <c r="D970" s="11"/>
    </row>
    <row x14ac:dyDescent="0.25" r="971" customHeight="1" ht="14.25">
      <c r="A971" s="6"/>
      <c r="B971" s="11"/>
      <c r="C971" s="6"/>
      <c r="D971" s="11"/>
    </row>
    <row x14ac:dyDescent="0.25" r="972" customHeight="1" ht="14.25">
      <c r="A972" s="6"/>
      <c r="B972" s="11"/>
      <c r="C972" s="6"/>
      <c r="D972" s="11"/>
    </row>
    <row x14ac:dyDescent="0.25" r="973" customHeight="1" ht="14.25">
      <c r="A973" s="6"/>
      <c r="B973" s="11"/>
      <c r="C973" s="6"/>
      <c r="D973" s="11"/>
    </row>
    <row x14ac:dyDescent="0.25" r="974" customHeight="1" ht="14.25">
      <c r="A974" s="6"/>
      <c r="B974" s="11"/>
      <c r="C974" s="6"/>
      <c r="D974" s="11"/>
    </row>
    <row x14ac:dyDescent="0.25" r="975" customHeight="1" ht="14.25">
      <c r="A975" s="6"/>
      <c r="B975" s="11"/>
      <c r="C975" s="6"/>
      <c r="D975" s="11"/>
    </row>
    <row x14ac:dyDescent="0.25" r="976" customHeight="1" ht="14.25">
      <c r="A976" s="6"/>
      <c r="B976" s="11"/>
      <c r="C976" s="6"/>
      <c r="D976" s="11"/>
    </row>
    <row x14ac:dyDescent="0.25" r="977" customHeight="1" ht="14.25">
      <c r="A977" s="6"/>
      <c r="B977" s="11"/>
      <c r="C977" s="6"/>
      <c r="D977" s="11"/>
    </row>
    <row x14ac:dyDescent="0.25" r="978" customHeight="1" ht="14.25">
      <c r="A978" s="6"/>
      <c r="B978" s="11"/>
      <c r="C978" s="6"/>
      <c r="D978" s="11"/>
    </row>
    <row x14ac:dyDescent="0.25" r="979" customHeight="1" ht="14.25">
      <c r="A979" s="6"/>
      <c r="B979" s="11"/>
      <c r="C979" s="6"/>
      <c r="D979" s="11"/>
    </row>
    <row x14ac:dyDescent="0.25" r="980" customHeight="1" ht="14.25">
      <c r="A980" s="6"/>
      <c r="B980" s="11"/>
      <c r="C980" s="6"/>
      <c r="D980" s="11"/>
    </row>
    <row x14ac:dyDescent="0.25" r="981" customHeight="1" ht="14.25">
      <c r="A981" s="6"/>
      <c r="B981" s="11"/>
      <c r="C981" s="6"/>
      <c r="D981" s="11"/>
    </row>
    <row x14ac:dyDescent="0.25" r="982" customHeight="1" ht="14.25">
      <c r="A982" s="6"/>
      <c r="B982" s="11"/>
      <c r="C982" s="6"/>
      <c r="D982" s="11"/>
    </row>
    <row x14ac:dyDescent="0.25" r="983" customHeight="1" ht="14.25">
      <c r="A983" s="6"/>
      <c r="B983" s="11"/>
      <c r="C983" s="6"/>
      <c r="D983" s="11"/>
    </row>
    <row x14ac:dyDescent="0.25" r="984" customHeight="1" ht="14.25">
      <c r="A984" s="6"/>
      <c r="B984" s="11"/>
      <c r="C984" s="6"/>
      <c r="D984" s="11"/>
    </row>
    <row x14ac:dyDescent="0.25" r="985" customHeight="1" ht="14.25">
      <c r="A985" s="6"/>
      <c r="B985" s="11"/>
      <c r="C985" s="6"/>
      <c r="D985" s="11"/>
    </row>
    <row x14ac:dyDescent="0.25" r="986" customHeight="1" ht="14.25">
      <c r="A986" s="6"/>
      <c r="B986" s="11"/>
      <c r="C986" s="6"/>
      <c r="D986" s="11"/>
    </row>
    <row x14ac:dyDescent="0.25" r="987" customHeight="1" ht="14.25">
      <c r="A987" s="6"/>
      <c r="B987" s="11"/>
      <c r="C987" s="6"/>
      <c r="D987" s="11"/>
    </row>
    <row x14ac:dyDescent="0.25" r="988" customHeight="1" ht="14.25">
      <c r="A988" s="6"/>
      <c r="B988" s="11"/>
      <c r="C988" s="6"/>
      <c r="D988" s="11"/>
    </row>
    <row x14ac:dyDescent="0.25" r="989" customHeight="1" ht="14.25">
      <c r="A989" s="6"/>
      <c r="B989" s="11"/>
      <c r="C989" s="6"/>
      <c r="D989" s="11"/>
    </row>
    <row x14ac:dyDescent="0.25" r="990" customHeight="1" ht="14.25">
      <c r="A990" s="6"/>
      <c r="B990" s="11"/>
      <c r="C990" s="6"/>
      <c r="D990" s="11"/>
    </row>
    <row x14ac:dyDescent="0.25" r="991" customHeight="1" ht="14.25">
      <c r="A991" s="6"/>
      <c r="B991" s="11"/>
      <c r="C991" s="6"/>
      <c r="D991" s="11"/>
    </row>
    <row x14ac:dyDescent="0.25" r="992" customHeight="1" ht="14.25">
      <c r="A992" s="6"/>
      <c r="B992" s="11"/>
      <c r="C992" s="6"/>
      <c r="D992" s="11"/>
    </row>
    <row x14ac:dyDescent="0.25" r="993" customHeight="1" ht="14.25">
      <c r="A993" s="6"/>
      <c r="B993" s="11"/>
      <c r="C993" s="6"/>
      <c r="D993" s="11"/>
    </row>
    <row x14ac:dyDescent="0.25" r="994" customHeight="1" ht="14.25">
      <c r="A994" s="6"/>
      <c r="B994" s="11"/>
      <c r="C994" s="6"/>
      <c r="D994" s="11"/>
    </row>
    <row x14ac:dyDescent="0.25" r="995" customHeight="1" ht="14.25">
      <c r="A995" s="6"/>
      <c r="B995" s="11"/>
      <c r="C995" s="6"/>
      <c r="D995" s="11"/>
    </row>
    <row x14ac:dyDescent="0.25" r="996" customHeight="1" ht="14.25">
      <c r="A996" s="6"/>
      <c r="B996" s="11"/>
      <c r="C996" s="6"/>
      <c r="D996" s="11"/>
    </row>
    <row x14ac:dyDescent="0.25" r="997" customHeight="1" ht="14.25">
      <c r="A997" s="6"/>
      <c r="B997" s="11"/>
      <c r="C997" s="6"/>
      <c r="D997" s="11"/>
    </row>
    <row x14ac:dyDescent="0.25" r="998" customHeight="1" ht="14.25">
      <c r="A998" s="6"/>
      <c r="B998" s="11"/>
      <c r="C998" s="6"/>
      <c r="D998" s="11"/>
    </row>
    <row x14ac:dyDescent="0.25" r="999" customHeight="1" ht="14.25">
      <c r="A999" s="6"/>
      <c r="B999" s="11"/>
      <c r="C999" s="6"/>
      <c r="D999" s="11"/>
    </row>
    <row x14ac:dyDescent="0.25" r="1000" customHeight="1" ht="14.25">
      <c r="A1000" s="6"/>
      <c r="B1000" s="11"/>
      <c r="C1000" s="6"/>
      <c r="D1000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V1000"/>
  <sheetViews>
    <sheetView workbookViewId="0"/>
  </sheetViews>
  <sheetFormatPr defaultRowHeight="15" x14ac:dyDescent="0.25"/>
  <cols>
    <col min="1" max="1" style="13" width="3.5764285714285715" customWidth="1" bestFit="1"/>
    <col min="2" max="2" style="95" width="13.005" customWidth="1" bestFit="1"/>
    <col min="3" max="3" style="13" width="42.71928571428572" customWidth="1" bestFit="1"/>
    <col min="4" max="4" style="96" width="43.14785714285715" customWidth="1" bestFit="1"/>
    <col min="5" max="5" style="13" width="30.290714285714284" customWidth="1" bestFit="1"/>
    <col min="6" max="6" style="13" width="18.290714285714284" customWidth="1" bestFit="1"/>
    <col min="7" max="7" style="13" width="8.719285714285713" customWidth="1" bestFit="1"/>
    <col min="8" max="8" style="13" width="8.719285714285713" customWidth="1" bestFit="1"/>
    <col min="9" max="9" style="13" width="8.719285714285713" customWidth="1" bestFit="1"/>
    <col min="10" max="10" style="13" width="8.719285714285713" customWidth="1" bestFit="1"/>
    <col min="11" max="11" style="13" width="8.719285714285713" customWidth="1" bestFit="1"/>
    <col min="12" max="12" style="13" width="8.719285714285713" customWidth="1" bestFit="1"/>
    <col min="13" max="13" style="13" width="8.719285714285713" customWidth="1" bestFit="1"/>
    <col min="14" max="14" style="13" width="8.719285714285713" customWidth="1" bestFit="1"/>
    <col min="15" max="15" style="13" width="8.719285714285713" customWidth="1" bestFit="1"/>
    <col min="16" max="16" style="13" width="8.719285714285713" customWidth="1" bestFit="1"/>
    <col min="17" max="17" style="13" width="8.719285714285713" customWidth="1" bestFit="1"/>
    <col min="18" max="18" style="13" width="8.719285714285713" customWidth="1" bestFit="1"/>
    <col min="19" max="19" style="13" width="8.719285714285713" customWidth="1" bestFit="1"/>
    <col min="20" max="20" style="13" width="8.719285714285713" customWidth="1" bestFit="1"/>
    <col min="21" max="21" style="13" width="8.719285714285713" customWidth="1" bestFit="1"/>
    <col min="22" max="22" style="13" width="8.719285714285713" customWidth="1" bestFit="1"/>
  </cols>
  <sheetData>
    <row x14ac:dyDescent="0.25" r="1" customHeight="1" ht="19.5">
      <c r="A1" s="19"/>
      <c r="B1" s="81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</row>
    <row x14ac:dyDescent="0.25" r="2" customHeight="1" ht="24.75">
      <c r="A2" s="19"/>
      <c r="B2" s="82" t="s">
        <v>426</v>
      </c>
      <c r="C2" s="17"/>
      <c r="D2" s="17"/>
      <c r="E2" s="18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</row>
    <row x14ac:dyDescent="0.25" r="3" customHeight="1" ht="61.5">
      <c r="A3" s="19"/>
      <c r="B3" s="83" t="s">
        <v>427</v>
      </c>
      <c r="C3" s="84" t="s">
        <v>428</v>
      </c>
      <c r="D3" s="84" t="s">
        <v>429</v>
      </c>
      <c r="E3" s="84" t="s">
        <v>430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x14ac:dyDescent="0.25" r="4" customHeight="1" ht="19.5">
      <c r="A4" s="19"/>
      <c r="B4" s="85">
        <v>1</v>
      </c>
      <c r="C4" s="86"/>
      <c r="D4" s="86"/>
      <c r="E4" s="68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</row>
    <row x14ac:dyDescent="0.25" r="5" customHeight="1" ht="19.5">
      <c r="A5" s="19"/>
      <c r="B5" s="87"/>
      <c r="C5" s="86"/>
      <c r="D5" s="86"/>
      <c r="E5" s="68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</row>
    <row x14ac:dyDescent="0.25" r="6" customHeight="1" ht="19.5">
      <c r="A6" s="19"/>
      <c r="B6" s="88"/>
      <c r="C6" s="86"/>
      <c r="D6" s="86"/>
      <c r="E6" s="68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</row>
    <row x14ac:dyDescent="0.25" r="7" customHeight="1" ht="14.25">
      <c r="A7" s="19"/>
      <c r="B7" s="85">
        <v>2</v>
      </c>
      <c r="C7" s="89"/>
      <c r="D7" s="69"/>
      <c r="E7" s="68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</row>
    <row x14ac:dyDescent="0.25" r="8" customHeight="1" ht="72.75">
      <c r="A8" s="19"/>
      <c r="B8" s="87"/>
      <c r="C8" s="90"/>
      <c r="D8" s="86"/>
      <c r="E8" s="68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</row>
    <row x14ac:dyDescent="0.25" r="9" customHeight="1" ht="19.5">
      <c r="A9" s="19"/>
      <c r="B9" s="88"/>
      <c r="C9" s="66"/>
      <c r="D9" s="86"/>
      <c r="E9" s="68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</row>
    <row x14ac:dyDescent="0.25" r="10" customHeight="1" ht="57.75">
      <c r="A10" s="19"/>
      <c r="B10" s="85">
        <v>8</v>
      </c>
      <c r="C10" s="89"/>
      <c r="D10" s="69"/>
      <c r="E10" s="68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</row>
    <row x14ac:dyDescent="0.25" r="11" customHeight="1" ht="19.5">
      <c r="A11" s="19"/>
      <c r="B11" s="88"/>
      <c r="C11" s="66"/>
      <c r="D11" s="86"/>
      <c r="E11" s="68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</row>
    <row x14ac:dyDescent="0.25" r="12" customHeight="1" ht="57.75">
      <c r="A12" s="19"/>
      <c r="B12" s="85">
        <v>9</v>
      </c>
      <c r="C12" s="86"/>
      <c r="D12" s="86"/>
      <c r="E12" s="68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</row>
    <row x14ac:dyDescent="0.25" r="13" customHeight="1" ht="19.5">
      <c r="A13" s="19"/>
      <c r="B13" s="87"/>
      <c r="C13" s="89"/>
      <c r="D13" s="86"/>
      <c r="E13" s="68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</row>
    <row x14ac:dyDescent="0.25" r="14" customHeight="1" ht="19.5">
      <c r="A14" s="19"/>
      <c r="B14" s="87"/>
      <c r="C14" s="66"/>
      <c r="D14" s="86"/>
      <c r="E14" s="68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</row>
    <row x14ac:dyDescent="0.25" r="15" customHeight="1" ht="19.5">
      <c r="A15" s="19"/>
      <c r="B15" s="88"/>
      <c r="C15" s="86"/>
      <c r="D15" s="86"/>
      <c r="E15" s="68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</row>
    <row x14ac:dyDescent="0.25" r="16" customHeight="1" ht="19.5">
      <c r="A16" s="19"/>
      <c r="B16" s="85">
        <v>10</v>
      </c>
      <c r="C16" s="89"/>
      <c r="D16" s="86"/>
      <c r="E16" s="68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</row>
    <row x14ac:dyDescent="0.25" r="17" customHeight="1" ht="19.5">
      <c r="A17" s="19"/>
      <c r="B17" s="88"/>
      <c r="C17" s="66"/>
      <c r="D17" s="86"/>
      <c r="E17" s="68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</row>
    <row x14ac:dyDescent="0.25" r="18" customHeight="1" ht="19.5">
      <c r="A18" s="19"/>
      <c r="B18" s="85">
        <v>11</v>
      </c>
      <c r="C18" s="86"/>
      <c r="D18" s="86"/>
      <c r="E18" s="68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</row>
    <row x14ac:dyDescent="0.25" r="19" customHeight="1" ht="19.5">
      <c r="A19" s="19"/>
      <c r="B19" s="87"/>
      <c r="C19" s="86"/>
      <c r="D19" s="86"/>
      <c r="E19" s="68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</row>
    <row x14ac:dyDescent="0.25" r="20" customHeight="1" ht="19.5">
      <c r="A20" s="19"/>
      <c r="B20" s="87"/>
      <c r="C20" s="89"/>
      <c r="D20" s="86"/>
      <c r="E20" s="68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x14ac:dyDescent="0.25" r="21" customHeight="1" ht="15.75">
      <c r="A21" s="19"/>
      <c r="B21" s="87"/>
      <c r="C21" s="66"/>
      <c r="D21" s="86"/>
      <c r="E21" s="68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</row>
    <row x14ac:dyDescent="0.25" r="22" customHeight="1" ht="15.75">
      <c r="A22" s="19"/>
      <c r="B22" s="88"/>
      <c r="C22" s="86"/>
      <c r="D22" s="86"/>
      <c r="E22" s="68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x14ac:dyDescent="0.25" r="23" customHeight="1" ht="15.75">
      <c r="A23" s="19"/>
      <c r="B23" s="85">
        <v>12</v>
      </c>
      <c r="C23" s="86"/>
      <c r="D23" s="86"/>
      <c r="E23" s="68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</row>
    <row x14ac:dyDescent="0.25" r="24" customHeight="1" ht="15.75">
      <c r="A24" s="19"/>
      <c r="B24" s="87"/>
      <c r="C24" s="86"/>
      <c r="D24" s="86"/>
      <c r="E24" s="68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</row>
    <row x14ac:dyDescent="0.25" r="25" customHeight="1" ht="15.75">
      <c r="A25" s="19"/>
      <c r="B25" s="88"/>
      <c r="C25" s="86"/>
      <c r="D25" s="86"/>
      <c r="E25" s="68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</row>
    <row x14ac:dyDescent="0.25" r="26" customHeight="1" ht="115.5">
      <c r="A26" s="19"/>
      <c r="B26" s="85">
        <v>14</v>
      </c>
      <c r="C26" s="91"/>
      <c r="D26" s="86"/>
      <c r="E26" s="68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</row>
    <row x14ac:dyDescent="0.25" r="27" customHeight="1" ht="15.75">
      <c r="A27" s="19"/>
      <c r="B27" s="87"/>
      <c r="C27" s="86"/>
      <c r="D27" s="86"/>
      <c r="E27" s="6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x14ac:dyDescent="0.25" r="28" customHeight="1" ht="15.75">
      <c r="A28" s="19"/>
      <c r="B28" s="87"/>
      <c r="C28" s="86"/>
      <c r="D28" s="86"/>
      <c r="E28" s="6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</row>
    <row x14ac:dyDescent="0.25" r="29" customHeight="1" ht="15.75">
      <c r="A29" s="19"/>
      <c r="B29" s="87"/>
      <c r="C29" s="89"/>
      <c r="D29" s="69"/>
      <c r="E29" s="6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</row>
    <row x14ac:dyDescent="0.25" r="30" customHeight="1" ht="57.75">
      <c r="A30" s="19"/>
      <c r="B30" s="88"/>
      <c r="C30" s="66"/>
      <c r="D30" s="86"/>
      <c r="E30" s="68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</row>
    <row x14ac:dyDescent="0.25" r="31" customHeight="1" ht="15.75">
      <c r="A31" s="19"/>
      <c r="B31" s="85">
        <v>15</v>
      </c>
      <c r="C31" s="89"/>
      <c r="D31" s="86"/>
      <c r="E31" s="68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</row>
    <row x14ac:dyDescent="0.25" r="32" customHeight="1" ht="15.75">
      <c r="A32" s="19"/>
      <c r="B32" s="87"/>
      <c r="C32" s="66"/>
      <c r="D32" s="86"/>
      <c r="E32" s="68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</row>
    <row x14ac:dyDescent="0.25" r="33" customHeight="1" ht="15.75">
      <c r="A33" s="19"/>
      <c r="B33" s="88"/>
      <c r="C33" s="86"/>
      <c r="D33" s="86"/>
      <c r="E33" s="68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x14ac:dyDescent="0.25" r="34" customHeight="1" ht="87">
      <c r="A34" s="19"/>
      <c r="B34" s="85">
        <v>16</v>
      </c>
      <c r="C34" s="89"/>
      <c r="D34" s="86"/>
      <c r="E34" s="68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x14ac:dyDescent="0.25" r="35" customHeight="1" ht="15.75">
      <c r="A35" s="19"/>
      <c r="B35" s="88"/>
      <c r="C35" s="66"/>
      <c r="D35" s="86"/>
      <c r="E35" s="68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x14ac:dyDescent="0.25" r="36" customHeight="1" ht="15.75">
      <c r="A36" s="19"/>
      <c r="B36" s="85">
        <v>18</v>
      </c>
      <c r="C36" s="86"/>
      <c r="D36" s="86"/>
      <c r="E36" s="68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</row>
    <row x14ac:dyDescent="0.25" r="37" customHeight="1" ht="15.75">
      <c r="A37" s="19"/>
      <c r="B37" s="88"/>
      <c r="C37" s="86"/>
      <c r="D37" s="86"/>
      <c r="E37" s="68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</row>
    <row x14ac:dyDescent="0.25" r="38" customHeight="1" ht="15.75">
      <c r="A38" s="19"/>
      <c r="B38" s="85">
        <v>20</v>
      </c>
      <c r="C38" s="89"/>
      <c r="D38" s="86"/>
      <c r="E38" s="68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x14ac:dyDescent="0.25" r="39" customHeight="1" ht="15.75">
      <c r="A39" s="19"/>
      <c r="B39" s="87"/>
      <c r="C39" s="66"/>
      <c r="D39" s="86"/>
      <c r="E39" s="68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x14ac:dyDescent="0.25" r="40" customHeight="1" ht="15.75">
      <c r="A40" s="19"/>
      <c r="B40" s="88"/>
      <c r="C40" s="86"/>
      <c r="D40" s="86"/>
      <c r="E40" s="68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x14ac:dyDescent="0.25" r="41" customHeight="1" ht="15.75">
      <c r="A41" s="19"/>
      <c r="B41" s="85">
        <v>21</v>
      </c>
      <c r="C41" s="86"/>
      <c r="D41" s="86"/>
      <c r="E41" s="68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x14ac:dyDescent="0.25" r="42" customHeight="1" ht="15.75">
      <c r="A42" s="19"/>
      <c r="B42" s="87"/>
      <c r="C42" s="89"/>
      <c r="D42" s="86"/>
      <c r="E42" s="68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x14ac:dyDescent="0.25" r="43" customHeight="1" ht="15.75">
      <c r="A43" s="19"/>
      <c r="B43" s="88"/>
      <c r="C43" s="66"/>
      <c r="D43" s="86"/>
      <c r="E43" s="68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x14ac:dyDescent="0.25" r="44" customHeight="1" ht="15.75">
      <c r="A44" s="19"/>
      <c r="B44" s="85">
        <v>22</v>
      </c>
      <c r="C44" s="86"/>
      <c r="D44" s="86"/>
      <c r="E44" s="68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</row>
    <row x14ac:dyDescent="0.25" r="45" customHeight="1" ht="15.75">
      <c r="A45" s="19"/>
      <c r="B45" s="87"/>
      <c r="C45" s="89"/>
      <c r="D45" s="86"/>
      <c r="E45" s="68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</row>
    <row x14ac:dyDescent="0.25" r="46" customHeight="1" ht="15.75">
      <c r="A46" s="19"/>
      <c r="B46" s="88"/>
      <c r="C46" s="66"/>
      <c r="D46" s="86"/>
      <c r="E46" s="68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x14ac:dyDescent="0.25" r="47" customHeight="1" ht="15.75">
      <c r="A47" s="19"/>
      <c r="B47" s="92">
        <v>23</v>
      </c>
      <c r="C47" s="86"/>
      <c r="D47" s="86"/>
      <c r="E47" s="68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x14ac:dyDescent="0.25" r="48" customHeight="1" ht="15.75">
      <c r="A48" s="19"/>
      <c r="B48" s="85">
        <v>24</v>
      </c>
      <c r="C48" s="89"/>
      <c r="D48" s="86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x14ac:dyDescent="0.25" r="49" customHeight="1" ht="15.75">
      <c r="A49" s="19"/>
      <c r="B49" s="87"/>
      <c r="C49" s="66"/>
      <c r="D49" s="86"/>
      <c r="E49" s="68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x14ac:dyDescent="0.25" r="50" customHeight="1" ht="15.75">
      <c r="A50" s="19"/>
      <c r="B50" s="87"/>
      <c r="C50" s="86"/>
      <c r="D50" s="86"/>
      <c r="E50" s="68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x14ac:dyDescent="0.25" r="51" customHeight="1" ht="15.75">
      <c r="A51" s="19"/>
      <c r="B51" s="87"/>
      <c r="C51" s="86"/>
      <c r="D51" s="86"/>
      <c r="E51" s="68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x14ac:dyDescent="0.25" r="52" customHeight="1" ht="15.75">
      <c r="A52" s="19"/>
      <c r="B52" s="88"/>
      <c r="C52" s="86"/>
      <c r="D52" s="86"/>
      <c r="E52" s="68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x14ac:dyDescent="0.25" r="53" customHeight="1" ht="15.75">
      <c r="A53" s="19"/>
      <c r="B53" s="85">
        <v>25</v>
      </c>
      <c r="C53" s="86"/>
      <c r="D53" s="86"/>
      <c r="E53" s="68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x14ac:dyDescent="0.25" r="54" customHeight="1" ht="15.75">
      <c r="A54" s="19"/>
      <c r="B54" s="87"/>
      <c r="C54" s="89"/>
      <c r="D54" s="86"/>
      <c r="E54" s="68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x14ac:dyDescent="0.25" r="55" customHeight="1" ht="15.75">
      <c r="A55" s="19"/>
      <c r="B55" s="88"/>
      <c r="C55" s="66"/>
      <c r="D55" s="86"/>
      <c r="E55" s="68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x14ac:dyDescent="0.25" r="56" customHeight="1" ht="15.75">
      <c r="A56" s="19"/>
      <c r="B56" s="92">
        <v>26</v>
      </c>
      <c r="C56" s="86"/>
      <c r="D56" s="86"/>
      <c r="E56" s="68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x14ac:dyDescent="0.25" r="57" customHeight="1" ht="49.5">
      <c r="A57" s="19"/>
      <c r="B57" s="92">
        <v>27</v>
      </c>
      <c r="C57" s="86"/>
      <c r="D57" s="86"/>
      <c r="E57" s="68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x14ac:dyDescent="0.25" r="58" customHeight="1" ht="49.5">
      <c r="A58" s="19"/>
      <c r="B58" s="92">
        <v>28</v>
      </c>
      <c r="C58" s="86"/>
      <c r="D58" s="86"/>
      <c r="E58" s="68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x14ac:dyDescent="0.25" r="59" customHeight="1" ht="15.75">
      <c r="A59" s="19"/>
      <c r="B59" s="92">
        <v>33</v>
      </c>
      <c r="C59" s="86"/>
      <c r="D59" s="86"/>
      <c r="E59" s="68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x14ac:dyDescent="0.25" r="60" customHeight="1" ht="15.75">
      <c r="A60" s="19"/>
      <c r="B60" s="85">
        <v>34</v>
      </c>
      <c r="C60" s="89"/>
      <c r="D60" s="86"/>
      <c r="E60" s="68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x14ac:dyDescent="0.25" r="61" customHeight="1" ht="15.75">
      <c r="A61" s="19"/>
      <c r="B61" s="88"/>
      <c r="C61" s="66"/>
      <c r="D61" s="86"/>
      <c r="E61" s="68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x14ac:dyDescent="0.25" r="62" customHeight="1" ht="15.75">
      <c r="A62" s="19"/>
      <c r="B62" s="92">
        <v>35</v>
      </c>
      <c r="C62" s="32"/>
      <c r="D62" s="32"/>
      <c r="E62" s="68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x14ac:dyDescent="0.25" r="63" customHeight="1" ht="15.75">
      <c r="A63" s="19"/>
      <c r="B63" s="92">
        <v>36</v>
      </c>
      <c r="C63" s="32"/>
      <c r="D63" s="32"/>
      <c r="E63" s="68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x14ac:dyDescent="0.25" r="64" customHeight="1" ht="49.5">
      <c r="A64" s="19"/>
      <c r="B64" s="85">
        <v>37</v>
      </c>
      <c r="C64" s="32"/>
      <c r="D64" s="32"/>
      <c r="E64" s="68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</row>
    <row x14ac:dyDescent="0.25" r="65" customHeight="1" ht="15.75">
      <c r="A65" s="19"/>
      <c r="B65" s="87"/>
      <c r="C65" s="93"/>
      <c r="D65" s="32"/>
      <c r="E65" s="68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x14ac:dyDescent="0.25" r="66" customHeight="1" ht="15.75">
      <c r="A66" s="19"/>
      <c r="B66" s="88"/>
      <c r="C66" s="66"/>
      <c r="D66" s="32"/>
      <c r="E66" s="68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x14ac:dyDescent="0.25" r="67" customHeight="1" ht="15.75">
      <c r="A67" s="19"/>
      <c r="B67" s="85">
        <v>38</v>
      </c>
      <c r="C67" s="32"/>
      <c r="D67" s="32"/>
      <c r="E67" s="68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x14ac:dyDescent="0.25" r="68" customHeight="1" ht="15.75">
      <c r="A68" s="19"/>
      <c r="B68" s="87"/>
      <c r="C68" s="32"/>
      <c r="D68" s="32"/>
      <c r="E68" s="68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x14ac:dyDescent="0.25" r="69" customHeight="1" ht="15.75">
      <c r="A69" s="19"/>
      <c r="B69" s="87"/>
      <c r="C69" s="93"/>
      <c r="D69" s="32"/>
      <c r="E69" s="68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x14ac:dyDescent="0.25" r="70" customHeight="1" ht="15.75">
      <c r="A70" s="19"/>
      <c r="B70" s="88"/>
      <c r="C70" s="66"/>
      <c r="D70" s="32"/>
      <c r="E70" s="68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x14ac:dyDescent="0.25" r="71" customHeight="1" ht="15.75">
      <c r="A71" s="19"/>
      <c r="B71" s="92">
        <v>39</v>
      </c>
      <c r="C71" s="32"/>
      <c r="D71" s="32"/>
      <c r="E71" s="68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x14ac:dyDescent="0.25" r="72" customHeight="1" ht="49.5">
      <c r="A72" s="19"/>
      <c r="B72" s="92">
        <v>40</v>
      </c>
      <c r="C72" s="32"/>
      <c r="D72" s="32"/>
      <c r="E72" s="68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x14ac:dyDescent="0.25" r="73" customHeight="1" ht="49.5">
      <c r="A73" s="19"/>
      <c r="B73" s="85">
        <v>41</v>
      </c>
      <c r="C73" s="93"/>
      <c r="D73" s="32"/>
      <c r="E73" s="68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x14ac:dyDescent="0.25" r="74" customHeight="1" ht="49.5">
      <c r="A74" s="19"/>
      <c r="B74" s="87"/>
      <c r="C74" s="66"/>
      <c r="D74" s="32"/>
      <c r="E74" s="68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x14ac:dyDescent="0.25" r="75" customHeight="1" ht="15.75">
      <c r="A75" s="19"/>
      <c r="B75" s="87"/>
      <c r="C75" s="93"/>
      <c r="D75" s="32"/>
      <c r="E75" s="68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x14ac:dyDescent="0.25" r="76" customHeight="1" ht="15.75">
      <c r="A76" s="19"/>
      <c r="B76" s="88"/>
      <c r="C76" s="66"/>
      <c r="D76" s="32"/>
      <c r="E76" s="68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x14ac:dyDescent="0.25" r="77" customHeight="1" ht="49.5">
      <c r="A77" s="19"/>
      <c r="B77" s="85">
        <v>42</v>
      </c>
      <c r="C77" s="32"/>
      <c r="D77" s="32"/>
      <c r="E77" s="68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x14ac:dyDescent="0.25" r="78" customHeight="1" ht="49.5">
      <c r="A78" s="19"/>
      <c r="B78" s="87"/>
      <c r="C78" s="32"/>
      <c r="D78" s="32"/>
      <c r="E78" s="68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x14ac:dyDescent="0.25" r="79" customHeight="1" ht="15.75">
      <c r="A79" s="19"/>
      <c r="B79" s="87"/>
      <c r="C79" s="93"/>
      <c r="D79" s="32"/>
      <c r="E79" s="68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x14ac:dyDescent="0.25" r="80" customHeight="1" ht="15.75">
      <c r="A80" s="19"/>
      <c r="B80" s="88"/>
      <c r="C80" s="66"/>
      <c r="D80" s="32"/>
      <c r="E80" s="68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x14ac:dyDescent="0.25" r="81" customHeight="1" ht="15.75">
      <c r="A81" s="19"/>
      <c r="B81" s="85">
        <v>43</v>
      </c>
      <c r="C81" s="93"/>
      <c r="D81" s="32"/>
      <c r="E81" s="68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x14ac:dyDescent="0.25" r="82" customHeight="1" ht="15.75">
      <c r="A82" s="19"/>
      <c r="B82" s="87"/>
      <c r="C82" s="66"/>
      <c r="D82" s="32"/>
      <c r="E82" s="68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x14ac:dyDescent="0.25" r="83" customHeight="1" ht="15.75">
      <c r="A83" s="19"/>
      <c r="B83" s="87"/>
      <c r="C83" s="93"/>
      <c r="D83" s="32"/>
      <c r="E83" s="68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x14ac:dyDescent="0.25" r="84" customHeight="1" ht="15.75">
      <c r="A84" s="19"/>
      <c r="B84" s="88"/>
      <c r="C84" s="66"/>
      <c r="D84" s="32"/>
      <c r="E84" s="68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x14ac:dyDescent="0.25" r="85" customHeight="1" ht="15.75">
      <c r="A85" s="19"/>
      <c r="B85" s="85">
        <v>45</v>
      </c>
      <c r="C85" s="93"/>
      <c r="D85" s="32"/>
      <c r="E85" s="68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x14ac:dyDescent="0.25" r="86" customHeight="1" ht="49.5">
      <c r="A86" s="19"/>
      <c r="B86" s="87"/>
      <c r="C86" s="66"/>
      <c r="D86" s="32"/>
      <c r="E86" s="68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x14ac:dyDescent="0.25" r="87" customHeight="1" ht="49.5">
      <c r="A87" s="19"/>
      <c r="B87" s="87"/>
      <c r="C87" s="32"/>
      <c r="D87" s="32"/>
      <c r="E87" s="68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x14ac:dyDescent="0.25" r="88" customHeight="1" ht="15.75">
      <c r="A88" s="19"/>
      <c r="B88" s="87"/>
      <c r="C88" s="93"/>
      <c r="D88" s="32"/>
      <c r="E88" s="68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x14ac:dyDescent="0.25" r="89" customHeight="1" ht="15.75">
      <c r="A89" s="19"/>
      <c r="B89" s="88"/>
      <c r="C89" s="66"/>
      <c r="D89" s="32"/>
      <c r="E89" s="68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x14ac:dyDescent="0.25" r="90" customHeight="1" ht="15.75">
      <c r="A90" s="19"/>
      <c r="B90" s="85">
        <v>46</v>
      </c>
      <c r="C90" s="93"/>
      <c r="D90" s="32"/>
      <c r="E90" s="68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x14ac:dyDescent="0.25" r="91" customHeight="1" ht="15.75">
      <c r="A91" s="19"/>
      <c r="B91" s="87"/>
      <c r="C91" s="66"/>
      <c r="D91" s="32"/>
      <c r="E91" s="68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x14ac:dyDescent="0.25" r="92" customHeight="1" ht="15.75">
      <c r="A92" s="19"/>
      <c r="B92" s="87"/>
      <c r="C92" s="32"/>
      <c r="D92" s="32"/>
      <c r="E92" s="68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x14ac:dyDescent="0.25" r="93" customHeight="1" ht="15.75">
      <c r="A93" s="19"/>
      <c r="B93" s="87"/>
      <c r="C93" s="93"/>
      <c r="D93" s="32"/>
      <c r="E93" s="68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x14ac:dyDescent="0.25" r="94" customHeight="1" ht="15.75">
      <c r="A94" s="19"/>
      <c r="B94" s="87"/>
      <c r="C94" s="66"/>
      <c r="D94" s="32"/>
      <c r="E94" s="68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x14ac:dyDescent="0.25" r="95" customHeight="1" ht="15.75">
      <c r="A95" s="19"/>
      <c r="B95" s="88"/>
      <c r="C95" s="32"/>
      <c r="D95" s="32"/>
      <c r="E95" s="68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</row>
    <row x14ac:dyDescent="0.25" r="96" customHeight="1" ht="15.75">
      <c r="A96" s="19"/>
      <c r="B96" s="85">
        <v>47</v>
      </c>
      <c r="C96" s="32"/>
      <c r="D96" s="32"/>
      <c r="E96" s="68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</row>
    <row x14ac:dyDescent="0.25" r="97" customHeight="1" ht="15.75">
      <c r="A97" s="19"/>
      <c r="B97" s="87"/>
      <c r="C97" s="93"/>
      <c r="D97" s="32"/>
      <c r="E97" s="68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x14ac:dyDescent="0.25" r="98" customHeight="1" ht="15.75">
      <c r="A98" s="19"/>
      <c r="B98" s="88"/>
      <c r="C98" s="66"/>
      <c r="D98" s="32"/>
      <c r="E98" s="68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x14ac:dyDescent="0.25" r="99" customHeight="1" ht="15.75">
      <c r="A99" s="19"/>
      <c r="B99" s="85">
        <v>48</v>
      </c>
      <c r="C99" s="32"/>
      <c r="D99" s="32"/>
      <c r="E99" s="68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x14ac:dyDescent="0.25" r="100" customHeight="1" ht="15.75">
      <c r="A100" s="19"/>
      <c r="B100" s="87"/>
      <c r="C100" s="93"/>
      <c r="D100" s="32"/>
      <c r="E100" s="68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x14ac:dyDescent="0.25" r="101" customHeight="1" ht="15.75">
      <c r="A101" s="19"/>
      <c r="B101" s="88"/>
      <c r="C101" s="66"/>
      <c r="D101" s="32"/>
      <c r="E101" s="68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  <row x14ac:dyDescent="0.25" r="102" customHeight="1" ht="15.75">
      <c r="A102" s="19"/>
      <c r="B102" s="85">
        <v>49</v>
      </c>
      <c r="C102" s="32"/>
      <c r="D102" s="32"/>
      <c r="E102" s="68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</row>
    <row x14ac:dyDescent="0.25" r="103" customHeight="1" ht="35.25">
      <c r="A103" s="19"/>
      <c r="B103" s="88"/>
      <c r="C103" s="32"/>
      <c r="D103" s="32"/>
      <c r="E103" s="68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</row>
    <row x14ac:dyDescent="0.25" r="104" customHeight="1" ht="15.75">
      <c r="A104" s="19"/>
      <c r="B104" s="85">
        <v>50</v>
      </c>
      <c r="C104" s="93"/>
      <c r="D104" s="32"/>
      <c r="E104" s="68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</row>
    <row x14ac:dyDescent="0.25" r="105" customHeight="1" ht="38.25">
      <c r="A105" s="19"/>
      <c r="B105" s="87"/>
      <c r="C105" s="66"/>
      <c r="D105" s="32"/>
      <c r="E105" s="68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</row>
    <row x14ac:dyDescent="0.25" r="106" customHeight="1" ht="15.75">
      <c r="A106" s="19"/>
      <c r="B106" s="87"/>
      <c r="C106" s="93"/>
      <c r="D106" s="32"/>
      <c r="E106" s="68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</row>
    <row x14ac:dyDescent="0.25" r="107" customHeight="1" ht="15.75">
      <c r="A107" s="19"/>
      <c r="B107" s="88"/>
      <c r="C107" s="66"/>
      <c r="D107" s="32"/>
      <c r="E107" s="68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</row>
    <row x14ac:dyDescent="0.25" r="108" customHeight="1" ht="15.75">
      <c r="A108" s="19"/>
      <c r="B108" s="92">
        <v>51</v>
      </c>
      <c r="C108" s="32"/>
      <c r="D108" s="32"/>
      <c r="E108" s="68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</row>
    <row x14ac:dyDescent="0.25" r="109" customHeight="1" ht="15.75">
      <c r="A109" s="19"/>
      <c r="B109" s="92">
        <v>52</v>
      </c>
      <c r="C109" s="32"/>
      <c r="D109" s="32"/>
      <c r="E109" s="68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</row>
    <row x14ac:dyDescent="0.25" r="110" customHeight="1" ht="15.75">
      <c r="A110" s="19"/>
      <c r="B110" s="85">
        <v>53</v>
      </c>
      <c r="C110" s="32"/>
      <c r="D110" s="32"/>
      <c r="E110" s="68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</row>
    <row x14ac:dyDescent="0.25" r="111" customHeight="1" ht="15.75">
      <c r="A111" s="19"/>
      <c r="B111" s="87"/>
      <c r="C111" s="32"/>
      <c r="D111" s="32"/>
      <c r="E111" s="68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</row>
    <row x14ac:dyDescent="0.25" r="112" customHeight="1" ht="15.75">
      <c r="A112" s="19"/>
      <c r="B112" s="87"/>
      <c r="C112" s="93"/>
      <c r="D112" s="32"/>
      <c r="E112" s="68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</row>
    <row x14ac:dyDescent="0.25" r="113" customHeight="1" ht="15.75">
      <c r="A113" s="19"/>
      <c r="B113" s="87"/>
      <c r="C113" s="90"/>
      <c r="D113" s="32"/>
      <c r="E113" s="68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</row>
    <row x14ac:dyDescent="0.25" r="114" customHeight="1" ht="15.75">
      <c r="A114" s="19"/>
      <c r="B114" s="88"/>
      <c r="C114" s="66"/>
      <c r="D114" s="32"/>
      <c r="E114" s="68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</row>
    <row x14ac:dyDescent="0.25" r="115" customHeight="1" ht="15.75">
      <c r="A115" s="19"/>
      <c r="B115" s="85">
        <v>54</v>
      </c>
      <c r="C115" s="93"/>
      <c r="D115" s="32"/>
      <c r="E115" s="68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</row>
    <row x14ac:dyDescent="0.25" r="116" customHeight="1" ht="15.75">
      <c r="A116" s="19"/>
      <c r="B116" s="88"/>
      <c r="C116" s="66"/>
      <c r="D116" s="32"/>
      <c r="E116" s="68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</row>
    <row x14ac:dyDescent="0.25" r="117" customHeight="1" ht="15.75">
      <c r="A117" s="19"/>
      <c r="B117" s="85">
        <v>55</v>
      </c>
      <c r="C117" s="93"/>
      <c r="D117" s="32"/>
      <c r="E117" s="68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</row>
    <row x14ac:dyDescent="0.25" r="118" customHeight="1" ht="15.75">
      <c r="A118" s="19"/>
      <c r="B118" s="88"/>
      <c r="C118" s="66"/>
      <c r="D118" s="32"/>
      <c r="E118" s="68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</row>
    <row x14ac:dyDescent="0.25" r="119" customHeight="1" ht="15.75">
      <c r="A119" s="19"/>
      <c r="B119" s="85">
        <v>56</v>
      </c>
      <c r="C119" s="32"/>
      <c r="D119" s="93"/>
      <c r="E119" s="68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</row>
    <row x14ac:dyDescent="0.25" r="120" customHeight="1" ht="15.75">
      <c r="A120" s="19"/>
      <c r="B120" s="87"/>
      <c r="C120" s="32"/>
      <c r="D120" s="66"/>
      <c r="E120" s="68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</row>
    <row x14ac:dyDescent="0.25" r="121" customHeight="1" ht="15.75">
      <c r="A121" s="19"/>
      <c r="B121" s="88"/>
      <c r="C121" s="32"/>
      <c r="D121" s="32"/>
      <c r="E121" s="68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</row>
    <row x14ac:dyDescent="0.25" r="122" customHeight="1" ht="15.75">
      <c r="A122" s="19"/>
      <c r="B122" s="85">
        <v>57</v>
      </c>
      <c r="C122" s="32"/>
      <c r="D122" s="32"/>
      <c r="E122" s="68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</row>
    <row x14ac:dyDescent="0.25" r="123" customHeight="1" ht="15.75">
      <c r="A123" s="19"/>
      <c r="B123" s="87"/>
      <c r="C123" s="93"/>
      <c r="D123" s="32"/>
      <c r="E123" s="68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</row>
    <row x14ac:dyDescent="0.25" r="124" customHeight="1" ht="15.75">
      <c r="A124" s="19"/>
      <c r="B124" s="88"/>
      <c r="C124" s="66"/>
      <c r="D124" s="32"/>
      <c r="E124" s="68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</row>
    <row x14ac:dyDescent="0.25" r="125" customHeight="1" ht="26.25">
      <c r="A125" s="19"/>
      <c r="B125" s="85">
        <v>58</v>
      </c>
      <c r="C125" s="32"/>
      <c r="D125" s="32"/>
      <c r="E125" s="68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</row>
    <row x14ac:dyDescent="0.25" r="126" customHeight="1" ht="15.75">
      <c r="A126" s="19"/>
      <c r="B126" s="87"/>
      <c r="C126" s="32"/>
      <c r="D126" s="32"/>
      <c r="E126" s="68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</row>
    <row x14ac:dyDescent="0.25" r="127" customHeight="1" ht="15.75">
      <c r="A127" s="19"/>
      <c r="B127" s="87"/>
      <c r="C127" s="93"/>
      <c r="D127" s="32"/>
      <c r="E127" s="68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</row>
    <row x14ac:dyDescent="0.25" r="128" customHeight="1" ht="15.75">
      <c r="A128" s="19"/>
      <c r="B128" s="88"/>
      <c r="C128" s="66"/>
      <c r="D128" s="32"/>
      <c r="E128" s="68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</row>
    <row x14ac:dyDescent="0.25" r="129" customHeight="1" ht="15.75">
      <c r="A129" s="19"/>
      <c r="B129" s="92">
        <v>59</v>
      </c>
      <c r="C129" s="32"/>
      <c r="D129" s="32"/>
      <c r="E129" s="68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</row>
    <row x14ac:dyDescent="0.25" r="130" customHeight="1" ht="15.75">
      <c r="A130" s="19"/>
      <c r="B130" s="92">
        <v>60</v>
      </c>
      <c r="C130" s="32"/>
      <c r="D130" s="32"/>
      <c r="E130" s="68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</row>
    <row x14ac:dyDescent="0.25" r="131" customHeight="1" ht="15.75">
      <c r="A131" s="19"/>
      <c r="B131" s="92">
        <v>61</v>
      </c>
      <c r="C131" s="32"/>
      <c r="D131" s="32"/>
      <c r="E131" s="68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</row>
    <row x14ac:dyDescent="0.25" r="132" customHeight="1" ht="15.75">
      <c r="A132" s="19"/>
      <c r="B132" s="85">
        <v>63</v>
      </c>
      <c r="C132" s="32"/>
      <c r="D132" s="32"/>
      <c r="E132" s="68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</row>
    <row x14ac:dyDescent="0.25" r="133" customHeight="1" ht="15.75">
      <c r="A133" s="19"/>
      <c r="B133" s="87"/>
      <c r="C133" s="93"/>
      <c r="D133" s="32"/>
      <c r="E133" s="68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</row>
    <row x14ac:dyDescent="0.25" r="134" customHeight="1" ht="15.75">
      <c r="A134" s="19"/>
      <c r="B134" s="88"/>
      <c r="C134" s="66"/>
      <c r="D134" s="32"/>
      <c r="E134" s="68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</row>
    <row x14ac:dyDescent="0.25" r="135" customHeight="1" ht="15.75">
      <c r="A135" s="19"/>
      <c r="B135" s="85">
        <v>64</v>
      </c>
      <c r="C135" s="93"/>
      <c r="D135" s="32"/>
      <c r="E135" s="68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</row>
    <row x14ac:dyDescent="0.25" r="136" customHeight="1" ht="15.75">
      <c r="A136" s="19"/>
      <c r="B136" s="87"/>
      <c r="C136" s="66"/>
      <c r="D136" s="32"/>
      <c r="E136" s="68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</row>
    <row x14ac:dyDescent="0.25" r="137" customHeight="1" ht="15.75">
      <c r="A137" s="19"/>
      <c r="B137" s="87"/>
      <c r="C137" s="32"/>
      <c r="D137" s="32"/>
      <c r="E137" s="68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</row>
    <row x14ac:dyDescent="0.25" r="138" customHeight="1" ht="15.75">
      <c r="A138" s="19"/>
      <c r="B138" s="88"/>
      <c r="C138" s="32"/>
      <c r="D138" s="32"/>
      <c r="E138" s="68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</row>
    <row x14ac:dyDescent="0.25" r="139" customHeight="1" ht="15.75">
      <c r="A139" s="19"/>
      <c r="B139" s="85">
        <v>65</v>
      </c>
      <c r="C139" s="93"/>
      <c r="D139" s="32"/>
      <c r="E139" s="68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</row>
    <row x14ac:dyDescent="0.25" r="140" customHeight="1" ht="15.75">
      <c r="A140" s="19"/>
      <c r="B140" s="87"/>
      <c r="C140" s="66"/>
      <c r="D140" s="32"/>
      <c r="E140" s="68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</row>
    <row x14ac:dyDescent="0.25" r="141" customHeight="1" ht="15.75">
      <c r="A141" s="19"/>
      <c r="B141" s="88"/>
      <c r="C141" s="32"/>
      <c r="D141" s="32"/>
      <c r="E141" s="68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</row>
    <row x14ac:dyDescent="0.25" r="142" customHeight="1" ht="15.75">
      <c r="A142" s="19"/>
      <c r="B142" s="85">
        <v>66</v>
      </c>
      <c r="C142" s="93"/>
      <c r="D142" s="32"/>
      <c r="E142" s="68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</row>
    <row x14ac:dyDescent="0.25" r="143" customHeight="1" ht="15.75">
      <c r="A143" s="19"/>
      <c r="B143" s="87"/>
      <c r="C143" s="66"/>
      <c r="D143" s="32"/>
      <c r="E143" s="68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</row>
    <row x14ac:dyDescent="0.25" r="144" customHeight="1" ht="15.75">
      <c r="A144" s="19"/>
      <c r="B144" s="87"/>
      <c r="C144" s="93"/>
      <c r="D144" s="32"/>
      <c r="E144" s="68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</row>
    <row x14ac:dyDescent="0.25" r="145" customHeight="1" ht="15.75">
      <c r="A145" s="19"/>
      <c r="B145" s="87"/>
      <c r="C145" s="90"/>
      <c r="D145" s="32"/>
      <c r="E145" s="68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</row>
    <row x14ac:dyDescent="0.25" r="146" customHeight="1" ht="15.75">
      <c r="A146" s="19"/>
      <c r="B146" s="88"/>
      <c r="C146" s="66"/>
      <c r="D146" s="32"/>
      <c r="E146" s="68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</row>
    <row x14ac:dyDescent="0.25" r="147" customHeight="1" ht="15.75">
      <c r="A147" s="19"/>
      <c r="B147" s="85">
        <v>68</v>
      </c>
      <c r="C147" s="93"/>
      <c r="D147" s="32"/>
      <c r="E147" s="68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</row>
    <row x14ac:dyDescent="0.25" r="148" customHeight="1" ht="15.75">
      <c r="A148" s="19"/>
      <c r="B148" s="87"/>
      <c r="C148" s="66"/>
      <c r="D148" s="32"/>
      <c r="E148" s="68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</row>
    <row x14ac:dyDescent="0.25" r="149" customHeight="1" ht="15.75">
      <c r="A149" s="19"/>
      <c r="B149" s="88"/>
      <c r="C149" s="32"/>
      <c r="D149" s="32"/>
      <c r="E149" s="68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</row>
    <row x14ac:dyDescent="0.25" r="150" customHeight="1" ht="15.75">
      <c r="A150" s="19"/>
      <c r="B150" s="85">
        <v>69</v>
      </c>
      <c r="C150" s="32"/>
      <c r="D150" s="32"/>
      <c r="E150" s="68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</row>
    <row x14ac:dyDescent="0.25" r="151" customHeight="1" ht="15.75">
      <c r="A151" s="19"/>
      <c r="B151" s="88"/>
      <c r="C151" s="32"/>
      <c r="D151" s="32"/>
      <c r="E151" s="68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</row>
    <row x14ac:dyDescent="0.25" r="152" customHeight="1" ht="15.75">
      <c r="A152" s="19"/>
      <c r="B152" s="85">
        <v>70</v>
      </c>
      <c r="C152" s="32"/>
      <c r="D152" s="32"/>
      <c r="E152" s="68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</row>
    <row x14ac:dyDescent="0.25" r="153" customHeight="1" ht="15.75">
      <c r="A153" s="19"/>
      <c r="B153" s="87"/>
      <c r="C153" s="93"/>
      <c r="D153" s="32"/>
      <c r="E153" s="68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</row>
    <row x14ac:dyDescent="0.25" r="154" customHeight="1" ht="15.75">
      <c r="A154" s="19"/>
      <c r="B154" s="88"/>
      <c r="C154" s="66"/>
      <c r="D154" s="32"/>
      <c r="E154" s="68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</row>
    <row x14ac:dyDescent="0.25" r="155" customHeight="1" ht="15.75">
      <c r="A155" s="19"/>
      <c r="B155" s="85">
        <v>72</v>
      </c>
      <c r="C155" s="93"/>
      <c r="D155" s="32"/>
      <c r="E155" s="68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</row>
    <row x14ac:dyDescent="0.25" r="156" customHeight="1" ht="15.75">
      <c r="A156" s="19"/>
      <c r="B156" s="88"/>
      <c r="C156" s="66"/>
      <c r="D156" s="32"/>
      <c r="E156" s="68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</row>
    <row x14ac:dyDescent="0.25" r="157" customHeight="1" ht="15.75">
      <c r="A157" s="19"/>
      <c r="B157" s="92">
        <v>73</v>
      </c>
      <c r="C157" s="32"/>
      <c r="D157" s="32"/>
      <c r="E157" s="68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</row>
    <row x14ac:dyDescent="0.25" r="158" customHeight="1" ht="15.75">
      <c r="A158" s="19"/>
      <c r="B158" s="85">
        <v>74</v>
      </c>
      <c r="C158" s="93"/>
      <c r="D158" s="32"/>
      <c r="E158" s="68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</row>
    <row x14ac:dyDescent="0.25" r="159" customHeight="1" ht="15.75">
      <c r="A159" s="19"/>
      <c r="B159" s="87"/>
      <c r="C159" s="66"/>
      <c r="D159" s="32"/>
      <c r="E159" s="68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</row>
    <row x14ac:dyDescent="0.25" r="160" customHeight="1" ht="15.75">
      <c r="A160" s="19"/>
      <c r="B160" s="87"/>
      <c r="C160" s="93"/>
      <c r="D160" s="32"/>
      <c r="E160" s="68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</row>
    <row x14ac:dyDescent="0.25" r="161" customHeight="1" ht="15.75">
      <c r="A161" s="19"/>
      <c r="B161" s="88"/>
      <c r="C161" s="66"/>
      <c r="D161" s="32"/>
      <c r="E161" s="68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</row>
    <row x14ac:dyDescent="0.25" r="162" customHeight="1" ht="15.75">
      <c r="A162" s="19"/>
      <c r="B162" s="85">
        <v>75</v>
      </c>
      <c r="C162" s="93"/>
      <c r="D162" s="32"/>
      <c r="E162" s="68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</row>
    <row x14ac:dyDescent="0.25" r="163" customHeight="1" ht="15.75">
      <c r="A163" s="19"/>
      <c r="B163" s="87"/>
      <c r="C163" s="66"/>
      <c r="D163" s="32"/>
      <c r="E163" s="68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</row>
    <row x14ac:dyDescent="0.25" r="164" customHeight="1" ht="15.75">
      <c r="A164" s="19"/>
      <c r="B164" s="88"/>
      <c r="C164" s="32"/>
      <c r="D164" s="32"/>
      <c r="E164" s="68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</row>
    <row x14ac:dyDescent="0.25" r="165" customHeight="1" ht="15.75">
      <c r="A165" s="19"/>
      <c r="B165" s="85">
        <v>76</v>
      </c>
      <c r="C165" s="32"/>
      <c r="D165" s="32"/>
      <c r="E165" s="68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</row>
    <row x14ac:dyDescent="0.25" r="166" customHeight="1" ht="15.75">
      <c r="A166" s="19"/>
      <c r="B166" s="88"/>
      <c r="C166" s="32"/>
      <c r="D166" s="32"/>
      <c r="E166" s="68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</row>
    <row x14ac:dyDescent="0.25" r="167" customHeight="1" ht="15.75">
      <c r="A167" s="19"/>
      <c r="B167" s="85">
        <v>77</v>
      </c>
      <c r="C167" s="11"/>
      <c r="D167" s="32"/>
      <c r="E167" s="68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</row>
    <row x14ac:dyDescent="0.25" r="168" customHeight="1" ht="15.75">
      <c r="A168" s="19"/>
      <c r="B168" s="87"/>
      <c r="C168" s="11"/>
      <c r="D168" s="32"/>
      <c r="E168" s="68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</row>
    <row x14ac:dyDescent="0.25" r="169" customHeight="1" ht="15.75">
      <c r="A169" s="19"/>
      <c r="B169" s="87"/>
      <c r="C169" s="93"/>
      <c r="D169" s="32"/>
      <c r="E169" s="68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</row>
    <row x14ac:dyDescent="0.25" r="170" customHeight="1" ht="15.75">
      <c r="A170" s="19"/>
      <c r="B170" s="87"/>
      <c r="C170" s="90"/>
      <c r="D170" s="32"/>
      <c r="E170" s="68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</row>
    <row x14ac:dyDescent="0.25" r="171" customHeight="1" ht="15.75">
      <c r="A171" s="19"/>
      <c r="B171" s="87"/>
      <c r="C171" s="90"/>
      <c r="D171" s="32"/>
      <c r="E171" s="68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</row>
    <row x14ac:dyDescent="0.25" r="172" customHeight="1" ht="15.75">
      <c r="A172" s="19"/>
      <c r="B172" s="88"/>
      <c r="C172" s="66"/>
      <c r="D172" s="32"/>
      <c r="E172" s="68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</row>
    <row x14ac:dyDescent="0.25" r="173" customHeight="1" ht="15.75">
      <c r="A173" s="19"/>
      <c r="B173" s="85">
        <v>78</v>
      </c>
      <c r="C173" s="32"/>
      <c r="D173" s="32"/>
      <c r="E173" s="68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</row>
    <row x14ac:dyDescent="0.25" r="174" customHeight="1" ht="15.75">
      <c r="A174" s="19"/>
      <c r="B174" s="87"/>
      <c r="C174" s="93"/>
      <c r="D174" s="32"/>
      <c r="E174" s="68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</row>
    <row x14ac:dyDescent="0.25" r="175" customHeight="1" ht="15.75">
      <c r="A175" s="19"/>
      <c r="B175" s="88"/>
      <c r="C175" s="66"/>
      <c r="D175" s="32"/>
      <c r="E175" s="68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</row>
    <row x14ac:dyDescent="0.25" r="176" customHeight="1" ht="15.75">
      <c r="A176" s="19"/>
      <c r="B176" s="85">
        <v>79</v>
      </c>
      <c r="C176" s="93"/>
      <c r="D176" s="32"/>
      <c r="E176" s="68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</row>
    <row x14ac:dyDescent="0.25" r="177" customHeight="1" ht="15.75">
      <c r="A177" s="19"/>
      <c r="B177" s="87"/>
      <c r="C177" s="66"/>
      <c r="D177" s="32"/>
      <c r="E177" s="68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</row>
    <row x14ac:dyDescent="0.25" r="178" customHeight="1" ht="15.75">
      <c r="A178" s="19"/>
      <c r="B178" s="87"/>
      <c r="C178" s="93"/>
      <c r="D178" s="32"/>
      <c r="E178" s="68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</row>
    <row x14ac:dyDescent="0.25" r="179" customHeight="1" ht="15.75">
      <c r="A179" s="19"/>
      <c r="B179" s="88"/>
      <c r="C179" s="66"/>
      <c r="D179" s="32"/>
      <c r="E179" s="68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</row>
    <row x14ac:dyDescent="0.25" r="180" customHeight="1" ht="15.75">
      <c r="A180" s="19"/>
      <c r="B180" s="85">
        <v>80</v>
      </c>
      <c r="C180" s="93"/>
      <c r="D180" s="32"/>
      <c r="E180" s="68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</row>
    <row x14ac:dyDescent="0.25" r="181" customHeight="1" ht="15.75">
      <c r="A181" s="19"/>
      <c r="B181" s="87"/>
      <c r="C181" s="66"/>
      <c r="D181" s="32"/>
      <c r="E181" s="68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</row>
    <row x14ac:dyDescent="0.25" r="182" customHeight="1" ht="15.75">
      <c r="A182" s="19"/>
      <c r="B182" s="88"/>
      <c r="C182" s="32"/>
      <c r="D182" s="32"/>
      <c r="E182" s="68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</row>
    <row x14ac:dyDescent="0.25" r="183" customHeight="1" ht="15.75">
      <c r="A183" s="19"/>
      <c r="B183" s="85">
        <v>81</v>
      </c>
      <c r="C183" s="32"/>
      <c r="D183" s="32"/>
      <c r="E183" s="68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</row>
    <row x14ac:dyDescent="0.25" r="184" customHeight="1" ht="15.75">
      <c r="A184" s="19"/>
      <c r="B184" s="87"/>
      <c r="C184" s="32"/>
      <c r="D184" s="32"/>
      <c r="E184" s="68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</row>
    <row x14ac:dyDescent="0.25" r="185" customHeight="1" ht="15.75">
      <c r="A185" s="19"/>
      <c r="B185" s="87"/>
      <c r="C185" s="93"/>
      <c r="D185" s="32"/>
      <c r="E185" s="68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</row>
    <row x14ac:dyDescent="0.25" r="186" customHeight="1" ht="15.75">
      <c r="A186" s="19"/>
      <c r="B186" s="88"/>
      <c r="C186" s="66"/>
      <c r="D186" s="32"/>
      <c r="E186" s="68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</row>
    <row x14ac:dyDescent="0.25" r="187" customHeight="1" ht="15.75">
      <c r="A187" s="19"/>
      <c r="B187" s="85">
        <v>82</v>
      </c>
      <c r="C187" s="93"/>
      <c r="D187" s="32"/>
      <c r="E187" s="68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</row>
    <row x14ac:dyDescent="0.25" r="188" customHeight="1" ht="15.75">
      <c r="A188" s="19"/>
      <c r="B188" s="87"/>
      <c r="C188" s="66"/>
      <c r="D188" s="32"/>
      <c r="E188" s="68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</row>
    <row x14ac:dyDescent="0.25" r="189" customHeight="1" ht="15.75">
      <c r="A189" s="19"/>
      <c r="B189" s="88"/>
      <c r="C189" s="32"/>
      <c r="D189" s="32"/>
      <c r="E189" s="68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</row>
    <row x14ac:dyDescent="0.25" r="190" customHeight="1" ht="15.75">
      <c r="A190" s="19"/>
      <c r="B190" s="92">
        <v>85</v>
      </c>
      <c r="C190" s="32"/>
      <c r="D190" s="32"/>
      <c r="E190" s="68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</row>
    <row x14ac:dyDescent="0.25" r="191" customHeight="1" ht="15.75">
      <c r="A191" s="19"/>
      <c r="B191" s="92">
        <v>86</v>
      </c>
      <c r="C191" s="32"/>
      <c r="D191" s="32"/>
      <c r="E191" s="68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</row>
    <row x14ac:dyDescent="0.25" r="192" customHeight="1" ht="15.75">
      <c r="A192" s="19"/>
      <c r="B192" s="92">
        <v>87</v>
      </c>
      <c r="C192" s="32"/>
      <c r="D192" s="32"/>
      <c r="E192" s="68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</row>
    <row x14ac:dyDescent="0.25" r="193" customHeight="1" ht="15.75">
      <c r="A193" s="19"/>
      <c r="B193" s="85">
        <v>88</v>
      </c>
      <c r="C193" s="93"/>
      <c r="D193" s="32"/>
      <c r="E193" s="68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</row>
    <row x14ac:dyDescent="0.25" r="194" customHeight="1" ht="15.75">
      <c r="A194" s="19"/>
      <c r="B194" s="87"/>
      <c r="C194" s="66"/>
      <c r="D194" s="32"/>
      <c r="E194" s="68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</row>
    <row x14ac:dyDescent="0.25" r="195" customHeight="1" ht="15.75">
      <c r="A195" s="19"/>
      <c r="B195" s="87"/>
      <c r="C195" s="32"/>
      <c r="D195" s="32"/>
      <c r="E195" s="68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</row>
    <row x14ac:dyDescent="0.25" r="196" customHeight="1" ht="15.75">
      <c r="A196" s="19"/>
      <c r="B196" s="88"/>
      <c r="C196" s="32"/>
      <c r="D196" s="32"/>
      <c r="E196" s="68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</row>
    <row x14ac:dyDescent="0.25" r="197" customHeight="1" ht="15.75">
      <c r="A197" s="19"/>
      <c r="B197" s="85">
        <v>89</v>
      </c>
      <c r="C197" s="32"/>
      <c r="D197" s="93"/>
      <c r="E197" s="68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</row>
    <row x14ac:dyDescent="0.25" r="198" customHeight="1" ht="15.75">
      <c r="A198" s="19"/>
      <c r="B198" s="88"/>
      <c r="C198" s="32"/>
      <c r="D198" s="66"/>
      <c r="E198" s="68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</row>
    <row x14ac:dyDescent="0.25" r="199" customHeight="1" ht="15.75">
      <c r="A199" s="19"/>
      <c r="B199" s="85">
        <v>90</v>
      </c>
      <c r="C199" s="32"/>
      <c r="D199" s="93"/>
      <c r="E199" s="68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</row>
    <row x14ac:dyDescent="0.25" r="200" customHeight="1" ht="15.75">
      <c r="A200" s="19"/>
      <c r="B200" s="88"/>
      <c r="C200" s="32"/>
      <c r="D200" s="66"/>
      <c r="E200" s="68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</row>
    <row x14ac:dyDescent="0.25" r="201" customHeight="1" ht="15.75">
      <c r="A201" s="19"/>
      <c r="B201" s="94"/>
      <c r="C201" s="19"/>
      <c r="D201" s="19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</row>
    <row x14ac:dyDescent="0.25" r="202" customHeight="1" ht="15.75">
      <c r="A202" s="19"/>
      <c r="B202" s="94"/>
      <c r="C202" s="19"/>
      <c r="D202" s="19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</row>
    <row x14ac:dyDescent="0.25" r="203" customHeight="1" ht="15.75">
      <c r="A203" s="19"/>
      <c r="B203" s="94"/>
      <c r="C203" s="19"/>
      <c r="D203" s="19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</row>
    <row x14ac:dyDescent="0.25" r="204" customHeight="1" ht="15.75">
      <c r="A204" s="19"/>
      <c r="B204" s="94"/>
      <c r="C204" s="19"/>
      <c r="D204" s="19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</row>
    <row x14ac:dyDescent="0.25" r="205" customHeight="1" ht="15.75">
      <c r="A205" s="19"/>
      <c r="B205" s="94"/>
      <c r="C205" s="19"/>
      <c r="D205" s="19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</row>
    <row x14ac:dyDescent="0.25" r="206" customHeight="1" ht="15.75">
      <c r="A206" s="19"/>
      <c r="B206" s="94"/>
      <c r="C206" s="19"/>
      <c r="D206" s="19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</row>
    <row x14ac:dyDescent="0.25" r="207" customHeight="1" ht="15.75">
      <c r="A207" s="19"/>
      <c r="B207" s="94"/>
      <c r="C207" s="19"/>
      <c r="D207" s="19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</row>
    <row x14ac:dyDescent="0.25" r="208" customHeight="1" ht="15.75">
      <c r="A208" s="19"/>
      <c r="B208" s="94"/>
      <c r="C208" s="19"/>
      <c r="D208" s="19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</row>
    <row x14ac:dyDescent="0.25" r="209" customHeight="1" ht="15.75">
      <c r="A209" s="19"/>
      <c r="B209" s="94"/>
      <c r="C209" s="19"/>
      <c r="D209" s="19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</row>
    <row x14ac:dyDescent="0.25" r="210" customHeight="1" ht="15.75">
      <c r="A210" s="19"/>
      <c r="B210" s="94"/>
      <c r="C210" s="19"/>
      <c r="D210" s="19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</row>
    <row x14ac:dyDescent="0.25" r="211" customHeight="1" ht="15.75">
      <c r="A211" s="19"/>
      <c r="B211" s="94"/>
      <c r="C211" s="19"/>
      <c r="D211" s="19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</row>
    <row x14ac:dyDescent="0.25" r="212" customHeight="1" ht="15.75">
      <c r="A212" s="19"/>
      <c r="B212" s="94"/>
      <c r="C212" s="19"/>
      <c r="D212" s="19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</row>
    <row x14ac:dyDescent="0.25" r="213" customHeight="1" ht="15.75">
      <c r="A213" s="19"/>
      <c r="B213" s="94"/>
      <c r="C213" s="19"/>
      <c r="D213" s="19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</row>
    <row x14ac:dyDescent="0.25" r="214" customHeight="1" ht="15.75">
      <c r="A214" s="19"/>
      <c r="B214" s="94"/>
      <c r="C214" s="19"/>
      <c r="D214" s="19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</row>
    <row x14ac:dyDescent="0.25" r="215" customHeight="1" ht="15.75">
      <c r="A215" s="19"/>
      <c r="B215" s="94"/>
      <c r="C215" s="19"/>
      <c r="D215" s="19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</row>
    <row x14ac:dyDescent="0.25" r="216" customHeight="1" ht="15.75">
      <c r="A216" s="19"/>
      <c r="B216" s="94"/>
      <c r="C216" s="19"/>
      <c r="D216" s="19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</row>
    <row x14ac:dyDescent="0.25" r="217" customHeight="1" ht="15.75">
      <c r="A217" s="19"/>
      <c r="B217" s="94"/>
      <c r="C217" s="19"/>
      <c r="D217" s="19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</row>
    <row x14ac:dyDescent="0.25" r="218" customHeight="1" ht="15.75">
      <c r="A218" s="19"/>
      <c r="B218" s="94"/>
      <c r="C218" s="19"/>
      <c r="D218" s="19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</row>
    <row x14ac:dyDescent="0.25" r="219" customHeight="1" ht="15.75">
      <c r="A219" s="19"/>
      <c r="B219" s="94"/>
      <c r="C219" s="19"/>
      <c r="D219" s="19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</row>
    <row x14ac:dyDescent="0.25" r="220" customHeight="1" ht="15.75">
      <c r="A220" s="19"/>
      <c r="B220" s="94"/>
      <c r="C220" s="19"/>
      <c r="D220" s="19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</row>
    <row x14ac:dyDescent="0.25" r="221" customHeight="1" ht="15.75">
      <c r="A221" s="19"/>
      <c r="B221" s="94"/>
      <c r="C221" s="19"/>
      <c r="D221" s="19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</row>
    <row x14ac:dyDescent="0.25" r="222" customHeight="1" ht="15.75">
      <c r="A222" s="19"/>
      <c r="B222" s="94"/>
      <c r="C222" s="19"/>
      <c r="D222" s="19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</row>
    <row x14ac:dyDescent="0.25" r="223" customHeight="1" ht="15.75">
      <c r="A223" s="19"/>
      <c r="B223" s="94"/>
      <c r="C223" s="19"/>
      <c r="D223" s="19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</row>
    <row x14ac:dyDescent="0.25" r="224" customHeight="1" ht="15.75">
      <c r="A224" s="19"/>
      <c r="B224" s="94"/>
      <c r="C224" s="19"/>
      <c r="D224" s="19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</row>
    <row x14ac:dyDescent="0.25" r="225" customHeight="1" ht="15.75">
      <c r="A225" s="19"/>
      <c r="B225" s="94"/>
      <c r="C225" s="19"/>
      <c r="D225" s="19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</row>
    <row x14ac:dyDescent="0.25" r="226" customHeight="1" ht="15.75">
      <c r="A226" s="19"/>
      <c r="B226" s="94"/>
      <c r="C226" s="19"/>
      <c r="D226" s="19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</row>
    <row x14ac:dyDescent="0.25" r="227" customHeight="1" ht="15.75">
      <c r="A227" s="19"/>
      <c r="B227" s="94"/>
      <c r="C227" s="19"/>
      <c r="D227" s="19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</row>
    <row x14ac:dyDescent="0.25" r="228" customHeight="1" ht="15.75">
      <c r="A228" s="19"/>
      <c r="B228" s="94"/>
      <c r="C228" s="19"/>
      <c r="D228" s="19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</row>
    <row x14ac:dyDescent="0.25" r="229" customHeight="1" ht="15.75">
      <c r="A229" s="19"/>
      <c r="B229" s="94"/>
      <c r="C229" s="19"/>
      <c r="D229" s="19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</row>
    <row x14ac:dyDescent="0.25" r="230" customHeight="1" ht="15.75">
      <c r="A230" s="19"/>
      <c r="B230" s="94"/>
      <c r="C230" s="19"/>
      <c r="D230" s="19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</row>
    <row x14ac:dyDescent="0.25" r="231" customHeight="1" ht="15.75">
      <c r="A231" s="19"/>
      <c r="B231" s="94"/>
      <c r="C231" s="19"/>
      <c r="D231" s="19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</row>
    <row x14ac:dyDescent="0.25" r="232" customHeight="1" ht="15.75">
      <c r="A232" s="19"/>
      <c r="B232" s="94"/>
      <c r="C232" s="19"/>
      <c r="D232" s="19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</row>
    <row x14ac:dyDescent="0.25" r="233" customHeight="1" ht="15.75">
      <c r="A233" s="19"/>
      <c r="B233" s="94"/>
      <c r="C233" s="19"/>
      <c r="D233" s="19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</row>
    <row x14ac:dyDescent="0.25" r="234" customHeight="1" ht="15.75">
      <c r="A234" s="19"/>
      <c r="B234" s="94"/>
      <c r="C234" s="19"/>
      <c r="D234" s="19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</row>
    <row x14ac:dyDescent="0.25" r="235" customHeight="1" ht="15.75">
      <c r="A235" s="19"/>
      <c r="B235" s="94"/>
      <c r="C235" s="19"/>
      <c r="D235" s="19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</row>
    <row x14ac:dyDescent="0.25" r="236" customHeight="1" ht="15.75">
      <c r="A236" s="19"/>
      <c r="B236" s="94"/>
      <c r="C236" s="19"/>
      <c r="D236" s="19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</row>
    <row x14ac:dyDescent="0.25" r="237" customHeight="1" ht="15.75">
      <c r="A237" s="19"/>
      <c r="B237" s="94"/>
      <c r="C237" s="19"/>
      <c r="D237" s="19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</row>
    <row x14ac:dyDescent="0.25" r="238" customHeight="1" ht="15.75">
      <c r="A238" s="19"/>
      <c r="B238" s="94"/>
      <c r="C238" s="19"/>
      <c r="D238" s="19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</row>
    <row x14ac:dyDescent="0.25" r="239" customHeight="1" ht="15.75">
      <c r="A239" s="19"/>
      <c r="B239" s="94"/>
      <c r="C239" s="19"/>
      <c r="D239" s="19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</row>
    <row x14ac:dyDescent="0.25" r="240" customHeight="1" ht="15.75">
      <c r="A240" s="19"/>
      <c r="B240" s="94"/>
      <c r="C240" s="19"/>
      <c r="D240" s="19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</row>
    <row x14ac:dyDescent="0.25" r="241" customHeight="1" ht="15.75">
      <c r="A241" s="19"/>
      <c r="B241" s="94"/>
      <c r="C241" s="19"/>
      <c r="D241" s="19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</row>
    <row x14ac:dyDescent="0.25" r="242" customHeight="1" ht="15.75">
      <c r="A242" s="19"/>
      <c r="B242" s="94"/>
      <c r="C242" s="19"/>
      <c r="D242" s="19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</row>
    <row x14ac:dyDescent="0.25" r="243" customHeight="1" ht="15.75">
      <c r="A243" s="19"/>
      <c r="B243" s="94"/>
      <c r="C243" s="19"/>
      <c r="D243" s="19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</row>
    <row x14ac:dyDescent="0.25" r="244" customHeight="1" ht="15.75">
      <c r="A244" s="19"/>
      <c r="B244" s="94"/>
      <c r="C244" s="19"/>
      <c r="D244" s="19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</row>
    <row x14ac:dyDescent="0.25" r="245" customHeight="1" ht="15.75">
      <c r="A245" s="19"/>
      <c r="B245" s="94"/>
      <c r="C245" s="19"/>
      <c r="D245" s="19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</row>
    <row x14ac:dyDescent="0.25" r="246" customHeight="1" ht="15.75">
      <c r="A246" s="19"/>
      <c r="B246" s="94"/>
      <c r="C246" s="19"/>
      <c r="D246" s="19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</row>
    <row x14ac:dyDescent="0.25" r="247" customHeight="1" ht="15.75">
      <c r="A247" s="19"/>
      <c r="B247" s="94"/>
      <c r="C247" s="19"/>
      <c r="D247" s="19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</row>
    <row x14ac:dyDescent="0.25" r="248" customHeight="1" ht="15.75">
      <c r="A248" s="19"/>
      <c r="B248" s="94"/>
      <c r="C248" s="19"/>
      <c r="D248" s="19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</row>
    <row x14ac:dyDescent="0.25" r="249" customHeight="1" ht="15.75">
      <c r="A249" s="19"/>
      <c r="B249" s="94"/>
      <c r="C249" s="19"/>
      <c r="D249" s="19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</row>
    <row x14ac:dyDescent="0.25" r="250" customHeight="1" ht="15.75">
      <c r="A250" s="19"/>
      <c r="B250" s="94"/>
      <c r="C250" s="19"/>
      <c r="D250" s="19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</row>
    <row x14ac:dyDescent="0.25" r="251" customHeight="1" ht="15.75">
      <c r="A251" s="19"/>
      <c r="B251" s="94"/>
      <c r="C251" s="19"/>
      <c r="D251" s="19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</row>
    <row x14ac:dyDescent="0.25" r="252" customHeight="1" ht="15.75">
      <c r="A252" s="19"/>
      <c r="B252" s="94"/>
      <c r="C252" s="19"/>
      <c r="D252" s="19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</row>
    <row x14ac:dyDescent="0.25" r="253" customHeight="1" ht="15.75">
      <c r="A253" s="19"/>
      <c r="B253" s="94"/>
      <c r="C253" s="19"/>
      <c r="D253" s="19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</row>
    <row x14ac:dyDescent="0.25" r="254" customHeight="1" ht="15.75">
      <c r="A254" s="19"/>
      <c r="B254" s="94"/>
      <c r="C254" s="19"/>
      <c r="D254" s="19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</row>
    <row x14ac:dyDescent="0.25" r="255" customHeight="1" ht="15.75">
      <c r="A255" s="19"/>
      <c r="B255" s="94"/>
      <c r="C255" s="19"/>
      <c r="D255" s="19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</row>
    <row x14ac:dyDescent="0.25" r="256" customHeight="1" ht="15.75">
      <c r="A256" s="19"/>
      <c r="B256" s="94"/>
      <c r="C256" s="19"/>
      <c r="D256" s="19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</row>
    <row x14ac:dyDescent="0.25" r="257" customHeight="1" ht="15.75">
      <c r="A257" s="19"/>
      <c r="B257" s="94"/>
      <c r="C257" s="19"/>
      <c r="D257" s="19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</row>
    <row x14ac:dyDescent="0.25" r="258" customHeight="1" ht="15.75">
      <c r="A258" s="19"/>
      <c r="B258" s="94"/>
      <c r="C258" s="19"/>
      <c r="D258" s="19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</row>
    <row x14ac:dyDescent="0.25" r="259" customHeight="1" ht="15.75">
      <c r="A259" s="19"/>
      <c r="B259" s="94"/>
      <c r="C259" s="19"/>
      <c r="D259" s="19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</row>
    <row x14ac:dyDescent="0.25" r="260" customHeight="1" ht="15.75">
      <c r="A260" s="19"/>
      <c r="B260" s="94"/>
      <c r="C260" s="19"/>
      <c r="D260" s="19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</row>
    <row x14ac:dyDescent="0.25" r="261" customHeight="1" ht="15.75">
      <c r="A261" s="19"/>
      <c r="B261" s="94"/>
      <c r="C261" s="19"/>
      <c r="D261" s="19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</row>
    <row x14ac:dyDescent="0.25" r="262" customHeight="1" ht="15.75">
      <c r="A262" s="19"/>
      <c r="B262" s="94"/>
      <c r="C262" s="19"/>
      <c r="D262" s="19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</row>
    <row x14ac:dyDescent="0.25" r="263" customHeight="1" ht="15.75">
      <c r="A263" s="19"/>
      <c r="B263" s="94"/>
      <c r="C263" s="19"/>
      <c r="D263" s="19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</row>
    <row x14ac:dyDescent="0.25" r="264" customHeight="1" ht="15.75">
      <c r="A264" s="19"/>
      <c r="B264" s="94"/>
      <c r="C264" s="19"/>
      <c r="D264" s="19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</row>
    <row x14ac:dyDescent="0.25" r="265" customHeight="1" ht="15.75">
      <c r="A265" s="19"/>
      <c r="B265" s="94"/>
      <c r="C265" s="19"/>
      <c r="D265" s="19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</row>
    <row x14ac:dyDescent="0.25" r="266" customHeight="1" ht="15.75">
      <c r="A266" s="19"/>
      <c r="B266" s="94"/>
      <c r="C266" s="19"/>
      <c r="D266" s="19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</row>
    <row x14ac:dyDescent="0.25" r="267" customHeight="1" ht="15.75">
      <c r="A267" s="19"/>
      <c r="B267" s="94"/>
      <c r="C267" s="19"/>
      <c r="D267" s="19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</row>
    <row x14ac:dyDescent="0.25" r="268" customHeight="1" ht="15.75">
      <c r="A268" s="19"/>
      <c r="B268" s="94"/>
      <c r="C268" s="19"/>
      <c r="D268" s="19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</row>
    <row x14ac:dyDescent="0.25" r="269" customHeight="1" ht="15.75">
      <c r="A269" s="19"/>
      <c r="B269" s="94"/>
      <c r="C269" s="19"/>
      <c r="D269" s="19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</row>
    <row x14ac:dyDescent="0.25" r="270" customHeight="1" ht="15.75">
      <c r="A270" s="19"/>
      <c r="B270" s="94"/>
      <c r="C270" s="19"/>
      <c r="D270" s="19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</row>
    <row x14ac:dyDescent="0.25" r="271" customHeight="1" ht="15.75">
      <c r="A271" s="19"/>
      <c r="B271" s="94"/>
      <c r="C271" s="19"/>
      <c r="D271" s="19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</row>
    <row x14ac:dyDescent="0.25" r="272" customHeight="1" ht="15.75">
      <c r="A272" s="19"/>
      <c r="B272" s="94"/>
      <c r="C272" s="19"/>
      <c r="D272" s="19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</row>
    <row x14ac:dyDescent="0.25" r="273" customHeight="1" ht="15.75">
      <c r="A273" s="19"/>
      <c r="B273" s="94"/>
      <c r="C273" s="19"/>
      <c r="D273" s="19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</row>
    <row x14ac:dyDescent="0.25" r="274" customHeight="1" ht="15.75">
      <c r="A274" s="19"/>
      <c r="B274" s="94"/>
      <c r="C274" s="19"/>
      <c r="D274" s="19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</row>
    <row x14ac:dyDescent="0.25" r="275" customHeight="1" ht="15.75">
      <c r="A275" s="19"/>
      <c r="B275" s="94"/>
      <c r="C275" s="19"/>
      <c r="D275" s="19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</row>
    <row x14ac:dyDescent="0.25" r="276" customHeight="1" ht="15.75">
      <c r="A276" s="19"/>
      <c r="B276" s="94"/>
      <c r="C276" s="19"/>
      <c r="D276" s="19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</row>
    <row x14ac:dyDescent="0.25" r="277" customHeight="1" ht="15.75">
      <c r="A277" s="19"/>
      <c r="B277" s="94"/>
      <c r="C277" s="19"/>
      <c r="D277" s="19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</row>
    <row x14ac:dyDescent="0.25" r="278" customHeight="1" ht="15.75">
      <c r="A278" s="19"/>
      <c r="B278" s="94"/>
      <c r="C278" s="19"/>
      <c r="D278" s="19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</row>
    <row x14ac:dyDescent="0.25" r="279" customHeight="1" ht="15.75">
      <c r="A279" s="19"/>
      <c r="B279" s="94"/>
      <c r="C279" s="19"/>
      <c r="D279" s="19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</row>
    <row x14ac:dyDescent="0.25" r="280" customHeight="1" ht="15.75">
      <c r="A280" s="19"/>
      <c r="B280" s="94"/>
      <c r="C280" s="19"/>
      <c r="D280" s="19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</row>
    <row x14ac:dyDescent="0.25" r="281" customHeight="1" ht="15.75">
      <c r="A281" s="19"/>
      <c r="B281" s="94"/>
      <c r="C281" s="19"/>
      <c r="D281" s="19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</row>
    <row x14ac:dyDescent="0.25" r="282" customHeight="1" ht="15.75">
      <c r="A282" s="19"/>
      <c r="B282" s="94"/>
      <c r="C282" s="19"/>
      <c r="D282" s="19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</row>
    <row x14ac:dyDescent="0.25" r="283" customHeight="1" ht="15.75">
      <c r="A283" s="19"/>
      <c r="B283" s="94"/>
      <c r="C283" s="19"/>
      <c r="D283" s="19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</row>
    <row x14ac:dyDescent="0.25" r="284" customHeight="1" ht="15.75">
      <c r="A284" s="19"/>
      <c r="B284" s="94"/>
      <c r="C284" s="19"/>
      <c r="D284" s="19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</row>
    <row x14ac:dyDescent="0.25" r="285" customHeight="1" ht="15.75">
      <c r="A285" s="19"/>
      <c r="B285" s="94"/>
      <c r="C285" s="19"/>
      <c r="D285" s="19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</row>
    <row x14ac:dyDescent="0.25" r="286" customHeight="1" ht="15.75">
      <c r="A286" s="19"/>
      <c r="B286" s="94"/>
      <c r="C286" s="19"/>
      <c r="D286" s="19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</row>
    <row x14ac:dyDescent="0.25" r="287" customHeight="1" ht="15.75">
      <c r="A287" s="19"/>
      <c r="B287" s="94"/>
      <c r="C287" s="19"/>
      <c r="D287" s="19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</row>
    <row x14ac:dyDescent="0.25" r="288" customHeight="1" ht="15.75">
      <c r="A288" s="19"/>
      <c r="B288" s="94"/>
      <c r="C288" s="19"/>
      <c r="D288" s="19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</row>
    <row x14ac:dyDescent="0.25" r="289" customHeight="1" ht="15.75">
      <c r="A289" s="19"/>
      <c r="B289" s="94"/>
      <c r="C289" s="19"/>
      <c r="D289" s="19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</row>
    <row x14ac:dyDescent="0.25" r="290" customHeight="1" ht="15.75">
      <c r="A290" s="19"/>
      <c r="B290" s="94"/>
      <c r="C290" s="19"/>
      <c r="D290" s="19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</row>
    <row x14ac:dyDescent="0.25" r="291" customHeight="1" ht="15.75">
      <c r="A291" s="19"/>
      <c r="B291" s="94"/>
      <c r="C291" s="19"/>
      <c r="D291" s="19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</row>
    <row x14ac:dyDescent="0.25" r="292" customHeight="1" ht="15.75">
      <c r="A292" s="19"/>
      <c r="B292" s="94"/>
      <c r="C292" s="19"/>
      <c r="D292" s="19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</row>
    <row x14ac:dyDescent="0.25" r="293" customHeight="1" ht="15.75">
      <c r="A293" s="19"/>
      <c r="B293" s="94"/>
      <c r="C293" s="19"/>
      <c r="D293" s="19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</row>
    <row x14ac:dyDescent="0.25" r="294" customHeight="1" ht="15.75">
      <c r="A294" s="19"/>
      <c r="B294" s="94"/>
      <c r="C294" s="19"/>
      <c r="D294" s="19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</row>
    <row x14ac:dyDescent="0.25" r="295" customHeight="1" ht="15.75">
      <c r="A295" s="19"/>
      <c r="B295" s="94"/>
      <c r="C295" s="19"/>
      <c r="D295" s="19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</row>
    <row x14ac:dyDescent="0.25" r="296" customHeight="1" ht="15.75">
      <c r="A296" s="19"/>
      <c r="B296" s="94"/>
      <c r="C296" s="19"/>
      <c r="D296" s="19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</row>
    <row x14ac:dyDescent="0.25" r="297" customHeight="1" ht="15.75">
      <c r="A297" s="19"/>
      <c r="B297" s="94"/>
      <c r="C297" s="19"/>
      <c r="D297" s="19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</row>
    <row x14ac:dyDescent="0.25" r="298" customHeight="1" ht="15.75">
      <c r="A298" s="19"/>
      <c r="B298" s="94"/>
      <c r="C298" s="19"/>
      <c r="D298" s="19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</row>
    <row x14ac:dyDescent="0.25" r="299" customHeight="1" ht="15.75">
      <c r="A299" s="19"/>
      <c r="B299" s="94"/>
      <c r="C299" s="19"/>
      <c r="D299" s="19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</row>
    <row x14ac:dyDescent="0.25" r="300" customHeight="1" ht="15.75">
      <c r="A300" s="19"/>
      <c r="B300" s="94"/>
      <c r="C300" s="19"/>
      <c r="D300" s="19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</row>
    <row x14ac:dyDescent="0.25" r="301" customHeight="1" ht="15.75">
      <c r="A301" s="19"/>
      <c r="B301" s="94"/>
      <c r="C301" s="19"/>
      <c r="D301" s="19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</row>
    <row x14ac:dyDescent="0.25" r="302" customHeight="1" ht="15.75">
      <c r="A302" s="19"/>
      <c r="B302" s="94"/>
      <c r="C302" s="19"/>
      <c r="D302" s="19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</row>
    <row x14ac:dyDescent="0.25" r="303" customHeight="1" ht="15.75">
      <c r="A303" s="19"/>
      <c r="B303" s="94"/>
      <c r="C303" s="19"/>
      <c r="D303" s="19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</row>
    <row x14ac:dyDescent="0.25" r="304" customHeight="1" ht="15.75">
      <c r="A304" s="19"/>
      <c r="B304" s="94"/>
      <c r="C304" s="19"/>
      <c r="D304" s="19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</row>
    <row x14ac:dyDescent="0.25" r="305" customHeight="1" ht="15.75">
      <c r="A305" s="19"/>
      <c r="B305" s="94"/>
      <c r="C305" s="19"/>
      <c r="D305" s="19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</row>
    <row x14ac:dyDescent="0.25" r="306" customHeight="1" ht="15.75">
      <c r="A306" s="19"/>
      <c r="B306" s="94"/>
      <c r="C306" s="19"/>
      <c r="D306" s="19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</row>
    <row x14ac:dyDescent="0.25" r="307" customHeight="1" ht="15.75">
      <c r="A307" s="19"/>
      <c r="B307" s="94"/>
      <c r="C307" s="19"/>
      <c r="D307" s="19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</row>
    <row x14ac:dyDescent="0.25" r="308" customHeight="1" ht="15.75">
      <c r="A308" s="19"/>
      <c r="B308" s="94"/>
      <c r="C308" s="19"/>
      <c r="D308" s="19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</row>
    <row x14ac:dyDescent="0.25" r="309" customHeight="1" ht="15.75">
      <c r="A309" s="19"/>
      <c r="B309" s="94"/>
      <c r="C309" s="19"/>
      <c r="D309" s="19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</row>
    <row x14ac:dyDescent="0.25" r="310" customHeight="1" ht="15.75">
      <c r="A310" s="19"/>
      <c r="B310" s="94"/>
      <c r="C310" s="19"/>
      <c r="D310" s="19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</row>
    <row x14ac:dyDescent="0.25" r="311" customHeight="1" ht="15.75">
      <c r="A311" s="19"/>
      <c r="B311" s="94"/>
      <c r="C311" s="19"/>
      <c r="D311" s="19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</row>
    <row x14ac:dyDescent="0.25" r="312" customHeight="1" ht="15.75">
      <c r="A312" s="19"/>
      <c r="B312" s="94"/>
      <c r="C312" s="19"/>
      <c r="D312" s="19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</row>
    <row x14ac:dyDescent="0.25" r="313" customHeight="1" ht="15.75">
      <c r="A313" s="19"/>
      <c r="B313" s="94"/>
      <c r="C313" s="19"/>
      <c r="D313" s="19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</row>
    <row x14ac:dyDescent="0.25" r="314" customHeight="1" ht="15.75">
      <c r="A314" s="19"/>
      <c r="B314" s="94"/>
      <c r="C314" s="19"/>
      <c r="D314" s="19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</row>
    <row x14ac:dyDescent="0.25" r="315" customHeight="1" ht="15.75">
      <c r="A315" s="19"/>
      <c r="B315" s="94"/>
      <c r="C315" s="19"/>
      <c r="D315" s="19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</row>
    <row x14ac:dyDescent="0.25" r="316" customHeight="1" ht="15.75">
      <c r="A316" s="19"/>
      <c r="B316" s="94"/>
      <c r="C316" s="19"/>
      <c r="D316" s="19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</row>
    <row x14ac:dyDescent="0.25" r="317" customHeight="1" ht="15.75">
      <c r="A317" s="19"/>
      <c r="B317" s="94"/>
      <c r="C317" s="19"/>
      <c r="D317" s="19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</row>
    <row x14ac:dyDescent="0.25" r="318" customHeight="1" ht="15.75">
      <c r="A318" s="19"/>
      <c r="B318" s="94"/>
      <c r="C318" s="19"/>
      <c r="D318" s="19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</row>
    <row x14ac:dyDescent="0.25" r="319" customHeight="1" ht="15.75">
      <c r="A319" s="19"/>
      <c r="B319" s="94"/>
      <c r="C319" s="19"/>
      <c r="D319" s="19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</row>
    <row x14ac:dyDescent="0.25" r="320" customHeight="1" ht="15.75">
      <c r="A320" s="19"/>
      <c r="B320" s="94"/>
      <c r="C320" s="19"/>
      <c r="D320" s="19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</row>
    <row x14ac:dyDescent="0.25" r="321" customHeight="1" ht="15.75">
      <c r="A321" s="19"/>
      <c r="B321" s="94"/>
      <c r="C321" s="19"/>
      <c r="D321" s="19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</row>
    <row x14ac:dyDescent="0.25" r="322" customHeight="1" ht="15.75">
      <c r="A322" s="19"/>
      <c r="B322" s="94"/>
      <c r="C322" s="19"/>
      <c r="D322" s="19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</row>
    <row x14ac:dyDescent="0.25" r="323" customHeight="1" ht="15.75">
      <c r="A323" s="19"/>
      <c r="B323" s="94"/>
      <c r="C323" s="19"/>
      <c r="D323" s="19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</row>
    <row x14ac:dyDescent="0.25" r="324" customHeight="1" ht="15.75">
      <c r="A324" s="19"/>
      <c r="B324" s="94"/>
      <c r="C324" s="19"/>
      <c r="D324" s="19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</row>
    <row x14ac:dyDescent="0.25" r="325" customHeight="1" ht="15.75">
      <c r="A325" s="19"/>
      <c r="B325" s="94"/>
      <c r="C325" s="19"/>
      <c r="D325" s="19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</row>
    <row x14ac:dyDescent="0.25" r="326" customHeight="1" ht="15.75">
      <c r="A326" s="19"/>
      <c r="B326" s="94"/>
      <c r="C326" s="19"/>
      <c r="D326" s="19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</row>
    <row x14ac:dyDescent="0.25" r="327" customHeight="1" ht="15.75">
      <c r="A327" s="19"/>
      <c r="B327" s="94"/>
      <c r="C327" s="19"/>
      <c r="D327" s="19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</row>
    <row x14ac:dyDescent="0.25" r="328" customHeight="1" ht="15.75">
      <c r="A328" s="19"/>
      <c r="B328" s="94"/>
      <c r="C328" s="19"/>
      <c r="D328" s="19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</row>
    <row x14ac:dyDescent="0.25" r="329" customHeight="1" ht="15.75">
      <c r="A329" s="19"/>
      <c r="B329" s="94"/>
      <c r="C329" s="19"/>
      <c r="D329" s="19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</row>
    <row x14ac:dyDescent="0.25" r="330" customHeight="1" ht="15.75">
      <c r="A330" s="19"/>
      <c r="B330" s="94"/>
      <c r="C330" s="19"/>
      <c r="D330" s="19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</row>
    <row x14ac:dyDescent="0.25" r="331" customHeight="1" ht="15.75">
      <c r="A331" s="19"/>
      <c r="B331" s="94"/>
      <c r="C331" s="19"/>
      <c r="D331" s="19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</row>
    <row x14ac:dyDescent="0.25" r="332" customHeight="1" ht="15.75">
      <c r="A332" s="19"/>
      <c r="B332" s="94"/>
      <c r="C332" s="19"/>
      <c r="D332" s="19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</row>
    <row x14ac:dyDescent="0.25" r="333" customHeight="1" ht="15.75">
      <c r="A333" s="19"/>
      <c r="B333" s="94"/>
      <c r="C333" s="19"/>
      <c r="D333" s="19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</row>
    <row x14ac:dyDescent="0.25" r="334" customHeight="1" ht="15.75">
      <c r="A334" s="19"/>
      <c r="B334" s="94"/>
      <c r="C334" s="19"/>
      <c r="D334" s="19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</row>
    <row x14ac:dyDescent="0.25" r="335" customHeight="1" ht="15.75">
      <c r="A335" s="19"/>
      <c r="B335" s="94"/>
      <c r="C335" s="19"/>
      <c r="D335" s="19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</row>
    <row x14ac:dyDescent="0.25" r="336" customHeight="1" ht="15.75">
      <c r="A336" s="19"/>
      <c r="B336" s="94"/>
      <c r="C336" s="19"/>
      <c r="D336" s="19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</row>
    <row x14ac:dyDescent="0.25" r="337" customHeight="1" ht="15.75">
      <c r="A337" s="19"/>
      <c r="B337" s="94"/>
      <c r="C337" s="19"/>
      <c r="D337" s="19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</row>
    <row x14ac:dyDescent="0.25" r="338" customHeight="1" ht="15.75">
      <c r="A338" s="19"/>
      <c r="B338" s="94"/>
      <c r="C338" s="19"/>
      <c r="D338" s="19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</row>
    <row x14ac:dyDescent="0.25" r="339" customHeight="1" ht="15.75">
      <c r="A339" s="19"/>
      <c r="B339" s="94"/>
      <c r="C339" s="19"/>
      <c r="D339" s="19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</row>
    <row x14ac:dyDescent="0.25" r="340" customHeight="1" ht="15.75">
      <c r="A340" s="19"/>
      <c r="B340" s="94"/>
      <c r="C340" s="19"/>
      <c r="D340" s="19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</row>
    <row x14ac:dyDescent="0.25" r="341" customHeight="1" ht="15.75">
      <c r="A341" s="19"/>
      <c r="B341" s="94"/>
      <c r="C341" s="19"/>
      <c r="D341" s="19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</row>
    <row x14ac:dyDescent="0.25" r="342" customHeight="1" ht="15.75">
      <c r="A342" s="19"/>
      <c r="B342" s="94"/>
      <c r="C342" s="19"/>
      <c r="D342" s="19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</row>
    <row x14ac:dyDescent="0.25" r="343" customHeight="1" ht="15.75">
      <c r="A343" s="19"/>
      <c r="B343" s="94"/>
      <c r="C343" s="19"/>
      <c r="D343" s="19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</row>
    <row x14ac:dyDescent="0.25" r="344" customHeight="1" ht="15.75">
      <c r="A344" s="19"/>
      <c r="B344" s="94"/>
      <c r="C344" s="19"/>
      <c r="D344" s="19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</row>
    <row x14ac:dyDescent="0.25" r="345" customHeight="1" ht="15.75">
      <c r="A345" s="19"/>
      <c r="B345" s="94"/>
      <c r="C345" s="19"/>
      <c r="D345" s="19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</row>
    <row x14ac:dyDescent="0.25" r="346" customHeight="1" ht="15.75">
      <c r="A346" s="19"/>
      <c r="B346" s="94"/>
      <c r="C346" s="19"/>
      <c r="D346" s="19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</row>
    <row x14ac:dyDescent="0.25" r="347" customHeight="1" ht="15.75">
      <c r="A347" s="19"/>
      <c r="B347" s="94"/>
      <c r="C347" s="19"/>
      <c r="D347" s="19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</row>
    <row x14ac:dyDescent="0.25" r="348" customHeight="1" ht="15.75">
      <c r="A348" s="19"/>
      <c r="B348" s="94"/>
      <c r="C348" s="19"/>
      <c r="D348" s="19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</row>
    <row x14ac:dyDescent="0.25" r="349" customHeight="1" ht="15.75">
      <c r="A349" s="19"/>
      <c r="B349" s="94"/>
      <c r="C349" s="19"/>
      <c r="D349" s="19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</row>
    <row x14ac:dyDescent="0.25" r="350" customHeight="1" ht="15.75">
      <c r="A350" s="19"/>
      <c r="B350" s="94"/>
      <c r="C350" s="19"/>
      <c r="D350" s="19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</row>
    <row x14ac:dyDescent="0.25" r="351" customHeight="1" ht="15.75">
      <c r="A351" s="19"/>
      <c r="B351" s="94"/>
      <c r="C351" s="19"/>
      <c r="D351" s="19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</row>
    <row x14ac:dyDescent="0.25" r="352" customHeight="1" ht="15.75">
      <c r="A352" s="19"/>
      <c r="B352" s="94"/>
      <c r="C352" s="19"/>
      <c r="D352" s="19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</row>
    <row x14ac:dyDescent="0.25" r="353" customHeight="1" ht="15.75">
      <c r="A353" s="19"/>
      <c r="B353" s="94"/>
      <c r="C353" s="19"/>
      <c r="D353" s="19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</row>
    <row x14ac:dyDescent="0.25" r="354" customHeight="1" ht="15.75">
      <c r="A354" s="19"/>
      <c r="B354" s="94"/>
      <c r="C354" s="19"/>
      <c r="D354" s="19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</row>
    <row x14ac:dyDescent="0.25" r="355" customHeight="1" ht="15.75">
      <c r="A355" s="19"/>
      <c r="B355" s="94"/>
      <c r="C355" s="19"/>
      <c r="D355" s="19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</row>
    <row x14ac:dyDescent="0.25" r="356" customHeight="1" ht="15.75">
      <c r="A356" s="19"/>
      <c r="B356" s="94"/>
      <c r="C356" s="19"/>
      <c r="D356" s="19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</row>
    <row x14ac:dyDescent="0.25" r="357" customHeight="1" ht="15.75">
      <c r="A357" s="19"/>
      <c r="B357" s="94"/>
      <c r="C357" s="19"/>
      <c r="D357" s="19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</row>
    <row x14ac:dyDescent="0.25" r="358" customHeight="1" ht="15.75">
      <c r="A358" s="19"/>
      <c r="B358" s="94"/>
      <c r="C358" s="19"/>
      <c r="D358" s="19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</row>
    <row x14ac:dyDescent="0.25" r="359" customHeight="1" ht="15.75">
      <c r="A359" s="19"/>
      <c r="B359" s="94"/>
      <c r="C359" s="19"/>
      <c r="D359" s="19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</row>
    <row x14ac:dyDescent="0.25" r="360" customHeight="1" ht="15.75">
      <c r="A360" s="19"/>
      <c r="B360" s="94"/>
      <c r="C360" s="19"/>
      <c r="D360" s="19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</row>
    <row x14ac:dyDescent="0.25" r="361" customHeight="1" ht="15.75">
      <c r="A361" s="19"/>
      <c r="B361" s="94"/>
      <c r="C361" s="19"/>
      <c r="D361" s="19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</row>
    <row x14ac:dyDescent="0.25" r="362" customHeight="1" ht="15.75">
      <c r="A362" s="19"/>
      <c r="B362" s="94"/>
      <c r="C362" s="19"/>
      <c r="D362" s="19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</row>
    <row x14ac:dyDescent="0.25" r="363" customHeight="1" ht="15.75">
      <c r="A363" s="19"/>
      <c r="B363" s="94"/>
      <c r="C363" s="19"/>
      <c r="D363" s="19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</row>
    <row x14ac:dyDescent="0.25" r="364" customHeight="1" ht="15.75">
      <c r="A364" s="19"/>
      <c r="B364" s="94"/>
      <c r="C364" s="19"/>
      <c r="D364" s="19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</row>
    <row x14ac:dyDescent="0.25" r="365" customHeight="1" ht="15.75">
      <c r="A365" s="19"/>
      <c r="B365" s="94"/>
      <c r="C365" s="19"/>
      <c r="D365" s="19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</row>
    <row x14ac:dyDescent="0.25" r="366" customHeight="1" ht="15.75">
      <c r="A366" s="19"/>
      <c r="B366" s="94"/>
      <c r="C366" s="19"/>
      <c r="D366" s="19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</row>
    <row x14ac:dyDescent="0.25" r="367" customHeight="1" ht="15.75">
      <c r="A367" s="19"/>
      <c r="B367" s="94"/>
      <c r="C367" s="19"/>
      <c r="D367" s="19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</row>
    <row x14ac:dyDescent="0.25" r="368" customHeight="1" ht="15.75">
      <c r="A368" s="19"/>
      <c r="B368" s="94"/>
      <c r="C368" s="19"/>
      <c r="D368" s="19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</row>
    <row x14ac:dyDescent="0.25" r="369" customHeight="1" ht="15.75">
      <c r="A369" s="19"/>
      <c r="B369" s="94"/>
      <c r="C369" s="19"/>
      <c r="D369" s="19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</row>
    <row x14ac:dyDescent="0.25" r="370" customHeight="1" ht="15.75">
      <c r="A370" s="19"/>
      <c r="B370" s="94"/>
      <c r="C370" s="19"/>
      <c r="D370" s="19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</row>
    <row x14ac:dyDescent="0.25" r="371" customHeight="1" ht="15.75">
      <c r="A371" s="19"/>
      <c r="B371" s="94"/>
      <c r="C371" s="19"/>
      <c r="D371" s="19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</row>
    <row x14ac:dyDescent="0.25" r="372" customHeight="1" ht="15.75">
      <c r="A372" s="19"/>
      <c r="B372" s="94"/>
      <c r="C372" s="19"/>
      <c r="D372" s="19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</row>
    <row x14ac:dyDescent="0.25" r="373" customHeight="1" ht="15.75">
      <c r="A373" s="19"/>
      <c r="B373" s="94"/>
      <c r="C373" s="19"/>
      <c r="D373" s="19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</row>
    <row x14ac:dyDescent="0.25" r="374" customHeight="1" ht="15.75">
      <c r="A374" s="19"/>
      <c r="B374" s="94"/>
      <c r="C374" s="19"/>
      <c r="D374" s="19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</row>
    <row x14ac:dyDescent="0.25" r="375" customHeight="1" ht="15.75">
      <c r="A375" s="19"/>
      <c r="B375" s="94"/>
      <c r="C375" s="19"/>
      <c r="D375" s="19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</row>
    <row x14ac:dyDescent="0.25" r="376" customHeight="1" ht="15.75">
      <c r="A376" s="19"/>
      <c r="B376" s="94"/>
      <c r="C376" s="19"/>
      <c r="D376" s="19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</row>
    <row x14ac:dyDescent="0.25" r="377" customHeight="1" ht="15.75">
      <c r="A377" s="19"/>
      <c r="B377" s="94"/>
      <c r="C377" s="19"/>
      <c r="D377" s="19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</row>
    <row x14ac:dyDescent="0.25" r="378" customHeight="1" ht="15.75">
      <c r="A378" s="19"/>
      <c r="B378" s="94"/>
      <c r="C378" s="19"/>
      <c r="D378" s="19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</row>
    <row x14ac:dyDescent="0.25" r="379" customHeight="1" ht="15.75">
      <c r="A379" s="19"/>
      <c r="B379" s="94"/>
      <c r="C379" s="19"/>
      <c r="D379" s="19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</row>
    <row x14ac:dyDescent="0.25" r="380" customHeight="1" ht="15.75">
      <c r="A380" s="19"/>
      <c r="B380" s="94"/>
      <c r="C380" s="19"/>
      <c r="D380" s="19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</row>
    <row x14ac:dyDescent="0.25" r="381" customHeight="1" ht="15.75">
      <c r="A381" s="19"/>
      <c r="B381" s="94"/>
      <c r="C381" s="19"/>
      <c r="D381" s="19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</row>
    <row x14ac:dyDescent="0.25" r="382" customHeight="1" ht="15.75">
      <c r="A382" s="19"/>
      <c r="B382" s="94"/>
      <c r="C382" s="19"/>
      <c r="D382" s="19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</row>
    <row x14ac:dyDescent="0.25" r="383" customHeight="1" ht="15.75">
      <c r="A383" s="19"/>
      <c r="B383" s="94"/>
      <c r="C383" s="19"/>
      <c r="D383" s="19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</row>
    <row x14ac:dyDescent="0.25" r="384" customHeight="1" ht="15.75">
      <c r="A384" s="19"/>
      <c r="B384" s="94"/>
      <c r="C384" s="19"/>
      <c r="D384" s="19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</row>
    <row x14ac:dyDescent="0.25" r="385" customHeight="1" ht="15.75">
      <c r="A385" s="19"/>
      <c r="B385" s="94"/>
      <c r="C385" s="19"/>
      <c r="D385" s="19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</row>
    <row x14ac:dyDescent="0.25" r="386" customHeight="1" ht="15.75">
      <c r="A386" s="19"/>
      <c r="B386" s="94"/>
      <c r="C386" s="19"/>
      <c r="D386" s="19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</row>
    <row x14ac:dyDescent="0.25" r="387" customHeight="1" ht="15.75">
      <c r="A387" s="19"/>
      <c r="B387" s="94"/>
      <c r="C387" s="19"/>
      <c r="D387" s="19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</row>
    <row x14ac:dyDescent="0.25" r="388" customHeight="1" ht="15.75">
      <c r="A388" s="19"/>
      <c r="B388" s="94"/>
      <c r="C388" s="19"/>
      <c r="D388" s="19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</row>
    <row x14ac:dyDescent="0.25" r="389" customHeight="1" ht="15.75">
      <c r="A389" s="19"/>
      <c r="B389" s="94"/>
      <c r="C389" s="19"/>
      <c r="D389" s="19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</row>
    <row x14ac:dyDescent="0.25" r="390" customHeight="1" ht="15.75">
      <c r="A390" s="19"/>
      <c r="B390" s="94"/>
      <c r="C390" s="19"/>
      <c r="D390" s="19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</row>
    <row x14ac:dyDescent="0.25" r="391" customHeight="1" ht="15.75">
      <c r="A391" s="19"/>
      <c r="B391" s="94"/>
      <c r="C391" s="19"/>
      <c r="D391" s="19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</row>
    <row x14ac:dyDescent="0.25" r="392" customHeight="1" ht="15.75">
      <c r="A392" s="19"/>
      <c r="B392" s="94"/>
      <c r="C392" s="19"/>
      <c r="D392" s="19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</row>
    <row x14ac:dyDescent="0.25" r="393" customHeight="1" ht="15.75">
      <c r="A393" s="19"/>
      <c r="B393" s="94"/>
      <c r="C393" s="19"/>
      <c r="D393" s="19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</row>
    <row x14ac:dyDescent="0.25" r="394" customHeight="1" ht="15.75">
      <c r="A394" s="19"/>
      <c r="B394" s="94"/>
      <c r="C394" s="19"/>
      <c r="D394" s="19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</row>
    <row x14ac:dyDescent="0.25" r="395" customHeight="1" ht="15.75">
      <c r="A395" s="19"/>
      <c r="B395" s="94"/>
      <c r="C395" s="19"/>
      <c r="D395" s="19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</row>
    <row x14ac:dyDescent="0.25" r="396" customHeight="1" ht="15.75">
      <c r="A396" s="19"/>
      <c r="B396" s="94"/>
      <c r="C396" s="19"/>
      <c r="D396" s="19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</row>
    <row x14ac:dyDescent="0.25" r="397" customHeight="1" ht="15.75">
      <c r="A397" s="19"/>
      <c r="B397" s="94"/>
      <c r="C397" s="19"/>
      <c r="D397" s="19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</row>
    <row x14ac:dyDescent="0.25" r="398" customHeight="1" ht="15.75">
      <c r="A398" s="19"/>
      <c r="B398" s="94"/>
      <c r="C398" s="19"/>
      <c r="D398" s="19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</row>
    <row x14ac:dyDescent="0.25" r="399" customHeight="1" ht="15.75">
      <c r="A399" s="19"/>
      <c r="B399" s="94"/>
      <c r="C399" s="19"/>
      <c r="D399" s="19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</row>
    <row x14ac:dyDescent="0.25" r="400" customHeight="1" ht="15.75">
      <c r="A400" s="11"/>
      <c r="B400" s="94"/>
      <c r="C400" s="11"/>
      <c r="D400" s="19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</row>
    <row x14ac:dyDescent="0.25" r="401" customHeight="1" ht="15.75">
      <c r="A401" s="11"/>
      <c r="B401" s="94"/>
      <c r="C401" s="11"/>
      <c r="D401" s="19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</row>
    <row x14ac:dyDescent="0.25" r="402" customHeight="1" ht="15.75">
      <c r="A402" s="11"/>
      <c r="B402" s="94"/>
      <c r="C402" s="11"/>
      <c r="D402" s="19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</row>
    <row x14ac:dyDescent="0.25" r="403" customHeight="1" ht="15.75">
      <c r="A403" s="11"/>
      <c r="B403" s="94"/>
      <c r="C403" s="11"/>
      <c r="D403" s="19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</row>
    <row x14ac:dyDescent="0.25" r="404" customHeight="1" ht="15.75">
      <c r="A404" s="11"/>
      <c r="B404" s="94"/>
      <c r="C404" s="11"/>
      <c r="D404" s="19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</row>
    <row x14ac:dyDescent="0.25" r="405" customHeight="1" ht="15.75">
      <c r="A405" s="11"/>
      <c r="B405" s="94"/>
      <c r="C405" s="11"/>
      <c r="D405" s="19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</row>
    <row x14ac:dyDescent="0.25" r="406" customHeight="1" ht="15.75">
      <c r="A406" s="11"/>
      <c r="B406" s="94"/>
      <c r="C406" s="11"/>
      <c r="D406" s="19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</row>
    <row x14ac:dyDescent="0.25" r="407" customHeight="1" ht="15.75">
      <c r="A407" s="11"/>
      <c r="B407" s="94"/>
      <c r="C407" s="11"/>
      <c r="D407" s="19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</row>
    <row x14ac:dyDescent="0.25" r="408" customHeight="1" ht="15.75">
      <c r="A408" s="11"/>
      <c r="B408" s="94"/>
      <c r="C408" s="11"/>
      <c r="D408" s="19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</row>
    <row x14ac:dyDescent="0.25" r="409" customHeight="1" ht="15.75">
      <c r="A409" s="11"/>
      <c r="B409" s="94"/>
      <c r="C409" s="11"/>
      <c r="D409" s="19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</row>
    <row x14ac:dyDescent="0.25" r="410" customHeight="1" ht="15.75">
      <c r="A410" s="11"/>
      <c r="B410" s="94"/>
      <c r="C410" s="11"/>
      <c r="D410" s="19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</row>
    <row x14ac:dyDescent="0.25" r="411" customHeight="1" ht="15.75">
      <c r="A411" s="11"/>
      <c r="B411" s="94"/>
      <c r="C411" s="11"/>
      <c r="D411" s="19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</row>
    <row x14ac:dyDescent="0.25" r="412" customHeight="1" ht="15.75">
      <c r="A412" s="11"/>
      <c r="B412" s="94"/>
      <c r="C412" s="11"/>
      <c r="D412" s="19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</row>
    <row x14ac:dyDescent="0.25" r="413" customHeight="1" ht="15.75">
      <c r="A413" s="11"/>
      <c r="B413" s="94"/>
      <c r="C413" s="11"/>
      <c r="D413" s="19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</row>
    <row x14ac:dyDescent="0.25" r="414" customHeight="1" ht="15.75">
      <c r="A414" s="11"/>
      <c r="B414" s="94"/>
      <c r="C414" s="11"/>
      <c r="D414" s="19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</row>
    <row x14ac:dyDescent="0.25" r="415" customHeight="1" ht="15.75">
      <c r="A415" s="11"/>
      <c r="B415" s="94"/>
      <c r="C415" s="11"/>
      <c r="D415" s="19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</row>
    <row x14ac:dyDescent="0.25" r="416" customHeight="1" ht="15.75">
      <c r="A416" s="11"/>
      <c r="B416" s="94"/>
      <c r="C416" s="11"/>
      <c r="D416" s="19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</row>
    <row x14ac:dyDescent="0.25" r="417" customHeight="1" ht="15.75">
      <c r="A417" s="11"/>
      <c r="B417" s="94"/>
      <c r="C417" s="11"/>
      <c r="D417" s="19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</row>
    <row x14ac:dyDescent="0.25" r="418" customHeight="1" ht="15.75">
      <c r="A418" s="11"/>
      <c r="B418" s="94"/>
      <c r="C418" s="11"/>
      <c r="D418" s="19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</row>
    <row x14ac:dyDescent="0.25" r="419" customHeight="1" ht="15.75">
      <c r="A419" s="11"/>
      <c r="B419" s="94"/>
      <c r="C419" s="11"/>
      <c r="D419" s="19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</row>
    <row x14ac:dyDescent="0.25" r="420" customHeight="1" ht="15.75">
      <c r="A420" s="11"/>
      <c r="B420" s="94"/>
      <c r="C420" s="11"/>
      <c r="D420" s="19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</row>
    <row x14ac:dyDescent="0.25" r="421" customHeight="1" ht="15.75">
      <c r="A421" s="11"/>
      <c r="B421" s="94"/>
      <c r="C421" s="11"/>
      <c r="D421" s="19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</row>
    <row x14ac:dyDescent="0.25" r="422" customHeight="1" ht="15.75">
      <c r="A422" s="11"/>
      <c r="B422" s="94"/>
      <c r="C422" s="11"/>
      <c r="D422" s="19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</row>
    <row x14ac:dyDescent="0.25" r="423" customHeight="1" ht="15.75">
      <c r="A423" s="11"/>
      <c r="B423" s="94"/>
      <c r="C423" s="11"/>
      <c r="D423" s="19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</row>
    <row x14ac:dyDescent="0.25" r="424" customHeight="1" ht="15.75">
      <c r="A424" s="11"/>
      <c r="B424" s="94"/>
      <c r="C424" s="11"/>
      <c r="D424" s="19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</row>
    <row x14ac:dyDescent="0.25" r="425" customHeight="1" ht="15.75">
      <c r="A425" s="11"/>
      <c r="B425" s="94"/>
      <c r="C425" s="11"/>
      <c r="D425" s="19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</row>
    <row x14ac:dyDescent="0.25" r="426" customHeight="1" ht="15.75">
      <c r="A426" s="11"/>
      <c r="B426" s="94"/>
      <c r="C426" s="11"/>
      <c r="D426" s="19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</row>
    <row x14ac:dyDescent="0.25" r="427" customHeight="1" ht="15.75">
      <c r="A427" s="11"/>
      <c r="B427" s="94"/>
      <c r="C427" s="11"/>
      <c r="D427" s="19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</row>
    <row x14ac:dyDescent="0.25" r="428" customHeight="1" ht="15.75">
      <c r="A428" s="11"/>
      <c r="B428" s="94"/>
      <c r="C428" s="11"/>
      <c r="D428" s="19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</row>
    <row x14ac:dyDescent="0.25" r="429" customHeight="1" ht="15.75">
      <c r="A429" s="11"/>
      <c r="B429" s="94"/>
      <c r="C429" s="11"/>
      <c r="D429" s="19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</row>
    <row x14ac:dyDescent="0.25" r="430" customHeight="1" ht="15.75">
      <c r="A430" s="11"/>
      <c r="B430" s="94"/>
      <c r="C430" s="11"/>
      <c r="D430" s="19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</row>
    <row x14ac:dyDescent="0.25" r="431" customHeight="1" ht="15.75">
      <c r="A431" s="11"/>
      <c r="B431" s="94"/>
      <c r="C431" s="11"/>
      <c r="D431" s="19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</row>
    <row x14ac:dyDescent="0.25" r="432" customHeight="1" ht="15.75">
      <c r="A432" s="11"/>
      <c r="B432" s="94"/>
      <c r="C432" s="11"/>
      <c r="D432" s="19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</row>
    <row x14ac:dyDescent="0.25" r="433" customHeight="1" ht="15.75">
      <c r="A433" s="11"/>
      <c r="B433" s="94"/>
      <c r="C433" s="11"/>
      <c r="D433" s="19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</row>
    <row x14ac:dyDescent="0.25" r="434" customHeight="1" ht="15.75">
      <c r="A434" s="11"/>
      <c r="B434" s="94"/>
      <c r="C434" s="11"/>
      <c r="D434" s="19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</row>
    <row x14ac:dyDescent="0.25" r="435" customHeight="1" ht="15.75">
      <c r="A435" s="11"/>
      <c r="B435" s="94"/>
      <c r="C435" s="11"/>
      <c r="D435" s="19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</row>
    <row x14ac:dyDescent="0.25" r="436" customHeight="1" ht="15.75">
      <c r="A436" s="11"/>
      <c r="B436" s="94"/>
      <c r="C436" s="11"/>
      <c r="D436" s="19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</row>
    <row x14ac:dyDescent="0.25" r="437" customHeight="1" ht="15.75">
      <c r="A437" s="11"/>
      <c r="B437" s="94"/>
      <c r="C437" s="11"/>
      <c r="D437" s="19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</row>
    <row x14ac:dyDescent="0.25" r="438" customHeight="1" ht="15.75">
      <c r="A438" s="11"/>
      <c r="B438" s="94"/>
      <c r="C438" s="11"/>
      <c r="D438" s="19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</row>
    <row x14ac:dyDescent="0.25" r="439" customHeight="1" ht="15.75">
      <c r="A439" s="11"/>
      <c r="B439" s="94"/>
      <c r="C439" s="11"/>
      <c r="D439" s="19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</row>
    <row x14ac:dyDescent="0.25" r="440" customHeight="1" ht="15.75">
      <c r="A440" s="11"/>
      <c r="B440" s="94"/>
      <c r="C440" s="11"/>
      <c r="D440" s="19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</row>
    <row x14ac:dyDescent="0.25" r="441" customHeight="1" ht="15.75">
      <c r="A441" s="11"/>
      <c r="B441" s="94"/>
      <c r="C441" s="11"/>
      <c r="D441" s="19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</row>
    <row x14ac:dyDescent="0.25" r="442" customHeight="1" ht="15.75">
      <c r="A442" s="11"/>
      <c r="B442" s="94"/>
      <c r="C442" s="11"/>
      <c r="D442" s="19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</row>
    <row x14ac:dyDescent="0.25" r="443" customHeight="1" ht="15.75">
      <c r="A443" s="11"/>
      <c r="B443" s="94"/>
      <c r="C443" s="11"/>
      <c r="D443" s="19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</row>
    <row x14ac:dyDescent="0.25" r="444" customHeight="1" ht="15.75">
      <c r="A444" s="11"/>
      <c r="B444" s="94"/>
      <c r="C444" s="11"/>
      <c r="D444" s="19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</row>
    <row x14ac:dyDescent="0.25" r="445" customHeight="1" ht="15.75">
      <c r="A445" s="11"/>
      <c r="B445" s="94"/>
      <c r="C445" s="11"/>
      <c r="D445" s="19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</row>
    <row x14ac:dyDescent="0.25" r="446" customHeight="1" ht="15.75">
      <c r="A446" s="11"/>
      <c r="B446" s="94"/>
      <c r="C446" s="11"/>
      <c r="D446" s="19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</row>
    <row x14ac:dyDescent="0.25" r="447" customHeight="1" ht="15.75">
      <c r="A447" s="11"/>
      <c r="B447" s="94"/>
      <c r="C447" s="11"/>
      <c r="D447" s="19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</row>
    <row x14ac:dyDescent="0.25" r="448" customHeight="1" ht="15.75">
      <c r="A448" s="11"/>
      <c r="B448" s="94"/>
      <c r="C448" s="11"/>
      <c r="D448" s="19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</row>
    <row x14ac:dyDescent="0.25" r="449" customHeight="1" ht="15.75">
      <c r="A449" s="11"/>
      <c r="B449" s="94"/>
      <c r="C449" s="11"/>
      <c r="D449" s="19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</row>
    <row x14ac:dyDescent="0.25" r="450" customHeight="1" ht="15.75">
      <c r="A450" s="11"/>
      <c r="B450" s="94"/>
      <c r="C450" s="11"/>
      <c r="D450" s="19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</row>
    <row x14ac:dyDescent="0.25" r="451" customHeight="1" ht="15.75">
      <c r="A451" s="11"/>
      <c r="B451" s="94"/>
      <c r="C451" s="11"/>
      <c r="D451" s="19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</row>
    <row x14ac:dyDescent="0.25" r="452" customHeight="1" ht="15.75">
      <c r="A452" s="11"/>
      <c r="B452" s="94"/>
      <c r="C452" s="11"/>
      <c r="D452" s="19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</row>
    <row x14ac:dyDescent="0.25" r="453" customHeight="1" ht="15.75">
      <c r="A453" s="11"/>
      <c r="B453" s="94"/>
      <c r="C453" s="11"/>
      <c r="D453" s="19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</row>
    <row x14ac:dyDescent="0.25" r="454" customHeight="1" ht="15.75">
      <c r="A454" s="11"/>
      <c r="B454" s="94"/>
      <c r="C454" s="11"/>
      <c r="D454" s="19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</row>
    <row x14ac:dyDescent="0.25" r="455" customHeight="1" ht="15.75">
      <c r="A455" s="11"/>
      <c r="B455" s="94"/>
      <c r="C455" s="11"/>
      <c r="D455" s="19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</row>
    <row x14ac:dyDescent="0.25" r="456" customHeight="1" ht="15.75">
      <c r="A456" s="11"/>
      <c r="B456" s="94"/>
      <c r="C456" s="11"/>
      <c r="D456" s="19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</row>
    <row x14ac:dyDescent="0.25" r="457" customHeight="1" ht="15.75">
      <c r="A457" s="11"/>
      <c r="B457" s="94"/>
      <c r="C457" s="11"/>
      <c r="D457" s="19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</row>
    <row x14ac:dyDescent="0.25" r="458" customHeight="1" ht="15.75">
      <c r="A458" s="11"/>
      <c r="B458" s="94"/>
      <c r="C458" s="11"/>
      <c r="D458" s="19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</row>
    <row x14ac:dyDescent="0.25" r="459" customHeight="1" ht="15.75">
      <c r="A459" s="11"/>
      <c r="B459" s="94"/>
      <c r="C459" s="11"/>
      <c r="D459" s="19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</row>
    <row x14ac:dyDescent="0.25" r="460" customHeight="1" ht="15.75">
      <c r="A460" s="11"/>
      <c r="B460" s="94"/>
      <c r="C460" s="11"/>
      <c r="D460" s="19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</row>
    <row x14ac:dyDescent="0.25" r="461" customHeight="1" ht="15.75">
      <c r="A461" s="11"/>
      <c r="B461" s="94"/>
      <c r="C461" s="11"/>
      <c r="D461" s="19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</row>
    <row x14ac:dyDescent="0.25" r="462" customHeight="1" ht="15.75">
      <c r="A462" s="11"/>
      <c r="B462" s="94"/>
      <c r="C462" s="11"/>
      <c r="D462" s="19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</row>
    <row x14ac:dyDescent="0.25" r="463" customHeight="1" ht="15.75">
      <c r="A463" s="11"/>
      <c r="B463" s="94"/>
      <c r="C463" s="11"/>
      <c r="D463" s="19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</row>
    <row x14ac:dyDescent="0.25" r="464" customHeight="1" ht="15.75">
      <c r="A464" s="11"/>
      <c r="B464" s="94"/>
      <c r="C464" s="11"/>
      <c r="D464" s="19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</row>
    <row x14ac:dyDescent="0.25" r="465" customHeight="1" ht="15.75">
      <c r="A465" s="11"/>
      <c r="B465" s="94"/>
      <c r="C465" s="11"/>
      <c r="D465" s="19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</row>
    <row x14ac:dyDescent="0.25" r="466" customHeight="1" ht="15.75">
      <c r="A466" s="11"/>
      <c r="B466" s="94"/>
      <c r="C466" s="11"/>
      <c r="D466" s="19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</row>
    <row x14ac:dyDescent="0.25" r="467" customHeight="1" ht="15.75">
      <c r="A467" s="11"/>
      <c r="B467" s="94"/>
      <c r="C467" s="11"/>
      <c r="D467" s="19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</row>
    <row x14ac:dyDescent="0.25" r="468" customHeight="1" ht="15.75">
      <c r="A468" s="11"/>
      <c r="B468" s="94"/>
      <c r="C468" s="11"/>
      <c r="D468" s="19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</row>
    <row x14ac:dyDescent="0.25" r="469" customHeight="1" ht="15.75">
      <c r="A469" s="11"/>
      <c r="B469" s="94"/>
      <c r="C469" s="11"/>
      <c r="D469" s="19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</row>
    <row x14ac:dyDescent="0.25" r="470" customHeight="1" ht="15.75">
      <c r="A470" s="11"/>
      <c r="B470" s="94"/>
      <c r="C470" s="11"/>
      <c r="D470" s="19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</row>
    <row x14ac:dyDescent="0.25" r="471" customHeight="1" ht="15.75">
      <c r="A471" s="11"/>
      <c r="B471" s="94"/>
      <c r="C471" s="11"/>
      <c r="D471" s="19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</row>
    <row x14ac:dyDescent="0.25" r="472" customHeight="1" ht="15.75">
      <c r="A472" s="11"/>
      <c r="B472" s="94"/>
      <c r="C472" s="11"/>
      <c r="D472" s="19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</row>
    <row x14ac:dyDescent="0.25" r="473" customHeight="1" ht="15.75">
      <c r="A473" s="11"/>
      <c r="B473" s="94"/>
      <c r="C473" s="11"/>
      <c r="D473" s="19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</row>
    <row x14ac:dyDescent="0.25" r="474" customHeight="1" ht="15.75">
      <c r="A474" s="11"/>
      <c r="B474" s="94"/>
      <c r="C474" s="11"/>
      <c r="D474" s="19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</row>
    <row x14ac:dyDescent="0.25" r="475" customHeight="1" ht="15.75">
      <c r="A475" s="11"/>
      <c r="B475" s="94"/>
      <c r="C475" s="11"/>
      <c r="D475" s="19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</row>
    <row x14ac:dyDescent="0.25" r="476" customHeight="1" ht="15.75">
      <c r="A476" s="11"/>
      <c r="B476" s="94"/>
      <c r="C476" s="11"/>
      <c r="D476" s="19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</row>
    <row x14ac:dyDescent="0.25" r="477" customHeight="1" ht="15.75">
      <c r="A477" s="11"/>
      <c r="B477" s="94"/>
      <c r="C477" s="11"/>
      <c r="D477" s="19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</row>
    <row x14ac:dyDescent="0.25" r="478" customHeight="1" ht="15.75">
      <c r="A478" s="11"/>
      <c r="B478" s="94"/>
      <c r="C478" s="11"/>
      <c r="D478" s="19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</row>
    <row x14ac:dyDescent="0.25" r="479" customHeight="1" ht="15.75">
      <c r="A479" s="11"/>
      <c r="B479" s="94"/>
      <c r="C479" s="11"/>
      <c r="D479" s="19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</row>
    <row x14ac:dyDescent="0.25" r="480" customHeight="1" ht="15.75">
      <c r="A480" s="11"/>
      <c r="B480" s="94"/>
      <c r="C480" s="11"/>
      <c r="D480" s="19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</row>
    <row x14ac:dyDescent="0.25" r="481" customHeight="1" ht="15.75">
      <c r="A481" s="11"/>
      <c r="B481" s="94"/>
      <c r="C481" s="11"/>
      <c r="D481" s="19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</row>
    <row x14ac:dyDescent="0.25" r="482" customHeight="1" ht="15.75">
      <c r="A482" s="11"/>
      <c r="B482" s="94"/>
      <c r="C482" s="11"/>
      <c r="D482" s="19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</row>
    <row x14ac:dyDescent="0.25" r="483" customHeight="1" ht="15.75">
      <c r="A483" s="11"/>
      <c r="B483" s="94"/>
      <c r="C483" s="11"/>
      <c r="D483" s="19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</row>
    <row x14ac:dyDescent="0.25" r="484" customHeight="1" ht="15.75">
      <c r="A484" s="11"/>
      <c r="B484" s="94"/>
      <c r="C484" s="11"/>
      <c r="D484" s="19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</row>
    <row x14ac:dyDescent="0.25" r="485" customHeight="1" ht="15.75">
      <c r="A485" s="11"/>
      <c r="B485" s="94"/>
      <c r="C485" s="11"/>
      <c r="D485" s="19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</row>
    <row x14ac:dyDescent="0.25" r="486" customHeight="1" ht="15.75">
      <c r="A486" s="11"/>
      <c r="B486" s="94"/>
      <c r="C486" s="11"/>
      <c r="D486" s="19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</row>
    <row x14ac:dyDescent="0.25" r="487" customHeight="1" ht="15.75">
      <c r="A487" s="11"/>
      <c r="B487" s="94"/>
      <c r="C487" s="11"/>
      <c r="D487" s="19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</row>
    <row x14ac:dyDescent="0.25" r="488" customHeight="1" ht="15.75">
      <c r="A488" s="11"/>
      <c r="B488" s="94"/>
      <c r="C488" s="11"/>
      <c r="D488" s="19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</row>
    <row x14ac:dyDescent="0.25" r="489" customHeight="1" ht="15.75">
      <c r="A489" s="11"/>
      <c r="B489" s="94"/>
      <c r="C489" s="11"/>
      <c r="D489" s="19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</row>
    <row x14ac:dyDescent="0.25" r="490" customHeight="1" ht="15.75">
      <c r="A490" s="11"/>
      <c r="B490" s="94"/>
      <c r="C490" s="11"/>
      <c r="D490" s="19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</row>
    <row x14ac:dyDescent="0.25" r="491" customHeight="1" ht="15.75">
      <c r="A491" s="11"/>
      <c r="B491" s="94"/>
      <c r="C491" s="11"/>
      <c r="D491" s="19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</row>
    <row x14ac:dyDescent="0.25" r="492" customHeight="1" ht="15.75">
      <c r="A492" s="11"/>
      <c r="B492" s="94"/>
      <c r="C492" s="11"/>
      <c r="D492" s="19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</row>
    <row x14ac:dyDescent="0.25" r="493" customHeight="1" ht="15.75">
      <c r="A493" s="11"/>
      <c r="B493" s="94"/>
      <c r="C493" s="11"/>
      <c r="D493" s="19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</row>
    <row x14ac:dyDescent="0.25" r="494" customHeight="1" ht="15.75">
      <c r="A494" s="11"/>
      <c r="B494" s="94"/>
      <c r="C494" s="11"/>
      <c r="D494" s="19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</row>
    <row x14ac:dyDescent="0.25" r="495" customHeight="1" ht="15.75">
      <c r="A495" s="11"/>
      <c r="B495" s="94"/>
      <c r="C495" s="11"/>
      <c r="D495" s="19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</row>
    <row x14ac:dyDescent="0.25" r="496" customHeight="1" ht="15.75">
      <c r="A496" s="11"/>
      <c r="B496" s="94"/>
      <c r="C496" s="11"/>
      <c r="D496" s="19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</row>
    <row x14ac:dyDescent="0.25" r="497" customHeight="1" ht="15.75">
      <c r="A497" s="11"/>
      <c r="B497" s="94"/>
      <c r="C497" s="11"/>
      <c r="D497" s="19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</row>
    <row x14ac:dyDescent="0.25" r="498" customHeight="1" ht="15.75">
      <c r="A498" s="11"/>
      <c r="B498" s="94"/>
      <c r="C498" s="11"/>
      <c r="D498" s="19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</row>
    <row x14ac:dyDescent="0.25" r="499" customHeight="1" ht="15.75">
      <c r="A499" s="11"/>
      <c r="B499" s="94"/>
      <c r="C499" s="11"/>
      <c r="D499" s="19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</row>
    <row x14ac:dyDescent="0.25" r="500" customHeight="1" ht="15.75">
      <c r="A500" s="11"/>
      <c r="B500" s="94"/>
      <c r="C500" s="11"/>
      <c r="D500" s="19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</row>
    <row x14ac:dyDescent="0.25" r="501" customHeight="1" ht="15.75">
      <c r="A501" s="11"/>
      <c r="B501" s="94"/>
      <c r="C501" s="11"/>
      <c r="D501" s="19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</row>
    <row x14ac:dyDescent="0.25" r="502" customHeight="1" ht="15.75">
      <c r="A502" s="11"/>
      <c r="B502" s="94"/>
      <c r="C502" s="11"/>
      <c r="D502" s="19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</row>
    <row x14ac:dyDescent="0.25" r="503" customHeight="1" ht="15.75">
      <c r="A503" s="11"/>
      <c r="B503" s="94"/>
      <c r="C503" s="11"/>
      <c r="D503" s="19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</row>
    <row x14ac:dyDescent="0.25" r="504" customHeight="1" ht="15.75">
      <c r="A504" s="11"/>
      <c r="B504" s="94"/>
      <c r="C504" s="11"/>
      <c r="D504" s="19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</row>
    <row x14ac:dyDescent="0.25" r="505" customHeight="1" ht="15.75">
      <c r="A505" s="11"/>
      <c r="B505" s="94"/>
      <c r="C505" s="11"/>
      <c r="D505" s="19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</row>
    <row x14ac:dyDescent="0.25" r="506" customHeight="1" ht="15.75">
      <c r="A506" s="11"/>
      <c r="B506" s="94"/>
      <c r="C506" s="11"/>
      <c r="D506" s="19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</row>
    <row x14ac:dyDescent="0.25" r="507" customHeight="1" ht="15.75">
      <c r="A507" s="11"/>
      <c r="B507" s="94"/>
      <c r="C507" s="11"/>
      <c r="D507" s="19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</row>
    <row x14ac:dyDescent="0.25" r="508" customHeight="1" ht="15.75">
      <c r="A508" s="11"/>
      <c r="B508" s="94"/>
      <c r="C508" s="11"/>
      <c r="D508" s="19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</row>
    <row x14ac:dyDescent="0.25" r="509" customHeight="1" ht="15.75">
      <c r="A509" s="11"/>
      <c r="B509" s="94"/>
      <c r="C509" s="11"/>
      <c r="D509" s="19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</row>
    <row x14ac:dyDescent="0.25" r="510" customHeight="1" ht="15.75">
      <c r="A510" s="11"/>
      <c r="B510" s="94"/>
      <c r="C510" s="11"/>
      <c r="D510" s="19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</row>
    <row x14ac:dyDescent="0.25" r="511" customHeight="1" ht="15.75">
      <c r="A511" s="11"/>
      <c r="B511" s="94"/>
      <c r="C511" s="11"/>
      <c r="D511" s="19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</row>
    <row x14ac:dyDescent="0.25" r="512" customHeight="1" ht="15.75">
      <c r="A512" s="11"/>
      <c r="B512" s="94"/>
      <c r="C512" s="11"/>
      <c r="D512" s="19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</row>
    <row x14ac:dyDescent="0.25" r="513" customHeight="1" ht="15.75">
      <c r="A513" s="11"/>
      <c r="B513" s="94"/>
      <c r="C513" s="11"/>
      <c r="D513" s="19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</row>
    <row x14ac:dyDescent="0.25" r="514" customHeight="1" ht="15.75">
      <c r="A514" s="11"/>
      <c r="B514" s="94"/>
      <c r="C514" s="11"/>
      <c r="D514" s="19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</row>
    <row x14ac:dyDescent="0.25" r="515" customHeight="1" ht="15.75">
      <c r="A515" s="11"/>
      <c r="B515" s="94"/>
      <c r="C515" s="11"/>
      <c r="D515" s="19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</row>
    <row x14ac:dyDescent="0.25" r="516" customHeight="1" ht="15.75">
      <c r="A516" s="11"/>
      <c r="B516" s="94"/>
      <c r="C516" s="11"/>
      <c r="D516" s="19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</row>
    <row x14ac:dyDescent="0.25" r="517" customHeight="1" ht="15.75">
      <c r="A517" s="11"/>
      <c r="B517" s="94"/>
      <c r="C517" s="11"/>
      <c r="D517" s="19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</row>
    <row x14ac:dyDescent="0.25" r="518" customHeight="1" ht="15.75">
      <c r="A518" s="11"/>
      <c r="B518" s="94"/>
      <c r="C518" s="11"/>
      <c r="D518" s="19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</row>
    <row x14ac:dyDescent="0.25" r="519" customHeight="1" ht="15.75">
      <c r="A519" s="11"/>
      <c r="B519" s="94"/>
      <c r="C519" s="11"/>
      <c r="D519" s="19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</row>
    <row x14ac:dyDescent="0.25" r="520" customHeight="1" ht="15.75">
      <c r="A520" s="11"/>
      <c r="B520" s="94"/>
      <c r="C520" s="11"/>
      <c r="D520" s="19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</row>
    <row x14ac:dyDescent="0.25" r="521" customHeight="1" ht="15.75">
      <c r="A521" s="11"/>
      <c r="B521" s="94"/>
      <c r="C521" s="11"/>
      <c r="D521" s="19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</row>
    <row x14ac:dyDescent="0.25" r="522" customHeight="1" ht="15.75">
      <c r="A522" s="11"/>
      <c r="B522" s="94"/>
      <c r="C522" s="11"/>
      <c r="D522" s="19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</row>
    <row x14ac:dyDescent="0.25" r="523" customHeight="1" ht="15.75">
      <c r="A523" s="11"/>
      <c r="B523" s="94"/>
      <c r="C523" s="11"/>
      <c r="D523" s="19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</row>
    <row x14ac:dyDescent="0.25" r="524" customHeight="1" ht="15.75">
      <c r="A524" s="11"/>
      <c r="B524" s="94"/>
      <c r="C524" s="11"/>
      <c r="D524" s="19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</row>
    <row x14ac:dyDescent="0.25" r="525" customHeight="1" ht="15.75">
      <c r="A525" s="11"/>
      <c r="B525" s="94"/>
      <c r="C525" s="11"/>
      <c r="D525" s="19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</row>
    <row x14ac:dyDescent="0.25" r="526" customHeight="1" ht="15.75">
      <c r="A526" s="11"/>
      <c r="B526" s="94"/>
      <c r="C526" s="11"/>
      <c r="D526" s="19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</row>
    <row x14ac:dyDescent="0.25" r="527" customHeight="1" ht="15.75">
      <c r="A527" s="11"/>
      <c r="B527" s="94"/>
      <c r="C527" s="11"/>
      <c r="D527" s="19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</row>
    <row x14ac:dyDescent="0.25" r="528" customHeight="1" ht="15.75">
      <c r="A528" s="11"/>
      <c r="B528" s="94"/>
      <c r="C528" s="11"/>
      <c r="D528" s="19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</row>
    <row x14ac:dyDescent="0.25" r="529" customHeight="1" ht="15.75">
      <c r="A529" s="11"/>
      <c r="B529" s="94"/>
      <c r="C529" s="11"/>
      <c r="D529" s="19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</row>
    <row x14ac:dyDescent="0.25" r="530" customHeight="1" ht="15.75">
      <c r="A530" s="11"/>
      <c r="B530" s="94"/>
      <c r="C530" s="11"/>
      <c r="D530" s="19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</row>
    <row x14ac:dyDescent="0.25" r="531" customHeight="1" ht="15.75">
      <c r="A531" s="11"/>
      <c r="B531" s="94"/>
      <c r="C531" s="11"/>
      <c r="D531" s="19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</row>
    <row x14ac:dyDescent="0.25" r="532" customHeight="1" ht="15.75">
      <c r="A532" s="11"/>
      <c r="B532" s="94"/>
      <c r="C532" s="11"/>
      <c r="D532" s="19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</row>
    <row x14ac:dyDescent="0.25" r="533" customHeight="1" ht="15.75">
      <c r="A533" s="11"/>
      <c r="B533" s="94"/>
      <c r="C533" s="11"/>
      <c r="D533" s="19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</row>
    <row x14ac:dyDescent="0.25" r="534" customHeight="1" ht="15.75">
      <c r="A534" s="11"/>
      <c r="B534" s="94"/>
      <c r="C534" s="11"/>
      <c r="D534" s="19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</row>
    <row x14ac:dyDescent="0.25" r="535" customHeight="1" ht="15.75">
      <c r="A535" s="11"/>
      <c r="B535" s="94"/>
      <c r="C535" s="11"/>
      <c r="D535" s="19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</row>
    <row x14ac:dyDescent="0.25" r="536" customHeight="1" ht="15.75">
      <c r="A536" s="11"/>
      <c r="B536" s="94"/>
      <c r="C536" s="11"/>
      <c r="D536" s="19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</row>
    <row x14ac:dyDescent="0.25" r="537" customHeight="1" ht="15.75">
      <c r="A537" s="11"/>
      <c r="B537" s="94"/>
      <c r="C537" s="11"/>
      <c r="D537" s="19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</row>
    <row x14ac:dyDescent="0.25" r="538" customHeight="1" ht="15.75">
      <c r="A538" s="11"/>
      <c r="B538" s="94"/>
      <c r="C538" s="11"/>
      <c r="D538" s="19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</row>
    <row x14ac:dyDescent="0.25" r="539" customHeight="1" ht="15.75">
      <c r="A539" s="11"/>
      <c r="B539" s="94"/>
      <c r="C539" s="11"/>
      <c r="D539" s="19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</row>
    <row x14ac:dyDescent="0.25" r="540" customHeight="1" ht="15.75">
      <c r="A540" s="11"/>
      <c r="B540" s="94"/>
      <c r="C540" s="11"/>
      <c r="D540" s="19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</row>
    <row x14ac:dyDescent="0.25" r="541" customHeight="1" ht="15.75">
      <c r="A541" s="11"/>
      <c r="B541" s="94"/>
      <c r="C541" s="11"/>
      <c r="D541" s="19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</row>
    <row x14ac:dyDescent="0.25" r="542" customHeight="1" ht="15.75">
      <c r="A542" s="11"/>
      <c r="B542" s="94"/>
      <c r="C542" s="11"/>
      <c r="D542" s="19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</row>
    <row x14ac:dyDescent="0.25" r="543" customHeight="1" ht="15.75">
      <c r="A543" s="11"/>
      <c r="B543" s="94"/>
      <c r="C543" s="11"/>
      <c r="D543" s="19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</row>
    <row x14ac:dyDescent="0.25" r="544" customHeight="1" ht="15.75">
      <c r="A544" s="11"/>
      <c r="B544" s="94"/>
      <c r="C544" s="11"/>
      <c r="D544" s="19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</row>
    <row x14ac:dyDescent="0.25" r="545" customHeight="1" ht="15.75">
      <c r="A545" s="11"/>
      <c r="B545" s="94"/>
      <c r="C545" s="11"/>
      <c r="D545" s="19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</row>
    <row x14ac:dyDescent="0.25" r="546" customHeight="1" ht="15.75">
      <c r="A546" s="11"/>
      <c r="B546" s="94"/>
      <c r="C546" s="11"/>
      <c r="D546" s="19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</row>
    <row x14ac:dyDescent="0.25" r="547" customHeight="1" ht="15.75">
      <c r="A547" s="11"/>
      <c r="B547" s="94"/>
      <c r="C547" s="11"/>
      <c r="D547" s="19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</row>
    <row x14ac:dyDescent="0.25" r="548" customHeight="1" ht="15.75">
      <c r="A548" s="11"/>
      <c r="B548" s="94"/>
      <c r="C548" s="11"/>
      <c r="D548" s="19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</row>
    <row x14ac:dyDescent="0.25" r="549" customHeight="1" ht="15.75">
      <c r="A549" s="11"/>
      <c r="B549" s="94"/>
      <c r="C549" s="11"/>
      <c r="D549" s="19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</row>
    <row x14ac:dyDescent="0.25" r="550" customHeight="1" ht="15.75">
      <c r="A550" s="11"/>
      <c r="B550" s="94"/>
      <c r="C550" s="11"/>
      <c r="D550" s="19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</row>
    <row x14ac:dyDescent="0.25" r="551" customHeight="1" ht="15.75">
      <c r="A551" s="11"/>
      <c r="B551" s="94"/>
      <c r="C551" s="11"/>
      <c r="D551" s="19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</row>
    <row x14ac:dyDescent="0.25" r="552" customHeight="1" ht="15.75">
      <c r="A552" s="11"/>
      <c r="B552" s="94"/>
      <c r="C552" s="11"/>
      <c r="D552" s="19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</row>
    <row x14ac:dyDescent="0.25" r="553" customHeight="1" ht="15.75">
      <c r="A553" s="11"/>
      <c r="B553" s="94"/>
      <c r="C553" s="11"/>
      <c r="D553" s="19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</row>
    <row x14ac:dyDescent="0.25" r="554" customHeight="1" ht="15.75">
      <c r="A554" s="11"/>
      <c r="B554" s="94"/>
      <c r="C554" s="11"/>
      <c r="D554" s="19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</row>
    <row x14ac:dyDescent="0.25" r="555" customHeight="1" ht="15.75">
      <c r="A555" s="11"/>
      <c r="B555" s="94"/>
      <c r="C555" s="11"/>
      <c r="D555" s="19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</row>
    <row x14ac:dyDescent="0.25" r="556" customHeight="1" ht="15.75">
      <c r="A556" s="11"/>
      <c r="B556" s="94"/>
      <c r="C556" s="11"/>
      <c r="D556" s="19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</row>
    <row x14ac:dyDescent="0.25" r="557" customHeight="1" ht="15.75">
      <c r="A557" s="11"/>
      <c r="B557" s="94"/>
      <c r="C557" s="11"/>
      <c r="D557" s="19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</row>
    <row x14ac:dyDescent="0.25" r="558" customHeight="1" ht="15.75">
      <c r="A558" s="11"/>
      <c r="B558" s="94"/>
      <c r="C558" s="11"/>
      <c r="D558" s="19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</row>
    <row x14ac:dyDescent="0.25" r="559" customHeight="1" ht="15.75">
      <c r="A559" s="11"/>
      <c r="B559" s="94"/>
      <c r="C559" s="11"/>
      <c r="D559" s="19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</row>
    <row x14ac:dyDescent="0.25" r="560" customHeight="1" ht="15.75">
      <c r="A560" s="11"/>
      <c r="B560" s="94"/>
      <c r="C560" s="11"/>
      <c r="D560" s="19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</row>
    <row x14ac:dyDescent="0.25" r="561" customHeight="1" ht="15.75">
      <c r="A561" s="11"/>
      <c r="B561" s="94"/>
      <c r="C561" s="11"/>
      <c r="D561" s="19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</row>
    <row x14ac:dyDescent="0.25" r="562" customHeight="1" ht="15.75">
      <c r="A562" s="11"/>
      <c r="B562" s="94"/>
      <c r="C562" s="11"/>
      <c r="D562" s="19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</row>
    <row x14ac:dyDescent="0.25" r="563" customHeight="1" ht="15.75">
      <c r="A563" s="11"/>
      <c r="B563" s="94"/>
      <c r="C563" s="11"/>
      <c r="D563" s="19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</row>
    <row x14ac:dyDescent="0.25" r="564" customHeight="1" ht="15.75">
      <c r="A564" s="11"/>
      <c r="B564" s="94"/>
      <c r="C564" s="11"/>
      <c r="D564" s="19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</row>
    <row x14ac:dyDescent="0.25" r="565" customHeight="1" ht="15.75">
      <c r="A565" s="11"/>
      <c r="B565" s="94"/>
      <c r="C565" s="11"/>
      <c r="D565" s="19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</row>
    <row x14ac:dyDescent="0.25" r="566" customHeight="1" ht="15.75">
      <c r="A566" s="11"/>
      <c r="B566" s="94"/>
      <c r="C566" s="11"/>
      <c r="D566" s="19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</row>
    <row x14ac:dyDescent="0.25" r="567" customHeight="1" ht="15.75">
      <c r="A567" s="11"/>
      <c r="B567" s="94"/>
      <c r="C567" s="11"/>
      <c r="D567" s="19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</row>
    <row x14ac:dyDescent="0.25" r="568" customHeight="1" ht="15.75">
      <c r="A568" s="11"/>
      <c r="B568" s="94"/>
      <c r="C568" s="11"/>
      <c r="D568" s="19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</row>
    <row x14ac:dyDescent="0.25" r="569" customHeight="1" ht="15.75">
      <c r="A569" s="11"/>
      <c r="B569" s="94"/>
      <c r="C569" s="11"/>
      <c r="D569" s="19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</row>
    <row x14ac:dyDescent="0.25" r="570" customHeight="1" ht="15.75">
      <c r="A570" s="11"/>
      <c r="B570" s="94"/>
      <c r="C570" s="11"/>
      <c r="D570" s="19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</row>
    <row x14ac:dyDescent="0.25" r="571" customHeight="1" ht="15.75">
      <c r="A571" s="11"/>
      <c r="B571" s="94"/>
      <c r="C571" s="11"/>
      <c r="D571" s="19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</row>
    <row x14ac:dyDescent="0.25" r="572" customHeight="1" ht="15.75">
      <c r="A572" s="11"/>
      <c r="B572" s="94"/>
      <c r="C572" s="11"/>
      <c r="D572" s="19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</row>
    <row x14ac:dyDescent="0.25" r="573" customHeight="1" ht="15.75">
      <c r="A573" s="11"/>
      <c r="B573" s="94"/>
      <c r="C573" s="11"/>
      <c r="D573" s="19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</row>
    <row x14ac:dyDescent="0.25" r="574" customHeight="1" ht="15.75">
      <c r="A574" s="11"/>
      <c r="B574" s="94"/>
      <c r="C574" s="11"/>
      <c r="D574" s="19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</row>
    <row x14ac:dyDescent="0.25" r="575" customHeight="1" ht="15.75">
      <c r="A575" s="11"/>
      <c r="B575" s="94"/>
      <c r="C575" s="11"/>
      <c r="D575" s="19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</row>
    <row x14ac:dyDescent="0.25" r="576" customHeight="1" ht="15.75">
      <c r="A576" s="11"/>
      <c r="B576" s="94"/>
      <c r="C576" s="11"/>
      <c r="D576" s="19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</row>
    <row x14ac:dyDescent="0.25" r="577" customHeight="1" ht="15.75">
      <c r="A577" s="11"/>
      <c r="B577" s="94"/>
      <c r="C577" s="11"/>
      <c r="D577" s="19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</row>
    <row x14ac:dyDescent="0.25" r="578" customHeight="1" ht="15.75">
      <c r="A578" s="11"/>
      <c r="B578" s="94"/>
      <c r="C578" s="11"/>
      <c r="D578" s="19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</row>
    <row x14ac:dyDescent="0.25" r="579" customHeight="1" ht="15.75">
      <c r="A579" s="11"/>
      <c r="B579" s="94"/>
      <c r="C579" s="11"/>
      <c r="D579" s="19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</row>
    <row x14ac:dyDescent="0.25" r="580" customHeight="1" ht="15.75">
      <c r="A580" s="11"/>
      <c r="B580" s="94"/>
      <c r="C580" s="11"/>
      <c r="D580" s="19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</row>
    <row x14ac:dyDescent="0.25" r="581" customHeight="1" ht="15.75">
      <c r="A581" s="11"/>
      <c r="B581" s="94"/>
      <c r="C581" s="11"/>
      <c r="D581" s="19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</row>
    <row x14ac:dyDescent="0.25" r="582" customHeight="1" ht="15.75">
      <c r="A582" s="11"/>
      <c r="B582" s="94"/>
      <c r="C582" s="11"/>
      <c r="D582" s="19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</row>
    <row x14ac:dyDescent="0.25" r="583" customHeight="1" ht="15.75">
      <c r="A583" s="11"/>
      <c r="B583" s="94"/>
      <c r="C583" s="11"/>
      <c r="D583" s="19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</row>
    <row x14ac:dyDescent="0.25" r="584" customHeight="1" ht="15.75">
      <c r="A584" s="11"/>
      <c r="B584" s="94"/>
      <c r="C584" s="11"/>
      <c r="D584" s="19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</row>
    <row x14ac:dyDescent="0.25" r="585" customHeight="1" ht="15.75">
      <c r="A585" s="11"/>
      <c r="B585" s="94"/>
      <c r="C585" s="11"/>
      <c r="D585" s="19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</row>
    <row x14ac:dyDescent="0.25" r="586" customHeight="1" ht="15.75">
      <c r="A586" s="11"/>
      <c r="B586" s="94"/>
      <c r="C586" s="11"/>
      <c r="D586" s="19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</row>
    <row x14ac:dyDescent="0.25" r="587" customHeight="1" ht="15.75">
      <c r="A587" s="11"/>
      <c r="B587" s="94"/>
      <c r="C587" s="11"/>
      <c r="D587" s="19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</row>
    <row x14ac:dyDescent="0.25" r="588" customHeight="1" ht="15.75">
      <c r="A588" s="11"/>
      <c r="B588" s="94"/>
      <c r="C588" s="11"/>
      <c r="D588" s="19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</row>
    <row x14ac:dyDescent="0.25" r="589" customHeight="1" ht="15.75">
      <c r="A589" s="11"/>
      <c r="B589" s="94"/>
      <c r="C589" s="11"/>
      <c r="D589" s="19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</row>
    <row x14ac:dyDescent="0.25" r="590" customHeight="1" ht="15.75">
      <c r="A590" s="11"/>
      <c r="B590" s="94"/>
      <c r="C590" s="11"/>
      <c r="D590" s="19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</row>
    <row x14ac:dyDescent="0.25" r="591" customHeight="1" ht="15.75">
      <c r="A591" s="11"/>
      <c r="B591" s="94"/>
      <c r="C591" s="11"/>
      <c r="D591" s="19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</row>
    <row x14ac:dyDescent="0.25" r="592" customHeight="1" ht="15.75">
      <c r="A592" s="11"/>
      <c r="B592" s="94"/>
      <c r="C592" s="11"/>
      <c r="D592" s="19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</row>
    <row x14ac:dyDescent="0.25" r="593" customHeight="1" ht="15.75">
      <c r="A593" s="11"/>
      <c r="B593" s="94"/>
      <c r="C593" s="11"/>
      <c r="D593" s="19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</row>
    <row x14ac:dyDescent="0.25" r="594" customHeight="1" ht="15.75">
      <c r="A594" s="11"/>
      <c r="B594" s="94"/>
      <c r="C594" s="11"/>
      <c r="D594" s="19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</row>
    <row x14ac:dyDescent="0.25" r="595" customHeight="1" ht="15.75">
      <c r="A595" s="11"/>
      <c r="B595" s="94"/>
      <c r="C595" s="11"/>
      <c r="D595" s="19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</row>
    <row x14ac:dyDescent="0.25" r="596" customHeight="1" ht="15.75">
      <c r="A596" s="11"/>
      <c r="B596" s="94"/>
      <c r="C596" s="11"/>
      <c r="D596" s="19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</row>
    <row x14ac:dyDescent="0.25" r="597" customHeight="1" ht="15.75">
      <c r="A597" s="11"/>
      <c r="B597" s="94"/>
      <c r="C597" s="11"/>
      <c r="D597" s="19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</row>
    <row x14ac:dyDescent="0.25" r="598" customHeight="1" ht="15.75">
      <c r="A598" s="11"/>
      <c r="B598" s="94"/>
      <c r="C598" s="11"/>
      <c r="D598" s="19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</row>
    <row x14ac:dyDescent="0.25" r="599" customHeight="1" ht="15.75">
      <c r="A599" s="11"/>
      <c r="B599" s="94"/>
      <c r="C599" s="11"/>
      <c r="D599" s="19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</row>
    <row x14ac:dyDescent="0.25" r="600" customHeight="1" ht="15.75">
      <c r="A600" s="11"/>
      <c r="B600" s="94"/>
      <c r="C600" s="11"/>
      <c r="D600" s="19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</row>
    <row x14ac:dyDescent="0.25" r="601" customHeight="1" ht="15.75">
      <c r="A601" s="11"/>
      <c r="B601" s="94"/>
      <c r="C601" s="11"/>
      <c r="D601" s="19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</row>
    <row x14ac:dyDescent="0.25" r="602" customHeight="1" ht="15.75">
      <c r="A602" s="11"/>
      <c r="B602" s="94"/>
      <c r="C602" s="11"/>
      <c r="D602" s="19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</row>
    <row x14ac:dyDescent="0.25" r="603" customHeight="1" ht="15.75">
      <c r="A603" s="11"/>
      <c r="B603" s="94"/>
      <c r="C603" s="11"/>
      <c r="D603" s="19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</row>
    <row x14ac:dyDescent="0.25" r="604" customHeight="1" ht="15.75">
      <c r="A604" s="11"/>
      <c r="B604" s="94"/>
      <c r="C604" s="11"/>
      <c r="D604" s="19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</row>
    <row x14ac:dyDescent="0.25" r="605" customHeight="1" ht="15.75">
      <c r="A605" s="11"/>
      <c r="B605" s="94"/>
      <c r="C605" s="11"/>
      <c r="D605" s="19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</row>
    <row x14ac:dyDescent="0.25" r="606" customHeight="1" ht="15.75">
      <c r="A606" s="11"/>
      <c r="B606" s="94"/>
      <c r="C606" s="11"/>
      <c r="D606" s="19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</row>
    <row x14ac:dyDescent="0.25" r="607" customHeight="1" ht="15.75">
      <c r="A607" s="11"/>
      <c r="B607" s="94"/>
      <c r="C607" s="11"/>
      <c r="D607" s="19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</row>
    <row x14ac:dyDescent="0.25" r="608" customHeight="1" ht="15.75">
      <c r="A608" s="11"/>
      <c r="B608" s="94"/>
      <c r="C608" s="11"/>
      <c r="D608" s="19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</row>
    <row x14ac:dyDescent="0.25" r="609" customHeight="1" ht="15.75">
      <c r="A609" s="11"/>
      <c r="B609" s="94"/>
      <c r="C609" s="11"/>
      <c r="D609" s="19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</row>
    <row x14ac:dyDescent="0.25" r="610" customHeight="1" ht="15.75">
      <c r="A610" s="11"/>
      <c r="B610" s="94"/>
      <c r="C610" s="11"/>
      <c r="D610" s="19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</row>
    <row x14ac:dyDescent="0.25" r="611" customHeight="1" ht="15.75">
      <c r="A611" s="11"/>
      <c r="B611" s="94"/>
      <c r="C611" s="11"/>
      <c r="D611" s="19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</row>
    <row x14ac:dyDescent="0.25" r="612" customHeight="1" ht="15.75">
      <c r="A612" s="11"/>
      <c r="B612" s="94"/>
      <c r="C612" s="11"/>
      <c r="D612" s="19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</row>
    <row x14ac:dyDescent="0.25" r="613" customHeight="1" ht="15.75">
      <c r="A613" s="11"/>
      <c r="B613" s="94"/>
      <c r="C613" s="11"/>
      <c r="D613" s="19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</row>
    <row x14ac:dyDescent="0.25" r="614" customHeight="1" ht="15.75">
      <c r="A614" s="11"/>
      <c r="B614" s="94"/>
      <c r="C614" s="11"/>
      <c r="D614" s="19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</row>
    <row x14ac:dyDescent="0.25" r="615" customHeight="1" ht="15.75">
      <c r="A615" s="11"/>
      <c r="B615" s="94"/>
      <c r="C615" s="11"/>
      <c r="D615" s="19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</row>
    <row x14ac:dyDescent="0.25" r="616" customHeight="1" ht="15.75">
      <c r="A616" s="11"/>
      <c r="B616" s="94"/>
      <c r="C616" s="11"/>
      <c r="D616" s="19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</row>
    <row x14ac:dyDescent="0.25" r="617" customHeight="1" ht="15.75">
      <c r="A617" s="11"/>
      <c r="B617" s="94"/>
      <c r="C617" s="11"/>
      <c r="D617" s="19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</row>
    <row x14ac:dyDescent="0.25" r="618" customHeight="1" ht="15.75">
      <c r="A618" s="11"/>
      <c r="B618" s="94"/>
      <c r="C618" s="11"/>
      <c r="D618" s="19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</row>
    <row x14ac:dyDescent="0.25" r="619" customHeight="1" ht="15.75">
      <c r="A619" s="11"/>
      <c r="B619" s="94"/>
      <c r="C619" s="11"/>
      <c r="D619" s="19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</row>
    <row x14ac:dyDescent="0.25" r="620" customHeight="1" ht="15.75">
      <c r="A620" s="11"/>
      <c r="B620" s="94"/>
      <c r="C620" s="11"/>
      <c r="D620" s="19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</row>
    <row x14ac:dyDescent="0.25" r="621" customHeight="1" ht="15.75">
      <c r="A621" s="11"/>
      <c r="B621" s="94"/>
      <c r="C621" s="11"/>
      <c r="D621" s="19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</row>
    <row x14ac:dyDescent="0.25" r="622" customHeight="1" ht="15.75">
      <c r="A622" s="11"/>
      <c r="B622" s="94"/>
      <c r="C622" s="11"/>
      <c r="D622" s="19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</row>
    <row x14ac:dyDescent="0.25" r="623" customHeight="1" ht="15.75">
      <c r="A623" s="11"/>
      <c r="B623" s="94"/>
      <c r="C623" s="11"/>
      <c r="D623" s="19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</row>
    <row x14ac:dyDescent="0.25" r="624" customHeight="1" ht="15.75">
      <c r="A624" s="11"/>
      <c r="B624" s="94"/>
      <c r="C624" s="11"/>
      <c r="D624" s="19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</row>
    <row x14ac:dyDescent="0.25" r="625" customHeight="1" ht="15.75">
      <c r="A625" s="11"/>
      <c r="B625" s="94"/>
      <c r="C625" s="11"/>
      <c r="D625" s="19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</row>
    <row x14ac:dyDescent="0.25" r="626" customHeight="1" ht="15.75">
      <c r="A626" s="11"/>
      <c r="B626" s="94"/>
      <c r="C626" s="11"/>
      <c r="D626" s="19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</row>
    <row x14ac:dyDescent="0.25" r="627" customHeight="1" ht="15.75">
      <c r="A627" s="11"/>
      <c r="B627" s="94"/>
      <c r="C627" s="11"/>
      <c r="D627" s="19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</row>
    <row x14ac:dyDescent="0.25" r="628" customHeight="1" ht="15.75">
      <c r="A628" s="11"/>
      <c r="B628" s="94"/>
      <c r="C628" s="11"/>
      <c r="D628" s="19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</row>
    <row x14ac:dyDescent="0.25" r="629" customHeight="1" ht="15.75">
      <c r="A629" s="11"/>
      <c r="B629" s="94"/>
      <c r="C629" s="11"/>
      <c r="D629" s="19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</row>
    <row x14ac:dyDescent="0.25" r="630" customHeight="1" ht="15.75">
      <c r="A630" s="11"/>
      <c r="B630" s="94"/>
      <c r="C630" s="11"/>
      <c r="D630" s="19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</row>
    <row x14ac:dyDescent="0.25" r="631" customHeight="1" ht="15.75">
      <c r="A631" s="11"/>
      <c r="B631" s="94"/>
      <c r="C631" s="11"/>
      <c r="D631" s="19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</row>
    <row x14ac:dyDescent="0.25" r="632" customHeight="1" ht="15.75">
      <c r="A632" s="11"/>
      <c r="B632" s="94"/>
      <c r="C632" s="11"/>
      <c r="D632" s="19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</row>
    <row x14ac:dyDescent="0.25" r="633" customHeight="1" ht="15.75">
      <c r="A633" s="11"/>
      <c r="B633" s="94"/>
      <c r="C633" s="11"/>
      <c r="D633" s="19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</row>
    <row x14ac:dyDescent="0.25" r="634" customHeight="1" ht="15.75">
      <c r="A634" s="11"/>
      <c r="B634" s="94"/>
      <c r="C634" s="11"/>
      <c r="D634" s="19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</row>
    <row x14ac:dyDescent="0.25" r="635" customHeight="1" ht="15.75">
      <c r="A635" s="11"/>
      <c r="B635" s="94"/>
      <c r="C635" s="11"/>
      <c r="D635" s="19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</row>
    <row x14ac:dyDescent="0.25" r="636" customHeight="1" ht="15.75">
      <c r="A636" s="11"/>
      <c r="B636" s="94"/>
      <c r="C636" s="11"/>
      <c r="D636" s="19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</row>
    <row x14ac:dyDescent="0.25" r="637" customHeight="1" ht="15.75">
      <c r="A637" s="11"/>
      <c r="B637" s="94"/>
      <c r="C637" s="11"/>
      <c r="D637" s="19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</row>
    <row x14ac:dyDescent="0.25" r="638" customHeight="1" ht="15.75">
      <c r="A638" s="11"/>
      <c r="B638" s="94"/>
      <c r="C638" s="11"/>
      <c r="D638" s="19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</row>
    <row x14ac:dyDescent="0.25" r="639" customHeight="1" ht="15.75">
      <c r="A639" s="11"/>
      <c r="B639" s="94"/>
      <c r="C639" s="11"/>
      <c r="D639" s="19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</row>
    <row x14ac:dyDescent="0.25" r="640" customHeight="1" ht="15.75">
      <c r="A640" s="11"/>
      <c r="B640" s="94"/>
      <c r="C640" s="11"/>
      <c r="D640" s="19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</row>
    <row x14ac:dyDescent="0.25" r="641" customHeight="1" ht="15.75">
      <c r="A641" s="11"/>
      <c r="B641" s="94"/>
      <c r="C641" s="11"/>
      <c r="D641" s="19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</row>
    <row x14ac:dyDescent="0.25" r="642" customHeight="1" ht="15.75">
      <c r="A642" s="11"/>
      <c r="B642" s="94"/>
      <c r="C642" s="11"/>
      <c r="D642" s="19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</row>
    <row x14ac:dyDescent="0.25" r="643" customHeight="1" ht="15.75">
      <c r="A643" s="11"/>
      <c r="B643" s="94"/>
      <c r="C643" s="11"/>
      <c r="D643" s="19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</row>
    <row x14ac:dyDescent="0.25" r="644" customHeight="1" ht="15.75">
      <c r="A644" s="11"/>
      <c r="B644" s="94"/>
      <c r="C644" s="11"/>
      <c r="D644" s="19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</row>
    <row x14ac:dyDescent="0.25" r="645" customHeight="1" ht="15.75">
      <c r="A645" s="11"/>
      <c r="B645" s="94"/>
      <c r="C645" s="11"/>
      <c r="D645" s="19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</row>
    <row x14ac:dyDescent="0.25" r="646" customHeight="1" ht="15.75">
      <c r="A646" s="11"/>
      <c r="B646" s="94"/>
      <c r="C646" s="11"/>
      <c r="D646" s="19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</row>
    <row x14ac:dyDescent="0.25" r="647" customHeight="1" ht="15.75">
      <c r="A647" s="11"/>
      <c r="B647" s="94"/>
      <c r="C647" s="11"/>
      <c r="D647" s="19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</row>
    <row x14ac:dyDescent="0.25" r="648" customHeight="1" ht="15.75">
      <c r="A648" s="11"/>
      <c r="B648" s="94"/>
      <c r="C648" s="11"/>
      <c r="D648" s="19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</row>
    <row x14ac:dyDescent="0.25" r="649" customHeight="1" ht="15.75">
      <c r="A649" s="11"/>
      <c r="B649" s="94"/>
      <c r="C649" s="11"/>
      <c r="D649" s="19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</row>
    <row x14ac:dyDescent="0.25" r="650" customHeight="1" ht="15.75">
      <c r="A650" s="11"/>
      <c r="B650" s="94"/>
      <c r="C650" s="11"/>
      <c r="D650" s="19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</row>
    <row x14ac:dyDescent="0.25" r="651" customHeight="1" ht="15.75">
      <c r="A651" s="11"/>
      <c r="B651" s="94"/>
      <c r="C651" s="11"/>
      <c r="D651" s="19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</row>
    <row x14ac:dyDescent="0.25" r="652" customHeight="1" ht="15.75">
      <c r="A652" s="11"/>
      <c r="B652" s="94"/>
      <c r="C652" s="11"/>
      <c r="D652" s="19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</row>
    <row x14ac:dyDescent="0.25" r="653" customHeight="1" ht="15.75">
      <c r="A653" s="11"/>
      <c r="B653" s="94"/>
      <c r="C653" s="11"/>
      <c r="D653" s="19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</row>
    <row x14ac:dyDescent="0.25" r="654" customHeight="1" ht="15.75">
      <c r="A654" s="11"/>
      <c r="B654" s="94"/>
      <c r="C654" s="11"/>
      <c r="D654" s="19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</row>
    <row x14ac:dyDescent="0.25" r="655" customHeight="1" ht="15.75">
      <c r="A655" s="11"/>
      <c r="B655" s="94"/>
      <c r="C655" s="11"/>
      <c r="D655" s="19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</row>
    <row x14ac:dyDescent="0.25" r="656" customHeight="1" ht="15.75">
      <c r="A656" s="11"/>
      <c r="B656" s="94"/>
      <c r="C656" s="11"/>
      <c r="D656" s="19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</row>
    <row x14ac:dyDescent="0.25" r="657" customHeight="1" ht="15.75">
      <c r="A657" s="11"/>
      <c r="B657" s="94"/>
      <c r="C657" s="11"/>
      <c r="D657" s="19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</row>
    <row x14ac:dyDescent="0.25" r="658" customHeight="1" ht="15.75">
      <c r="A658" s="11"/>
      <c r="B658" s="94"/>
      <c r="C658" s="11"/>
      <c r="D658" s="19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</row>
    <row x14ac:dyDescent="0.25" r="659" customHeight="1" ht="15.75">
      <c r="A659" s="11"/>
      <c r="B659" s="94"/>
      <c r="C659" s="11"/>
      <c r="D659" s="19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</row>
    <row x14ac:dyDescent="0.25" r="660" customHeight="1" ht="15.75">
      <c r="A660" s="11"/>
      <c r="B660" s="94"/>
      <c r="C660" s="11"/>
      <c r="D660" s="19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</row>
    <row x14ac:dyDescent="0.25" r="661" customHeight="1" ht="15.75">
      <c r="A661" s="11"/>
      <c r="B661" s="94"/>
      <c r="C661" s="11"/>
      <c r="D661" s="19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</row>
    <row x14ac:dyDescent="0.25" r="662" customHeight="1" ht="15.75">
      <c r="A662" s="11"/>
      <c r="B662" s="94"/>
      <c r="C662" s="11"/>
      <c r="D662" s="19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</row>
    <row x14ac:dyDescent="0.25" r="663" customHeight="1" ht="15.75">
      <c r="A663" s="11"/>
      <c r="B663" s="94"/>
      <c r="C663" s="11"/>
      <c r="D663" s="19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</row>
    <row x14ac:dyDescent="0.25" r="664" customHeight="1" ht="15.75">
      <c r="A664" s="11"/>
      <c r="B664" s="94"/>
      <c r="C664" s="11"/>
      <c r="D664" s="19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</row>
    <row x14ac:dyDescent="0.25" r="665" customHeight="1" ht="15.75">
      <c r="A665" s="11"/>
      <c r="B665" s="94"/>
      <c r="C665" s="11"/>
      <c r="D665" s="19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</row>
    <row x14ac:dyDescent="0.25" r="666" customHeight="1" ht="15.75">
      <c r="A666" s="11"/>
      <c r="B666" s="94"/>
      <c r="C666" s="11"/>
      <c r="D666" s="19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</row>
    <row x14ac:dyDescent="0.25" r="667" customHeight="1" ht="15.75">
      <c r="A667" s="11"/>
      <c r="B667" s="94"/>
      <c r="C667" s="11"/>
      <c r="D667" s="19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</row>
    <row x14ac:dyDescent="0.25" r="668" customHeight="1" ht="15.75">
      <c r="A668" s="11"/>
      <c r="B668" s="94"/>
      <c r="C668" s="11"/>
      <c r="D668" s="19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</row>
    <row x14ac:dyDescent="0.25" r="669" customHeight="1" ht="15.75">
      <c r="A669" s="11"/>
      <c r="B669" s="94"/>
      <c r="C669" s="11"/>
      <c r="D669" s="19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</row>
    <row x14ac:dyDescent="0.25" r="670" customHeight="1" ht="15.75">
      <c r="A670" s="11"/>
      <c r="B670" s="94"/>
      <c r="C670" s="11"/>
      <c r="D670" s="19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</row>
    <row x14ac:dyDescent="0.25" r="671" customHeight="1" ht="15.75">
      <c r="A671" s="11"/>
      <c r="B671" s="94"/>
      <c r="C671" s="11"/>
      <c r="D671" s="19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</row>
    <row x14ac:dyDescent="0.25" r="672" customHeight="1" ht="15.75">
      <c r="A672" s="11"/>
      <c r="B672" s="94"/>
      <c r="C672" s="11"/>
      <c r="D672" s="19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</row>
    <row x14ac:dyDescent="0.25" r="673" customHeight="1" ht="15.75">
      <c r="A673" s="11"/>
      <c r="B673" s="94"/>
      <c r="C673" s="11"/>
      <c r="D673" s="19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</row>
    <row x14ac:dyDescent="0.25" r="674" customHeight="1" ht="15.75">
      <c r="A674" s="11"/>
      <c r="B674" s="94"/>
      <c r="C674" s="11"/>
      <c r="D674" s="19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</row>
    <row x14ac:dyDescent="0.25" r="675" customHeight="1" ht="15.75">
      <c r="A675" s="11"/>
      <c r="B675" s="94"/>
      <c r="C675" s="11"/>
      <c r="D675" s="19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</row>
    <row x14ac:dyDescent="0.25" r="676" customHeight="1" ht="15.75">
      <c r="A676" s="11"/>
      <c r="B676" s="94"/>
      <c r="C676" s="11"/>
      <c r="D676" s="19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</row>
    <row x14ac:dyDescent="0.25" r="677" customHeight="1" ht="15.75">
      <c r="A677" s="11"/>
      <c r="B677" s="94"/>
      <c r="C677" s="11"/>
      <c r="D677" s="19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</row>
    <row x14ac:dyDescent="0.25" r="678" customHeight="1" ht="15.75">
      <c r="A678" s="11"/>
      <c r="B678" s="94"/>
      <c r="C678" s="11"/>
      <c r="D678" s="19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</row>
    <row x14ac:dyDescent="0.25" r="679" customHeight="1" ht="15.75">
      <c r="A679" s="11"/>
      <c r="B679" s="94"/>
      <c r="C679" s="11"/>
      <c r="D679" s="19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</row>
    <row x14ac:dyDescent="0.25" r="680" customHeight="1" ht="15.75">
      <c r="A680" s="11"/>
      <c r="B680" s="94"/>
      <c r="C680" s="11"/>
      <c r="D680" s="19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</row>
    <row x14ac:dyDescent="0.25" r="681" customHeight="1" ht="15.75">
      <c r="A681" s="11"/>
      <c r="B681" s="94"/>
      <c r="C681" s="11"/>
      <c r="D681" s="19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</row>
    <row x14ac:dyDescent="0.25" r="682" customHeight="1" ht="15.75">
      <c r="A682" s="11"/>
      <c r="B682" s="94"/>
      <c r="C682" s="11"/>
      <c r="D682" s="19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</row>
    <row x14ac:dyDescent="0.25" r="683" customHeight="1" ht="15.75">
      <c r="A683" s="11"/>
      <c r="B683" s="94"/>
      <c r="C683" s="11"/>
      <c r="D683" s="19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</row>
    <row x14ac:dyDescent="0.25" r="684" customHeight="1" ht="15.75">
      <c r="A684" s="11"/>
      <c r="B684" s="94"/>
      <c r="C684" s="11"/>
      <c r="D684" s="19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</row>
    <row x14ac:dyDescent="0.25" r="685" customHeight="1" ht="15.75">
      <c r="A685" s="11"/>
      <c r="B685" s="94"/>
      <c r="C685" s="11"/>
      <c r="D685" s="19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</row>
    <row x14ac:dyDescent="0.25" r="686" customHeight="1" ht="15.75">
      <c r="A686" s="11"/>
      <c r="B686" s="94"/>
      <c r="C686" s="11"/>
      <c r="D686" s="19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</row>
    <row x14ac:dyDescent="0.25" r="687" customHeight="1" ht="15.75">
      <c r="A687" s="11"/>
      <c r="B687" s="94"/>
      <c r="C687" s="11"/>
      <c r="D687" s="19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</row>
    <row x14ac:dyDescent="0.25" r="688" customHeight="1" ht="15.75">
      <c r="A688" s="11"/>
      <c r="B688" s="94"/>
      <c r="C688" s="11"/>
      <c r="D688" s="19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</row>
    <row x14ac:dyDescent="0.25" r="689" customHeight="1" ht="15.75">
      <c r="A689" s="11"/>
      <c r="B689" s="94"/>
      <c r="C689" s="11"/>
      <c r="D689" s="19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</row>
    <row x14ac:dyDescent="0.25" r="690" customHeight="1" ht="15.75">
      <c r="A690" s="11"/>
      <c r="B690" s="94"/>
      <c r="C690" s="11"/>
      <c r="D690" s="19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</row>
    <row x14ac:dyDescent="0.25" r="691" customHeight="1" ht="15.75">
      <c r="A691" s="11"/>
      <c r="B691" s="94"/>
      <c r="C691" s="11"/>
      <c r="D691" s="19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</row>
    <row x14ac:dyDescent="0.25" r="692" customHeight="1" ht="15.75">
      <c r="A692" s="11"/>
      <c r="B692" s="94"/>
      <c r="C692" s="11"/>
      <c r="D692" s="19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</row>
    <row x14ac:dyDescent="0.25" r="693" customHeight="1" ht="15.75">
      <c r="A693" s="11"/>
      <c r="B693" s="94"/>
      <c r="C693" s="11"/>
      <c r="D693" s="19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</row>
    <row x14ac:dyDescent="0.25" r="694" customHeight="1" ht="15.75">
      <c r="A694" s="11"/>
      <c r="B694" s="94"/>
      <c r="C694" s="11"/>
      <c r="D694" s="19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</row>
    <row x14ac:dyDescent="0.25" r="695" customHeight="1" ht="15.75">
      <c r="A695" s="11"/>
      <c r="B695" s="94"/>
      <c r="C695" s="11"/>
      <c r="D695" s="19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</row>
    <row x14ac:dyDescent="0.25" r="696" customHeight="1" ht="15.75">
      <c r="A696" s="11"/>
      <c r="B696" s="94"/>
      <c r="C696" s="11"/>
      <c r="D696" s="19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</row>
    <row x14ac:dyDescent="0.25" r="697" customHeight="1" ht="15.75">
      <c r="A697" s="11"/>
      <c r="B697" s="94"/>
      <c r="C697" s="11"/>
      <c r="D697" s="19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</row>
    <row x14ac:dyDescent="0.25" r="698" customHeight="1" ht="15.75">
      <c r="A698" s="11"/>
      <c r="B698" s="94"/>
      <c r="C698" s="11"/>
      <c r="D698" s="19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</row>
    <row x14ac:dyDescent="0.25" r="699" customHeight="1" ht="15.75">
      <c r="A699" s="11"/>
      <c r="B699" s="94"/>
      <c r="C699" s="11"/>
      <c r="D699" s="19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</row>
    <row x14ac:dyDescent="0.25" r="700" customHeight="1" ht="15.75">
      <c r="A700" s="11"/>
      <c r="B700" s="94"/>
      <c r="C700" s="11"/>
      <c r="D700" s="19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</row>
    <row x14ac:dyDescent="0.25" r="701" customHeight="1" ht="15.75">
      <c r="A701" s="11"/>
      <c r="B701" s="94"/>
      <c r="C701" s="11"/>
      <c r="D701" s="19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</row>
    <row x14ac:dyDescent="0.25" r="702" customHeight="1" ht="15.75">
      <c r="A702" s="11"/>
      <c r="B702" s="94"/>
      <c r="C702" s="11"/>
      <c r="D702" s="19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</row>
    <row x14ac:dyDescent="0.25" r="703" customHeight="1" ht="15.75">
      <c r="A703" s="11"/>
      <c r="B703" s="94"/>
      <c r="C703" s="11"/>
      <c r="D703" s="19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</row>
    <row x14ac:dyDescent="0.25" r="704" customHeight="1" ht="15.75">
      <c r="A704" s="11"/>
      <c r="B704" s="94"/>
      <c r="C704" s="11"/>
      <c r="D704" s="19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</row>
    <row x14ac:dyDescent="0.25" r="705" customHeight="1" ht="15.75">
      <c r="A705" s="11"/>
      <c r="B705" s="94"/>
      <c r="C705" s="11"/>
      <c r="D705" s="19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</row>
    <row x14ac:dyDescent="0.25" r="706" customHeight="1" ht="15.75">
      <c r="A706" s="11"/>
      <c r="B706" s="94"/>
      <c r="C706" s="11"/>
      <c r="D706" s="19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</row>
    <row x14ac:dyDescent="0.25" r="707" customHeight="1" ht="15.75">
      <c r="A707" s="11"/>
      <c r="B707" s="94"/>
      <c r="C707" s="11"/>
      <c r="D707" s="19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</row>
    <row x14ac:dyDescent="0.25" r="708" customHeight="1" ht="15.75">
      <c r="A708" s="11"/>
      <c r="B708" s="94"/>
      <c r="C708" s="11"/>
      <c r="D708" s="19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</row>
    <row x14ac:dyDescent="0.25" r="709" customHeight="1" ht="15.75">
      <c r="A709" s="11"/>
      <c r="B709" s="94"/>
      <c r="C709" s="11"/>
      <c r="D709" s="19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</row>
    <row x14ac:dyDescent="0.25" r="710" customHeight="1" ht="15.75">
      <c r="A710" s="11"/>
      <c r="B710" s="94"/>
      <c r="C710" s="11"/>
      <c r="D710" s="19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</row>
    <row x14ac:dyDescent="0.25" r="711" customHeight="1" ht="15.75">
      <c r="A711" s="11"/>
      <c r="B711" s="94"/>
      <c r="C711" s="11"/>
      <c r="D711" s="19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</row>
    <row x14ac:dyDescent="0.25" r="712" customHeight="1" ht="15.75">
      <c r="A712" s="11"/>
      <c r="B712" s="94"/>
      <c r="C712" s="11"/>
      <c r="D712" s="19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</row>
    <row x14ac:dyDescent="0.25" r="713" customHeight="1" ht="15.75">
      <c r="A713" s="11"/>
      <c r="B713" s="94"/>
      <c r="C713" s="11"/>
      <c r="D713" s="19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</row>
    <row x14ac:dyDescent="0.25" r="714" customHeight="1" ht="15.75">
      <c r="A714" s="11"/>
      <c r="B714" s="94"/>
      <c r="C714" s="11"/>
      <c r="D714" s="19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</row>
    <row x14ac:dyDescent="0.25" r="715" customHeight="1" ht="15.75">
      <c r="A715" s="11"/>
      <c r="B715" s="94"/>
      <c r="C715" s="11"/>
      <c r="D715" s="19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</row>
    <row x14ac:dyDescent="0.25" r="716" customHeight="1" ht="15.75">
      <c r="A716" s="11"/>
      <c r="B716" s="94"/>
      <c r="C716" s="11"/>
      <c r="D716" s="19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</row>
    <row x14ac:dyDescent="0.25" r="717" customHeight="1" ht="15.75">
      <c r="A717" s="11"/>
      <c r="B717" s="94"/>
      <c r="C717" s="11"/>
      <c r="D717" s="19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</row>
    <row x14ac:dyDescent="0.25" r="718" customHeight="1" ht="15.75">
      <c r="A718" s="11"/>
      <c r="B718" s="94"/>
      <c r="C718" s="11"/>
      <c r="D718" s="19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</row>
    <row x14ac:dyDescent="0.25" r="719" customHeight="1" ht="15.75">
      <c r="A719" s="11"/>
      <c r="B719" s="94"/>
      <c r="C719" s="11"/>
      <c r="D719" s="19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</row>
    <row x14ac:dyDescent="0.25" r="720" customHeight="1" ht="15.75">
      <c r="A720" s="11"/>
      <c r="B720" s="94"/>
      <c r="C720" s="11"/>
      <c r="D720" s="19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</row>
    <row x14ac:dyDescent="0.25" r="721" customHeight="1" ht="15.75">
      <c r="A721" s="11"/>
      <c r="B721" s="94"/>
      <c r="C721" s="11"/>
      <c r="D721" s="19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</row>
    <row x14ac:dyDescent="0.25" r="722" customHeight="1" ht="15.75">
      <c r="A722" s="11"/>
      <c r="B722" s="94"/>
      <c r="C722" s="11"/>
      <c r="D722" s="19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</row>
    <row x14ac:dyDescent="0.25" r="723" customHeight="1" ht="15.75">
      <c r="A723" s="11"/>
      <c r="B723" s="94"/>
      <c r="C723" s="11"/>
      <c r="D723" s="19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</row>
    <row x14ac:dyDescent="0.25" r="724" customHeight="1" ht="15.75">
      <c r="A724" s="11"/>
      <c r="B724" s="94"/>
      <c r="C724" s="11"/>
      <c r="D724" s="19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</row>
    <row x14ac:dyDescent="0.25" r="725" customHeight="1" ht="15.75">
      <c r="A725" s="11"/>
      <c r="B725" s="94"/>
      <c r="C725" s="11"/>
      <c r="D725" s="19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</row>
    <row x14ac:dyDescent="0.25" r="726" customHeight="1" ht="15.75">
      <c r="A726" s="11"/>
      <c r="B726" s="94"/>
      <c r="C726" s="11"/>
      <c r="D726" s="19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</row>
    <row x14ac:dyDescent="0.25" r="727" customHeight="1" ht="15.75">
      <c r="A727" s="11"/>
      <c r="B727" s="94"/>
      <c r="C727" s="11"/>
      <c r="D727" s="19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</row>
    <row x14ac:dyDescent="0.25" r="728" customHeight="1" ht="15.75">
      <c r="A728" s="11"/>
      <c r="B728" s="94"/>
      <c r="C728" s="11"/>
      <c r="D728" s="19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</row>
    <row x14ac:dyDescent="0.25" r="729" customHeight="1" ht="15.75">
      <c r="A729" s="11"/>
      <c r="B729" s="94"/>
      <c r="C729" s="11"/>
      <c r="D729" s="19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</row>
    <row x14ac:dyDescent="0.25" r="730" customHeight="1" ht="15.75">
      <c r="A730" s="11"/>
      <c r="B730" s="94"/>
      <c r="C730" s="11"/>
      <c r="D730" s="19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</row>
    <row x14ac:dyDescent="0.25" r="731" customHeight="1" ht="15.75">
      <c r="A731" s="11"/>
      <c r="B731" s="94"/>
      <c r="C731" s="11"/>
      <c r="D731" s="19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</row>
    <row x14ac:dyDescent="0.25" r="732" customHeight="1" ht="15.75">
      <c r="A732" s="11"/>
      <c r="B732" s="94"/>
      <c r="C732" s="11"/>
      <c r="D732" s="19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</row>
    <row x14ac:dyDescent="0.25" r="733" customHeight="1" ht="15.75">
      <c r="A733" s="11"/>
      <c r="B733" s="94"/>
      <c r="C733" s="11"/>
      <c r="D733" s="19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</row>
    <row x14ac:dyDescent="0.25" r="734" customHeight="1" ht="15.75">
      <c r="A734" s="11"/>
      <c r="B734" s="94"/>
      <c r="C734" s="11"/>
      <c r="D734" s="19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</row>
    <row x14ac:dyDescent="0.25" r="735" customHeight="1" ht="15.75">
      <c r="A735" s="11"/>
      <c r="B735" s="94"/>
      <c r="C735" s="11"/>
      <c r="D735" s="19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</row>
    <row x14ac:dyDescent="0.25" r="736" customHeight="1" ht="15.75">
      <c r="A736" s="11"/>
      <c r="B736" s="94"/>
      <c r="C736" s="11"/>
      <c r="D736" s="19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</row>
    <row x14ac:dyDescent="0.25" r="737" customHeight="1" ht="15.75">
      <c r="A737" s="11"/>
      <c r="B737" s="94"/>
      <c r="C737" s="11"/>
      <c r="D737" s="19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</row>
    <row x14ac:dyDescent="0.25" r="738" customHeight="1" ht="15.75">
      <c r="A738" s="11"/>
      <c r="B738" s="94"/>
      <c r="C738" s="11"/>
      <c r="D738" s="19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</row>
    <row x14ac:dyDescent="0.25" r="739" customHeight="1" ht="15.75">
      <c r="A739" s="11"/>
      <c r="B739" s="94"/>
      <c r="C739" s="11"/>
      <c r="D739" s="19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</row>
    <row x14ac:dyDescent="0.25" r="740" customHeight="1" ht="15.75">
      <c r="A740" s="11"/>
      <c r="B740" s="94"/>
      <c r="C740" s="11"/>
      <c r="D740" s="19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</row>
    <row x14ac:dyDescent="0.25" r="741" customHeight="1" ht="15.75">
      <c r="A741" s="11"/>
      <c r="B741" s="94"/>
      <c r="C741" s="11"/>
      <c r="D741" s="19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</row>
    <row x14ac:dyDescent="0.25" r="742" customHeight="1" ht="15.75">
      <c r="A742" s="11"/>
      <c r="B742" s="94"/>
      <c r="C742" s="11"/>
      <c r="D742" s="19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</row>
    <row x14ac:dyDescent="0.25" r="743" customHeight="1" ht="15.75">
      <c r="A743" s="11"/>
      <c r="B743" s="94"/>
      <c r="C743" s="11"/>
      <c r="D743" s="19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</row>
    <row x14ac:dyDescent="0.25" r="744" customHeight="1" ht="15.75">
      <c r="A744" s="11"/>
      <c r="B744" s="94"/>
      <c r="C744" s="11"/>
      <c r="D744" s="19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</row>
    <row x14ac:dyDescent="0.25" r="745" customHeight="1" ht="15.75">
      <c r="A745" s="11"/>
      <c r="B745" s="94"/>
      <c r="C745" s="11"/>
      <c r="D745" s="19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</row>
    <row x14ac:dyDescent="0.25" r="746" customHeight="1" ht="15.75">
      <c r="A746" s="11"/>
      <c r="B746" s="94"/>
      <c r="C746" s="11"/>
      <c r="D746" s="19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</row>
    <row x14ac:dyDescent="0.25" r="747" customHeight="1" ht="15.75">
      <c r="A747" s="11"/>
      <c r="B747" s="94"/>
      <c r="C747" s="11"/>
      <c r="D747" s="19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</row>
    <row x14ac:dyDescent="0.25" r="748" customHeight="1" ht="15.75">
      <c r="A748" s="11"/>
      <c r="B748" s="94"/>
      <c r="C748" s="11"/>
      <c r="D748" s="19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</row>
    <row x14ac:dyDescent="0.25" r="749" customHeight="1" ht="15.75">
      <c r="A749" s="11"/>
      <c r="B749" s="94"/>
      <c r="C749" s="11"/>
      <c r="D749" s="19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</row>
    <row x14ac:dyDescent="0.25" r="750" customHeight="1" ht="15.75">
      <c r="A750" s="11"/>
      <c r="B750" s="94"/>
      <c r="C750" s="11"/>
      <c r="D750" s="19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</row>
    <row x14ac:dyDescent="0.25" r="751" customHeight="1" ht="15.75">
      <c r="A751" s="11"/>
      <c r="B751" s="94"/>
      <c r="C751" s="11"/>
      <c r="D751" s="19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</row>
    <row x14ac:dyDescent="0.25" r="752" customHeight="1" ht="15.75">
      <c r="A752" s="11"/>
      <c r="B752" s="94"/>
      <c r="C752" s="11"/>
      <c r="D752" s="19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</row>
    <row x14ac:dyDescent="0.25" r="753" customHeight="1" ht="15.75">
      <c r="A753" s="11"/>
      <c r="B753" s="94"/>
      <c r="C753" s="11"/>
      <c r="D753" s="19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</row>
    <row x14ac:dyDescent="0.25" r="754" customHeight="1" ht="15.75">
      <c r="A754" s="11"/>
      <c r="B754" s="94"/>
      <c r="C754" s="11"/>
      <c r="D754" s="19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</row>
    <row x14ac:dyDescent="0.25" r="755" customHeight="1" ht="15.75">
      <c r="A755" s="11"/>
      <c r="B755" s="94"/>
      <c r="C755" s="11"/>
      <c r="D755" s="19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</row>
    <row x14ac:dyDescent="0.25" r="756" customHeight="1" ht="15.75">
      <c r="A756" s="11"/>
      <c r="B756" s="94"/>
      <c r="C756" s="11"/>
      <c r="D756" s="19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</row>
    <row x14ac:dyDescent="0.25" r="757" customHeight="1" ht="15.75">
      <c r="A757" s="11"/>
      <c r="B757" s="94"/>
      <c r="C757" s="11"/>
      <c r="D757" s="19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</row>
    <row x14ac:dyDescent="0.25" r="758" customHeight="1" ht="15.75">
      <c r="A758" s="11"/>
      <c r="B758" s="94"/>
      <c r="C758" s="11"/>
      <c r="D758" s="19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</row>
    <row x14ac:dyDescent="0.25" r="759" customHeight="1" ht="15.75">
      <c r="A759" s="11"/>
      <c r="B759" s="94"/>
      <c r="C759" s="11"/>
      <c r="D759" s="19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</row>
    <row x14ac:dyDescent="0.25" r="760" customHeight="1" ht="15.75">
      <c r="A760" s="11"/>
      <c r="B760" s="94"/>
      <c r="C760" s="11"/>
      <c r="D760" s="19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</row>
    <row x14ac:dyDescent="0.25" r="761" customHeight="1" ht="15.75">
      <c r="A761" s="11"/>
      <c r="B761" s="94"/>
      <c r="C761" s="11"/>
      <c r="D761" s="19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</row>
    <row x14ac:dyDescent="0.25" r="762" customHeight="1" ht="15.75">
      <c r="A762" s="11"/>
      <c r="B762" s="94"/>
      <c r="C762" s="11"/>
      <c r="D762" s="19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</row>
    <row x14ac:dyDescent="0.25" r="763" customHeight="1" ht="15.75">
      <c r="A763" s="11"/>
      <c r="B763" s="94"/>
      <c r="C763" s="11"/>
      <c r="D763" s="19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</row>
    <row x14ac:dyDescent="0.25" r="764" customHeight="1" ht="15.75">
      <c r="A764" s="11"/>
      <c r="B764" s="94"/>
      <c r="C764" s="11"/>
      <c r="D764" s="19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</row>
    <row x14ac:dyDescent="0.25" r="765" customHeight="1" ht="15.75">
      <c r="A765" s="11"/>
      <c r="B765" s="94"/>
      <c r="C765" s="11"/>
      <c r="D765" s="19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</row>
    <row x14ac:dyDescent="0.25" r="766" customHeight="1" ht="15.75">
      <c r="A766" s="11"/>
      <c r="B766" s="94"/>
      <c r="C766" s="11"/>
      <c r="D766" s="19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</row>
    <row x14ac:dyDescent="0.25" r="767" customHeight="1" ht="15.75">
      <c r="A767" s="11"/>
      <c r="B767" s="94"/>
      <c r="C767" s="11"/>
      <c r="D767" s="19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</row>
    <row x14ac:dyDescent="0.25" r="768" customHeight="1" ht="15.75">
      <c r="A768" s="11"/>
      <c r="B768" s="94"/>
      <c r="C768" s="11"/>
      <c r="D768" s="19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</row>
    <row x14ac:dyDescent="0.25" r="769" customHeight="1" ht="15.75">
      <c r="A769" s="11"/>
      <c r="B769" s="94"/>
      <c r="C769" s="11"/>
      <c r="D769" s="19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</row>
    <row x14ac:dyDescent="0.25" r="770" customHeight="1" ht="15.75">
      <c r="A770" s="11"/>
      <c r="B770" s="94"/>
      <c r="C770" s="11"/>
      <c r="D770" s="19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</row>
    <row x14ac:dyDescent="0.25" r="771" customHeight="1" ht="15.75">
      <c r="A771" s="11"/>
      <c r="B771" s="94"/>
      <c r="C771" s="11"/>
      <c r="D771" s="19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</row>
    <row x14ac:dyDescent="0.25" r="772" customHeight="1" ht="15.75">
      <c r="A772" s="11"/>
      <c r="B772" s="94"/>
      <c r="C772" s="11"/>
      <c r="D772" s="19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</row>
    <row x14ac:dyDescent="0.25" r="773" customHeight="1" ht="15.75">
      <c r="A773" s="11"/>
      <c r="B773" s="94"/>
      <c r="C773" s="11"/>
      <c r="D773" s="19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</row>
    <row x14ac:dyDescent="0.25" r="774" customHeight="1" ht="15.75">
      <c r="A774" s="11"/>
      <c r="B774" s="94"/>
      <c r="C774" s="11"/>
      <c r="D774" s="19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</row>
    <row x14ac:dyDescent="0.25" r="775" customHeight="1" ht="15.75">
      <c r="A775" s="11"/>
      <c r="B775" s="94"/>
      <c r="C775" s="11"/>
      <c r="D775" s="19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</row>
    <row x14ac:dyDescent="0.25" r="776" customHeight="1" ht="15.75">
      <c r="A776" s="11"/>
      <c r="B776" s="94"/>
      <c r="C776" s="11"/>
      <c r="D776" s="19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</row>
    <row x14ac:dyDescent="0.25" r="777" customHeight="1" ht="15.75">
      <c r="A777" s="11"/>
      <c r="B777" s="94"/>
      <c r="C777" s="11"/>
      <c r="D777" s="19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</row>
    <row x14ac:dyDescent="0.25" r="778" customHeight="1" ht="15.75">
      <c r="A778" s="11"/>
      <c r="B778" s="94"/>
      <c r="C778" s="11"/>
      <c r="D778" s="19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</row>
    <row x14ac:dyDescent="0.25" r="779" customHeight="1" ht="15.75">
      <c r="A779" s="11"/>
      <c r="B779" s="94"/>
      <c r="C779" s="11"/>
      <c r="D779" s="19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</row>
    <row x14ac:dyDescent="0.25" r="780" customHeight="1" ht="15.75">
      <c r="A780" s="11"/>
      <c r="B780" s="94"/>
      <c r="C780" s="11"/>
      <c r="D780" s="19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</row>
    <row x14ac:dyDescent="0.25" r="781" customHeight="1" ht="15.75">
      <c r="A781" s="11"/>
      <c r="B781" s="94"/>
      <c r="C781" s="11"/>
      <c r="D781" s="19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</row>
    <row x14ac:dyDescent="0.25" r="782" customHeight="1" ht="15.75">
      <c r="A782" s="11"/>
      <c r="B782" s="94"/>
      <c r="C782" s="11"/>
      <c r="D782" s="19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</row>
    <row x14ac:dyDescent="0.25" r="783" customHeight="1" ht="15.75">
      <c r="A783" s="11"/>
      <c r="B783" s="94"/>
      <c r="C783" s="11"/>
      <c r="D783" s="19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</row>
    <row x14ac:dyDescent="0.25" r="784" customHeight="1" ht="15.75">
      <c r="A784" s="11"/>
      <c r="B784" s="94"/>
      <c r="C784" s="11"/>
      <c r="D784" s="19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</row>
    <row x14ac:dyDescent="0.25" r="785" customHeight="1" ht="15.75">
      <c r="A785" s="11"/>
      <c r="B785" s="94"/>
      <c r="C785" s="11"/>
      <c r="D785" s="19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</row>
    <row x14ac:dyDescent="0.25" r="786" customHeight="1" ht="15.75">
      <c r="A786" s="11"/>
      <c r="B786" s="94"/>
      <c r="C786" s="11"/>
      <c r="D786" s="19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</row>
    <row x14ac:dyDescent="0.25" r="787" customHeight="1" ht="15.75">
      <c r="A787" s="11"/>
      <c r="B787" s="94"/>
      <c r="C787" s="11"/>
      <c r="D787" s="19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</row>
    <row x14ac:dyDescent="0.25" r="788" customHeight="1" ht="15.75">
      <c r="A788" s="11"/>
      <c r="B788" s="94"/>
      <c r="C788" s="11"/>
      <c r="D788" s="19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</row>
    <row x14ac:dyDescent="0.25" r="789" customHeight="1" ht="15.75">
      <c r="A789" s="11"/>
      <c r="B789" s="94"/>
      <c r="C789" s="11"/>
      <c r="D789" s="19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</row>
    <row x14ac:dyDescent="0.25" r="790" customHeight="1" ht="15.75">
      <c r="A790" s="11"/>
      <c r="B790" s="94"/>
      <c r="C790" s="11"/>
      <c r="D790" s="19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</row>
    <row x14ac:dyDescent="0.25" r="791" customHeight="1" ht="15.75">
      <c r="A791" s="11"/>
      <c r="B791" s="94"/>
      <c r="C791" s="11"/>
      <c r="D791" s="19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</row>
    <row x14ac:dyDescent="0.25" r="792" customHeight="1" ht="15.75">
      <c r="A792" s="11"/>
      <c r="B792" s="94"/>
      <c r="C792" s="11"/>
      <c r="D792" s="19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</row>
    <row x14ac:dyDescent="0.25" r="793" customHeight="1" ht="15.75">
      <c r="A793" s="11"/>
      <c r="B793" s="94"/>
      <c r="C793" s="11"/>
      <c r="D793" s="19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</row>
    <row x14ac:dyDescent="0.25" r="794" customHeight="1" ht="15.75">
      <c r="A794" s="11"/>
      <c r="B794" s="94"/>
      <c r="C794" s="11"/>
      <c r="D794" s="19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</row>
    <row x14ac:dyDescent="0.25" r="795" customHeight="1" ht="15.75">
      <c r="A795" s="11"/>
      <c r="B795" s="94"/>
      <c r="C795" s="11"/>
      <c r="D795" s="19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</row>
    <row x14ac:dyDescent="0.25" r="796" customHeight="1" ht="15.75">
      <c r="A796" s="11"/>
      <c r="B796" s="94"/>
      <c r="C796" s="11"/>
      <c r="D796" s="19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</row>
    <row x14ac:dyDescent="0.25" r="797" customHeight="1" ht="15.75">
      <c r="A797" s="11"/>
      <c r="B797" s="94"/>
      <c r="C797" s="11"/>
      <c r="D797" s="19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</row>
    <row x14ac:dyDescent="0.25" r="798" customHeight="1" ht="15.75">
      <c r="A798" s="11"/>
      <c r="B798" s="94"/>
      <c r="C798" s="11"/>
      <c r="D798" s="19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</row>
    <row x14ac:dyDescent="0.25" r="799" customHeight="1" ht="15.75">
      <c r="A799" s="11"/>
      <c r="B799" s="94"/>
      <c r="C799" s="11"/>
      <c r="D799" s="19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</row>
    <row x14ac:dyDescent="0.25" r="800" customHeight="1" ht="15.75">
      <c r="A800" s="11"/>
      <c r="B800" s="94"/>
      <c r="C800" s="11"/>
      <c r="D800" s="19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</row>
    <row x14ac:dyDescent="0.25" r="801" customHeight="1" ht="15.75">
      <c r="A801" s="11"/>
      <c r="B801" s="94"/>
      <c r="C801" s="11"/>
      <c r="D801" s="19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</row>
    <row x14ac:dyDescent="0.25" r="802" customHeight="1" ht="15.75">
      <c r="A802" s="11"/>
      <c r="B802" s="94"/>
      <c r="C802" s="11"/>
      <c r="D802" s="19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</row>
    <row x14ac:dyDescent="0.25" r="803" customHeight="1" ht="15.75">
      <c r="A803" s="11"/>
      <c r="B803" s="94"/>
      <c r="C803" s="11"/>
      <c r="D803" s="19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</row>
    <row x14ac:dyDescent="0.25" r="804" customHeight="1" ht="15.75">
      <c r="A804" s="11"/>
      <c r="B804" s="94"/>
      <c r="C804" s="11"/>
      <c r="D804" s="19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</row>
    <row x14ac:dyDescent="0.25" r="805" customHeight="1" ht="15.75">
      <c r="A805" s="11"/>
      <c r="B805" s="94"/>
      <c r="C805" s="11"/>
      <c r="D805" s="19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</row>
    <row x14ac:dyDescent="0.25" r="806" customHeight="1" ht="15.75">
      <c r="A806" s="11"/>
      <c r="B806" s="94"/>
      <c r="C806" s="11"/>
      <c r="D806" s="19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</row>
    <row x14ac:dyDescent="0.25" r="807" customHeight="1" ht="15.75">
      <c r="A807" s="11"/>
      <c r="B807" s="94"/>
      <c r="C807" s="11"/>
      <c r="D807" s="19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</row>
    <row x14ac:dyDescent="0.25" r="808" customHeight="1" ht="15.75">
      <c r="A808" s="11"/>
      <c r="B808" s="94"/>
      <c r="C808" s="11"/>
      <c r="D808" s="19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</row>
    <row x14ac:dyDescent="0.25" r="809" customHeight="1" ht="15.75">
      <c r="A809" s="11"/>
      <c r="B809" s="94"/>
      <c r="C809" s="11"/>
      <c r="D809" s="19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</row>
    <row x14ac:dyDescent="0.25" r="810" customHeight="1" ht="15.75">
      <c r="A810" s="11"/>
      <c r="B810" s="94"/>
      <c r="C810" s="11"/>
      <c r="D810" s="19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</row>
    <row x14ac:dyDescent="0.25" r="811" customHeight="1" ht="15.75">
      <c r="A811" s="11"/>
      <c r="B811" s="94"/>
      <c r="C811" s="11"/>
      <c r="D811" s="19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</row>
    <row x14ac:dyDescent="0.25" r="812" customHeight="1" ht="15.75">
      <c r="A812" s="11"/>
      <c r="B812" s="94"/>
      <c r="C812" s="11"/>
      <c r="D812" s="19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</row>
    <row x14ac:dyDescent="0.25" r="813" customHeight="1" ht="15.75">
      <c r="A813" s="11"/>
      <c r="B813" s="94"/>
      <c r="C813" s="11"/>
      <c r="D813" s="19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</row>
    <row x14ac:dyDescent="0.25" r="814" customHeight="1" ht="15.75">
      <c r="A814" s="11"/>
      <c r="B814" s="94"/>
      <c r="C814" s="11"/>
      <c r="D814" s="19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</row>
    <row x14ac:dyDescent="0.25" r="815" customHeight="1" ht="15.75">
      <c r="A815" s="11"/>
      <c r="B815" s="94"/>
      <c r="C815" s="11"/>
      <c r="D815" s="19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</row>
    <row x14ac:dyDescent="0.25" r="816" customHeight="1" ht="15.75">
      <c r="A816" s="11"/>
      <c r="B816" s="94"/>
      <c r="C816" s="11"/>
      <c r="D816" s="19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</row>
    <row x14ac:dyDescent="0.25" r="817" customHeight="1" ht="15.75">
      <c r="A817" s="11"/>
      <c r="B817" s="94"/>
      <c r="C817" s="11"/>
      <c r="D817" s="19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</row>
    <row x14ac:dyDescent="0.25" r="818" customHeight="1" ht="15.75">
      <c r="A818" s="11"/>
      <c r="B818" s="94"/>
      <c r="C818" s="11"/>
      <c r="D818" s="19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</row>
    <row x14ac:dyDescent="0.25" r="819" customHeight="1" ht="15.75">
      <c r="A819" s="11"/>
      <c r="B819" s="94"/>
      <c r="C819" s="11"/>
      <c r="D819" s="19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</row>
    <row x14ac:dyDescent="0.25" r="820" customHeight="1" ht="15.75">
      <c r="A820" s="11"/>
      <c r="B820" s="94"/>
      <c r="C820" s="11"/>
      <c r="D820" s="19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</row>
    <row x14ac:dyDescent="0.25" r="821" customHeight="1" ht="15.75">
      <c r="A821" s="11"/>
      <c r="B821" s="94"/>
      <c r="C821" s="11"/>
      <c r="D821" s="19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</row>
    <row x14ac:dyDescent="0.25" r="822" customHeight="1" ht="15.75">
      <c r="A822" s="11"/>
      <c r="B822" s="94"/>
      <c r="C822" s="11"/>
      <c r="D822" s="19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</row>
    <row x14ac:dyDescent="0.25" r="823" customHeight="1" ht="15.75">
      <c r="A823" s="11"/>
      <c r="B823" s="94"/>
      <c r="C823" s="11"/>
      <c r="D823" s="19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</row>
    <row x14ac:dyDescent="0.25" r="824" customHeight="1" ht="15.75">
      <c r="A824" s="11"/>
      <c r="B824" s="94"/>
      <c r="C824" s="11"/>
      <c r="D824" s="19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</row>
    <row x14ac:dyDescent="0.25" r="825" customHeight="1" ht="15.75">
      <c r="A825" s="11"/>
      <c r="B825" s="94"/>
      <c r="C825" s="11"/>
      <c r="D825" s="19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</row>
    <row x14ac:dyDescent="0.25" r="826" customHeight="1" ht="15.75">
      <c r="A826" s="11"/>
      <c r="B826" s="94"/>
      <c r="C826" s="11"/>
      <c r="D826" s="19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</row>
    <row x14ac:dyDescent="0.25" r="827" customHeight="1" ht="15.75">
      <c r="A827" s="11"/>
      <c r="B827" s="94"/>
      <c r="C827" s="11"/>
      <c r="D827" s="19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</row>
    <row x14ac:dyDescent="0.25" r="828" customHeight="1" ht="15.75">
      <c r="A828" s="11"/>
      <c r="B828" s="94"/>
      <c r="C828" s="11"/>
      <c r="D828" s="19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</row>
    <row x14ac:dyDescent="0.25" r="829" customHeight="1" ht="15.75">
      <c r="A829" s="11"/>
      <c r="B829" s="94"/>
      <c r="C829" s="11"/>
      <c r="D829" s="19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</row>
    <row x14ac:dyDescent="0.25" r="830" customHeight="1" ht="15.75">
      <c r="A830" s="11"/>
      <c r="B830" s="94"/>
      <c r="C830" s="11"/>
      <c r="D830" s="19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</row>
    <row x14ac:dyDescent="0.25" r="831" customHeight="1" ht="15.75">
      <c r="A831" s="11"/>
      <c r="B831" s="94"/>
      <c r="C831" s="11"/>
      <c r="D831" s="19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</row>
    <row x14ac:dyDescent="0.25" r="832" customHeight="1" ht="15.75">
      <c r="A832" s="11"/>
      <c r="B832" s="94"/>
      <c r="C832" s="11"/>
      <c r="D832" s="19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</row>
    <row x14ac:dyDescent="0.25" r="833" customHeight="1" ht="15.75">
      <c r="A833" s="11"/>
      <c r="B833" s="94"/>
      <c r="C833" s="11"/>
      <c r="D833" s="19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</row>
    <row x14ac:dyDescent="0.25" r="834" customHeight="1" ht="15.75">
      <c r="A834" s="11"/>
      <c r="B834" s="94"/>
      <c r="C834" s="11"/>
      <c r="D834" s="19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</row>
    <row x14ac:dyDescent="0.25" r="835" customHeight="1" ht="15.75">
      <c r="A835" s="11"/>
      <c r="B835" s="94"/>
      <c r="C835" s="11"/>
      <c r="D835" s="19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</row>
    <row x14ac:dyDescent="0.25" r="836" customHeight="1" ht="15.75">
      <c r="A836" s="11"/>
      <c r="B836" s="94"/>
      <c r="C836" s="11"/>
      <c r="D836" s="19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</row>
    <row x14ac:dyDescent="0.25" r="837" customHeight="1" ht="15.75">
      <c r="A837" s="11"/>
      <c r="B837" s="94"/>
      <c r="C837" s="11"/>
      <c r="D837" s="19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</row>
    <row x14ac:dyDescent="0.25" r="838" customHeight="1" ht="15.75">
      <c r="A838" s="11"/>
      <c r="B838" s="94"/>
      <c r="C838" s="11"/>
      <c r="D838" s="19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</row>
    <row x14ac:dyDescent="0.25" r="839" customHeight="1" ht="15.75">
      <c r="A839" s="11"/>
      <c r="B839" s="94"/>
      <c r="C839" s="11"/>
      <c r="D839" s="19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</row>
    <row x14ac:dyDescent="0.25" r="840" customHeight="1" ht="15.75">
      <c r="A840" s="11"/>
      <c r="B840" s="94"/>
      <c r="C840" s="11"/>
      <c r="D840" s="19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</row>
    <row x14ac:dyDescent="0.25" r="841" customHeight="1" ht="15.75">
      <c r="A841" s="11"/>
      <c r="B841" s="94"/>
      <c r="C841" s="11"/>
      <c r="D841" s="19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</row>
    <row x14ac:dyDescent="0.25" r="842" customHeight="1" ht="15.75">
      <c r="A842" s="11"/>
      <c r="B842" s="94"/>
      <c r="C842" s="11"/>
      <c r="D842" s="19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</row>
    <row x14ac:dyDescent="0.25" r="843" customHeight="1" ht="15.75">
      <c r="A843" s="11"/>
      <c r="B843" s="94"/>
      <c r="C843" s="11"/>
      <c r="D843" s="19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</row>
    <row x14ac:dyDescent="0.25" r="844" customHeight="1" ht="15.75">
      <c r="A844" s="11"/>
      <c r="B844" s="94"/>
      <c r="C844" s="11"/>
      <c r="D844" s="19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</row>
    <row x14ac:dyDescent="0.25" r="845" customHeight="1" ht="15.75">
      <c r="A845" s="11"/>
      <c r="B845" s="94"/>
      <c r="C845" s="11"/>
      <c r="D845" s="19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</row>
    <row x14ac:dyDescent="0.25" r="846" customHeight="1" ht="15.75">
      <c r="A846" s="11"/>
      <c r="B846" s="94"/>
      <c r="C846" s="11"/>
      <c r="D846" s="19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</row>
    <row x14ac:dyDescent="0.25" r="847" customHeight="1" ht="15.75">
      <c r="A847" s="11"/>
      <c r="B847" s="94"/>
      <c r="C847" s="11"/>
      <c r="D847" s="19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</row>
    <row x14ac:dyDescent="0.25" r="848" customHeight="1" ht="15.75">
      <c r="A848" s="11"/>
      <c r="B848" s="94"/>
      <c r="C848" s="11"/>
      <c r="D848" s="19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</row>
    <row x14ac:dyDescent="0.25" r="849" customHeight="1" ht="15.75">
      <c r="A849" s="11"/>
      <c r="B849" s="94"/>
      <c r="C849" s="11"/>
      <c r="D849" s="19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</row>
    <row x14ac:dyDescent="0.25" r="850" customHeight="1" ht="15.75">
      <c r="A850" s="11"/>
      <c r="B850" s="94"/>
      <c r="C850" s="11"/>
      <c r="D850" s="19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</row>
    <row x14ac:dyDescent="0.25" r="851" customHeight="1" ht="15.75">
      <c r="A851" s="11"/>
      <c r="B851" s="94"/>
      <c r="C851" s="11"/>
      <c r="D851" s="19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</row>
    <row x14ac:dyDescent="0.25" r="852" customHeight="1" ht="15.75">
      <c r="A852" s="11"/>
      <c r="B852" s="94"/>
      <c r="C852" s="11"/>
      <c r="D852" s="19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</row>
    <row x14ac:dyDescent="0.25" r="853" customHeight="1" ht="15.75">
      <c r="A853" s="11"/>
      <c r="B853" s="94"/>
      <c r="C853" s="11"/>
      <c r="D853" s="19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</row>
    <row x14ac:dyDescent="0.25" r="854" customHeight="1" ht="15.75">
      <c r="A854" s="11"/>
      <c r="B854" s="94"/>
      <c r="C854" s="11"/>
      <c r="D854" s="19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</row>
    <row x14ac:dyDescent="0.25" r="855" customHeight="1" ht="15.75">
      <c r="A855" s="11"/>
      <c r="B855" s="94"/>
      <c r="C855" s="11"/>
      <c r="D855" s="19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</row>
    <row x14ac:dyDescent="0.25" r="856" customHeight="1" ht="15.75">
      <c r="A856" s="11"/>
      <c r="B856" s="94"/>
      <c r="C856" s="11"/>
      <c r="D856" s="19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</row>
    <row x14ac:dyDescent="0.25" r="857" customHeight="1" ht="15.75">
      <c r="A857" s="11"/>
      <c r="B857" s="94"/>
      <c r="C857" s="11"/>
      <c r="D857" s="19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</row>
    <row x14ac:dyDescent="0.25" r="858" customHeight="1" ht="15.75">
      <c r="A858" s="11"/>
      <c r="B858" s="94"/>
      <c r="C858" s="11"/>
      <c r="D858" s="19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</row>
    <row x14ac:dyDescent="0.25" r="859" customHeight="1" ht="15.75">
      <c r="A859" s="11"/>
      <c r="B859" s="94"/>
      <c r="C859" s="11"/>
      <c r="D859" s="19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</row>
    <row x14ac:dyDescent="0.25" r="860" customHeight="1" ht="15.75">
      <c r="A860" s="11"/>
      <c r="B860" s="94"/>
      <c r="C860" s="11"/>
      <c r="D860" s="19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</row>
    <row x14ac:dyDescent="0.25" r="861" customHeight="1" ht="15.75">
      <c r="A861" s="11"/>
      <c r="B861" s="94"/>
      <c r="C861" s="11"/>
      <c r="D861" s="19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</row>
    <row x14ac:dyDescent="0.25" r="862" customHeight="1" ht="15.75">
      <c r="A862" s="11"/>
      <c r="B862" s="94"/>
      <c r="C862" s="11"/>
      <c r="D862" s="19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</row>
    <row x14ac:dyDescent="0.25" r="863" customHeight="1" ht="15.75">
      <c r="A863" s="11"/>
      <c r="B863" s="94"/>
      <c r="C863" s="11"/>
      <c r="D863" s="19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</row>
    <row x14ac:dyDescent="0.25" r="864" customHeight="1" ht="15.75">
      <c r="A864" s="11"/>
      <c r="B864" s="94"/>
      <c r="C864" s="11"/>
      <c r="D864" s="19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</row>
    <row x14ac:dyDescent="0.25" r="865" customHeight="1" ht="15.75">
      <c r="A865" s="11"/>
      <c r="B865" s="94"/>
      <c r="C865" s="11"/>
      <c r="D865" s="19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</row>
    <row x14ac:dyDescent="0.25" r="866" customHeight="1" ht="15.75">
      <c r="A866" s="11"/>
      <c r="B866" s="94"/>
      <c r="C866" s="11"/>
      <c r="D866" s="19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</row>
    <row x14ac:dyDescent="0.25" r="867" customHeight="1" ht="15.75">
      <c r="A867" s="11"/>
      <c r="B867" s="94"/>
      <c r="C867" s="11"/>
      <c r="D867" s="19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</row>
    <row x14ac:dyDescent="0.25" r="868" customHeight="1" ht="15.75">
      <c r="A868" s="11"/>
      <c r="B868" s="94"/>
      <c r="C868" s="11"/>
      <c r="D868" s="19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</row>
    <row x14ac:dyDescent="0.25" r="869" customHeight="1" ht="15.75">
      <c r="A869" s="11"/>
      <c r="B869" s="94"/>
      <c r="C869" s="11"/>
      <c r="D869" s="19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</row>
    <row x14ac:dyDescent="0.25" r="870" customHeight="1" ht="15.75">
      <c r="A870" s="11"/>
      <c r="B870" s="94"/>
      <c r="C870" s="11"/>
      <c r="D870" s="19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</row>
    <row x14ac:dyDescent="0.25" r="871" customHeight="1" ht="15.75">
      <c r="A871" s="11"/>
      <c r="B871" s="94"/>
      <c r="C871" s="11"/>
      <c r="D871" s="19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</row>
    <row x14ac:dyDescent="0.25" r="872" customHeight="1" ht="15.75">
      <c r="A872" s="11"/>
      <c r="B872" s="94"/>
      <c r="C872" s="11"/>
      <c r="D872" s="19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</row>
    <row x14ac:dyDescent="0.25" r="873" customHeight="1" ht="15.75">
      <c r="A873" s="11"/>
      <c r="B873" s="94"/>
      <c r="C873" s="11"/>
      <c r="D873" s="19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</row>
    <row x14ac:dyDescent="0.25" r="874" customHeight="1" ht="15.75">
      <c r="A874" s="11"/>
      <c r="B874" s="94"/>
      <c r="C874" s="11"/>
      <c r="D874" s="19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</row>
    <row x14ac:dyDescent="0.25" r="875" customHeight="1" ht="15.75">
      <c r="A875" s="11"/>
      <c r="B875" s="94"/>
      <c r="C875" s="11"/>
      <c r="D875" s="19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</row>
    <row x14ac:dyDescent="0.25" r="876" customHeight="1" ht="15.75">
      <c r="A876" s="11"/>
      <c r="B876" s="94"/>
      <c r="C876" s="11"/>
      <c r="D876" s="19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</row>
    <row x14ac:dyDescent="0.25" r="877" customHeight="1" ht="15.75">
      <c r="A877" s="11"/>
      <c r="B877" s="94"/>
      <c r="C877" s="11"/>
      <c r="D877" s="19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</row>
    <row x14ac:dyDescent="0.25" r="878" customHeight="1" ht="15.75">
      <c r="A878" s="11"/>
      <c r="B878" s="94"/>
      <c r="C878" s="11"/>
      <c r="D878" s="19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</row>
    <row x14ac:dyDescent="0.25" r="879" customHeight="1" ht="15.75">
      <c r="A879" s="11"/>
      <c r="B879" s="94"/>
      <c r="C879" s="11"/>
      <c r="D879" s="19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</row>
    <row x14ac:dyDescent="0.25" r="880" customHeight="1" ht="15.75">
      <c r="A880" s="11"/>
      <c r="B880" s="94"/>
      <c r="C880" s="11"/>
      <c r="D880" s="19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</row>
    <row x14ac:dyDescent="0.25" r="881" customHeight="1" ht="15.75">
      <c r="A881" s="11"/>
      <c r="B881" s="94"/>
      <c r="C881" s="11"/>
      <c r="D881" s="19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</row>
    <row x14ac:dyDescent="0.25" r="882" customHeight="1" ht="15.75">
      <c r="A882" s="11"/>
      <c r="B882" s="94"/>
      <c r="C882" s="11"/>
      <c r="D882" s="19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</row>
    <row x14ac:dyDescent="0.25" r="883" customHeight="1" ht="15.75">
      <c r="A883" s="11"/>
      <c r="B883" s="94"/>
      <c r="C883" s="11"/>
      <c r="D883" s="19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</row>
    <row x14ac:dyDescent="0.25" r="884" customHeight="1" ht="15.75">
      <c r="A884" s="11"/>
      <c r="B884" s="94"/>
      <c r="C884" s="11"/>
      <c r="D884" s="19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</row>
    <row x14ac:dyDescent="0.25" r="885" customHeight="1" ht="15.75">
      <c r="A885" s="11"/>
      <c r="B885" s="94"/>
      <c r="C885" s="11"/>
      <c r="D885" s="19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</row>
    <row x14ac:dyDescent="0.25" r="886" customHeight="1" ht="15.75">
      <c r="A886" s="11"/>
      <c r="B886" s="94"/>
      <c r="C886" s="11"/>
      <c r="D886" s="19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</row>
    <row x14ac:dyDescent="0.25" r="887" customHeight="1" ht="15.75">
      <c r="A887" s="11"/>
      <c r="B887" s="94"/>
      <c r="C887" s="11"/>
      <c r="D887" s="19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</row>
    <row x14ac:dyDescent="0.25" r="888" customHeight="1" ht="15.75">
      <c r="A888" s="11"/>
      <c r="B888" s="94"/>
      <c r="C888" s="11"/>
      <c r="D888" s="19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</row>
    <row x14ac:dyDescent="0.25" r="889" customHeight="1" ht="15.75">
      <c r="A889" s="11"/>
      <c r="B889" s="94"/>
      <c r="C889" s="11"/>
      <c r="D889" s="19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</row>
    <row x14ac:dyDescent="0.25" r="890" customHeight="1" ht="15.75">
      <c r="A890" s="11"/>
      <c r="B890" s="94"/>
      <c r="C890" s="11"/>
      <c r="D890" s="19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</row>
    <row x14ac:dyDescent="0.25" r="891" customHeight="1" ht="15.75">
      <c r="A891" s="11"/>
      <c r="B891" s="94"/>
      <c r="C891" s="11"/>
      <c r="D891" s="19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</row>
    <row x14ac:dyDescent="0.25" r="892" customHeight="1" ht="15.75">
      <c r="A892" s="11"/>
      <c r="B892" s="94"/>
      <c r="C892" s="11"/>
      <c r="D892" s="19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</row>
    <row x14ac:dyDescent="0.25" r="893" customHeight="1" ht="15.75">
      <c r="A893" s="11"/>
      <c r="B893" s="94"/>
      <c r="C893" s="11"/>
      <c r="D893" s="19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</row>
    <row x14ac:dyDescent="0.25" r="894" customHeight="1" ht="15.75">
      <c r="A894" s="11"/>
      <c r="B894" s="94"/>
      <c r="C894" s="11"/>
      <c r="D894" s="19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</row>
    <row x14ac:dyDescent="0.25" r="895" customHeight="1" ht="15.75">
      <c r="A895" s="11"/>
      <c r="B895" s="94"/>
      <c r="C895" s="11"/>
      <c r="D895" s="19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</row>
    <row x14ac:dyDescent="0.25" r="896" customHeight="1" ht="15.75">
      <c r="A896" s="11"/>
      <c r="B896" s="94"/>
      <c r="C896" s="11"/>
      <c r="D896" s="19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</row>
    <row x14ac:dyDescent="0.25" r="897" customHeight="1" ht="15.75">
      <c r="A897" s="11"/>
      <c r="B897" s="94"/>
      <c r="C897" s="11"/>
      <c r="D897" s="19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</row>
    <row x14ac:dyDescent="0.25" r="898" customHeight="1" ht="15.75">
      <c r="A898" s="11"/>
      <c r="B898" s="94"/>
      <c r="C898" s="11"/>
      <c r="D898" s="19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</row>
    <row x14ac:dyDescent="0.25" r="899" customHeight="1" ht="15.75">
      <c r="A899" s="11"/>
      <c r="B899" s="94"/>
      <c r="C899" s="11"/>
      <c r="D899" s="19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</row>
    <row x14ac:dyDescent="0.25" r="900" customHeight="1" ht="15.75">
      <c r="A900" s="11"/>
      <c r="B900" s="94"/>
      <c r="C900" s="11"/>
      <c r="D900" s="19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</row>
    <row x14ac:dyDescent="0.25" r="901" customHeight="1" ht="15.75">
      <c r="A901" s="11"/>
      <c r="B901" s="94"/>
      <c r="C901" s="11"/>
      <c r="D901" s="19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</row>
    <row x14ac:dyDescent="0.25" r="902" customHeight="1" ht="15.75">
      <c r="A902" s="11"/>
      <c r="B902" s="94"/>
      <c r="C902" s="11"/>
      <c r="D902" s="19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</row>
    <row x14ac:dyDescent="0.25" r="903" customHeight="1" ht="15.75">
      <c r="A903" s="11"/>
      <c r="B903" s="94"/>
      <c r="C903" s="11"/>
      <c r="D903" s="19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</row>
    <row x14ac:dyDescent="0.25" r="904" customHeight="1" ht="15.75">
      <c r="A904" s="11"/>
      <c r="B904" s="94"/>
      <c r="C904" s="11"/>
      <c r="D904" s="19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</row>
    <row x14ac:dyDescent="0.25" r="905" customHeight="1" ht="15.75">
      <c r="A905" s="11"/>
      <c r="B905" s="94"/>
      <c r="C905" s="11"/>
      <c r="D905" s="19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</row>
    <row x14ac:dyDescent="0.25" r="906" customHeight="1" ht="15.75">
      <c r="A906" s="11"/>
      <c r="B906" s="94"/>
      <c r="C906" s="11"/>
      <c r="D906" s="19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</row>
    <row x14ac:dyDescent="0.25" r="907" customHeight="1" ht="15.75">
      <c r="A907" s="11"/>
      <c r="B907" s="94"/>
      <c r="C907" s="11"/>
      <c r="D907" s="19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</row>
    <row x14ac:dyDescent="0.25" r="908" customHeight="1" ht="15.75">
      <c r="A908" s="11"/>
      <c r="B908" s="94"/>
      <c r="C908" s="11"/>
      <c r="D908" s="19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</row>
    <row x14ac:dyDescent="0.25" r="909" customHeight="1" ht="15.75">
      <c r="A909" s="11"/>
      <c r="B909" s="94"/>
      <c r="C909" s="11"/>
      <c r="D909" s="19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</row>
    <row x14ac:dyDescent="0.25" r="910" customHeight="1" ht="15.75">
      <c r="A910" s="11"/>
      <c r="B910" s="94"/>
      <c r="C910" s="11"/>
      <c r="D910" s="19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</row>
    <row x14ac:dyDescent="0.25" r="911" customHeight="1" ht="15.75">
      <c r="A911" s="11"/>
      <c r="B911" s="94"/>
      <c r="C911" s="11"/>
      <c r="D911" s="19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</row>
    <row x14ac:dyDescent="0.25" r="912" customHeight="1" ht="15.75">
      <c r="A912" s="11"/>
      <c r="B912" s="94"/>
      <c r="C912" s="11"/>
      <c r="D912" s="19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</row>
    <row x14ac:dyDescent="0.25" r="913" customHeight="1" ht="15.75">
      <c r="A913" s="11"/>
      <c r="B913" s="94"/>
      <c r="C913" s="11"/>
      <c r="D913" s="19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</row>
    <row x14ac:dyDescent="0.25" r="914" customHeight="1" ht="15.75">
      <c r="A914" s="11"/>
      <c r="B914" s="94"/>
      <c r="C914" s="11"/>
      <c r="D914" s="19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</row>
    <row x14ac:dyDescent="0.25" r="915" customHeight="1" ht="15.75">
      <c r="A915" s="11"/>
      <c r="B915" s="94"/>
      <c r="C915" s="11"/>
      <c r="D915" s="19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</row>
    <row x14ac:dyDescent="0.25" r="916" customHeight="1" ht="15.75">
      <c r="A916" s="11"/>
      <c r="B916" s="94"/>
      <c r="C916" s="11"/>
      <c r="D916" s="19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</row>
    <row x14ac:dyDescent="0.25" r="917" customHeight="1" ht="15.75">
      <c r="A917" s="11"/>
      <c r="B917" s="94"/>
      <c r="C917" s="11"/>
      <c r="D917" s="19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</row>
    <row x14ac:dyDescent="0.25" r="918" customHeight="1" ht="15.75">
      <c r="A918" s="11"/>
      <c r="B918" s="94"/>
      <c r="C918" s="11"/>
      <c r="D918" s="19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</row>
    <row x14ac:dyDescent="0.25" r="919" customHeight="1" ht="15.75">
      <c r="A919" s="11"/>
      <c r="B919" s="94"/>
      <c r="C919" s="11"/>
      <c r="D919" s="19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</row>
    <row x14ac:dyDescent="0.25" r="920" customHeight="1" ht="15.75">
      <c r="A920" s="11"/>
      <c r="B920" s="94"/>
      <c r="C920" s="11"/>
      <c r="D920" s="19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</row>
    <row x14ac:dyDescent="0.25" r="921" customHeight="1" ht="15.75">
      <c r="A921" s="11"/>
      <c r="B921" s="94"/>
      <c r="C921" s="11"/>
      <c r="D921" s="19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</row>
    <row x14ac:dyDescent="0.25" r="922" customHeight="1" ht="15.75">
      <c r="A922" s="11"/>
      <c r="B922" s="94"/>
      <c r="C922" s="11"/>
      <c r="D922" s="19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</row>
    <row x14ac:dyDescent="0.25" r="923" customHeight="1" ht="15.75">
      <c r="A923" s="11"/>
      <c r="B923" s="94"/>
      <c r="C923" s="11"/>
      <c r="D923" s="19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</row>
    <row x14ac:dyDescent="0.25" r="924" customHeight="1" ht="15.75">
      <c r="A924" s="11"/>
      <c r="B924" s="94"/>
      <c r="C924" s="11"/>
      <c r="D924" s="19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</row>
    <row x14ac:dyDescent="0.25" r="925" customHeight="1" ht="15.75">
      <c r="A925" s="11"/>
      <c r="B925" s="94"/>
      <c r="C925" s="11"/>
      <c r="D925" s="19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</row>
    <row x14ac:dyDescent="0.25" r="926" customHeight="1" ht="15.75">
      <c r="A926" s="11"/>
      <c r="B926" s="94"/>
      <c r="C926" s="11"/>
      <c r="D926" s="19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</row>
    <row x14ac:dyDescent="0.25" r="927" customHeight="1" ht="15.75">
      <c r="A927" s="11"/>
      <c r="B927" s="94"/>
      <c r="C927" s="11"/>
      <c r="D927" s="19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</row>
    <row x14ac:dyDescent="0.25" r="928" customHeight="1" ht="15.75">
      <c r="A928" s="11"/>
      <c r="B928" s="94"/>
      <c r="C928" s="11"/>
      <c r="D928" s="19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</row>
    <row x14ac:dyDescent="0.25" r="929" customHeight="1" ht="15.75">
      <c r="A929" s="11"/>
      <c r="B929" s="94"/>
      <c r="C929" s="11"/>
      <c r="D929" s="19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</row>
    <row x14ac:dyDescent="0.25" r="930" customHeight="1" ht="15.75">
      <c r="A930" s="11"/>
      <c r="B930" s="94"/>
      <c r="C930" s="11"/>
      <c r="D930" s="19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</row>
    <row x14ac:dyDescent="0.25" r="931" customHeight="1" ht="15.75">
      <c r="A931" s="11"/>
      <c r="B931" s="94"/>
      <c r="C931" s="11"/>
      <c r="D931" s="19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</row>
    <row x14ac:dyDescent="0.25" r="932" customHeight="1" ht="15.75">
      <c r="A932" s="11"/>
      <c r="B932" s="94"/>
      <c r="C932" s="11"/>
      <c r="D932" s="19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</row>
    <row x14ac:dyDescent="0.25" r="933" customHeight="1" ht="15.75">
      <c r="A933" s="11"/>
      <c r="B933" s="94"/>
      <c r="C933" s="11"/>
      <c r="D933" s="19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</row>
    <row x14ac:dyDescent="0.25" r="934" customHeight="1" ht="15.75">
      <c r="A934" s="11"/>
      <c r="B934" s="94"/>
      <c r="C934" s="11"/>
      <c r="D934" s="19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</row>
    <row x14ac:dyDescent="0.25" r="935" customHeight="1" ht="15.75">
      <c r="A935" s="11"/>
      <c r="B935" s="94"/>
      <c r="C935" s="11"/>
      <c r="D935" s="19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</row>
    <row x14ac:dyDescent="0.25" r="936" customHeight="1" ht="15.75">
      <c r="A936" s="11"/>
      <c r="B936" s="94"/>
      <c r="C936" s="11"/>
      <c r="D936" s="19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</row>
    <row x14ac:dyDescent="0.25" r="937" customHeight="1" ht="15.75">
      <c r="A937" s="11"/>
      <c r="B937" s="94"/>
      <c r="C937" s="11"/>
      <c r="D937" s="19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</row>
    <row x14ac:dyDescent="0.25" r="938" customHeight="1" ht="15.75">
      <c r="A938" s="11"/>
      <c r="B938" s="94"/>
      <c r="C938" s="11"/>
      <c r="D938" s="19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</row>
    <row x14ac:dyDescent="0.25" r="939" customHeight="1" ht="15.75">
      <c r="A939" s="11"/>
      <c r="B939" s="94"/>
      <c r="C939" s="11"/>
      <c r="D939" s="19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</row>
    <row x14ac:dyDescent="0.25" r="940" customHeight="1" ht="15.75">
      <c r="A940" s="11"/>
      <c r="B940" s="94"/>
      <c r="C940" s="11"/>
      <c r="D940" s="19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</row>
    <row x14ac:dyDescent="0.25" r="941" customHeight="1" ht="15.75">
      <c r="A941" s="11"/>
      <c r="B941" s="94"/>
      <c r="C941" s="11"/>
      <c r="D941" s="19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</row>
    <row x14ac:dyDescent="0.25" r="942" customHeight="1" ht="15.75">
      <c r="A942" s="11"/>
      <c r="B942" s="94"/>
      <c r="C942" s="11"/>
      <c r="D942" s="19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</row>
    <row x14ac:dyDescent="0.25" r="943" customHeight="1" ht="15.75">
      <c r="A943" s="11"/>
      <c r="B943" s="94"/>
      <c r="C943" s="11"/>
      <c r="D943" s="19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</row>
    <row x14ac:dyDescent="0.25" r="944" customHeight="1" ht="15.75">
      <c r="A944" s="11"/>
      <c r="B944" s="94"/>
      <c r="C944" s="11"/>
      <c r="D944" s="19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</row>
    <row x14ac:dyDescent="0.25" r="945" customHeight="1" ht="15.75">
      <c r="A945" s="11"/>
      <c r="B945" s="94"/>
      <c r="C945" s="11"/>
      <c r="D945" s="19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</row>
    <row x14ac:dyDescent="0.25" r="946" customHeight="1" ht="15.75">
      <c r="A946" s="11"/>
      <c r="B946" s="94"/>
      <c r="C946" s="11"/>
      <c r="D946" s="19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</row>
    <row x14ac:dyDescent="0.25" r="947" customHeight="1" ht="15.75">
      <c r="A947" s="11"/>
      <c r="B947" s="94"/>
      <c r="C947" s="11"/>
      <c r="D947" s="19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</row>
    <row x14ac:dyDescent="0.25" r="948" customHeight="1" ht="15.75">
      <c r="A948" s="11"/>
      <c r="B948" s="94"/>
      <c r="C948" s="11"/>
      <c r="D948" s="19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</row>
    <row x14ac:dyDescent="0.25" r="949" customHeight="1" ht="15.75">
      <c r="A949" s="11"/>
      <c r="B949" s="94"/>
      <c r="C949" s="11"/>
      <c r="D949" s="19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</row>
    <row x14ac:dyDescent="0.25" r="950" customHeight="1" ht="15.75">
      <c r="A950" s="11"/>
      <c r="B950" s="94"/>
      <c r="C950" s="11"/>
      <c r="D950" s="19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</row>
    <row x14ac:dyDescent="0.25" r="951" customHeight="1" ht="15.75">
      <c r="A951" s="11"/>
      <c r="B951" s="94"/>
      <c r="C951" s="11"/>
      <c r="D951" s="19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</row>
    <row x14ac:dyDescent="0.25" r="952" customHeight="1" ht="15.75">
      <c r="A952" s="11"/>
      <c r="B952" s="94"/>
      <c r="C952" s="11"/>
      <c r="D952" s="19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</row>
    <row x14ac:dyDescent="0.25" r="953" customHeight="1" ht="15.75">
      <c r="A953" s="11"/>
      <c r="B953" s="94"/>
      <c r="C953" s="11"/>
      <c r="D953" s="19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</row>
    <row x14ac:dyDescent="0.25" r="954" customHeight="1" ht="15.75">
      <c r="A954" s="11"/>
      <c r="B954" s="94"/>
      <c r="C954" s="11"/>
      <c r="D954" s="19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</row>
    <row x14ac:dyDescent="0.25" r="955" customHeight="1" ht="15.75">
      <c r="A955" s="11"/>
      <c r="B955" s="94"/>
      <c r="C955" s="11"/>
      <c r="D955" s="19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</row>
    <row x14ac:dyDescent="0.25" r="956" customHeight="1" ht="15.75">
      <c r="A956" s="11"/>
      <c r="B956" s="94"/>
      <c r="C956" s="11"/>
      <c r="D956" s="19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</row>
    <row x14ac:dyDescent="0.25" r="957" customHeight="1" ht="15.75">
      <c r="A957" s="11"/>
      <c r="B957" s="94"/>
      <c r="C957" s="11"/>
      <c r="D957" s="19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</row>
    <row x14ac:dyDescent="0.25" r="958" customHeight="1" ht="15.75">
      <c r="A958" s="11"/>
      <c r="B958" s="94"/>
      <c r="C958" s="11"/>
      <c r="D958" s="19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</row>
    <row x14ac:dyDescent="0.25" r="959" customHeight="1" ht="15.75">
      <c r="A959" s="11"/>
      <c r="B959" s="94"/>
      <c r="C959" s="11"/>
      <c r="D959" s="19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</row>
    <row x14ac:dyDescent="0.25" r="960" customHeight="1" ht="15.75">
      <c r="A960" s="11"/>
      <c r="B960" s="94"/>
      <c r="C960" s="11"/>
      <c r="D960" s="19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</row>
    <row x14ac:dyDescent="0.25" r="961" customHeight="1" ht="15.75">
      <c r="A961" s="11"/>
      <c r="B961" s="94"/>
      <c r="C961" s="11"/>
      <c r="D961" s="19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</row>
    <row x14ac:dyDescent="0.25" r="962" customHeight="1" ht="15.75">
      <c r="A962" s="11"/>
      <c r="B962" s="94"/>
      <c r="C962" s="11"/>
      <c r="D962" s="19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</row>
    <row x14ac:dyDescent="0.25" r="963" customHeight="1" ht="15.75">
      <c r="A963" s="11"/>
      <c r="B963" s="94"/>
      <c r="C963" s="11"/>
      <c r="D963" s="19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</row>
    <row x14ac:dyDescent="0.25" r="964" customHeight="1" ht="15.75">
      <c r="A964" s="11"/>
      <c r="B964" s="94"/>
      <c r="C964" s="11"/>
      <c r="D964" s="19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</row>
    <row x14ac:dyDescent="0.25" r="965" customHeight="1" ht="15.75">
      <c r="A965" s="11"/>
      <c r="B965" s="94"/>
      <c r="C965" s="11"/>
      <c r="D965" s="19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</row>
    <row x14ac:dyDescent="0.25" r="966" customHeight="1" ht="15.75">
      <c r="A966" s="11"/>
      <c r="B966" s="94"/>
      <c r="C966" s="11"/>
      <c r="D966" s="19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</row>
    <row x14ac:dyDescent="0.25" r="967" customHeight="1" ht="15.75">
      <c r="A967" s="11"/>
      <c r="B967" s="94"/>
      <c r="C967" s="11"/>
      <c r="D967" s="19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</row>
    <row x14ac:dyDescent="0.25" r="968" customHeight="1" ht="15.75">
      <c r="A968" s="11"/>
      <c r="B968" s="94"/>
      <c r="C968" s="11"/>
      <c r="D968" s="19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</row>
    <row x14ac:dyDescent="0.25" r="969" customHeight="1" ht="15.75">
      <c r="A969" s="11"/>
      <c r="B969" s="94"/>
      <c r="C969" s="11"/>
      <c r="D969" s="19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</row>
    <row x14ac:dyDescent="0.25" r="970" customHeight="1" ht="15.75">
      <c r="A970" s="11"/>
      <c r="B970" s="94"/>
      <c r="C970" s="11"/>
      <c r="D970" s="19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</row>
    <row x14ac:dyDescent="0.25" r="971" customHeight="1" ht="15.75">
      <c r="A971" s="11"/>
      <c r="B971" s="94"/>
      <c r="C971" s="11"/>
      <c r="D971" s="19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</row>
    <row x14ac:dyDescent="0.25" r="972" customHeight="1" ht="15.75">
      <c r="A972" s="11"/>
      <c r="B972" s="94"/>
      <c r="C972" s="11"/>
      <c r="D972" s="19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</row>
    <row x14ac:dyDescent="0.25" r="973" customHeight="1" ht="15.75">
      <c r="A973" s="11"/>
      <c r="B973" s="94"/>
      <c r="C973" s="11"/>
      <c r="D973" s="19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</row>
    <row x14ac:dyDescent="0.25" r="974" customHeight="1" ht="15.75">
      <c r="A974" s="11"/>
      <c r="B974" s="94"/>
      <c r="C974" s="11"/>
      <c r="D974" s="19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</row>
    <row x14ac:dyDescent="0.25" r="975" customHeight="1" ht="15.75">
      <c r="A975" s="11"/>
      <c r="B975" s="94"/>
      <c r="C975" s="11"/>
      <c r="D975" s="19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</row>
    <row x14ac:dyDescent="0.25" r="976" customHeight="1" ht="15.75">
      <c r="A976" s="11"/>
      <c r="B976" s="94"/>
      <c r="C976" s="11"/>
      <c r="D976" s="19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</row>
    <row x14ac:dyDescent="0.25" r="977" customHeight="1" ht="15.75">
      <c r="A977" s="11"/>
      <c r="B977" s="94"/>
      <c r="C977" s="11"/>
      <c r="D977" s="19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</row>
    <row x14ac:dyDescent="0.25" r="978" customHeight="1" ht="15.75">
      <c r="A978" s="11"/>
      <c r="B978" s="94"/>
      <c r="C978" s="11"/>
      <c r="D978" s="19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</row>
    <row x14ac:dyDescent="0.25" r="979" customHeight="1" ht="15.75">
      <c r="A979" s="11"/>
      <c r="B979" s="94"/>
      <c r="C979" s="11"/>
      <c r="D979" s="19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</row>
    <row x14ac:dyDescent="0.25" r="980" customHeight="1" ht="15.75">
      <c r="A980" s="11"/>
      <c r="B980" s="94"/>
      <c r="C980" s="11"/>
      <c r="D980" s="19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</row>
    <row x14ac:dyDescent="0.25" r="981" customHeight="1" ht="15.75">
      <c r="A981" s="11"/>
      <c r="B981" s="94"/>
      <c r="C981" s="11"/>
      <c r="D981" s="19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</row>
    <row x14ac:dyDescent="0.25" r="982" customHeight="1" ht="15.75">
      <c r="A982" s="11"/>
      <c r="B982" s="94"/>
      <c r="C982" s="11"/>
      <c r="D982" s="19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</row>
    <row x14ac:dyDescent="0.25" r="983" customHeight="1" ht="15.75">
      <c r="A983" s="11"/>
      <c r="B983" s="94"/>
      <c r="C983" s="11"/>
      <c r="D983" s="19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</row>
    <row x14ac:dyDescent="0.25" r="984" customHeight="1" ht="15.75">
      <c r="A984" s="11"/>
      <c r="B984" s="94"/>
      <c r="C984" s="11"/>
      <c r="D984" s="19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</row>
    <row x14ac:dyDescent="0.25" r="985" customHeight="1" ht="15.75">
      <c r="A985" s="11"/>
      <c r="B985" s="94"/>
      <c r="C985" s="11"/>
      <c r="D985" s="19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</row>
    <row x14ac:dyDescent="0.25" r="986" customHeight="1" ht="15.75">
      <c r="A986" s="11"/>
      <c r="B986" s="94"/>
      <c r="C986" s="11"/>
      <c r="D986" s="19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</row>
    <row x14ac:dyDescent="0.25" r="987" customHeight="1" ht="15.75">
      <c r="A987" s="11"/>
      <c r="B987" s="94"/>
      <c r="C987" s="11"/>
      <c r="D987" s="19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</row>
    <row x14ac:dyDescent="0.25" r="988" customHeight="1" ht="15.75">
      <c r="A988" s="11"/>
      <c r="B988" s="94"/>
      <c r="C988" s="11"/>
      <c r="D988" s="19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</row>
    <row x14ac:dyDescent="0.25" r="989" customHeight="1" ht="15.75">
      <c r="A989" s="11"/>
      <c r="B989" s="94"/>
      <c r="C989" s="11"/>
      <c r="D989" s="19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</row>
    <row x14ac:dyDescent="0.25" r="990" customHeight="1" ht="15.75">
      <c r="A990" s="11"/>
      <c r="B990" s="94"/>
      <c r="C990" s="11"/>
      <c r="D990" s="19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</row>
    <row x14ac:dyDescent="0.25" r="991" customHeight="1" ht="15.75">
      <c r="A991" s="11"/>
      <c r="B991" s="94"/>
      <c r="C991" s="11"/>
      <c r="D991" s="19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</row>
    <row x14ac:dyDescent="0.25" r="992" customHeight="1" ht="15.75">
      <c r="A992" s="11"/>
      <c r="B992" s="94"/>
      <c r="C992" s="11"/>
      <c r="D992" s="19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</row>
    <row x14ac:dyDescent="0.25" r="993" customHeight="1" ht="15.75">
      <c r="A993" s="11"/>
      <c r="B993" s="94"/>
      <c r="C993" s="11"/>
      <c r="D993" s="19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</row>
    <row x14ac:dyDescent="0.25" r="994" customHeight="1" ht="15.75">
      <c r="A994" s="11"/>
      <c r="B994" s="94"/>
      <c r="C994" s="11"/>
      <c r="D994" s="19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</row>
    <row x14ac:dyDescent="0.25" r="995" customHeight="1" ht="15.75">
      <c r="A995" s="11"/>
      <c r="B995" s="94"/>
      <c r="C995" s="11"/>
      <c r="D995" s="19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</row>
    <row x14ac:dyDescent="0.25" r="996" customHeight="1" ht="15.75">
      <c r="A996" s="11"/>
      <c r="B996" s="94"/>
      <c r="C996" s="11"/>
      <c r="D996" s="19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</row>
    <row x14ac:dyDescent="0.25" r="997" customHeight="1" ht="15.75">
      <c r="A997" s="11"/>
      <c r="B997" s="94"/>
      <c r="C997" s="11"/>
      <c r="D997" s="19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</row>
    <row x14ac:dyDescent="0.25" r="998" customHeight="1" ht="15.75">
      <c r="A998" s="11"/>
      <c r="B998" s="94"/>
      <c r="C998" s="11"/>
      <c r="D998" s="19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</row>
    <row x14ac:dyDescent="0.25" r="999" customHeight="1" ht="15.75">
      <c r="A999" s="11"/>
      <c r="B999" s="94"/>
      <c r="C999" s="11"/>
      <c r="D999" s="19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</row>
    <row x14ac:dyDescent="0.25" r="1000" customHeight="1" ht="15.75">
      <c r="A1000" s="11"/>
      <c r="B1000" s="94"/>
      <c r="C1000" s="11"/>
      <c r="D1000" s="19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</row>
  </sheetData>
  <mergeCells count="111">
    <mergeCell ref="B2:E2"/>
    <mergeCell ref="B4:B6"/>
    <mergeCell ref="B7:B9"/>
    <mergeCell ref="C7:C9"/>
    <mergeCell ref="B10:B11"/>
    <mergeCell ref="C10:C11"/>
    <mergeCell ref="B12:B15"/>
    <mergeCell ref="C13:C14"/>
    <mergeCell ref="B16:B17"/>
    <mergeCell ref="C16:C17"/>
    <mergeCell ref="B18:B22"/>
    <mergeCell ref="C20:C21"/>
    <mergeCell ref="B23:B25"/>
    <mergeCell ref="B26:B30"/>
    <mergeCell ref="C29:C30"/>
    <mergeCell ref="B31:B33"/>
    <mergeCell ref="C31:C32"/>
    <mergeCell ref="B34:B35"/>
    <mergeCell ref="C34:C35"/>
    <mergeCell ref="B36:B37"/>
    <mergeCell ref="B38:B40"/>
    <mergeCell ref="C38:C39"/>
    <mergeCell ref="B41:B43"/>
    <mergeCell ref="C42:C43"/>
    <mergeCell ref="B44:B46"/>
    <mergeCell ref="C45:C46"/>
    <mergeCell ref="B48:B52"/>
    <mergeCell ref="C48:C49"/>
    <mergeCell ref="B53:B55"/>
    <mergeCell ref="C54:C55"/>
    <mergeCell ref="B60:B61"/>
    <mergeCell ref="C60:C61"/>
    <mergeCell ref="B64:B66"/>
    <mergeCell ref="C65:C66"/>
    <mergeCell ref="B67:B70"/>
    <mergeCell ref="C69:C70"/>
    <mergeCell ref="B73:B76"/>
    <mergeCell ref="C73:C74"/>
    <mergeCell ref="C75:C76"/>
    <mergeCell ref="B77:B80"/>
    <mergeCell ref="C79:C80"/>
    <mergeCell ref="B81:B84"/>
    <mergeCell ref="C81:C82"/>
    <mergeCell ref="C83:C84"/>
    <mergeCell ref="B85:B89"/>
    <mergeCell ref="C85:C86"/>
    <mergeCell ref="C88:C89"/>
    <mergeCell ref="B90:B95"/>
    <mergeCell ref="C90:C91"/>
    <mergeCell ref="C93:C94"/>
    <mergeCell ref="B96:B98"/>
    <mergeCell ref="C97:C98"/>
    <mergeCell ref="B99:B101"/>
    <mergeCell ref="C100:C101"/>
    <mergeCell ref="B102:B103"/>
    <mergeCell ref="B104:B107"/>
    <mergeCell ref="C104:C105"/>
    <mergeCell ref="C106:C107"/>
    <mergeCell ref="B110:B114"/>
    <mergeCell ref="C112:C114"/>
    <mergeCell ref="B115:B116"/>
    <mergeCell ref="C115:C116"/>
    <mergeCell ref="B117:B118"/>
    <mergeCell ref="C117:C118"/>
    <mergeCell ref="B119:B121"/>
    <mergeCell ref="D119:D120"/>
    <mergeCell ref="B122:B124"/>
    <mergeCell ref="C123:C124"/>
    <mergeCell ref="B125:B128"/>
    <mergeCell ref="C127:C128"/>
    <mergeCell ref="B132:B134"/>
    <mergeCell ref="C133:C134"/>
    <mergeCell ref="B135:B138"/>
    <mergeCell ref="C135:C136"/>
    <mergeCell ref="B139:B141"/>
    <mergeCell ref="C139:C140"/>
    <mergeCell ref="B142:B146"/>
    <mergeCell ref="C142:C143"/>
    <mergeCell ref="C144:C146"/>
    <mergeCell ref="B147:B149"/>
    <mergeCell ref="C147:C148"/>
    <mergeCell ref="B150:B151"/>
    <mergeCell ref="B152:B154"/>
    <mergeCell ref="C153:C154"/>
    <mergeCell ref="B155:B156"/>
    <mergeCell ref="C155:C156"/>
    <mergeCell ref="B158:B161"/>
    <mergeCell ref="C158:C159"/>
    <mergeCell ref="C160:C161"/>
    <mergeCell ref="B162:B164"/>
    <mergeCell ref="C162:C163"/>
    <mergeCell ref="B165:B166"/>
    <mergeCell ref="B167:B172"/>
    <mergeCell ref="C169:C172"/>
    <mergeCell ref="B173:B175"/>
    <mergeCell ref="C174:C175"/>
    <mergeCell ref="B176:B179"/>
    <mergeCell ref="C176:C177"/>
    <mergeCell ref="C178:C179"/>
    <mergeCell ref="B180:B182"/>
    <mergeCell ref="C180:C181"/>
    <mergeCell ref="B183:B186"/>
    <mergeCell ref="C185:C186"/>
    <mergeCell ref="B187:B189"/>
    <mergeCell ref="C187:C188"/>
    <mergeCell ref="B193:B196"/>
    <mergeCell ref="C193:C194"/>
    <mergeCell ref="B197:B198"/>
    <mergeCell ref="D197:D198"/>
    <mergeCell ref="B199:B200"/>
    <mergeCell ref="D199:D20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Y1000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13" width="3.4335714285714283" customWidth="1" bestFit="1"/>
    <col min="2" max="2" style="13" width="42.57642857142857" customWidth="1" bestFit="1"/>
    <col min="3" max="3" style="13" width="37.29071428571429" customWidth="1" bestFit="1"/>
    <col min="4" max="4" style="13" width="37.29071428571429" customWidth="1" bestFit="1"/>
    <col min="5" max="5" style="13" width="14.43357142857143" customWidth="1" bestFit="1"/>
    <col min="6" max="6" style="13" width="14.43357142857143" customWidth="1" bestFit="1"/>
    <col min="7" max="7" style="13" width="14.147857142857141" customWidth="1" bestFit="1"/>
    <col min="8" max="8" style="13" width="14.147857142857141" customWidth="1" bestFit="1"/>
    <col min="9" max="9" style="13" width="14.147857142857141" customWidth="1" bestFit="1"/>
    <col min="10" max="10" style="13" width="14.147857142857141" customWidth="1" bestFit="1"/>
    <col min="11" max="11" style="13" width="14.147857142857141" customWidth="1" bestFit="1"/>
    <col min="12" max="12" style="13" width="14.147857142857141" customWidth="1" bestFit="1"/>
    <col min="13" max="13" style="13" width="14.147857142857141" customWidth="1" bestFit="1"/>
    <col min="14" max="14" style="13" width="14.147857142857141" customWidth="1" bestFit="1"/>
    <col min="15" max="15" style="13" width="14.147857142857141" customWidth="1" bestFit="1"/>
    <col min="16" max="16" style="13" width="14.147857142857141" customWidth="1" bestFit="1"/>
    <col min="17" max="17" style="13" width="14.147857142857141" customWidth="1" bestFit="1"/>
    <col min="18" max="18" style="13" width="14.147857142857141" customWidth="1" bestFit="1"/>
    <col min="19" max="19" style="13" width="14.147857142857141" customWidth="1" bestFit="1"/>
    <col min="20" max="20" style="13" width="14.147857142857141" customWidth="1" bestFit="1"/>
    <col min="21" max="21" style="13" width="14.147857142857141" customWidth="1" bestFit="1"/>
    <col min="22" max="22" style="13" width="14.147857142857141" customWidth="1" bestFit="1"/>
    <col min="23" max="23" style="13" width="14.147857142857141" customWidth="1" bestFit="1"/>
    <col min="24" max="24" style="13" width="14.147857142857141" customWidth="1" bestFit="1"/>
    <col min="25" max="25" style="13" width="14.147857142857141" customWidth="1" bestFit="1"/>
  </cols>
  <sheetData>
    <row x14ac:dyDescent="0.25" r="1" customHeight="1" ht="28.5">
      <c r="A1" s="19"/>
      <c r="B1" s="73"/>
      <c r="C1" s="73"/>
      <c r="D1" s="73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x14ac:dyDescent="0.25" r="2" customHeight="1" ht="14.25">
      <c r="A2" s="19"/>
      <c r="B2" s="74" t="s">
        <v>424</v>
      </c>
      <c r="C2" s="75" t="s">
        <v>425</v>
      </c>
      <c r="D2" s="74" t="s">
        <v>9</v>
      </c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x14ac:dyDescent="0.25" r="3" customHeight="1" ht="40.5">
      <c r="A3" s="19"/>
      <c r="B3" s="76"/>
      <c r="C3" s="68"/>
      <c r="D3" s="77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</row>
    <row x14ac:dyDescent="0.25" r="4" customHeight="1" ht="40.5">
      <c r="A4" s="19"/>
      <c r="B4" s="76"/>
      <c r="C4" s="68"/>
      <c r="D4" s="77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</row>
    <row x14ac:dyDescent="0.25" r="5" customHeight="1" ht="40.5">
      <c r="A5" s="19"/>
      <c r="B5" s="76"/>
      <c r="C5" s="68"/>
      <c r="D5" s="77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</row>
    <row x14ac:dyDescent="0.25" r="6" customHeight="1" ht="40.5">
      <c r="A6" s="19"/>
      <c r="B6" s="78"/>
      <c r="C6" s="68"/>
      <c r="D6" s="77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</row>
    <row x14ac:dyDescent="0.25" r="7" customHeight="1" ht="40.5">
      <c r="A7" s="19"/>
      <c r="B7" s="78"/>
      <c r="C7" s="68"/>
      <c r="D7" s="77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</row>
    <row x14ac:dyDescent="0.25" r="8" customHeight="1" ht="40.5">
      <c r="A8" s="19"/>
      <c r="B8" s="78"/>
      <c r="C8" s="68"/>
      <c r="D8" s="77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</row>
    <row x14ac:dyDescent="0.25" r="9" customHeight="1" ht="40.5">
      <c r="A9" s="19"/>
      <c r="B9" s="78"/>
      <c r="C9" s="68"/>
      <c r="D9" s="77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</row>
    <row x14ac:dyDescent="0.25" r="10" customHeight="1" ht="40.5">
      <c r="A10" s="19"/>
      <c r="B10" s="78"/>
      <c r="C10" s="68"/>
      <c r="D10" s="77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</row>
    <row x14ac:dyDescent="0.25" r="11" customHeight="1" ht="40.5">
      <c r="A11" s="19"/>
      <c r="B11" s="78"/>
      <c r="C11" s="68"/>
      <c r="D11" s="77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</row>
    <row x14ac:dyDescent="0.25" r="12" customHeight="1" ht="40.5">
      <c r="A12" s="19"/>
      <c r="B12" s="78"/>
      <c r="C12" s="68"/>
      <c r="D12" s="77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</row>
    <row x14ac:dyDescent="0.25" r="13" customHeight="1" ht="40.5">
      <c r="A13" s="19"/>
      <c r="B13" s="78"/>
      <c r="C13" s="68"/>
      <c r="D13" s="77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</row>
    <row x14ac:dyDescent="0.25" r="14" customHeight="1" ht="40.5">
      <c r="A14" s="19"/>
      <c r="B14" s="78"/>
      <c r="C14" s="68"/>
      <c r="D14" s="77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</row>
    <row x14ac:dyDescent="0.25" r="15" customHeight="1" ht="40.5">
      <c r="A15" s="19"/>
      <c r="B15" s="76"/>
      <c r="C15" s="68"/>
      <c r="D15" s="77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</row>
    <row x14ac:dyDescent="0.25" r="16" customHeight="1" ht="40.5">
      <c r="A16" s="19"/>
      <c r="B16" s="76"/>
      <c r="C16" s="68"/>
      <c r="D16" s="77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</row>
    <row x14ac:dyDescent="0.25" r="17" customHeight="1" ht="40.5">
      <c r="A17" s="19"/>
      <c r="B17" s="76"/>
      <c r="C17" s="68"/>
      <c r="D17" s="77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</row>
    <row x14ac:dyDescent="0.25" r="18" customHeight="1" ht="40.5">
      <c r="A18" s="19"/>
      <c r="B18" s="76"/>
      <c r="C18" s="68"/>
      <c r="D18" s="77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</row>
    <row x14ac:dyDescent="0.25" r="19" customHeight="1" ht="40.5">
      <c r="A19" s="19"/>
      <c r="B19" s="76"/>
      <c r="C19" s="68"/>
      <c r="D19" s="77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</row>
    <row x14ac:dyDescent="0.25" r="20" customHeight="1" ht="40.5">
      <c r="A20" s="19"/>
      <c r="B20" s="76"/>
      <c r="C20" s="68"/>
      <c r="D20" s="77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</row>
    <row x14ac:dyDescent="0.25" r="21" customHeight="1" ht="40.5">
      <c r="A21" s="19"/>
      <c r="B21" s="76"/>
      <c r="C21" s="68"/>
      <c r="D21" s="77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</row>
    <row x14ac:dyDescent="0.25" r="22" customHeight="1" ht="40.5">
      <c r="A22" s="19"/>
      <c r="B22" s="76"/>
      <c r="C22" s="68"/>
      <c r="D22" s="77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</row>
    <row x14ac:dyDescent="0.25" r="23" customHeight="1" ht="40.5">
      <c r="A23" s="19"/>
      <c r="B23" s="76"/>
      <c r="C23" s="68"/>
      <c r="D23" s="77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</row>
    <row x14ac:dyDescent="0.25" r="24" customHeight="1" ht="40.5">
      <c r="A24" s="19"/>
      <c r="B24" s="76"/>
      <c r="C24" s="68"/>
      <c r="D24" s="77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</row>
    <row x14ac:dyDescent="0.25" r="25" customHeight="1" ht="40.5">
      <c r="A25" s="19"/>
      <c r="B25" s="76"/>
      <c r="C25" s="68"/>
      <c r="D25" s="77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</row>
    <row x14ac:dyDescent="0.25" r="26" customHeight="1" ht="40.5">
      <c r="A26" s="19"/>
      <c r="B26" s="76"/>
      <c r="C26" s="68"/>
      <c r="D26" s="77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</row>
    <row x14ac:dyDescent="0.25" r="27" customHeight="1" ht="40.5">
      <c r="A27" s="19"/>
      <c r="B27" s="76"/>
      <c r="C27" s="68"/>
      <c r="D27" s="77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</row>
    <row x14ac:dyDescent="0.25" r="28" customHeight="1" ht="40.5">
      <c r="A28" s="19"/>
      <c r="B28" s="76"/>
      <c r="C28" s="68"/>
      <c r="D28" s="77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</row>
    <row x14ac:dyDescent="0.25" r="29" customHeight="1" ht="40.5">
      <c r="A29" s="19"/>
      <c r="B29" s="76"/>
      <c r="C29" s="68"/>
      <c r="D29" s="77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</row>
    <row x14ac:dyDescent="0.25" r="30" customHeight="1" ht="40.5">
      <c r="A30" s="19"/>
      <c r="B30" s="76"/>
      <c r="C30" s="68"/>
      <c r="D30" s="77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</row>
    <row x14ac:dyDescent="0.25" r="31" customHeight="1" ht="40.5">
      <c r="A31" s="19"/>
      <c r="B31" s="76"/>
      <c r="C31" s="68"/>
      <c r="D31" s="77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</row>
    <row x14ac:dyDescent="0.25" r="32" customHeight="1" ht="40.5">
      <c r="A32" s="19"/>
      <c r="B32" s="78"/>
      <c r="C32" s="68"/>
      <c r="D32" s="77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</row>
    <row x14ac:dyDescent="0.25" r="33" customHeight="1" ht="40.5">
      <c r="A33" s="19"/>
      <c r="B33" s="78"/>
      <c r="C33" s="68"/>
      <c r="D33" s="77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</row>
    <row x14ac:dyDescent="0.25" r="34" customHeight="1" ht="40.5">
      <c r="A34" s="19"/>
      <c r="B34" s="78"/>
      <c r="C34" s="68"/>
      <c r="D34" s="77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</row>
    <row x14ac:dyDescent="0.25" r="35" customHeight="1" ht="40.5">
      <c r="A35" s="19"/>
      <c r="B35" s="78"/>
      <c r="C35" s="68"/>
      <c r="D35" s="77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</row>
    <row x14ac:dyDescent="0.25" r="36" customHeight="1" ht="40.5">
      <c r="A36" s="19"/>
      <c r="B36" s="78"/>
      <c r="C36" s="68"/>
      <c r="D36" s="77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</row>
    <row x14ac:dyDescent="0.25" r="37" customHeight="1" ht="40.5">
      <c r="A37" s="19"/>
      <c r="B37" s="76"/>
      <c r="C37" s="68"/>
      <c r="D37" s="77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</row>
    <row x14ac:dyDescent="0.25" r="38" customHeight="1" ht="40.5">
      <c r="A38" s="19"/>
      <c r="B38" s="76"/>
      <c r="C38" s="68"/>
      <c r="D38" s="77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</row>
    <row x14ac:dyDescent="0.25" r="39" customHeight="1" ht="40.5">
      <c r="A39" s="19"/>
      <c r="B39" s="76"/>
      <c r="C39" s="68"/>
      <c r="D39" s="77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</row>
    <row x14ac:dyDescent="0.25" r="40" customHeight="1" ht="40.5">
      <c r="A40" s="19"/>
      <c r="B40" s="76"/>
      <c r="C40" s="68"/>
      <c r="D40" s="77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</row>
    <row x14ac:dyDescent="0.25" r="41" customHeight="1" ht="40.5">
      <c r="A41" s="19"/>
      <c r="B41" s="78"/>
      <c r="C41" s="68"/>
      <c r="D41" s="77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</row>
    <row x14ac:dyDescent="0.25" r="42" customHeight="1" ht="40.5">
      <c r="A42" s="19"/>
      <c r="B42" s="78"/>
      <c r="C42" s="68"/>
      <c r="D42" s="77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</row>
    <row x14ac:dyDescent="0.25" r="43" customHeight="1" ht="40.5">
      <c r="A43" s="19"/>
      <c r="B43" s="78"/>
      <c r="C43" s="68"/>
      <c r="D43" s="77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</row>
    <row x14ac:dyDescent="0.25" r="44" customHeight="1" ht="40.5">
      <c r="A44" s="19"/>
      <c r="B44" s="76"/>
      <c r="C44" s="68"/>
      <c r="D44" s="77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</row>
    <row x14ac:dyDescent="0.25" r="45" customHeight="1" ht="40.5">
      <c r="A45" s="19"/>
      <c r="B45" s="76"/>
      <c r="C45" s="68"/>
      <c r="D45" s="77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</row>
    <row x14ac:dyDescent="0.25" r="46" customHeight="1" ht="40.5">
      <c r="A46" s="19"/>
      <c r="B46" s="76"/>
      <c r="C46" s="68"/>
      <c r="D46" s="77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</row>
    <row x14ac:dyDescent="0.25" r="47" customHeight="1" ht="40.5">
      <c r="A47" s="19"/>
      <c r="B47" s="76"/>
      <c r="C47" s="68"/>
      <c r="D47" s="77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</row>
    <row x14ac:dyDescent="0.25" r="48" customHeight="1" ht="40.5">
      <c r="A48" s="19"/>
      <c r="B48" s="79"/>
      <c r="C48" s="68"/>
      <c r="D48" s="77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</row>
    <row x14ac:dyDescent="0.25" r="49" customHeight="1" ht="40.5">
      <c r="A49" s="19"/>
      <c r="B49" s="79"/>
      <c r="C49" s="68"/>
      <c r="D49" s="77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</row>
    <row x14ac:dyDescent="0.25" r="50" customHeight="1" ht="40.5">
      <c r="A50" s="19"/>
      <c r="B50" s="79"/>
      <c r="C50" s="68"/>
      <c r="D50" s="77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</row>
    <row x14ac:dyDescent="0.25" r="51" customHeight="1" ht="40.5">
      <c r="A51" s="19"/>
      <c r="B51" s="79"/>
      <c r="C51" s="68"/>
      <c r="D51" s="77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</row>
    <row x14ac:dyDescent="0.25" r="52" customHeight="1" ht="40.5">
      <c r="A52" s="19"/>
      <c r="B52" s="79"/>
      <c r="C52" s="68"/>
      <c r="D52" s="77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</row>
    <row x14ac:dyDescent="0.25" r="53" customHeight="1" ht="40.5">
      <c r="A53" s="19"/>
      <c r="B53" s="52"/>
      <c r="C53" s="68"/>
      <c r="D53" s="77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</row>
    <row x14ac:dyDescent="0.25" r="54" customHeight="1" ht="40.5">
      <c r="A54" s="19"/>
      <c r="B54" s="52"/>
      <c r="C54" s="68"/>
      <c r="D54" s="77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</row>
    <row x14ac:dyDescent="0.25" r="55" customHeight="1" ht="40.5">
      <c r="A55" s="19"/>
      <c r="B55" s="52"/>
      <c r="C55" s="68"/>
      <c r="D55" s="77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</row>
    <row x14ac:dyDescent="0.25" r="56" customHeight="1" ht="40.5">
      <c r="A56" s="19"/>
      <c r="B56" s="52"/>
      <c r="C56" s="68"/>
      <c r="D56" s="77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</row>
    <row x14ac:dyDescent="0.25" r="57" customHeight="1" ht="40.5">
      <c r="A57" s="19"/>
      <c r="B57" s="80"/>
      <c r="C57" s="68"/>
      <c r="D57" s="77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</row>
    <row x14ac:dyDescent="0.25" r="58" customHeight="1" ht="40.5">
      <c r="A58" s="19"/>
      <c r="B58" s="76"/>
      <c r="C58" s="68"/>
      <c r="D58" s="77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</row>
    <row x14ac:dyDescent="0.25" r="59" customHeight="1" ht="40.5">
      <c r="A59" s="19"/>
      <c r="B59" s="76"/>
      <c r="C59" s="68"/>
      <c r="D59" s="77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</row>
    <row x14ac:dyDescent="0.25" r="60" customHeight="1" ht="40.5">
      <c r="A60" s="19"/>
      <c r="B60" s="76"/>
      <c r="C60" s="68"/>
      <c r="D60" s="77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</row>
    <row x14ac:dyDescent="0.25" r="61" customHeight="1" ht="40.5">
      <c r="A61" s="19"/>
      <c r="B61" s="76"/>
      <c r="C61" s="68"/>
      <c r="D61" s="77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</row>
    <row x14ac:dyDescent="0.25" r="62" customHeight="1" ht="40.5">
      <c r="A62" s="19"/>
      <c r="B62" s="76"/>
      <c r="C62" s="68"/>
      <c r="D62" s="77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</row>
    <row x14ac:dyDescent="0.25" r="63" customHeight="1" ht="40.5">
      <c r="A63" s="19"/>
      <c r="B63" s="76"/>
      <c r="C63" s="68"/>
      <c r="D63" s="77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</row>
    <row x14ac:dyDescent="0.25" r="64" customHeight="1" ht="40.5">
      <c r="A64" s="19"/>
      <c r="B64" s="76"/>
      <c r="C64" s="68"/>
      <c r="D64" s="77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</row>
    <row x14ac:dyDescent="0.25" r="65" customHeight="1" ht="40.5">
      <c r="A65" s="19"/>
      <c r="B65" s="76"/>
      <c r="C65" s="68"/>
      <c r="D65" s="77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</row>
    <row x14ac:dyDescent="0.25" r="66" customHeight="1" ht="40.5">
      <c r="A66" s="19"/>
      <c r="B66" s="76"/>
      <c r="C66" s="68"/>
      <c r="D66" s="77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</row>
    <row x14ac:dyDescent="0.25" r="67" customHeight="1" ht="40.5">
      <c r="A67" s="19"/>
      <c r="B67" s="76"/>
      <c r="C67" s="68"/>
      <c r="D67" s="77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</row>
    <row x14ac:dyDescent="0.25" r="68" customHeight="1" ht="40.5">
      <c r="A68" s="19"/>
      <c r="B68" s="76"/>
      <c r="C68" s="68"/>
      <c r="D68" s="77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</row>
    <row x14ac:dyDescent="0.25" r="69" customHeight="1" ht="40.5">
      <c r="A69" s="19"/>
      <c r="B69" s="76"/>
      <c r="C69" s="68"/>
      <c r="D69" s="77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</row>
    <row x14ac:dyDescent="0.25" r="70" customHeight="1" ht="40.5">
      <c r="A70" s="19"/>
      <c r="B70" s="76"/>
      <c r="C70" s="68"/>
      <c r="D70" s="77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</row>
    <row x14ac:dyDescent="0.25" r="71" customHeight="1" ht="40.5">
      <c r="A71" s="19"/>
      <c r="B71" s="78"/>
      <c r="C71" s="68"/>
      <c r="D71" s="77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</row>
    <row x14ac:dyDescent="0.25" r="72" customHeight="1" ht="40.5">
      <c r="A72" s="19"/>
      <c r="B72" s="78"/>
      <c r="C72" s="68"/>
      <c r="D72" s="77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</row>
    <row x14ac:dyDescent="0.25" r="73" customHeight="1" ht="40.5">
      <c r="A73" s="19"/>
      <c r="B73" s="76"/>
      <c r="C73" s="68"/>
      <c r="D73" s="77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</row>
    <row x14ac:dyDescent="0.25" r="74" customHeight="1" ht="40.5">
      <c r="A74" s="19"/>
      <c r="B74" s="76"/>
      <c r="C74" s="68"/>
      <c r="D74" s="77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</row>
    <row x14ac:dyDescent="0.25" r="75" customHeight="1" ht="40.5">
      <c r="A75" s="19"/>
      <c r="B75" s="76"/>
      <c r="C75" s="68"/>
      <c r="D75" s="77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</row>
    <row x14ac:dyDescent="0.25" r="76" customHeight="1" ht="14.25">
      <c r="A76" s="19"/>
      <c r="B76" s="19"/>
      <c r="C76" s="19"/>
      <c r="D76" s="19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x14ac:dyDescent="0.25" r="77" customHeight="1" ht="14.25">
      <c r="A77" s="19"/>
      <c r="B77" s="19"/>
      <c r="C77" s="19"/>
      <c r="D77" s="19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x14ac:dyDescent="0.25" r="78" customHeight="1" ht="14.25">
      <c r="A78" s="19"/>
      <c r="B78" s="19"/>
      <c r="C78" s="19"/>
      <c r="D78" s="19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x14ac:dyDescent="0.25" r="79" customHeight="1" ht="14.25">
      <c r="A79" s="19"/>
      <c r="B79" s="19"/>
      <c r="C79" s="19"/>
      <c r="D79" s="19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x14ac:dyDescent="0.25" r="80" customHeight="1" ht="14.25">
      <c r="A80" s="19"/>
      <c r="B80" s="19"/>
      <c r="C80" s="19"/>
      <c r="D80" s="19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x14ac:dyDescent="0.25" r="81" customHeight="1" ht="14.25">
      <c r="A81" s="19"/>
      <c r="B81" s="19"/>
      <c r="C81" s="19"/>
      <c r="D81" s="19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x14ac:dyDescent="0.25" r="82" customHeight="1" ht="14.25">
      <c r="A82" s="19"/>
      <c r="B82" s="19"/>
      <c r="C82" s="19"/>
      <c r="D82" s="19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x14ac:dyDescent="0.25" r="83" customHeight="1" ht="14.25">
      <c r="A83" s="19"/>
      <c r="B83" s="19"/>
      <c r="C83" s="19"/>
      <c r="D83" s="19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x14ac:dyDescent="0.25" r="84" customHeight="1" ht="14.25">
      <c r="A84" s="19"/>
      <c r="B84" s="19"/>
      <c r="C84" s="19"/>
      <c r="D84" s="19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x14ac:dyDescent="0.25" r="85" customHeight="1" ht="14.25">
      <c r="A85" s="19"/>
      <c r="B85" s="19"/>
      <c r="C85" s="19"/>
      <c r="D85" s="19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x14ac:dyDescent="0.25" r="86" customHeight="1" ht="14.25">
      <c r="A86" s="19"/>
      <c r="B86" s="19"/>
      <c r="C86" s="19"/>
      <c r="D86" s="19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x14ac:dyDescent="0.25" r="87" customHeight="1" ht="14.25">
      <c r="A87" s="19"/>
      <c r="B87" s="19"/>
      <c r="C87" s="19"/>
      <c r="D87" s="19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x14ac:dyDescent="0.25" r="88" customHeight="1" ht="14.25">
      <c r="A88" s="19"/>
      <c r="B88" s="19"/>
      <c r="C88" s="19"/>
      <c r="D88" s="19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x14ac:dyDescent="0.25" r="89" customHeight="1" ht="14.25">
      <c r="A89" s="19"/>
      <c r="B89" s="19"/>
      <c r="C89" s="19"/>
      <c r="D89" s="19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x14ac:dyDescent="0.25" r="90" customHeight="1" ht="14.25">
      <c r="A90" s="19"/>
      <c r="B90" s="19"/>
      <c r="C90" s="19"/>
      <c r="D90" s="19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x14ac:dyDescent="0.25" r="91" customHeight="1" ht="14.25">
      <c r="A91" s="19"/>
      <c r="B91" s="19"/>
      <c r="C91" s="19"/>
      <c r="D91" s="19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x14ac:dyDescent="0.25" r="92" customHeight="1" ht="14.25">
      <c r="A92" s="19"/>
      <c r="B92" s="19"/>
      <c r="C92" s="19"/>
      <c r="D92" s="19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x14ac:dyDescent="0.25" r="93" customHeight="1" ht="14.25">
      <c r="A93" s="19"/>
      <c r="B93" s="19"/>
      <c r="C93" s="19"/>
      <c r="D93" s="19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x14ac:dyDescent="0.25" r="94" customHeight="1" ht="14.25">
      <c r="A94" s="19"/>
      <c r="B94" s="19"/>
      <c r="C94" s="19"/>
      <c r="D94" s="19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x14ac:dyDescent="0.25" r="95" customHeight="1" ht="14.25">
      <c r="A95" s="19"/>
      <c r="B95" s="19"/>
      <c r="C95" s="19"/>
      <c r="D95" s="19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x14ac:dyDescent="0.25" r="96" customHeight="1" ht="14.25">
      <c r="A96" s="19"/>
      <c r="B96" s="19"/>
      <c r="C96" s="19"/>
      <c r="D96" s="19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x14ac:dyDescent="0.25" r="97" customHeight="1" ht="14.25">
      <c r="A97" s="19"/>
      <c r="B97" s="19"/>
      <c r="C97" s="19"/>
      <c r="D97" s="19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x14ac:dyDescent="0.25" r="98" customHeight="1" ht="14.25">
      <c r="A98" s="19"/>
      <c r="B98" s="19"/>
      <c r="C98" s="19"/>
      <c r="D98" s="19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x14ac:dyDescent="0.25" r="99" customHeight="1" ht="14.25">
      <c r="A99" s="19"/>
      <c r="B99" s="19"/>
      <c r="C99" s="19"/>
      <c r="D99" s="19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x14ac:dyDescent="0.25" r="100" customHeight="1" ht="14.25">
      <c r="A100" s="19"/>
      <c r="B100" s="19"/>
      <c r="C100" s="19"/>
      <c r="D100" s="19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x14ac:dyDescent="0.25" r="101" customHeight="1" ht="14.25">
      <c r="A101" s="19"/>
      <c r="B101" s="19"/>
      <c r="C101" s="19"/>
      <c r="D101" s="19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x14ac:dyDescent="0.25" r="102" customHeight="1" ht="14.25">
      <c r="A102" s="19"/>
      <c r="B102" s="19"/>
      <c r="C102" s="19"/>
      <c r="D102" s="19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x14ac:dyDescent="0.25" r="103" customHeight="1" ht="14.25">
      <c r="A103" s="19"/>
      <c r="B103" s="19"/>
      <c r="C103" s="19"/>
      <c r="D103" s="19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x14ac:dyDescent="0.25" r="104" customHeight="1" ht="14.25">
      <c r="A104" s="19"/>
      <c r="B104" s="19"/>
      <c r="C104" s="19"/>
      <c r="D104" s="19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x14ac:dyDescent="0.25" r="105" customHeight="1" ht="14.25">
      <c r="A105" s="19"/>
      <c r="B105" s="19"/>
      <c r="C105" s="19"/>
      <c r="D105" s="19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x14ac:dyDescent="0.25" r="106" customHeight="1" ht="14.25">
      <c r="A106" s="19"/>
      <c r="B106" s="19"/>
      <c r="C106" s="19"/>
      <c r="D106" s="19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x14ac:dyDescent="0.25" r="107" customHeight="1" ht="14.25">
      <c r="A107" s="19"/>
      <c r="B107" s="19"/>
      <c r="C107" s="19"/>
      <c r="D107" s="19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x14ac:dyDescent="0.25" r="108" customHeight="1" ht="14.25">
      <c r="A108" s="19"/>
      <c r="B108" s="19"/>
      <c r="C108" s="19"/>
      <c r="D108" s="19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x14ac:dyDescent="0.25" r="109" customHeight="1" ht="14.25">
      <c r="A109" s="19"/>
      <c r="B109" s="19"/>
      <c r="C109" s="19"/>
      <c r="D109" s="19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x14ac:dyDescent="0.25" r="110" customHeight="1" ht="14.25">
      <c r="A110" s="19"/>
      <c r="B110" s="19"/>
      <c r="C110" s="19"/>
      <c r="D110" s="19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x14ac:dyDescent="0.25" r="111" customHeight="1" ht="14.25">
      <c r="A111" s="19"/>
      <c r="B111" s="19"/>
      <c r="C111" s="19"/>
      <c r="D111" s="19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x14ac:dyDescent="0.25" r="112" customHeight="1" ht="14.25">
      <c r="A112" s="19"/>
      <c r="B112" s="19"/>
      <c r="C112" s="19"/>
      <c r="D112" s="19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x14ac:dyDescent="0.25" r="113" customHeight="1" ht="14.25">
      <c r="A113" s="19"/>
      <c r="B113" s="19"/>
      <c r="C113" s="19"/>
      <c r="D113" s="19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x14ac:dyDescent="0.25" r="114" customHeight="1" ht="14.25">
      <c r="A114" s="19"/>
      <c r="B114" s="19"/>
      <c r="C114" s="19"/>
      <c r="D114" s="19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x14ac:dyDescent="0.25" r="115" customHeight="1" ht="14.25">
      <c r="A115" s="19"/>
      <c r="B115" s="19"/>
      <c r="C115" s="19"/>
      <c r="D115" s="19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x14ac:dyDescent="0.25" r="116" customHeight="1" ht="14.25">
      <c r="A116" s="19"/>
      <c r="B116" s="19"/>
      <c r="C116" s="19"/>
      <c r="D116" s="19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x14ac:dyDescent="0.25" r="117" customHeight="1" ht="14.25">
      <c r="A117" s="19"/>
      <c r="B117" s="19"/>
      <c r="C117" s="19"/>
      <c r="D117" s="19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x14ac:dyDescent="0.25" r="118" customHeight="1" ht="14.25">
      <c r="A118" s="19"/>
      <c r="B118" s="19"/>
      <c r="C118" s="19"/>
      <c r="D118" s="19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x14ac:dyDescent="0.25" r="119" customHeight="1" ht="14.25">
      <c r="A119" s="19"/>
      <c r="B119" s="19"/>
      <c r="C119" s="19"/>
      <c r="D119" s="19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x14ac:dyDescent="0.25" r="120" customHeight="1" ht="14.25">
      <c r="A120" s="19"/>
      <c r="B120" s="19"/>
      <c r="C120" s="19"/>
      <c r="D120" s="19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x14ac:dyDescent="0.25" r="121" customHeight="1" ht="14.25">
      <c r="A121" s="19"/>
      <c r="B121" s="19"/>
      <c r="C121" s="19"/>
      <c r="D121" s="19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x14ac:dyDescent="0.25" r="122" customHeight="1" ht="14.25">
      <c r="A122" s="19"/>
      <c r="B122" s="19"/>
      <c r="C122" s="19"/>
      <c r="D122" s="19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x14ac:dyDescent="0.25" r="123" customHeight="1" ht="14.25">
      <c r="A123" s="19"/>
      <c r="B123" s="19"/>
      <c r="C123" s="19"/>
      <c r="D123" s="19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x14ac:dyDescent="0.25" r="124" customHeight="1" ht="14.25">
      <c r="A124" s="19"/>
      <c r="B124" s="19"/>
      <c r="C124" s="19"/>
      <c r="D124" s="19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x14ac:dyDescent="0.25" r="125" customHeight="1" ht="14.25">
      <c r="A125" s="19"/>
      <c r="B125" s="19"/>
      <c r="C125" s="19"/>
      <c r="D125" s="19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x14ac:dyDescent="0.25" r="126" customHeight="1" ht="14.25">
      <c r="A126" s="19"/>
      <c r="B126" s="19"/>
      <c r="C126" s="19"/>
      <c r="D126" s="19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x14ac:dyDescent="0.25" r="127" customHeight="1" ht="14.25">
      <c r="A127" s="19"/>
      <c r="B127" s="19"/>
      <c r="C127" s="19"/>
      <c r="D127" s="19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x14ac:dyDescent="0.25" r="128" customHeight="1" ht="14.25">
      <c r="A128" s="19"/>
      <c r="B128" s="19"/>
      <c r="C128" s="19"/>
      <c r="D128" s="19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x14ac:dyDescent="0.25" r="129" customHeight="1" ht="14.25">
      <c r="A129" s="19"/>
      <c r="B129" s="19"/>
      <c r="C129" s="19"/>
      <c r="D129" s="19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x14ac:dyDescent="0.25" r="130" customHeight="1" ht="14.25">
      <c r="A130" s="19"/>
      <c r="B130" s="19"/>
      <c r="C130" s="19"/>
      <c r="D130" s="19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x14ac:dyDescent="0.25" r="131" customHeight="1" ht="14.25">
      <c r="A131" s="19"/>
      <c r="B131" s="19"/>
      <c r="C131" s="19"/>
      <c r="D131" s="19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x14ac:dyDescent="0.25" r="132" customHeight="1" ht="14.25">
      <c r="A132" s="19"/>
      <c r="B132" s="19"/>
      <c r="C132" s="19"/>
      <c r="D132" s="19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x14ac:dyDescent="0.25" r="133" customHeight="1" ht="14.25">
      <c r="A133" s="19"/>
      <c r="B133" s="19"/>
      <c r="C133" s="19"/>
      <c r="D133" s="19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x14ac:dyDescent="0.25" r="134" customHeight="1" ht="14.25">
      <c r="A134" s="19"/>
      <c r="B134" s="19"/>
      <c r="C134" s="19"/>
      <c r="D134" s="19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x14ac:dyDescent="0.25" r="135" customHeight="1" ht="14.25">
      <c r="A135" s="19"/>
      <c r="B135" s="19"/>
      <c r="C135" s="19"/>
      <c r="D135" s="19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x14ac:dyDescent="0.25" r="136" customHeight="1" ht="14.25">
      <c r="A136" s="19"/>
      <c r="B136" s="19"/>
      <c r="C136" s="19"/>
      <c r="D136" s="19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x14ac:dyDescent="0.25" r="137" customHeight="1" ht="14.25">
      <c r="A137" s="19"/>
      <c r="B137" s="19"/>
      <c r="C137" s="19"/>
      <c r="D137" s="19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x14ac:dyDescent="0.25" r="138" customHeight="1" ht="14.25">
      <c r="A138" s="19"/>
      <c r="B138" s="19"/>
      <c r="C138" s="19"/>
      <c r="D138" s="19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x14ac:dyDescent="0.25" r="139" customHeight="1" ht="14.25">
      <c r="A139" s="19"/>
      <c r="B139" s="19"/>
      <c r="C139" s="19"/>
      <c r="D139" s="19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x14ac:dyDescent="0.25" r="140" customHeight="1" ht="14.25">
      <c r="A140" s="19"/>
      <c r="B140" s="19"/>
      <c r="C140" s="19"/>
      <c r="D140" s="19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x14ac:dyDescent="0.25" r="141" customHeight="1" ht="14.25">
      <c r="A141" s="19"/>
      <c r="B141" s="19"/>
      <c r="C141" s="19"/>
      <c r="D141" s="19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x14ac:dyDescent="0.25" r="142" customHeight="1" ht="14.25">
      <c r="A142" s="19"/>
      <c r="B142" s="19"/>
      <c r="C142" s="19"/>
      <c r="D142" s="19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x14ac:dyDescent="0.25" r="143" customHeight="1" ht="14.25">
      <c r="A143" s="19"/>
      <c r="B143" s="19"/>
      <c r="C143" s="19"/>
      <c r="D143" s="19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x14ac:dyDescent="0.25" r="144" customHeight="1" ht="14.25">
      <c r="A144" s="19"/>
      <c r="B144" s="19"/>
      <c r="C144" s="19"/>
      <c r="D144" s="19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x14ac:dyDescent="0.25" r="145" customHeight="1" ht="14.25">
      <c r="A145" s="19"/>
      <c r="B145" s="19"/>
      <c r="C145" s="19"/>
      <c r="D145" s="19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x14ac:dyDescent="0.25" r="146" customHeight="1" ht="14.25">
      <c r="A146" s="19"/>
      <c r="B146" s="19"/>
      <c r="C146" s="19"/>
      <c r="D146" s="19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x14ac:dyDescent="0.25" r="147" customHeight="1" ht="14.25">
      <c r="A147" s="19"/>
      <c r="B147" s="19"/>
      <c r="C147" s="19"/>
      <c r="D147" s="19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x14ac:dyDescent="0.25" r="148" customHeight="1" ht="14.25">
      <c r="A148" s="19"/>
      <c r="B148" s="19"/>
      <c r="C148" s="19"/>
      <c r="D148" s="19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x14ac:dyDescent="0.25" r="149" customHeight="1" ht="14.25">
      <c r="A149" s="19"/>
      <c r="B149" s="19"/>
      <c r="C149" s="19"/>
      <c r="D149" s="19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x14ac:dyDescent="0.25" r="150" customHeight="1" ht="14.25">
      <c r="A150" s="19"/>
      <c r="B150" s="19"/>
      <c r="C150" s="19"/>
      <c r="D150" s="19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x14ac:dyDescent="0.25" r="151" customHeight="1" ht="14.25">
      <c r="A151" s="19"/>
      <c r="B151" s="19"/>
      <c r="C151" s="19"/>
      <c r="D151" s="19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x14ac:dyDescent="0.25" r="152" customHeight="1" ht="14.25">
      <c r="A152" s="19"/>
      <c r="B152" s="19"/>
      <c r="C152" s="19"/>
      <c r="D152" s="19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x14ac:dyDescent="0.25" r="153" customHeight="1" ht="14.25">
      <c r="A153" s="19"/>
      <c r="B153" s="19"/>
      <c r="C153" s="19"/>
      <c r="D153" s="19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x14ac:dyDescent="0.25" r="154" customHeight="1" ht="14.25">
      <c r="A154" s="19"/>
      <c r="B154" s="19"/>
      <c r="C154" s="19"/>
      <c r="D154" s="19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x14ac:dyDescent="0.25" r="155" customHeight="1" ht="14.25">
      <c r="A155" s="19"/>
      <c r="B155" s="19"/>
      <c r="C155" s="19"/>
      <c r="D155" s="19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x14ac:dyDescent="0.25" r="156" customHeight="1" ht="14.25">
      <c r="A156" s="19"/>
      <c r="B156" s="19"/>
      <c r="C156" s="19"/>
      <c r="D156" s="19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x14ac:dyDescent="0.25" r="157" customHeight="1" ht="14.25">
      <c r="A157" s="19"/>
      <c r="B157" s="19"/>
      <c r="C157" s="19"/>
      <c r="D157" s="19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x14ac:dyDescent="0.25" r="158" customHeight="1" ht="14.25">
      <c r="A158" s="19"/>
      <c r="B158" s="19"/>
      <c r="C158" s="19"/>
      <c r="D158" s="19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x14ac:dyDescent="0.25" r="159" customHeight="1" ht="14.25">
      <c r="A159" s="19"/>
      <c r="B159" s="19"/>
      <c r="C159" s="19"/>
      <c r="D159" s="19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x14ac:dyDescent="0.25" r="160" customHeight="1" ht="14.25">
      <c r="A160" s="19"/>
      <c r="B160" s="19"/>
      <c r="C160" s="19"/>
      <c r="D160" s="19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x14ac:dyDescent="0.25" r="161" customHeight="1" ht="14.25">
      <c r="A161" s="19"/>
      <c r="B161" s="19"/>
      <c r="C161" s="19"/>
      <c r="D161" s="19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x14ac:dyDescent="0.25" r="162" customHeight="1" ht="14.25">
      <c r="A162" s="19"/>
      <c r="B162" s="19"/>
      <c r="C162" s="19"/>
      <c r="D162" s="19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x14ac:dyDescent="0.25" r="163" customHeight="1" ht="14.25">
      <c r="A163" s="19"/>
      <c r="B163" s="19"/>
      <c r="C163" s="19"/>
      <c r="D163" s="19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x14ac:dyDescent="0.25" r="164" customHeight="1" ht="14.25">
      <c r="A164" s="19"/>
      <c r="B164" s="19"/>
      <c r="C164" s="19"/>
      <c r="D164" s="19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x14ac:dyDescent="0.25" r="165" customHeight="1" ht="14.25">
      <c r="A165" s="19"/>
      <c r="B165" s="19"/>
      <c r="C165" s="19"/>
      <c r="D165" s="19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x14ac:dyDescent="0.25" r="166" customHeight="1" ht="14.25">
      <c r="A166" s="19"/>
      <c r="B166" s="19"/>
      <c r="C166" s="19"/>
      <c r="D166" s="19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x14ac:dyDescent="0.25" r="167" customHeight="1" ht="14.25">
      <c r="A167" s="19"/>
      <c r="B167" s="19"/>
      <c r="C167" s="19"/>
      <c r="D167" s="19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x14ac:dyDescent="0.25" r="168" customHeight="1" ht="14.25">
      <c r="A168" s="19"/>
      <c r="B168" s="19"/>
      <c r="C168" s="19"/>
      <c r="D168" s="19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x14ac:dyDescent="0.25" r="169" customHeight="1" ht="14.25">
      <c r="A169" s="19"/>
      <c r="B169" s="19"/>
      <c r="C169" s="19"/>
      <c r="D169" s="19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x14ac:dyDescent="0.25" r="170" customHeight="1" ht="14.25">
      <c r="A170" s="19"/>
      <c r="B170" s="19"/>
      <c r="C170" s="19"/>
      <c r="D170" s="19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x14ac:dyDescent="0.25" r="171" customHeight="1" ht="14.25">
      <c r="A171" s="19"/>
      <c r="B171" s="19"/>
      <c r="C171" s="19"/>
      <c r="D171" s="19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x14ac:dyDescent="0.25" r="172" customHeight="1" ht="14.25">
      <c r="A172" s="19"/>
      <c r="B172" s="19"/>
      <c r="C172" s="19"/>
      <c r="D172" s="19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x14ac:dyDescent="0.25" r="173" customHeight="1" ht="14.25">
      <c r="A173" s="19"/>
      <c r="B173" s="19"/>
      <c r="C173" s="19"/>
      <c r="D173" s="19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x14ac:dyDescent="0.25" r="174" customHeight="1" ht="14.25">
      <c r="A174" s="19"/>
      <c r="B174" s="19"/>
      <c r="C174" s="19"/>
      <c r="D174" s="19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x14ac:dyDescent="0.25" r="175" customHeight="1" ht="14.25">
      <c r="A175" s="19"/>
      <c r="B175" s="19"/>
      <c r="C175" s="19"/>
      <c r="D175" s="19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x14ac:dyDescent="0.25" r="176" customHeight="1" ht="14.25">
      <c r="A176" s="19"/>
      <c r="B176" s="19"/>
      <c r="C176" s="19"/>
      <c r="D176" s="19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x14ac:dyDescent="0.25" r="177" customHeight="1" ht="14.25">
      <c r="A177" s="19"/>
      <c r="B177" s="19"/>
      <c r="C177" s="19"/>
      <c r="D177" s="19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x14ac:dyDescent="0.25" r="178" customHeight="1" ht="14.25">
      <c r="A178" s="19"/>
      <c r="B178" s="19"/>
      <c r="C178" s="19"/>
      <c r="D178" s="19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x14ac:dyDescent="0.25" r="179" customHeight="1" ht="14.25">
      <c r="A179" s="19"/>
      <c r="B179" s="19"/>
      <c r="C179" s="19"/>
      <c r="D179" s="19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x14ac:dyDescent="0.25" r="180" customHeight="1" ht="14.25">
      <c r="A180" s="19"/>
      <c r="B180" s="19"/>
      <c r="C180" s="19"/>
      <c r="D180" s="19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x14ac:dyDescent="0.25" r="181" customHeight="1" ht="14.25">
      <c r="A181" s="19"/>
      <c r="B181" s="19"/>
      <c r="C181" s="19"/>
      <c r="D181" s="19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x14ac:dyDescent="0.25" r="182" customHeight="1" ht="14.25">
      <c r="A182" s="19"/>
      <c r="B182" s="19"/>
      <c r="C182" s="19"/>
      <c r="D182" s="19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x14ac:dyDescent="0.25" r="183" customHeight="1" ht="14.25">
      <c r="A183" s="19"/>
      <c r="B183" s="19"/>
      <c r="C183" s="19"/>
      <c r="D183" s="19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x14ac:dyDescent="0.25" r="184" customHeight="1" ht="14.25">
      <c r="A184" s="19"/>
      <c r="B184" s="19"/>
      <c r="C184" s="19"/>
      <c r="D184" s="19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x14ac:dyDescent="0.25" r="185" customHeight="1" ht="14.25">
      <c r="A185" s="19"/>
      <c r="B185" s="19"/>
      <c r="C185" s="19"/>
      <c r="D185" s="19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x14ac:dyDescent="0.25" r="186" customHeight="1" ht="14.25">
      <c r="A186" s="19"/>
      <c r="B186" s="19"/>
      <c r="C186" s="19"/>
      <c r="D186" s="19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x14ac:dyDescent="0.25" r="187" customHeight="1" ht="14.25">
      <c r="A187" s="19"/>
      <c r="B187" s="19"/>
      <c r="C187" s="19"/>
      <c r="D187" s="19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x14ac:dyDescent="0.25" r="188" customHeight="1" ht="14.25">
      <c r="A188" s="19"/>
      <c r="B188" s="19"/>
      <c r="C188" s="19"/>
      <c r="D188" s="19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x14ac:dyDescent="0.25" r="189" customHeight="1" ht="14.25">
      <c r="A189" s="19"/>
      <c r="B189" s="19"/>
      <c r="C189" s="19"/>
      <c r="D189" s="19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x14ac:dyDescent="0.25" r="190" customHeight="1" ht="14.25">
      <c r="A190" s="19"/>
      <c r="B190" s="19"/>
      <c r="C190" s="19"/>
      <c r="D190" s="19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x14ac:dyDescent="0.25" r="191" customHeight="1" ht="14.25">
      <c r="A191" s="19"/>
      <c r="B191" s="19"/>
      <c r="C191" s="19"/>
      <c r="D191" s="19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x14ac:dyDescent="0.25" r="192" customHeight="1" ht="14.25">
      <c r="A192" s="19"/>
      <c r="B192" s="19"/>
      <c r="C192" s="19"/>
      <c r="D192" s="19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x14ac:dyDescent="0.25" r="193" customHeight="1" ht="14.25">
      <c r="A193" s="19"/>
      <c r="B193" s="19"/>
      <c r="C193" s="19"/>
      <c r="D193" s="19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x14ac:dyDescent="0.25" r="194" customHeight="1" ht="14.25">
      <c r="A194" s="19"/>
      <c r="B194" s="19"/>
      <c r="C194" s="19"/>
      <c r="D194" s="19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x14ac:dyDescent="0.25" r="195" customHeight="1" ht="14.25">
      <c r="A195" s="19"/>
      <c r="B195" s="19"/>
      <c r="C195" s="19"/>
      <c r="D195" s="19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x14ac:dyDescent="0.25" r="196" customHeight="1" ht="14.25">
      <c r="A196" s="19"/>
      <c r="B196" s="19"/>
      <c r="C196" s="19"/>
      <c r="D196" s="19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x14ac:dyDescent="0.25" r="197" customHeight="1" ht="14.25">
      <c r="A197" s="19"/>
      <c r="B197" s="19"/>
      <c r="C197" s="19"/>
      <c r="D197" s="19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x14ac:dyDescent="0.25" r="198" customHeight="1" ht="14.25">
      <c r="A198" s="19"/>
      <c r="B198" s="19"/>
      <c r="C198" s="19"/>
      <c r="D198" s="19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x14ac:dyDescent="0.25" r="199" customHeight="1" ht="14.25">
      <c r="A199" s="19"/>
      <c r="B199" s="19"/>
      <c r="C199" s="19"/>
      <c r="D199" s="19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x14ac:dyDescent="0.25" r="200" customHeight="1" ht="14.25">
      <c r="A200" s="19"/>
      <c r="B200" s="19"/>
      <c r="C200" s="19"/>
      <c r="D200" s="19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x14ac:dyDescent="0.25" r="201" customHeight="1" ht="14.25">
      <c r="A201" s="19"/>
      <c r="B201" s="19"/>
      <c r="C201" s="19"/>
      <c r="D201" s="19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x14ac:dyDescent="0.25" r="202" customHeight="1" ht="14.25">
      <c r="A202" s="19"/>
      <c r="B202" s="19"/>
      <c r="C202" s="19"/>
      <c r="D202" s="19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x14ac:dyDescent="0.25" r="203" customHeight="1" ht="14.25">
      <c r="A203" s="19"/>
      <c r="B203" s="19"/>
      <c r="C203" s="19"/>
      <c r="D203" s="19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x14ac:dyDescent="0.25" r="204" customHeight="1" ht="14.25">
      <c r="A204" s="19"/>
      <c r="B204" s="19"/>
      <c r="C204" s="19"/>
      <c r="D204" s="19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x14ac:dyDescent="0.25" r="205" customHeight="1" ht="14.25">
      <c r="A205" s="19"/>
      <c r="B205" s="19"/>
      <c r="C205" s="19"/>
      <c r="D205" s="19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x14ac:dyDescent="0.25" r="206" customHeight="1" ht="14.25">
      <c r="A206" s="19"/>
      <c r="B206" s="19"/>
      <c r="C206" s="19"/>
      <c r="D206" s="19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x14ac:dyDescent="0.25" r="207" customHeight="1" ht="14.25">
      <c r="A207" s="19"/>
      <c r="B207" s="19"/>
      <c r="C207" s="19"/>
      <c r="D207" s="19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x14ac:dyDescent="0.25" r="208" customHeight="1" ht="14.25">
      <c r="A208" s="19"/>
      <c r="B208" s="19"/>
      <c r="C208" s="19"/>
      <c r="D208" s="19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x14ac:dyDescent="0.25" r="209" customHeight="1" ht="14.25">
      <c r="A209" s="19"/>
      <c r="B209" s="19"/>
      <c r="C209" s="19"/>
      <c r="D209" s="19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x14ac:dyDescent="0.25" r="210" customHeight="1" ht="14.25">
      <c r="A210" s="19"/>
      <c r="B210" s="19"/>
      <c r="C210" s="19"/>
      <c r="D210" s="19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x14ac:dyDescent="0.25" r="211" customHeight="1" ht="14.25">
      <c r="A211" s="19"/>
      <c r="B211" s="19"/>
      <c r="C211" s="19"/>
      <c r="D211" s="19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x14ac:dyDescent="0.25" r="212" customHeight="1" ht="14.25">
      <c r="A212" s="19"/>
      <c r="B212" s="19"/>
      <c r="C212" s="19"/>
      <c r="D212" s="19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x14ac:dyDescent="0.25" r="213" customHeight="1" ht="14.25">
      <c r="A213" s="19"/>
      <c r="B213" s="19"/>
      <c r="C213" s="19"/>
      <c r="D213" s="19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x14ac:dyDescent="0.25" r="214" customHeight="1" ht="14.25">
      <c r="A214" s="19"/>
      <c r="B214" s="19"/>
      <c r="C214" s="19"/>
      <c r="D214" s="19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x14ac:dyDescent="0.25" r="215" customHeight="1" ht="14.25">
      <c r="A215" s="19"/>
      <c r="B215" s="19"/>
      <c r="C215" s="19"/>
      <c r="D215" s="19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x14ac:dyDescent="0.25" r="216" customHeight="1" ht="14.25">
      <c r="A216" s="19"/>
      <c r="B216" s="19"/>
      <c r="C216" s="19"/>
      <c r="D216" s="19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x14ac:dyDescent="0.25" r="217" customHeight="1" ht="14.25">
      <c r="A217" s="19"/>
      <c r="B217" s="19"/>
      <c r="C217" s="19"/>
      <c r="D217" s="19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x14ac:dyDescent="0.25" r="218" customHeight="1" ht="14.25">
      <c r="A218" s="19"/>
      <c r="B218" s="19"/>
      <c r="C218" s="19"/>
      <c r="D218" s="19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x14ac:dyDescent="0.25" r="219" customHeight="1" ht="14.25">
      <c r="A219" s="19"/>
      <c r="B219" s="19"/>
      <c r="C219" s="19"/>
      <c r="D219" s="19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x14ac:dyDescent="0.25" r="220" customHeight="1" ht="14.25">
      <c r="A220" s="19"/>
      <c r="B220" s="19"/>
      <c r="C220" s="19"/>
      <c r="D220" s="19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x14ac:dyDescent="0.25" r="221" customHeight="1" ht="15.7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x14ac:dyDescent="0.25" r="222" customHeight="1" ht="15.7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x14ac:dyDescent="0.25" r="223" customHeight="1" ht="15.7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x14ac:dyDescent="0.25" r="224" customHeight="1" ht="15.7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x14ac:dyDescent="0.25" r="225" customHeight="1" ht="15.7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x14ac:dyDescent="0.25" r="226" customHeight="1" ht="15.7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x14ac:dyDescent="0.25" r="227" customHeight="1" ht="15.7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x14ac:dyDescent="0.25" r="228" customHeight="1" ht="15.7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x14ac:dyDescent="0.25" r="229" customHeight="1" ht="15.7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x14ac:dyDescent="0.25" r="230" customHeight="1" ht="15.75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x14ac:dyDescent="0.25" r="231" customHeight="1" ht="15.75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x14ac:dyDescent="0.25" r="232" customHeight="1" ht="15.75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x14ac:dyDescent="0.25" r="233" customHeight="1" ht="15.75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x14ac:dyDescent="0.25" r="234" customHeight="1" ht="15.75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x14ac:dyDescent="0.25" r="235" customHeight="1" ht="15.7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x14ac:dyDescent="0.25" r="236" customHeight="1" ht="15.75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x14ac:dyDescent="0.25" r="237" customHeight="1" ht="15.75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x14ac:dyDescent="0.25" r="238" customHeight="1" ht="15.75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x14ac:dyDescent="0.25" r="239" customHeight="1" ht="15.75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x14ac:dyDescent="0.25" r="240" customHeight="1" ht="15.7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x14ac:dyDescent="0.25" r="241" customHeight="1" ht="15.75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x14ac:dyDescent="0.25" r="242" customHeight="1" ht="15.75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x14ac:dyDescent="0.25" r="243" customHeight="1" ht="15.75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x14ac:dyDescent="0.25" r="244" customHeight="1" ht="15.75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x14ac:dyDescent="0.25" r="245" customHeight="1" ht="15.7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x14ac:dyDescent="0.25" r="246" customHeight="1" ht="15.75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x14ac:dyDescent="0.25" r="247" customHeight="1" ht="15.75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x14ac:dyDescent="0.25" r="248" customHeight="1" ht="15.75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x14ac:dyDescent="0.25" r="249" customHeight="1" ht="15.75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x14ac:dyDescent="0.25" r="250" customHeight="1" ht="15.7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x14ac:dyDescent="0.25" r="251" customHeight="1" ht="15.75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x14ac:dyDescent="0.25" r="252" customHeight="1" ht="15.75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x14ac:dyDescent="0.25" r="253" customHeight="1" ht="15.75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x14ac:dyDescent="0.25" r="254" customHeight="1" ht="15.75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x14ac:dyDescent="0.25" r="255" customHeight="1" ht="15.7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x14ac:dyDescent="0.25" r="256" customHeight="1" ht="15.75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x14ac:dyDescent="0.25" r="257" customHeight="1" ht="15.75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x14ac:dyDescent="0.25" r="258" customHeight="1" ht="15.75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x14ac:dyDescent="0.25" r="259" customHeight="1" ht="15.75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x14ac:dyDescent="0.25" r="260" customHeight="1" ht="15.75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x14ac:dyDescent="0.25" r="261" customHeight="1" ht="15.75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x14ac:dyDescent="0.25" r="262" customHeight="1" ht="15.75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x14ac:dyDescent="0.25" r="263" customHeight="1" ht="15.75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x14ac:dyDescent="0.25" r="264" customHeight="1" ht="15.75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x14ac:dyDescent="0.25" r="265" customHeight="1" ht="15.7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x14ac:dyDescent="0.25" r="266" customHeight="1" ht="15.75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x14ac:dyDescent="0.25" r="267" customHeight="1" ht="15.75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x14ac:dyDescent="0.25" r="268" customHeight="1" ht="15.75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x14ac:dyDescent="0.25" r="269" customHeight="1" ht="15.75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x14ac:dyDescent="0.25" r="270" customHeight="1" ht="15.75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x14ac:dyDescent="0.25" r="271" customHeight="1" ht="15.75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x14ac:dyDescent="0.25" r="272" customHeight="1" ht="15.75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x14ac:dyDescent="0.25" r="273" customHeight="1" ht="15.75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x14ac:dyDescent="0.25" r="274" customHeight="1" ht="15.75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x14ac:dyDescent="0.25" r="275" customHeight="1" ht="15.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x14ac:dyDescent="0.25" r="276" customHeight="1" ht="15.75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x14ac:dyDescent="0.25" r="277" customHeight="1" ht="15.75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x14ac:dyDescent="0.25" r="278" customHeight="1" ht="15.75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x14ac:dyDescent="0.25" r="279" customHeight="1" ht="15.75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x14ac:dyDescent="0.25" r="280" customHeight="1" ht="15.75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x14ac:dyDescent="0.25" r="281" customHeight="1" ht="15.75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x14ac:dyDescent="0.25" r="282" customHeight="1" ht="15.75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x14ac:dyDescent="0.25" r="283" customHeight="1" ht="15.75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x14ac:dyDescent="0.25" r="284" customHeight="1" ht="15.75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x14ac:dyDescent="0.25" r="285" customHeight="1" ht="15.7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x14ac:dyDescent="0.25" r="286" customHeight="1" ht="15.75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x14ac:dyDescent="0.25" r="287" customHeight="1" ht="15.75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x14ac:dyDescent="0.25" r="288" customHeight="1" ht="15.75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x14ac:dyDescent="0.25" r="289" customHeight="1" ht="15.75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x14ac:dyDescent="0.25" r="290" customHeight="1" ht="15.75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x14ac:dyDescent="0.25" r="291" customHeight="1" ht="15.75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x14ac:dyDescent="0.25" r="292" customHeight="1" ht="15.75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x14ac:dyDescent="0.25" r="293" customHeight="1" ht="15.75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x14ac:dyDescent="0.25" r="294" customHeight="1" ht="15.75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x14ac:dyDescent="0.25" r="295" customHeight="1" ht="15.7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x14ac:dyDescent="0.25" r="296" customHeight="1" ht="15.75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x14ac:dyDescent="0.25" r="297" customHeight="1" ht="15.75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x14ac:dyDescent="0.25" r="298" customHeight="1" ht="15.75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x14ac:dyDescent="0.25" r="299" customHeight="1" ht="15.75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x14ac:dyDescent="0.25" r="300" customHeight="1" ht="15.75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x14ac:dyDescent="0.25" r="301" customHeight="1" ht="15.75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x14ac:dyDescent="0.25" r="302" customHeight="1" ht="15.75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x14ac:dyDescent="0.25" r="303" customHeight="1" ht="15.75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x14ac:dyDescent="0.25" r="304" customHeight="1" ht="15.75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x14ac:dyDescent="0.25" r="305" customHeight="1" ht="15.7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x14ac:dyDescent="0.25" r="306" customHeight="1" ht="15.75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x14ac:dyDescent="0.25" r="307" customHeight="1" ht="15.75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x14ac:dyDescent="0.25" r="308" customHeight="1" ht="15.75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x14ac:dyDescent="0.25" r="309" customHeight="1" ht="15.75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x14ac:dyDescent="0.25" r="310" customHeight="1" ht="15.75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x14ac:dyDescent="0.25" r="311" customHeight="1" ht="15.75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x14ac:dyDescent="0.25" r="312" customHeight="1" ht="15.75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x14ac:dyDescent="0.25" r="313" customHeight="1" ht="15.75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x14ac:dyDescent="0.25" r="314" customHeight="1" ht="15.75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x14ac:dyDescent="0.25" r="315" customHeight="1" ht="15.7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x14ac:dyDescent="0.25" r="316" customHeight="1" ht="15.75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x14ac:dyDescent="0.25" r="317" customHeight="1" ht="15.75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x14ac:dyDescent="0.25" r="318" customHeight="1" ht="15.75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x14ac:dyDescent="0.25" r="319" customHeight="1" ht="15.75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x14ac:dyDescent="0.25" r="320" customHeight="1" ht="15.75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x14ac:dyDescent="0.25" r="321" customHeight="1" ht="15.75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x14ac:dyDescent="0.25" r="322" customHeight="1" ht="15.75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x14ac:dyDescent="0.25" r="323" customHeight="1" ht="15.75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x14ac:dyDescent="0.25" r="324" customHeight="1" ht="15.75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x14ac:dyDescent="0.25" r="325" customHeight="1" ht="15.7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x14ac:dyDescent="0.25" r="326" customHeight="1" ht="15.75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x14ac:dyDescent="0.25" r="327" customHeight="1" ht="15.75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x14ac:dyDescent="0.25" r="328" customHeight="1" ht="15.75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x14ac:dyDescent="0.25" r="329" customHeight="1" ht="15.75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x14ac:dyDescent="0.25" r="330" customHeight="1" ht="15.75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x14ac:dyDescent="0.25" r="331" customHeight="1" ht="15.75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x14ac:dyDescent="0.25" r="332" customHeight="1" ht="15.75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x14ac:dyDescent="0.25" r="333" customHeight="1" ht="15.75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x14ac:dyDescent="0.25" r="334" customHeight="1" ht="15.75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x14ac:dyDescent="0.25" r="335" customHeight="1" ht="15.7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x14ac:dyDescent="0.25" r="336" customHeight="1" ht="15.75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x14ac:dyDescent="0.25" r="337" customHeight="1" ht="15.75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x14ac:dyDescent="0.25" r="338" customHeight="1" ht="15.75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x14ac:dyDescent="0.25" r="339" customHeight="1" ht="15.75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x14ac:dyDescent="0.25" r="340" customHeight="1" ht="15.75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x14ac:dyDescent="0.25" r="341" customHeight="1" ht="15.75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x14ac:dyDescent="0.25" r="342" customHeight="1" ht="15.75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x14ac:dyDescent="0.25" r="343" customHeight="1" ht="15.75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x14ac:dyDescent="0.25" r="344" customHeight="1" ht="15.75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x14ac:dyDescent="0.25" r="345" customHeight="1" ht="15.7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x14ac:dyDescent="0.25" r="346" customHeight="1" ht="15.75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x14ac:dyDescent="0.25" r="347" customHeight="1" ht="15.75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x14ac:dyDescent="0.25" r="348" customHeight="1" ht="15.75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x14ac:dyDescent="0.25" r="349" customHeight="1" ht="15.75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x14ac:dyDescent="0.25" r="350" customHeight="1" ht="15.75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x14ac:dyDescent="0.25" r="351" customHeight="1" ht="15.75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x14ac:dyDescent="0.25" r="352" customHeight="1" ht="15.75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x14ac:dyDescent="0.25" r="353" customHeight="1" ht="15.75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x14ac:dyDescent="0.25" r="354" customHeight="1" ht="15.75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x14ac:dyDescent="0.25" r="355" customHeight="1" ht="15.7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x14ac:dyDescent="0.25" r="356" customHeight="1" ht="15.75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x14ac:dyDescent="0.25" r="357" customHeight="1" ht="15.75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x14ac:dyDescent="0.25" r="358" customHeight="1" ht="15.75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x14ac:dyDescent="0.25" r="359" customHeight="1" ht="15.75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x14ac:dyDescent="0.25" r="360" customHeight="1" ht="15.75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x14ac:dyDescent="0.25" r="361" customHeight="1" ht="15.75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x14ac:dyDescent="0.25" r="362" customHeight="1" ht="15.75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x14ac:dyDescent="0.25" r="363" customHeight="1" ht="15.75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x14ac:dyDescent="0.25" r="364" customHeight="1" ht="15.75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x14ac:dyDescent="0.25" r="365" customHeight="1" ht="15.7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x14ac:dyDescent="0.25" r="366" customHeight="1" ht="15.75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x14ac:dyDescent="0.25" r="367" customHeight="1" ht="15.75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x14ac:dyDescent="0.25" r="368" customHeight="1" ht="15.75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x14ac:dyDescent="0.25" r="369" customHeight="1" ht="15.75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x14ac:dyDescent="0.25" r="370" customHeight="1" ht="15.75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x14ac:dyDescent="0.25" r="371" customHeight="1" ht="15.75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x14ac:dyDescent="0.25" r="372" customHeight="1" ht="15.75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x14ac:dyDescent="0.25" r="373" customHeight="1" ht="15.75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x14ac:dyDescent="0.25" r="374" customHeight="1" ht="15.75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x14ac:dyDescent="0.25" r="375" customHeight="1" ht="15.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x14ac:dyDescent="0.25" r="376" customHeight="1" ht="15.75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x14ac:dyDescent="0.25" r="377" customHeight="1" ht="15.75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x14ac:dyDescent="0.25" r="378" customHeight="1" ht="15.75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x14ac:dyDescent="0.25" r="379" customHeight="1" ht="15.75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x14ac:dyDescent="0.25" r="380" customHeight="1" ht="15.75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x14ac:dyDescent="0.25" r="381" customHeight="1" ht="15.75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x14ac:dyDescent="0.25" r="382" customHeight="1" ht="15.75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x14ac:dyDescent="0.25" r="383" customHeight="1" ht="15.75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x14ac:dyDescent="0.25" r="384" customHeight="1" ht="15.75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x14ac:dyDescent="0.25" r="385" customHeight="1" ht="15.7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x14ac:dyDescent="0.25" r="386" customHeight="1" ht="15.75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x14ac:dyDescent="0.25" r="387" customHeight="1" ht="15.75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x14ac:dyDescent="0.25" r="388" customHeight="1" ht="15.75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x14ac:dyDescent="0.25" r="389" customHeight="1" ht="15.75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x14ac:dyDescent="0.25" r="390" customHeight="1" ht="15.75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x14ac:dyDescent="0.25" r="391" customHeight="1" ht="15.75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x14ac:dyDescent="0.25" r="392" customHeight="1" ht="15.75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x14ac:dyDescent="0.25" r="393" customHeight="1" ht="15.75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x14ac:dyDescent="0.25" r="394" customHeight="1" ht="15.75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x14ac:dyDescent="0.25" r="395" customHeight="1" ht="15.7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x14ac:dyDescent="0.25" r="396" customHeight="1" ht="15.75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x14ac:dyDescent="0.25" r="397" customHeight="1" ht="15.75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x14ac:dyDescent="0.25" r="398" customHeight="1" ht="15.75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x14ac:dyDescent="0.25" r="399" customHeight="1" ht="15.75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x14ac:dyDescent="0.25" r="400" customHeight="1" ht="15.75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x14ac:dyDescent="0.25" r="401" customHeight="1" ht="15.75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x14ac:dyDescent="0.25" r="402" customHeight="1" ht="15.75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x14ac:dyDescent="0.25" r="403" customHeight="1" ht="15.75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x14ac:dyDescent="0.25" r="404" customHeight="1" ht="15.75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x14ac:dyDescent="0.25" r="405" customHeight="1" ht="15.7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x14ac:dyDescent="0.25" r="406" customHeight="1" ht="15.75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x14ac:dyDescent="0.25" r="407" customHeight="1" ht="15.75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x14ac:dyDescent="0.25" r="408" customHeight="1" ht="15.75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x14ac:dyDescent="0.25" r="409" customHeight="1" ht="15.75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x14ac:dyDescent="0.25" r="410" customHeight="1" ht="15.75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x14ac:dyDescent="0.25" r="411" customHeight="1" ht="15.75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x14ac:dyDescent="0.25" r="412" customHeight="1" ht="15.75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x14ac:dyDescent="0.25" r="413" customHeight="1" ht="15.75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x14ac:dyDescent="0.25" r="414" customHeight="1" ht="15.75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x14ac:dyDescent="0.25" r="415" customHeight="1" ht="15.7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x14ac:dyDescent="0.25" r="416" customHeight="1" ht="15.75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x14ac:dyDescent="0.25" r="417" customHeight="1" ht="15.75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x14ac:dyDescent="0.25" r="418" customHeight="1" ht="15.75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x14ac:dyDescent="0.25" r="419" customHeight="1" ht="15.75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x14ac:dyDescent="0.25" r="420" customHeight="1" ht="15.75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x14ac:dyDescent="0.25" r="421" customHeight="1" ht="15.75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x14ac:dyDescent="0.25" r="422" customHeight="1" ht="15.75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x14ac:dyDescent="0.25" r="423" customHeight="1" ht="15.75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x14ac:dyDescent="0.25" r="424" customHeight="1" ht="15.75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x14ac:dyDescent="0.25" r="425" customHeight="1" ht="15.7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x14ac:dyDescent="0.25" r="426" customHeight="1" ht="15.75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x14ac:dyDescent="0.25" r="427" customHeight="1" ht="15.75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x14ac:dyDescent="0.25" r="428" customHeight="1" ht="15.75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x14ac:dyDescent="0.25" r="429" customHeight="1" ht="15.75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x14ac:dyDescent="0.25" r="430" customHeight="1" ht="15.75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x14ac:dyDescent="0.25" r="431" customHeight="1" ht="15.75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x14ac:dyDescent="0.25" r="432" customHeight="1" ht="15.75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x14ac:dyDescent="0.25" r="433" customHeight="1" ht="15.75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x14ac:dyDescent="0.25" r="434" customHeight="1" ht="15.75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x14ac:dyDescent="0.25" r="435" customHeight="1" ht="15.7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x14ac:dyDescent="0.25" r="436" customHeight="1" ht="15.75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x14ac:dyDescent="0.25" r="437" customHeight="1" ht="15.75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x14ac:dyDescent="0.25" r="438" customHeight="1" ht="15.75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x14ac:dyDescent="0.25" r="439" customHeight="1" ht="15.75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x14ac:dyDescent="0.25" r="440" customHeight="1" ht="15.75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x14ac:dyDescent="0.25" r="441" customHeight="1" ht="15.75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x14ac:dyDescent="0.25" r="442" customHeight="1" ht="15.75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x14ac:dyDescent="0.25" r="443" customHeight="1" ht="15.75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x14ac:dyDescent="0.25" r="444" customHeight="1" ht="15.75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x14ac:dyDescent="0.25" r="445" customHeight="1" ht="15.7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x14ac:dyDescent="0.25" r="446" customHeight="1" ht="15.75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x14ac:dyDescent="0.25" r="447" customHeight="1" ht="15.75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x14ac:dyDescent="0.25" r="448" customHeight="1" ht="15.75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x14ac:dyDescent="0.25" r="449" customHeight="1" ht="15.75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x14ac:dyDescent="0.25" r="450" customHeight="1" ht="15.75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x14ac:dyDescent="0.25" r="451" customHeight="1" ht="15.75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x14ac:dyDescent="0.25" r="452" customHeight="1" ht="15.75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x14ac:dyDescent="0.25" r="453" customHeight="1" ht="15.75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x14ac:dyDescent="0.25" r="454" customHeight="1" ht="15.75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x14ac:dyDescent="0.25" r="455" customHeight="1" ht="15.7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x14ac:dyDescent="0.25" r="456" customHeight="1" ht="15.75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x14ac:dyDescent="0.25" r="457" customHeight="1" ht="15.75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x14ac:dyDescent="0.25" r="458" customHeight="1" ht="15.75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x14ac:dyDescent="0.25" r="459" customHeight="1" ht="15.75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x14ac:dyDescent="0.25" r="460" customHeight="1" ht="15.75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x14ac:dyDescent="0.25" r="461" customHeight="1" ht="15.75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x14ac:dyDescent="0.25" r="462" customHeight="1" ht="15.75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x14ac:dyDescent="0.25" r="463" customHeight="1" ht="15.75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x14ac:dyDescent="0.25" r="464" customHeight="1" ht="15.75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x14ac:dyDescent="0.25" r="465" customHeight="1" ht="15.7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x14ac:dyDescent="0.25" r="466" customHeight="1" ht="15.75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x14ac:dyDescent="0.25" r="467" customHeight="1" ht="15.75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x14ac:dyDescent="0.25" r="468" customHeight="1" ht="15.75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x14ac:dyDescent="0.25" r="469" customHeight="1" ht="15.75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x14ac:dyDescent="0.25" r="470" customHeight="1" ht="15.75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x14ac:dyDescent="0.25" r="471" customHeight="1" ht="15.75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x14ac:dyDescent="0.25" r="472" customHeight="1" ht="15.75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x14ac:dyDescent="0.25" r="473" customHeight="1" ht="15.75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x14ac:dyDescent="0.25" r="474" customHeight="1" ht="15.75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x14ac:dyDescent="0.25" r="475" customHeight="1" ht="15.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x14ac:dyDescent="0.25" r="476" customHeight="1" ht="15.75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x14ac:dyDescent="0.25" r="477" customHeight="1" ht="15.75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x14ac:dyDescent="0.25" r="478" customHeight="1" ht="15.75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x14ac:dyDescent="0.25" r="479" customHeight="1" ht="15.75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x14ac:dyDescent="0.25" r="480" customHeight="1" ht="15.75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x14ac:dyDescent="0.25" r="481" customHeight="1" ht="15.75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x14ac:dyDescent="0.25" r="482" customHeight="1" ht="15.75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x14ac:dyDescent="0.25" r="483" customHeight="1" ht="15.75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x14ac:dyDescent="0.25" r="484" customHeight="1" ht="15.75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x14ac:dyDescent="0.25" r="485" customHeight="1" ht="15.7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x14ac:dyDescent="0.25" r="486" customHeight="1" ht="15.75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x14ac:dyDescent="0.25" r="487" customHeight="1" ht="15.75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x14ac:dyDescent="0.25" r="488" customHeight="1" ht="15.75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x14ac:dyDescent="0.25" r="489" customHeight="1" ht="15.75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x14ac:dyDescent="0.25" r="490" customHeight="1" ht="15.75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x14ac:dyDescent="0.25" r="491" customHeight="1" ht="15.75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x14ac:dyDescent="0.25" r="492" customHeight="1" ht="15.75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x14ac:dyDescent="0.25" r="493" customHeight="1" ht="15.75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x14ac:dyDescent="0.25" r="494" customHeight="1" ht="15.75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x14ac:dyDescent="0.25" r="495" customHeight="1" ht="15.7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x14ac:dyDescent="0.25" r="496" customHeight="1" ht="15.75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x14ac:dyDescent="0.25" r="497" customHeight="1" ht="15.75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x14ac:dyDescent="0.25" r="498" customHeight="1" ht="15.75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x14ac:dyDescent="0.25" r="499" customHeight="1" ht="15.75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x14ac:dyDescent="0.25" r="500" customHeight="1" ht="15.75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x14ac:dyDescent="0.25" r="501" customHeight="1" ht="15.75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x14ac:dyDescent="0.25" r="502" customHeight="1" ht="15.75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x14ac:dyDescent="0.25" r="503" customHeight="1" ht="15.75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x14ac:dyDescent="0.25" r="504" customHeight="1" ht="15.75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x14ac:dyDescent="0.25" r="505" customHeight="1" ht="15.7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x14ac:dyDescent="0.25" r="506" customHeight="1" ht="15.75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x14ac:dyDescent="0.25" r="507" customHeight="1" ht="15.75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x14ac:dyDescent="0.25" r="508" customHeight="1" ht="15.75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x14ac:dyDescent="0.25" r="509" customHeight="1" ht="15.75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x14ac:dyDescent="0.25" r="510" customHeight="1" ht="15.75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x14ac:dyDescent="0.25" r="511" customHeight="1" ht="15.75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x14ac:dyDescent="0.25" r="512" customHeight="1" ht="15.75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x14ac:dyDescent="0.25" r="513" customHeight="1" ht="15.75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x14ac:dyDescent="0.25" r="514" customHeight="1" ht="15.75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x14ac:dyDescent="0.25" r="515" customHeight="1" ht="15.7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x14ac:dyDescent="0.25" r="516" customHeight="1" ht="15.75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x14ac:dyDescent="0.25" r="517" customHeight="1" ht="15.75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x14ac:dyDescent="0.25" r="518" customHeight="1" ht="15.75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x14ac:dyDescent="0.25" r="519" customHeight="1" ht="15.75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x14ac:dyDescent="0.25" r="520" customHeight="1" ht="15.75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x14ac:dyDescent="0.25" r="521" customHeight="1" ht="15.75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x14ac:dyDescent="0.25" r="522" customHeight="1" ht="15.75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x14ac:dyDescent="0.25" r="523" customHeight="1" ht="15.75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x14ac:dyDescent="0.25" r="524" customHeight="1" ht="15.75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x14ac:dyDescent="0.25" r="525" customHeight="1" ht="15.7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x14ac:dyDescent="0.25" r="526" customHeight="1" ht="15.75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x14ac:dyDescent="0.25" r="527" customHeight="1" ht="15.75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x14ac:dyDescent="0.25" r="528" customHeight="1" ht="15.75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x14ac:dyDescent="0.25" r="529" customHeight="1" ht="15.75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x14ac:dyDescent="0.25" r="530" customHeight="1" ht="15.75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x14ac:dyDescent="0.25" r="531" customHeight="1" ht="15.75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x14ac:dyDescent="0.25" r="532" customHeight="1" ht="15.75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x14ac:dyDescent="0.25" r="533" customHeight="1" ht="15.75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x14ac:dyDescent="0.25" r="534" customHeight="1" ht="15.75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x14ac:dyDescent="0.25" r="535" customHeight="1" ht="15.7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x14ac:dyDescent="0.25" r="536" customHeight="1" ht="15.75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x14ac:dyDescent="0.25" r="537" customHeight="1" ht="15.75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x14ac:dyDescent="0.25" r="538" customHeight="1" ht="15.75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x14ac:dyDescent="0.25" r="539" customHeight="1" ht="15.75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x14ac:dyDescent="0.25" r="540" customHeight="1" ht="15.75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x14ac:dyDescent="0.25" r="541" customHeight="1" ht="15.75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x14ac:dyDescent="0.25" r="542" customHeight="1" ht="15.75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x14ac:dyDescent="0.25" r="543" customHeight="1" ht="15.75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x14ac:dyDescent="0.25" r="544" customHeight="1" ht="15.75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x14ac:dyDescent="0.25" r="545" customHeight="1" ht="15.7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x14ac:dyDescent="0.25" r="546" customHeight="1" ht="15.75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x14ac:dyDescent="0.25" r="547" customHeight="1" ht="15.75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x14ac:dyDescent="0.25" r="548" customHeight="1" ht="15.75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x14ac:dyDescent="0.25" r="549" customHeight="1" ht="15.75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x14ac:dyDescent="0.25" r="550" customHeight="1" ht="15.75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x14ac:dyDescent="0.25" r="551" customHeight="1" ht="15.75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x14ac:dyDescent="0.25" r="552" customHeight="1" ht="15.75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x14ac:dyDescent="0.25" r="553" customHeight="1" ht="15.75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x14ac:dyDescent="0.25" r="554" customHeight="1" ht="15.75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x14ac:dyDescent="0.25" r="555" customHeight="1" ht="15.7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x14ac:dyDescent="0.25" r="556" customHeight="1" ht="15.75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x14ac:dyDescent="0.25" r="557" customHeight="1" ht="15.75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x14ac:dyDescent="0.25" r="558" customHeight="1" ht="15.75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x14ac:dyDescent="0.25" r="559" customHeight="1" ht="15.75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x14ac:dyDescent="0.25" r="560" customHeight="1" ht="15.75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x14ac:dyDescent="0.25" r="561" customHeight="1" ht="15.75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x14ac:dyDescent="0.25" r="562" customHeight="1" ht="15.75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x14ac:dyDescent="0.25" r="563" customHeight="1" ht="15.75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x14ac:dyDescent="0.25" r="564" customHeight="1" ht="15.75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x14ac:dyDescent="0.25" r="565" customHeight="1" ht="15.7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x14ac:dyDescent="0.25" r="566" customHeight="1" ht="15.75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x14ac:dyDescent="0.25" r="567" customHeight="1" ht="15.75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x14ac:dyDescent="0.25" r="568" customHeight="1" ht="15.75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x14ac:dyDescent="0.25" r="569" customHeight="1" ht="15.75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x14ac:dyDescent="0.25" r="570" customHeight="1" ht="15.75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x14ac:dyDescent="0.25" r="571" customHeight="1" ht="15.75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x14ac:dyDescent="0.25" r="572" customHeight="1" ht="15.75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x14ac:dyDescent="0.25" r="573" customHeight="1" ht="15.75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x14ac:dyDescent="0.25" r="574" customHeight="1" ht="15.75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x14ac:dyDescent="0.25" r="575" customHeight="1" ht="15.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x14ac:dyDescent="0.25" r="576" customHeight="1" ht="15.75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x14ac:dyDescent="0.25" r="577" customHeight="1" ht="15.75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x14ac:dyDescent="0.25" r="578" customHeight="1" ht="15.75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x14ac:dyDescent="0.25" r="579" customHeight="1" ht="15.75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x14ac:dyDescent="0.25" r="580" customHeight="1" ht="15.75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x14ac:dyDescent="0.25" r="581" customHeight="1" ht="15.75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x14ac:dyDescent="0.25" r="582" customHeight="1" ht="15.75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x14ac:dyDescent="0.25" r="583" customHeight="1" ht="15.75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x14ac:dyDescent="0.25" r="584" customHeight="1" ht="15.75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x14ac:dyDescent="0.25" r="585" customHeight="1" ht="15.7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x14ac:dyDescent="0.25" r="586" customHeight="1" ht="15.75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x14ac:dyDescent="0.25" r="587" customHeight="1" ht="15.75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x14ac:dyDescent="0.25" r="588" customHeight="1" ht="15.75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x14ac:dyDescent="0.25" r="589" customHeight="1" ht="15.75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x14ac:dyDescent="0.25" r="590" customHeight="1" ht="15.75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x14ac:dyDescent="0.25" r="591" customHeight="1" ht="15.75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x14ac:dyDescent="0.25" r="592" customHeight="1" ht="15.75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x14ac:dyDescent="0.25" r="593" customHeight="1" ht="15.75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x14ac:dyDescent="0.25" r="594" customHeight="1" ht="15.75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x14ac:dyDescent="0.25" r="595" customHeight="1" ht="15.7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x14ac:dyDescent="0.25" r="596" customHeight="1" ht="15.75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x14ac:dyDescent="0.25" r="597" customHeight="1" ht="15.75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x14ac:dyDescent="0.25" r="598" customHeight="1" ht="15.75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x14ac:dyDescent="0.25" r="599" customHeight="1" ht="15.75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x14ac:dyDescent="0.25" r="600" customHeight="1" ht="15.75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x14ac:dyDescent="0.25" r="601" customHeight="1" ht="15.75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x14ac:dyDescent="0.25" r="602" customHeight="1" ht="15.75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x14ac:dyDescent="0.25" r="603" customHeight="1" ht="15.75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x14ac:dyDescent="0.25" r="604" customHeight="1" ht="15.75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x14ac:dyDescent="0.25" r="605" customHeight="1" ht="15.7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x14ac:dyDescent="0.25" r="606" customHeight="1" ht="15.75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x14ac:dyDescent="0.25" r="607" customHeight="1" ht="15.75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x14ac:dyDescent="0.25" r="608" customHeight="1" ht="15.75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x14ac:dyDescent="0.25" r="609" customHeight="1" ht="15.75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x14ac:dyDescent="0.25" r="610" customHeight="1" ht="15.75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x14ac:dyDescent="0.25" r="611" customHeight="1" ht="15.75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x14ac:dyDescent="0.25" r="612" customHeight="1" ht="15.75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x14ac:dyDescent="0.25" r="613" customHeight="1" ht="15.75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x14ac:dyDescent="0.25" r="614" customHeight="1" ht="15.75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x14ac:dyDescent="0.25" r="615" customHeight="1" ht="15.7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x14ac:dyDescent="0.25" r="616" customHeight="1" ht="15.75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x14ac:dyDescent="0.25" r="617" customHeight="1" ht="15.75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x14ac:dyDescent="0.25" r="618" customHeight="1" ht="15.75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x14ac:dyDescent="0.25" r="619" customHeight="1" ht="15.75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x14ac:dyDescent="0.25" r="620" customHeight="1" ht="15.75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x14ac:dyDescent="0.25" r="621" customHeight="1" ht="15.75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x14ac:dyDescent="0.25" r="622" customHeight="1" ht="15.75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x14ac:dyDescent="0.25" r="623" customHeight="1" ht="15.75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x14ac:dyDescent="0.25" r="624" customHeight="1" ht="15.75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x14ac:dyDescent="0.25" r="625" customHeight="1" ht="15.7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x14ac:dyDescent="0.25" r="626" customHeight="1" ht="15.75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x14ac:dyDescent="0.25" r="627" customHeight="1" ht="15.75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x14ac:dyDescent="0.25" r="628" customHeight="1" ht="15.75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x14ac:dyDescent="0.25" r="629" customHeight="1" ht="15.75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x14ac:dyDescent="0.25" r="630" customHeight="1" ht="15.75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x14ac:dyDescent="0.25" r="631" customHeight="1" ht="15.75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x14ac:dyDescent="0.25" r="632" customHeight="1" ht="15.75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x14ac:dyDescent="0.25" r="633" customHeight="1" ht="15.75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x14ac:dyDescent="0.25" r="634" customHeight="1" ht="15.75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x14ac:dyDescent="0.25" r="635" customHeight="1" ht="15.7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x14ac:dyDescent="0.25" r="636" customHeight="1" ht="15.75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x14ac:dyDescent="0.25" r="637" customHeight="1" ht="15.75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x14ac:dyDescent="0.25" r="638" customHeight="1" ht="15.75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x14ac:dyDescent="0.25" r="639" customHeight="1" ht="15.75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x14ac:dyDescent="0.25" r="640" customHeight="1" ht="15.75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x14ac:dyDescent="0.25" r="641" customHeight="1" ht="15.75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x14ac:dyDescent="0.25" r="642" customHeight="1" ht="15.75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x14ac:dyDescent="0.25" r="643" customHeight="1" ht="15.75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x14ac:dyDescent="0.25" r="644" customHeight="1" ht="15.75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x14ac:dyDescent="0.25" r="645" customHeight="1" ht="15.7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x14ac:dyDescent="0.25" r="646" customHeight="1" ht="15.75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x14ac:dyDescent="0.25" r="647" customHeight="1" ht="15.75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x14ac:dyDescent="0.25" r="648" customHeight="1" ht="15.75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x14ac:dyDescent="0.25" r="649" customHeight="1" ht="15.75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x14ac:dyDescent="0.25" r="650" customHeight="1" ht="15.75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x14ac:dyDescent="0.25" r="651" customHeight="1" ht="15.75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x14ac:dyDescent="0.25" r="652" customHeight="1" ht="15.75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x14ac:dyDescent="0.25" r="653" customHeight="1" ht="15.75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x14ac:dyDescent="0.25" r="654" customHeight="1" ht="15.75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x14ac:dyDescent="0.25" r="655" customHeight="1" ht="15.7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x14ac:dyDescent="0.25" r="656" customHeight="1" ht="15.75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x14ac:dyDescent="0.25" r="657" customHeight="1" ht="15.75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x14ac:dyDescent="0.25" r="658" customHeight="1" ht="15.75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x14ac:dyDescent="0.25" r="659" customHeight="1" ht="15.75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x14ac:dyDescent="0.25" r="660" customHeight="1" ht="15.75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x14ac:dyDescent="0.25" r="661" customHeight="1" ht="15.75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x14ac:dyDescent="0.25" r="662" customHeight="1" ht="15.75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x14ac:dyDescent="0.25" r="663" customHeight="1" ht="15.75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x14ac:dyDescent="0.25" r="664" customHeight="1" ht="15.75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x14ac:dyDescent="0.25" r="665" customHeight="1" ht="15.7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x14ac:dyDescent="0.25" r="666" customHeight="1" ht="15.75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x14ac:dyDescent="0.25" r="667" customHeight="1" ht="15.75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x14ac:dyDescent="0.25" r="668" customHeight="1" ht="15.75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x14ac:dyDescent="0.25" r="669" customHeight="1" ht="15.75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x14ac:dyDescent="0.25" r="670" customHeight="1" ht="15.75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x14ac:dyDescent="0.25" r="671" customHeight="1" ht="15.75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x14ac:dyDescent="0.25" r="672" customHeight="1" ht="15.75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x14ac:dyDescent="0.25" r="673" customHeight="1" ht="15.75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x14ac:dyDescent="0.25" r="674" customHeight="1" ht="15.75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x14ac:dyDescent="0.25" r="675" customHeight="1" ht="15.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x14ac:dyDescent="0.25" r="676" customHeight="1" ht="15.75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x14ac:dyDescent="0.25" r="677" customHeight="1" ht="15.75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x14ac:dyDescent="0.25" r="678" customHeight="1" ht="15.75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x14ac:dyDescent="0.25" r="679" customHeight="1" ht="15.75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x14ac:dyDescent="0.25" r="680" customHeight="1" ht="15.75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x14ac:dyDescent="0.25" r="681" customHeight="1" ht="15.75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x14ac:dyDescent="0.25" r="682" customHeight="1" ht="15.75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x14ac:dyDescent="0.25" r="683" customHeight="1" ht="15.75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x14ac:dyDescent="0.25" r="684" customHeight="1" ht="15.75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x14ac:dyDescent="0.25" r="685" customHeight="1" ht="15.7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x14ac:dyDescent="0.25" r="686" customHeight="1" ht="15.75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x14ac:dyDescent="0.25" r="687" customHeight="1" ht="15.75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x14ac:dyDescent="0.25" r="688" customHeight="1" ht="15.75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x14ac:dyDescent="0.25" r="689" customHeight="1" ht="15.75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x14ac:dyDescent="0.25" r="690" customHeight="1" ht="15.75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x14ac:dyDescent="0.25" r="691" customHeight="1" ht="15.75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x14ac:dyDescent="0.25" r="692" customHeight="1" ht="15.75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x14ac:dyDescent="0.25" r="693" customHeight="1" ht="15.75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x14ac:dyDescent="0.25" r="694" customHeight="1" ht="15.75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x14ac:dyDescent="0.25" r="695" customHeight="1" ht="15.7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x14ac:dyDescent="0.25" r="696" customHeight="1" ht="15.75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x14ac:dyDescent="0.25" r="697" customHeight="1" ht="15.75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x14ac:dyDescent="0.25" r="698" customHeight="1" ht="15.75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x14ac:dyDescent="0.25" r="699" customHeight="1" ht="15.75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x14ac:dyDescent="0.25" r="700" customHeight="1" ht="15.75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x14ac:dyDescent="0.25" r="701" customHeight="1" ht="15.75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x14ac:dyDescent="0.25" r="702" customHeight="1" ht="15.75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x14ac:dyDescent="0.25" r="703" customHeight="1" ht="15.75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x14ac:dyDescent="0.25" r="704" customHeight="1" ht="15.75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x14ac:dyDescent="0.25" r="705" customHeight="1" ht="15.7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x14ac:dyDescent="0.25" r="706" customHeight="1" ht="15.75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x14ac:dyDescent="0.25" r="707" customHeight="1" ht="15.75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x14ac:dyDescent="0.25" r="708" customHeight="1" ht="15.75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x14ac:dyDescent="0.25" r="709" customHeight="1" ht="15.75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x14ac:dyDescent="0.25" r="710" customHeight="1" ht="15.75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x14ac:dyDescent="0.25" r="711" customHeight="1" ht="15.75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x14ac:dyDescent="0.25" r="712" customHeight="1" ht="15.75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x14ac:dyDescent="0.25" r="713" customHeight="1" ht="15.75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x14ac:dyDescent="0.25" r="714" customHeight="1" ht="15.75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x14ac:dyDescent="0.25" r="715" customHeight="1" ht="15.7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x14ac:dyDescent="0.25" r="716" customHeight="1" ht="15.75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x14ac:dyDescent="0.25" r="717" customHeight="1" ht="15.75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x14ac:dyDescent="0.25" r="718" customHeight="1" ht="15.75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x14ac:dyDescent="0.25" r="719" customHeight="1" ht="15.75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x14ac:dyDescent="0.25" r="720" customHeight="1" ht="15.75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x14ac:dyDescent="0.25" r="721" customHeight="1" ht="15.75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x14ac:dyDescent="0.25" r="722" customHeight="1" ht="15.75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x14ac:dyDescent="0.25" r="723" customHeight="1" ht="15.75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x14ac:dyDescent="0.25" r="724" customHeight="1" ht="15.75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x14ac:dyDescent="0.25" r="725" customHeight="1" ht="15.7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x14ac:dyDescent="0.25" r="726" customHeight="1" ht="15.75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x14ac:dyDescent="0.25" r="727" customHeight="1" ht="15.75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x14ac:dyDescent="0.25" r="728" customHeight="1" ht="15.75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x14ac:dyDescent="0.25" r="729" customHeight="1" ht="15.75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x14ac:dyDescent="0.25" r="730" customHeight="1" ht="15.75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x14ac:dyDescent="0.25" r="731" customHeight="1" ht="15.75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x14ac:dyDescent="0.25" r="732" customHeight="1" ht="15.75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x14ac:dyDescent="0.25" r="733" customHeight="1" ht="15.75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x14ac:dyDescent="0.25" r="734" customHeight="1" ht="15.75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x14ac:dyDescent="0.25" r="735" customHeight="1" ht="15.7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x14ac:dyDescent="0.25" r="736" customHeight="1" ht="15.75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x14ac:dyDescent="0.25" r="737" customHeight="1" ht="15.75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x14ac:dyDescent="0.25" r="738" customHeight="1" ht="15.75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x14ac:dyDescent="0.25" r="739" customHeight="1" ht="15.75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x14ac:dyDescent="0.25" r="740" customHeight="1" ht="15.75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x14ac:dyDescent="0.25" r="741" customHeight="1" ht="15.75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x14ac:dyDescent="0.25" r="742" customHeight="1" ht="15.75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x14ac:dyDescent="0.25" r="743" customHeight="1" ht="15.75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x14ac:dyDescent="0.25" r="744" customHeight="1" ht="15.75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x14ac:dyDescent="0.25" r="745" customHeight="1" ht="15.7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x14ac:dyDescent="0.25" r="746" customHeight="1" ht="15.75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x14ac:dyDescent="0.25" r="747" customHeight="1" ht="15.75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x14ac:dyDescent="0.25" r="748" customHeight="1" ht="15.75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x14ac:dyDescent="0.25" r="749" customHeight="1" ht="15.75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x14ac:dyDescent="0.25" r="750" customHeight="1" ht="15.75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x14ac:dyDescent="0.25" r="751" customHeight="1" ht="15.75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x14ac:dyDescent="0.25" r="752" customHeight="1" ht="15.75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x14ac:dyDescent="0.25" r="753" customHeight="1" ht="15.75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x14ac:dyDescent="0.25" r="754" customHeight="1" ht="15.75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x14ac:dyDescent="0.25" r="755" customHeight="1" ht="15.7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x14ac:dyDescent="0.25" r="756" customHeight="1" ht="15.75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x14ac:dyDescent="0.25" r="757" customHeight="1" ht="15.75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x14ac:dyDescent="0.25" r="758" customHeight="1" ht="15.75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x14ac:dyDescent="0.25" r="759" customHeight="1" ht="15.75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x14ac:dyDescent="0.25" r="760" customHeight="1" ht="15.75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x14ac:dyDescent="0.25" r="761" customHeight="1" ht="15.75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x14ac:dyDescent="0.25" r="762" customHeight="1" ht="15.75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x14ac:dyDescent="0.25" r="763" customHeight="1" ht="15.75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x14ac:dyDescent="0.25" r="764" customHeight="1" ht="15.75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x14ac:dyDescent="0.25" r="765" customHeight="1" ht="15.7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x14ac:dyDescent="0.25" r="766" customHeight="1" ht="15.75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x14ac:dyDescent="0.25" r="767" customHeight="1" ht="15.75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x14ac:dyDescent="0.25" r="768" customHeight="1" ht="15.75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x14ac:dyDescent="0.25" r="769" customHeight="1" ht="15.75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x14ac:dyDescent="0.25" r="770" customHeight="1" ht="15.75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x14ac:dyDescent="0.25" r="771" customHeight="1" ht="15.75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x14ac:dyDescent="0.25" r="772" customHeight="1" ht="15.75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x14ac:dyDescent="0.25" r="773" customHeight="1" ht="15.75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x14ac:dyDescent="0.25" r="774" customHeight="1" ht="15.75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x14ac:dyDescent="0.25" r="775" customHeight="1" ht="15.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x14ac:dyDescent="0.25" r="776" customHeight="1" ht="15.75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x14ac:dyDescent="0.25" r="777" customHeight="1" ht="15.75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x14ac:dyDescent="0.25" r="778" customHeight="1" ht="15.75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x14ac:dyDescent="0.25" r="779" customHeight="1" ht="15.75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x14ac:dyDescent="0.25" r="780" customHeight="1" ht="15.75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x14ac:dyDescent="0.25" r="781" customHeight="1" ht="15.75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x14ac:dyDescent="0.25" r="782" customHeight="1" ht="15.75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x14ac:dyDescent="0.25" r="783" customHeight="1" ht="15.75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x14ac:dyDescent="0.25" r="784" customHeight="1" ht="15.75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x14ac:dyDescent="0.25" r="785" customHeight="1" ht="15.7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x14ac:dyDescent="0.25" r="786" customHeight="1" ht="15.75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x14ac:dyDescent="0.25" r="787" customHeight="1" ht="15.75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x14ac:dyDescent="0.25" r="788" customHeight="1" ht="15.75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x14ac:dyDescent="0.25" r="789" customHeight="1" ht="15.75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x14ac:dyDescent="0.25" r="790" customHeight="1" ht="15.75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x14ac:dyDescent="0.25" r="791" customHeight="1" ht="15.75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x14ac:dyDescent="0.25" r="792" customHeight="1" ht="15.75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x14ac:dyDescent="0.25" r="793" customHeight="1" ht="15.75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x14ac:dyDescent="0.25" r="794" customHeight="1" ht="15.75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x14ac:dyDescent="0.25" r="795" customHeight="1" ht="15.7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x14ac:dyDescent="0.25" r="796" customHeight="1" ht="15.75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x14ac:dyDescent="0.25" r="797" customHeight="1" ht="15.75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x14ac:dyDescent="0.25" r="798" customHeight="1" ht="15.75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x14ac:dyDescent="0.25" r="799" customHeight="1" ht="15.75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x14ac:dyDescent="0.25" r="800" customHeight="1" ht="15.75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x14ac:dyDescent="0.25" r="801" customHeight="1" ht="15.75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x14ac:dyDescent="0.25" r="802" customHeight="1" ht="15.75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x14ac:dyDescent="0.25" r="803" customHeight="1" ht="15.75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x14ac:dyDescent="0.25" r="804" customHeight="1" ht="15.75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x14ac:dyDescent="0.25" r="805" customHeight="1" ht="15.7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x14ac:dyDescent="0.25" r="806" customHeight="1" ht="15.75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x14ac:dyDescent="0.25" r="807" customHeight="1" ht="15.75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x14ac:dyDescent="0.25" r="808" customHeight="1" ht="15.75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x14ac:dyDescent="0.25" r="809" customHeight="1" ht="15.75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x14ac:dyDescent="0.25" r="810" customHeight="1" ht="15.75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x14ac:dyDescent="0.25" r="811" customHeight="1" ht="15.75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x14ac:dyDescent="0.25" r="812" customHeight="1" ht="15.75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x14ac:dyDescent="0.25" r="813" customHeight="1" ht="15.75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x14ac:dyDescent="0.25" r="814" customHeight="1" ht="15.75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x14ac:dyDescent="0.25" r="815" customHeight="1" ht="15.7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x14ac:dyDescent="0.25" r="816" customHeight="1" ht="15.75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x14ac:dyDescent="0.25" r="817" customHeight="1" ht="15.75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x14ac:dyDescent="0.25" r="818" customHeight="1" ht="15.75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x14ac:dyDescent="0.25" r="819" customHeight="1" ht="15.75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x14ac:dyDescent="0.25" r="820" customHeight="1" ht="15.75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x14ac:dyDescent="0.25" r="821" customHeight="1" ht="15.75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x14ac:dyDescent="0.25" r="822" customHeight="1" ht="15.75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x14ac:dyDescent="0.25" r="823" customHeight="1" ht="15.75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x14ac:dyDescent="0.25" r="824" customHeight="1" ht="15.75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x14ac:dyDescent="0.25" r="825" customHeight="1" ht="15.7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x14ac:dyDescent="0.25" r="826" customHeight="1" ht="15.75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x14ac:dyDescent="0.25" r="827" customHeight="1" ht="15.75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x14ac:dyDescent="0.25" r="828" customHeight="1" ht="15.75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x14ac:dyDescent="0.25" r="829" customHeight="1" ht="15.75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x14ac:dyDescent="0.25" r="830" customHeight="1" ht="15.75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x14ac:dyDescent="0.25" r="831" customHeight="1" ht="15.75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x14ac:dyDescent="0.25" r="832" customHeight="1" ht="15.75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x14ac:dyDescent="0.25" r="833" customHeight="1" ht="15.75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x14ac:dyDescent="0.25" r="834" customHeight="1" ht="15.75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x14ac:dyDescent="0.25" r="835" customHeight="1" ht="15.7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x14ac:dyDescent="0.25" r="836" customHeight="1" ht="15.75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x14ac:dyDescent="0.25" r="837" customHeight="1" ht="15.75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x14ac:dyDescent="0.25" r="838" customHeight="1" ht="15.75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x14ac:dyDescent="0.25" r="839" customHeight="1" ht="15.75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x14ac:dyDescent="0.25" r="840" customHeight="1" ht="15.75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x14ac:dyDescent="0.25" r="841" customHeight="1" ht="15.75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x14ac:dyDescent="0.25" r="842" customHeight="1" ht="15.75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x14ac:dyDescent="0.25" r="843" customHeight="1" ht="15.75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x14ac:dyDescent="0.25" r="844" customHeight="1" ht="15.75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x14ac:dyDescent="0.25" r="845" customHeight="1" ht="15.7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x14ac:dyDescent="0.25" r="846" customHeight="1" ht="15.75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x14ac:dyDescent="0.25" r="847" customHeight="1" ht="15.75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x14ac:dyDescent="0.25" r="848" customHeight="1" ht="15.75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x14ac:dyDescent="0.25" r="849" customHeight="1" ht="15.75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x14ac:dyDescent="0.25" r="850" customHeight="1" ht="15.75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x14ac:dyDescent="0.25" r="851" customHeight="1" ht="15.75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x14ac:dyDescent="0.25" r="852" customHeight="1" ht="15.75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x14ac:dyDescent="0.25" r="853" customHeight="1" ht="15.75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x14ac:dyDescent="0.25" r="854" customHeight="1" ht="15.75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x14ac:dyDescent="0.25" r="855" customHeight="1" ht="15.7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x14ac:dyDescent="0.25" r="856" customHeight="1" ht="15.75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x14ac:dyDescent="0.25" r="857" customHeight="1" ht="15.75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x14ac:dyDescent="0.25" r="858" customHeight="1" ht="15.75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x14ac:dyDescent="0.25" r="859" customHeight="1" ht="15.75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x14ac:dyDescent="0.25" r="860" customHeight="1" ht="15.75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x14ac:dyDescent="0.25" r="861" customHeight="1" ht="15.75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x14ac:dyDescent="0.25" r="862" customHeight="1" ht="15.75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x14ac:dyDescent="0.25" r="863" customHeight="1" ht="15.75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x14ac:dyDescent="0.25" r="864" customHeight="1" ht="15.75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x14ac:dyDescent="0.25" r="865" customHeight="1" ht="15.7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x14ac:dyDescent="0.25" r="866" customHeight="1" ht="15.75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x14ac:dyDescent="0.25" r="867" customHeight="1" ht="15.75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x14ac:dyDescent="0.25" r="868" customHeight="1" ht="15.75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x14ac:dyDescent="0.25" r="869" customHeight="1" ht="15.75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x14ac:dyDescent="0.25" r="870" customHeight="1" ht="15.75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x14ac:dyDescent="0.25" r="871" customHeight="1" ht="15.75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x14ac:dyDescent="0.25" r="872" customHeight="1" ht="15.75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x14ac:dyDescent="0.25" r="873" customHeight="1" ht="15.75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x14ac:dyDescent="0.25" r="874" customHeight="1" ht="15.75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x14ac:dyDescent="0.25" r="875" customHeight="1" ht="15.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x14ac:dyDescent="0.25" r="876" customHeight="1" ht="15.75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x14ac:dyDescent="0.25" r="877" customHeight="1" ht="15.75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x14ac:dyDescent="0.25" r="878" customHeight="1" ht="15.75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x14ac:dyDescent="0.25" r="879" customHeight="1" ht="15.75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x14ac:dyDescent="0.25" r="880" customHeight="1" ht="15.75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x14ac:dyDescent="0.25" r="881" customHeight="1" ht="15.75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x14ac:dyDescent="0.25" r="882" customHeight="1" ht="15.75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x14ac:dyDescent="0.25" r="883" customHeight="1" ht="15.75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x14ac:dyDescent="0.25" r="884" customHeight="1" ht="15.75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x14ac:dyDescent="0.25" r="885" customHeight="1" ht="15.7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x14ac:dyDescent="0.25" r="886" customHeight="1" ht="15.75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x14ac:dyDescent="0.25" r="887" customHeight="1" ht="15.75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x14ac:dyDescent="0.25" r="888" customHeight="1" ht="15.75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x14ac:dyDescent="0.25" r="889" customHeight="1" ht="15.75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x14ac:dyDescent="0.25" r="890" customHeight="1" ht="15.75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x14ac:dyDescent="0.25" r="891" customHeight="1" ht="15.75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x14ac:dyDescent="0.25" r="892" customHeight="1" ht="15.75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x14ac:dyDescent="0.25" r="893" customHeight="1" ht="15.75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x14ac:dyDescent="0.25" r="894" customHeight="1" ht="15.75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x14ac:dyDescent="0.25" r="895" customHeight="1" ht="15.7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x14ac:dyDescent="0.25" r="896" customHeight="1" ht="15.75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x14ac:dyDescent="0.25" r="897" customHeight="1" ht="15.75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x14ac:dyDescent="0.25" r="898" customHeight="1" ht="15.75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x14ac:dyDescent="0.25" r="899" customHeight="1" ht="15.75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x14ac:dyDescent="0.25" r="900" customHeight="1" ht="15.75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x14ac:dyDescent="0.25" r="901" customHeight="1" ht="15.75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x14ac:dyDescent="0.25" r="902" customHeight="1" ht="15.75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x14ac:dyDescent="0.25" r="903" customHeight="1" ht="15.75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x14ac:dyDescent="0.25" r="904" customHeight="1" ht="15.75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x14ac:dyDescent="0.25" r="905" customHeight="1" ht="15.7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x14ac:dyDescent="0.25" r="906" customHeight="1" ht="15.75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x14ac:dyDescent="0.25" r="907" customHeight="1" ht="15.75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x14ac:dyDescent="0.25" r="908" customHeight="1" ht="15.75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x14ac:dyDescent="0.25" r="909" customHeight="1" ht="15.75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x14ac:dyDescent="0.25" r="910" customHeight="1" ht="15.75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x14ac:dyDescent="0.25" r="911" customHeight="1" ht="15.75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x14ac:dyDescent="0.25" r="912" customHeight="1" ht="15.75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x14ac:dyDescent="0.25" r="913" customHeight="1" ht="15.75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x14ac:dyDescent="0.25" r="914" customHeight="1" ht="15.75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x14ac:dyDescent="0.25" r="915" customHeight="1" ht="15.7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x14ac:dyDescent="0.25" r="916" customHeight="1" ht="15.75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x14ac:dyDescent="0.25" r="917" customHeight="1" ht="15.75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x14ac:dyDescent="0.25" r="918" customHeight="1" ht="15.75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x14ac:dyDescent="0.25" r="919" customHeight="1" ht="15.75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x14ac:dyDescent="0.25" r="920" customHeight="1" ht="15.75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x14ac:dyDescent="0.25" r="921" customHeight="1" ht="15.75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x14ac:dyDescent="0.25" r="922" customHeight="1" ht="15.75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x14ac:dyDescent="0.25" r="923" customHeight="1" ht="15.75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x14ac:dyDescent="0.25" r="924" customHeight="1" ht="15.75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x14ac:dyDescent="0.25" r="925" customHeight="1" ht="15.7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x14ac:dyDescent="0.25" r="926" customHeight="1" ht="15.75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x14ac:dyDescent="0.25" r="927" customHeight="1" ht="15.75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x14ac:dyDescent="0.25" r="928" customHeight="1" ht="15.75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x14ac:dyDescent="0.25" r="929" customHeight="1" ht="15.75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x14ac:dyDescent="0.25" r="930" customHeight="1" ht="15.75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x14ac:dyDescent="0.25" r="931" customHeight="1" ht="15.75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x14ac:dyDescent="0.25" r="932" customHeight="1" ht="15.75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x14ac:dyDescent="0.25" r="933" customHeight="1" ht="15.75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x14ac:dyDescent="0.25" r="934" customHeight="1" ht="15.75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x14ac:dyDescent="0.25" r="935" customHeight="1" ht="15.7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x14ac:dyDescent="0.25" r="936" customHeight="1" ht="15.75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x14ac:dyDescent="0.25" r="937" customHeight="1" ht="15.75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x14ac:dyDescent="0.25" r="938" customHeight="1" ht="15.75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x14ac:dyDescent="0.25" r="939" customHeight="1" ht="15.75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x14ac:dyDescent="0.25" r="940" customHeight="1" ht="15.75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x14ac:dyDescent="0.25" r="941" customHeight="1" ht="15.75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x14ac:dyDescent="0.25" r="942" customHeight="1" ht="15.75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x14ac:dyDescent="0.25" r="943" customHeight="1" ht="15.75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x14ac:dyDescent="0.25" r="944" customHeight="1" ht="15.75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x14ac:dyDescent="0.25" r="945" customHeight="1" ht="15.7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x14ac:dyDescent="0.25" r="946" customHeight="1" ht="15.75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x14ac:dyDescent="0.25" r="947" customHeight="1" ht="15.75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x14ac:dyDescent="0.25" r="948" customHeight="1" ht="15.75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x14ac:dyDescent="0.25" r="949" customHeight="1" ht="15.75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x14ac:dyDescent="0.25" r="950" customHeight="1" ht="15.75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x14ac:dyDescent="0.25" r="951" customHeight="1" ht="15.75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x14ac:dyDescent="0.25" r="952" customHeight="1" ht="15.75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x14ac:dyDescent="0.25" r="953" customHeight="1" ht="15.75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x14ac:dyDescent="0.25" r="954" customHeight="1" ht="15.75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x14ac:dyDescent="0.25" r="955" customHeight="1" ht="15.7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x14ac:dyDescent="0.25" r="956" customHeight="1" ht="15.75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x14ac:dyDescent="0.25" r="957" customHeight="1" ht="15.75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x14ac:dyDescent="0.25" r="958" customHeight="1" ht="15.75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x14ac:dyDescent="0.25" r="959" customHeight="1" ht="15.75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x14ac:dyDescent="0.25" r="960" customHeight="1" ht="15.75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x14ac:dyDescent="0.25" r="961" customHeight="1" ht="15.75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x14ac:dyDescent="0.25" r="962" customHeight="1" ht="15.75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x14ac:dyDescent="0.25" r="963" customHeight="1" ht="15.75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x14ac:dyDescent="0.25" r="964" customHeight="1" ht="15.75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x14ac:dyDescent="0.25" r="965" customHeight="1" ht="15.7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x14ac:dyDescent="0.25" r="966" customHeight="1" ht="15.75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x14ac:dyDescent="0.25" r="967" customHeight="1" ht="15.75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x14ac:dyDescent="0.25" r="968" customHeight="1" ht="15.75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x14ac:dyDescent="0.25" r="969" customHeight="1" ht="15.75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x14ac:dyDescent="0.25" r="970" customHeight="1" ht="15.75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x14ac:dyDescent="0.25" r="971" customHeight="1" ht="15.75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x14ac:dyDescent="0.25" r="972" customHeight="1" ht="15.75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x14ac:dyDescent="0.25" r="973" customHeight="1" ht="15.75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x14ac:dyDescent="0.25" r="974" customHeight="1" ht="15.75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x14ac:dyDescent="0.25" r="975" customHeight="1" ht="15.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x14ac:dyDescent="0.25" r="976" customHeight="1" ht="15.75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x14ac:dyDescent="0.25" r="977" customHeight="1" ht="15.75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x14ac:dyDescent="0.25" r="978" customHeight="1" ht="15.75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x14ac:dyDescent="0.25" r="979" customHeight="1" ht="15.75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x14ac:dyDescent="0.25" r="980" customHeight="1" ht="15.75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x14ac:dyDescent="0.25" r="981" customHeight="1" ht="15.75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x14ac:dyDescent="0.25" r="982" customHeight="1" ht="15.75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x14ac:dyDescent="0.25" r="983" customHeight="1" ht="15.75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x14ac:dyDescent="0.25" r="984" customHeight="1" ht="15.75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x14ac:dyDescent="0.25" r="985" customHeight="1" ht="15.7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x14ac:dyDescent="0.25" r="986" customHeight="1" ht="15.75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x14ac:dyDescent="0.25" r="987" customHeight="1" ht="15.75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x14ac:dyDescent="0.25" r="988" customHeight="1" ht="15.75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x14ac:dyDescent="0.25" r="989" customHeight="1" ht="15.75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x14ac:dyDescent="0.25" r="990" customHeight="1" ht="15.75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x14ac:dyDescent="0.25" r="991" customHeight="1" ht="15.75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x14ac:dyDescent="0.25" r="992" customHeight="1" ht="15.75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x14ac:dyDescent="0.25" r="993" customHeight="1" ht="15.75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x14ac:dyDescent="0.25" r="994" customHeight="1" ht="15.75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x14ac:dyDescent="0.25" r="995" customHeight="1" ht="15.7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x14ac:dyDescent="0.25" r="996" customHeight="1" ht="15.75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x14ac:dyDescent="0.25" r="997" customHeight="1" ht="15.75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x14ac:dyDescent="0.25" r="998" customHeight="1" ht="15.75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x14ac:dyDescent="0.25" r="999" customHeight="1" ht="15.75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x14ac:dyDescent="0.25" r="1000" customHeight="1" ht="15.75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0"/>
  <sheetViews>
    <sheetView workbookViewId="0"/>
  </sheetViews>
  <sheetFormatPr defaultRowHeight="15" x14ac:dyDescent="0.25"/>
  <cols>
    <col min="1" max="1" style="13" width="8.719285714285713" customWidth="1" bestFit="1"/>
    <col min="2" max="2" style="13" width="8.719285714285713" customWidth="1" bestFit="1"/>
    <col min="3" max="3" style="13" width="8.719285714285713" customWidth="1" bestFit="1"/>
    <col min="4" max="4" style="13" width="8.719285714285713" customWidth="1" bestFit="1"/>
    <col min="5" max="5" style="13" width="8.719285714285713" customWidth="1" bestFit="1"/>
    <col min="6" max="6" style="13" width="8.719285714285713" customWidth="1" bestFit="1"/>
    <col min="7" max="7" style="13" width="8.719285714285713" customWidth="1" bestFit="1"/>
    <col min="8" max="8" style="13" width="8.719285714285713" customWidth="1" bestFit="1"/>
    <col min="9" max="9" style="13" width="8.719285714285713" customWidth="1" bestFit="1"/>
    <col min="10" max="10" style="13" width="8.719285714285713" customWidth="1" bestFit="1"/>
    <col min="11" max="11" style="13" width="8.719285714285713" customWidth="1" bestFit="1"/>
    <col min="12" max="12" style="13" width="8.719285714285713" customWidth="1" bestFit="1"/>
    <col min="13" max="13" style="13" width="8.719285714285713" customWidth="1" bestFit="1"/>
    <col min="14" max="14" style="13" width="8.719285714285713" customWidth="1" bestFit="1"/>
    <col min="15" max="15" style="13" width="8.719285714285713" customWidth="1" bestFit="1"/>
    <col min="16" max="16" style="13" width="8.719285714285713" customWidth="1" bestFit="1"/>
    <col min="17" max="17" style="13" width="8.719285714285713" customWidth="1" bestFit="1"/>
    <col min="18" max="18" style="13" width="8.719285714285713" customWidth="1" bestFit="1"/>
    <col min="19" max="19" style="13" width="8.719285714285713" customWidth="1" bestFit="1"/>
    <col min="20" max="20" style="13" width="8.719285714285713" customWidth="1" bestFit="1"/>
    <col min="21" max="21" style="13" width="8.719285714285713" customWidth="1" bestFit="1"/>
    <col min="22" max="22" style="13" width="8.719285714285713" customWidth="1" bestFit="1"/>
    <col min="23" max="23" style="13" width="8.719285714285713" customWidth="1" bestFit="1"/>
    <col min="24" max="24" style="13" width="8.719285714285713" customWidth="1" bestFit="1"/>
    <col min="25" max="25" style="13" width="8.719285714285713" customWidth="1" bestFit="1"/>
    <col min="26" max="26" style="13" width="8.719285714285713" customWidth="1" bestFit="1"/>
    <col min="27" max="27" style="13" width="8.719285714285713" customWidth="1" bestFit="1"/>
  </cols>
  <sheetData>
    <row x14ac:dyDescent="0.25" r="1" customHeight="1" ht="14.25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x14ac:dyDescent="0.25" r="2" customHeight="1" ht="14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</row>
    <row x14ac:dyDescent="0.25" r="3" customHeight="1" ht="14.2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</row>
    <row x14ac:dyDescent="0.25" r="4" customHeight="1" ht="14.25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</row>
    <row x14ac:dyDescent="0.25" r="5" customHeight="1" ht="14.25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</row>
    <row x14ac:dyDescent="0.25" r="6" customHeight="1" ht="14.25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</row>
    <row x14ac:dyDescent="0.25" r="7" customHeight="1" ht="14.25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</row>
    <row x14ac:dyDescent="0.25" r="8" customHeight="1" ht="14.25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</row>
    <row x14ac:dyDescent="0.25" r="9" customHeight="1" ht="14.25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</row>
    <row x14ac:dyDescent="0.25" r="10" customHeight="1" ht="14.2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x14ac:dyDescent="0.25" r="11" customHeight="1" ht="14.25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</row>
    <row x14ac:dyDescent="0.25" r="12" customHeight="1" ht="14.25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</row>
    <row x14ac:dyDescent="0.25" r="13" customHeight="1" ht="14.25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</row>
    <row x14ac:dyDescent="0.25" r="14" customHeight="1" ht="14.25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</row>
    <row x14ac:dyDescent="0.25" r="15" customHeight="1" ht="14.25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</row>
    <row x14ac:dyDescent="0.25" r="16" customHeight="1" ht="14.25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</row>
    <row x14ac:dyDescent="0.25" r="17" customHeight="1" ht="14.2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</row>
    <row x14ac:dyDescent="0.25" r="18" customHeight="1" ht="14.25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</row>
    <row x14ac:dyDescent="0.25" r="19" customHeight="1" ht="14.25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x14ac:dyDescent="0.25" r="20" customHeight="1" ht="14.2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</row>
    <row x14ac:dyDescent="0.25" r="21" customHeight="1" ht="14.25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</row>
    <row x14ac:dyDescent="0.25" r="22" customHeight="1" ht="14.25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</row>
    <row x14ac:dyDescent="0.25" r="23" customHeight="1" ht="14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x14ac:dyDescent="0.25" r="24" customHeight="1" ht="14.25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  <row x14ac:dyDescent="0.25" r="25" customHeight="1" ht="14.2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</row>
    <row x14ac:dyDescent="0.25" r="26" customHeight="1" ht="14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</row>
    <row x14ac:dyDescent="0.25" r="27" customHeight="1" ht="14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</row>
    <row x14ac:dyDescent="0.25" r="28" customHeight="1" ht="14.2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</row>
    <row x14ac:dyDescent="0.25" r="29" customHeight="1" ht="14.25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</row>
    <row x14ac:dyDescent="0.25" r="30" customHeight="1" ht="14.2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</row>
    <row x14ac:dyDescent="0.25" r="31" customHeight="1" ht="14.25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</row>
    <row x14ac:dyDescent="0.25" r="32" customHeight="1" ht="14.25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</row>
    <row x14ac:dyDescent="0.25" r="33" customHeight="1" ht="14.25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</row>
    <row x14ac:dyDescent="0.25" r="34" customHeight="1" ht="14.25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</row>
    <row x14ac:dyDescent="0.25" r="35" customHeight="1" ht="14.2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</row>
    <row x14ac:dyDescent="0.25" r="36" customHeight="1" ht="14.25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</row>
    <row x14ac:dyDescent="0.25" r="37" customHeight="1" ht="14.25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</row>
    <row x14ac:dyDescent="0.25" r="38" customHeight="1" ht="14.25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</row>
    <row x14ac:dyDescent="0.25" r="39" customHeight="1" ht="14.25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</row>
    <row x14ac:dyDescent="0.25" r="40" customHeight="1" ht="14.25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</row>
    <row x14ac:dyDescent="0.25" r="41" customHeight="1" ht="14.25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</row>
    <row x14ac:dyDescent="0.25" r="42" customHeight="1" ht="14.25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</row>
    <row x14ac:dyDescent="0.25" r="43" customHeight="1" ht="14.25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</row>
    <row x14ac:dyDescent="0.25" r="44" customHeight="1" ht="14.25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</row>
    <row x14ac:dyDescent="0.25" r="45" customHeight="1" ht="14.2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</row>
    <row x14ac:dyDescent="0.25" r="46" customHeight="1" ht="14.25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</row>
    <row x14ac:dyDescent="0.25" r="47" customHeight="1" ht="14.25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</row>
    <row x14ac:dyDescent="0.25" r="48" customHeight="1" ht="14.25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</row>
    <row x14ac:dyDescent="0.25" r="49" customHeight="1" ht="14.25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</row>
    <row x14ac:dyDescent="0.25" r="50" customHeight="1" ht="14.25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</row>
    <row x14ac:dyDescent="0.25" r="51" customHeight="1" ht="14.2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</row>
    <row x14ac:dyDescent="0.25" r="52" customHeight="1" ht="14.25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</row>
    <row x14ac:dyDescent="0.25" r="53" customHeight="1" ht="14.25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</row>
    <row x14ac:dyDescent="0.25" r="54" customHeight="1" ht="14.25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</row>
    <row x14ac:dyDescent="0.25" r="55" customHeight="1" ht="14.2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</row>
    <row x14ac:dyDescent="0.25" r="56" customHeight="1" ht="14.25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</row>
    <row x14ac:dyDescent="0.25" r="57" customHeight="1" ht="14.25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</row>
    <row x14ac:dyDescent="0.25" r="58" customHeight="1" ht="14.25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</row>
    <row x14ac:dyDescent="0.25" r="59" customHeight="1" ht="14.25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x14ac:dyDescent="0.25" r="60" customHeight="1" ht="14.25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x14ac:dyDescent="0.25" r="61" customHeight="1" ht="14.2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</row>
    <row x14ac:dyDescent="0.25" r="62" customHeight="1" ht="14.25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</row>
    <row x14ac:dyDescent="0.25" r="63" customHeight="1" ht="14.25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</row>
    <row x14ac:dyDescent="0.25" r="64" customHeight="1" ht="14.25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</row>
    <row x14ac:dyDescent="0.25" r="65" customHeight="1" ht="14.2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</row>
    <row x14ac:dyDescent="0.25" r="66" customHeight="1" ht="14.25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</row>
    <row x14ac:dyDescent="0.25" r="67" customHeight="1" ht="14.25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</row>
    <row x14ac:dyDescent="0.25" r="68" customHeight="1" ht="14.25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</row>
    <row x14ac:dyDescent="0.25" r="69" customHeight="1" ht="14.25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</row>
    <row x14ac:dyDescent="0.25" r="70" customHeight="1" ht="14.25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</row>
    <row x14ac:dyDescent="0.25" r="71" customHeight="1" ht="14.25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</row>
    <row x14ac:dyDescent="0.25" r="72" customHeight="1" ht="14.25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</row>
    <row x14ac:dyDescent="0.25" r="73" customHeight="1" ht="14.25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</row>
    <row x14ac:dyDescent="0.25" r="74" customHeight="1" ht="14.25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</row>
    <row x14ac:dyDescent="0.25" r="75" customHeight="1" ht="14.2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</row>
    <row x14ac:dyDescent="0.25" r="76" customHeight="1" ht="14.2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</row>
    <row x14ac:dyDescent="0.25" r="77" customHeight="1" ht="14.2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</row>
    <row x14ac:dyDescent="0.25" r="78" customHeight="1" ht="14.2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</row>
    <row x14ac:dyDescent="0.25" r="79" customHeight="1" ht="14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</row>
    <row x14ac:dyDescent="0.25" r="80" customHeight="1" ht="14.2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</row>
    <row x14ac:dyDescent="0.25" r="81" customHeight="1" ht="14.2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</row>
    <row x14ac:dyDescent="0.25" r="82" customHeight="1" ht="14.2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</row>
    <row x14ac:dyDescent="0.25" r="83" customHeight="1" ht="14.2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</row>
    <row x14ac:dyDescent="0.25" r="84" customHeight="1" ht="14.2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</row>
    <row x14ac:dyDescent="0.25" r="85" customHeight="1" ht="14.2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</row>
    <row x14ac:dyDescent="0.25" r="86" customHeight="1" ht="14.2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</row>
    <row x14ac:dyDescent="0.25" r="87" customHeight="1" ht="14.2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</row>
    <row x14ac:dyDescent="0.25" r="88" customHeight="1" ht="14.2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</row>
    <row x14ac:dyDescent="0.25" r="89" customHeight="1" ht="14.25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</row>
    <row x14ac:dyDescent="0.25" r="90" customHeight="1" ht="14.25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</row>
    <row x14ac:dyDescent="0.25" r="91" customHeight="1" ht="14.25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</row>
    <row x14ac:dyDescent="0.25" r="92" customHeight="1" ht="14.25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</row>
    <row x14ac:dyDescent="0.25" r="93" customHeight="1" ht="14.25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</row>
    <row x14ac:dyDescent="0.25" r="94" customHeight="1" ht="14.25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</row>
    <row x14ac:dyDescent="0.25" r="95" customHeight="1" ht="14.2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</row>
    <row x14ac:dyDescent="0.25" r="96" customHeight="1" ht="14.25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</row>
    <row x14ac:dyDescent="0.25" r="97" customHeight="1" ht="14.25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</row>
    <row x14ac:dyDescent="0.25" r="98" customHeight="1" ht="14.25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</row>
    <row x14ac:dyDescent="0.25" r="99" customHeight="1" ht="14.25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</row>
    <row x14ac:dyDescent="0.25" r="100" customHeight="1" ht="14.25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</row>
    <row x14ac:dyDescent="0.25" r="101" customHeight="1" ht="14.25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</row>
    <row x14ac:dyDescent="0.25" r="102" customHeight="1" ht="14.25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</row>
    <row x14ac:dyDescent="0.25" r="103" customHeight="1" ht="14.25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</row>
    <row x14ac:dyDescent="0.25" r="104" customHeight="1" ht="14.25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</row>
    <row x14ac:dyDescent="0.25" r="105" customHeight="1" ht="14.2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</row>
    <row x14ac:dyDescent="0.25" r="106" customHeight="1" ht="14.25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</row>
    <row x14ac:dyDescent="0.25" r="107" customHeight="1" ht="14.25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</row>
    <row x14ac:dyDescent="0.25" r="108" customHeight="1" ht="14.25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</row>
    <row x14ac:dyDescent="0.25" r="109" customHeight="1" ht="14.25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</row>
    <row x14ac:dyDescent="0.25" r="110" customHeight="1" ht="14.25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</row>
    <row x14ac:dyDescent="0.25" r="111" customHeight="1" ht="14.25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</row>
    <row x14ac:dyDescent="0.25" r="112" customHeight="1" ht="14.25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</row>
    <row x14ac:dyDescent="0.25" r="113" customHeight="1" ht="14.25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</row>
    <row x14ac:dyDescent="0.25" r="114" customHeight="1" ht="14.25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</row>
    <row x14ac:dyDescent="0.25" r="115" customHeight="1" ht="14.2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</row>
    <row x14ac:dyDescent="0.25" r="116" customHeight="1" ht="14.25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</row>
    <row x14ac:dyDescent="0.25" r="117" customHeight="1" ht="14.25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</row>
    <row x14ac:dyDescent="0.25" r="118" customHeight="1" ht="14.25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</row>
    <row x14ac:dyDescent="0.25" r="119" customHeight="1" ht="14.25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</row>
    <row x14ac:dyDescent="0.25" r="120" customHeight="1" ht="14.25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</row>
    <row x14ac:dyDescent="0.25" r="121" customHeight="1" ht="14.25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</row>
    <row x14ac:dyDescent="0.25" r="122" customHeight="1" ht="14.25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</row>
    <row x14ac:dyDescent="0.25" r="123" customHeight="1" ht="14.25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</row>
    <row x14ac:dyDescent="0.25" r="124" customHeight="1" ht="14.25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</row>
    <row x14ac:dyDescent="0.25" r="125" customHeight="1" ht="14.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</row>
    <row x14ac:dyDescent="0.25" r="126" customHeight="1" ht="14.25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</row>
    <row x14ac:dyDescent="0.25" r="127" customHeight="1" ht="14.25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</row>
    <row x14ac:dyDescent="0.25" r="128" customHeight="1" ht="14.25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</row>
    <row x14ac:dyDescent="0.25" r="129" customHeight="1" ht="14.25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</row>
    <row x14ac:dyDescent="0.25" r="130" customHeight="1" ht="14.25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</row>
    <row x14ac:dyDescent="0.25" r="131" customHeight="1" ht="14.25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</row>
    <row x14ac:dyDescent="0.25" r="132" customHeight="1" ht="14.25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</row>
    <row x14ac:dyDescent="0.25" r="133" customHeight="1" ht="14.25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</row>
    <row x14ac:dyDescent="0.25" r="134" customHeight="1" ht="14.25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</row>
    <row x14ac:dyDescent="0.25" r="135" customHeight="1" ht="14.2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</row>
    <row x14ac:dyDescent="0.25" r="136" customHeight="1" ht="14.25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</row>
    <row x14ac:dyDescent="0.25" r="137" customHeight="1" ht="14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</row>
    <row x14ac:dyDescent="0.25" r="138" customHeight="1" ht="14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</row>
    <row x14ac:dyDescent="0.25" r="139" customHeight="1" ht="14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</row>
    <row x14ac:dyDescent="0.25" r="140" customHeight="1" ht="14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</row>
    <row x14ac:dyDescent="0.25" r="141" customHeight="1" ht="14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</row>
    <row x14ac:dyDescent="0.25" r="142" customHeight="1" ht="14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</row>
    <row x14ac:dyDescent="0.25" r="143" customHeight="1" ht="14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</row>
    <row x14ac:dyDescent="0.25" r="144" customHeight="1" ht="14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</row>
    <row x14ac:dyDescent="0.25" r="145" customHeight="1" ht="14.2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</row>
    <row x14ac:dyDescent="0.25" r="146" customHeight="1" ht="14.25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</row>
    <row x14ac:dyDescent="0.25" r="147" customHeight="1" ht="14.25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</row>
    <row x14ac:dyDescent="0.25" r="148" customHeight="1" ht="14.25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</row>
    <row x14ac:dyDescent="0.25" r="149" customHeight="1" ht="14.25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</row>
    <row x14ac:dyDescent="0.25" r="150" customHeight="1" ht="14.25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</row>
    <row x14ac:dyDescent="0.25" r="151" customHeight="1" ht="14.25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</row>
    <row x14ac:dyDescent="0.25" r="152" customHeight="1" ht="14.25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</row>
    <row x14ac:dyDescent="0.25" r="153" customHeight="1" ht="14.25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</row>
    <row x14ac:dyDescent="0.25" r="154" customHeight="1" ht="14.25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</row>
    <row x14ac:dyDescent="0.25" r="155" customHeight="1" ht="14.2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</row>
    <row x14ac:dyDescent="0.25" r="156" customHeight="1" ht="14.25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</row>
    <row x14ac:dyDescent="0.25" r="157" customHeight="1" ht="14.25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</row>
    <row x14ac:dyDescent="0.25" r="158" customHeight="1" ht="14.25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</row>
    <row x14ac:dyDescent="0.25" r="159" customHeight="1" ht="14.25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</row>
    <row x14ac:dyDescent="0.25" r="160" customHeight="1" ht="14.25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</row>
    <row x14ac:dyDescent="0.25" r="161" customHeight="1" ht="14.25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</row>
    <row x14ac:dyDescent="0.25" r="162" customHeight="1" ht="14.25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</row>
    <row x14ac:dyDescent="0.25" r="163" customHeight="1" ht="14.25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</row>
    <row x14ac:dyDescent="0.25" r="164" customHeight="1" ht="14.25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</row>
    <row x14ac:dyDescent="0.25" r="165" customHeight="1" ht="14.2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</row>
    <row x14ac:dyDescent="0.25" r="166" customHeight="1" ht="14.25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</row>
    <row x14ac:dyDescent="0.25" r="167" customHeight="1" ht="14.25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</row>
    <row x14ac:dyDescent="0.25" r="168" customHeight="1" ht="14.25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</row>
    <row x14ac:dyDescent="0.25" r="169" customHeight="1" ht="14.25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</row>
    <row x14ac:dyDescent="0.25" r="170" customHeight="1" ht="14.25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</row>
    <row x14ac:dyDescent="0.25" r="171" customHeight="1" ht="14.2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</row>
    <row x14ac:dyDescent="0.25" r="172" customHeight="1" ht="14.25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</row>
    <row x14ac:dyDescent="0.25" r="173" customHeight="1" ht="14.2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</row>
    <row x14ac:dyDescent="0.25" r="174" customHeight="1" ht="14.25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</row>
    <row x14ac:dyDescent="0.25" r="175" customHeight="1" ht="14.2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</row>
    <row x14ac:dyDescent="0.25" r="176" customHeight="1" ht="14.25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</row>
    <row x14ac:dyDescent="0.25" r="177" customHeight="1" ht="14.25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</row>
    <row x14ac:dyDescent="0.25" r="178" customHeight="1" ht="14.25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</row>
    <row x14ac:dyDescent="0.25" r="179" customHeight="1" ht="14.25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</row>
    <row x14ac:dyDescent="0.25" r="180" customHeight="1" ht="14.25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</row>
    <row x14ac:dyDescent="0.25" r="181" customHeight="1" ht="14.25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</row>
    <row x14ac:dyDescent="0.25" r="182" customHeight="1" ht="14.25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</row>
    <row x14ac:dyDescent="0.25" r="183" customHeight="1" ht="14.25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</row>
    <row x14ac:dyDescent="0.25" r="184" customHeight="1" ht="14.25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</row>
    <row x14ac:dyDescent="0.25" r="185" customHeight="1" ht="14.2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</row>
    <row x14ac:dyDescent="0.25" r="186" customHeight="1" ht="14.25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</row>
    <row x14ac:dyDescent="0.25" r="187" customHeight="1" ht="14.25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</row>
    <row x14ac:dyDescent="0.25" r="188" customHeight="1" ht="14.25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</row>
    <row x14ac:dyDescent="0.25" r="189" customHeight="1" ht="14.25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</row>
    <row x14ac:dyDescent="0.25" r="190" customHeight="1" ht="14.25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</row>
    <row x14ac:dyDescent="0.25" r="191" customHeight="1" ht="14.25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</row>
    <row x14ac:dyDescent="0.25" r="192" customHeight="1" ht="14.25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</row>
    <row x14ac:dyDescent="0.25" r="193" customHeight="1" ht="14.25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</row>
    <row x14ac:dyDescent="0.25" r="194" customHeight="1" ht="14.25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</row>
    <row x14ac:dyDescent="0.25" r="195" customHeight="1" ht="14.2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</row>
    <row x14ac:dyDescent="0.25" r="196" customHeight="1" ht="14.25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</row>
    <row x14ac:dyDescent="0.25" r="197" customHeight="1" ht="14.25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</row>
    <row x14ac:dyDescent="0.25" r="198" customHeight="1" ht="14.25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</row>
    <row x14ac:dyDescent="0.25" r="199" customHeight="1" ht="14.25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</row>
    <row x14ac:dyDescent="0.25" r="200" customHeight="1" ht="14.25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</row>
    <row x14ac:dyDescent="0.25" r="201" customHeight="1" ht="14.25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</row>
    <row x14ac:dyDescent="0.25" r="202" customHeight="1" ht="14.25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</row>
    <row x14ac:dyDescent="0.25" r="203" customHeight="1" ht="14.25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</row>
    <row x14ac:dyDescent="0.25" r="204" customHeight="1" ht="14.25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</row>
    <row x14ac:dyDescent="0.25" r="205" customHeight="1" ht="14.2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</row>
    <row x14ac:dyDescent="0.25" r="206" customHeight="1" ht="14.25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</row>
    <row x14ac:dyDescent="0.25" r="207" customHeight="1" ht="14.25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</row>
    <row x14ac:dyDescent="0.25" r="208" customHeight="1" ht="14.25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</row>
    <row x14ac:dyDescent="0.25" r="209" customHeight="1" ht="14.25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</row>
    <row x14ac:dyDescent="0.25" r="210" customHeight="1" ht="14.25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</row>
    <row x14ac:dyDescent="0.25" r="211" customHeight="1" ht="14.25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</row>
    <row x14ac:dyDescent="0.25" r="212" customHeight="1" ht="14.25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</row>
    <row x14ac:dyDescent="0.25" r="213" customHeight="1" ht="14.25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</row>
    <row x14ac:dyDescent="0.25" r="214" customHeight="1" ht="14.25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</row>
    <row x14ac:dyDescent="0.25" r="215" customHeight="1" ht="14.2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</row>
    <row x14ac:dyDescent="0.25" r="216" customHeight="1" ht="14.25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</row>
    <row x14ac:dyDescent="0.25" r="217" customHeight="1" ht="14.25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</row>
    <row x14ac:dyDescent="0.25" r="218" customHeight="1" ht="14.25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</row>
    <row x14ac:dyDescent="0.25" r="219" customHeight="1" ht="14.25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</row>
    <row x14ac:dyDescent="0.25" r="220" customHeight="1" ht="14.25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</row>
    <row x14ac:dyDescent="0.25" r="221" customHeight="1" ht="14.25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</row>
    <row x14ac:dyDescent="0.25" r="222" customHeight="1" ht="14.25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</row>
    <row x14ac:dyDescent="0.25" r="223" customHeight="1" ht="14.25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</row>
    <row x14ac:dyDescent="0.25" r="224" customHeight="1" ht="14.25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</row>
    <row x14ac:dyDescent="0.25" r="225" customHeight="1" ht="14.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</row>
    <row x14ac:dyDescent="0.25" r="226" customHeight="1" ht="14.25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</row>
    <row x14ac:dyDescent="0.25" r="227" customHeight="1" ht="14.25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</row>
    <row x14ac:dyDescent="0.25" r="228" customHeight="1" ht="14.25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</row>
    <row x14ac:dyDescent="0.25" r="229" customHeight="1" ht="14.25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</row>
    <row x14ac:dyDescent="0.25" r="230" customHeight="1" ht="14.25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</row>
    <row x14ac:dyDescent="0.25" r="231" customHeight="1" ht="14.25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</row>
    <row x14ac:dyDescent="0.25" r="232" customHeight="1" ht="14.25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</row>
    <row x14ac:dyDescent="0.25" r="233" customHeight="1" ht="14.25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</row>
    <row x14ac:dyDescent="0.25" r="234" customHeight="1" ht="14.25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</row>
    <row x14ac:dyDescent="0.25" r="235" customHeight="1" ht="14.2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</row>
    <row x14ac:dyDescent="0.25" r="236" customHeight="1" ht="14.25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</row>
    <row x14ac:dyDescent="0.25" r="237" customHeight="1" ht="14.25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</row>
    <row x14ac:dyDescent="0.25" r="238" customHeight="1" ht="14.25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</row>
    <row x14ac:dyDescent="0.25" r="239" customHeight="1" ht="14.25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</row>
    <row x14ac:dyDescent="0.25" r="240" customHeight="1" ht="14.25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</row>
    <row x14ac:dyDescent="0.25" r="241" customHeight="1" ht="14.25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</row>
    <row x14ac:dyDescent="0.25" r="242" customHeight="1" ht="14.25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</row>
    <row x14ac:dyDescent="0.25" r="243" customHeight="1" ht="14.25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</row>
    <row x14ac:dyDescent="0.25" r="244" customHeight="1" ht="14.25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</row>
    <row x14ac:dyDescent="0.25" r="245" customHeight="1" ht="14.2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</row>
    <row x14ac:dyDescent="0.25" r="246" customHeight="1" ht="14.25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</row>
    <row x14ac:dyDescent="0.25" r="247" customHeight="1" ht="14.25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</row>
    <row x14ac:dyDescent="0.25" r="248" customHeight="1" ht="14.25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</row>
    <row x14ac:dyDescent="0.25" r="249" customHeight="1" ht="14.25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</row>
    <row x14ac:dyDescent="0.25" r="250" customHeight="1" ht="14.25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</row>
    <row x14ac:dyDescent="0.25" r="251" customHeight="1" ht="14.25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</row>
    <row x14ac:dyDescent="0.25" r="252" customHeight="1" ht="14.25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</row>
    <row x14ac:dyDescent="0.25" r="253" customHeight="1" ht="14.25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</row>
    <row x14ac:dyDescent="0.25" r="254" customHeight="1" ht="14.25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</row>
    <row x14ac:dyDescent="0.25" r="255" customHeight="1" ht="14.2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</row>
    <row x14ac:dyDescent="0.25" r="256" customHeight="1" ht="14.25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</row>
    <row x14ac:dyDescent="0.25" r="257" customHeight="1" ht="14.25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</row>
    <row x14ac:dyDescent="0.25" r="258" customHeight="1" ht="14.25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</row>
    <row x14ac:dyDescent="0.25" r="259" customHeight="1" ht="14.25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</row>
    <row x14ac:dyDescent="0.25" r="260" customHeight="1" ht="14.25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</row>
    <row x14ac:dyDescent="0.25" r="261" customHeight="1" ht="14.25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</row>
    <row x14ac:dyDescent="0.25" r="262" customHeight="1" ht="14.25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</row>
    <row x14ac:dyDescent="0.25" r="263" customHeight="1" ht="14.25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</row>
    <row x14ac:dyDescent="0.25" r="264" customHeight="1" ht="14.25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</row>
    <row x14ac:dyDescent="0.25" r="265" customHeight="1" ht="14.2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</row>
    <row x14ac:dyDescent="0.25" r="266" customHeight="1" ht="14.25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</row>
    <row x14ac:dyDescent="0.25" r="267" customHeight="1" ht="14.25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</row>
    <row x14ac:dyDescent="0.25" r="268" customHeight="1" ht="14.25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</row>
    <row x14ac:dyDescent="0.25" r="269" customHeight="1" ht="14.25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</row>
    <row x14ac:dyDescent="0.25" r="270" customHeight="1" ht="14.25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</row>
    <row x14ac:dyDescent="0.25" r="271" customHeight="1" ht="14.25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</row>
    <row x14ac:dyDescent="0.25" r="272" customHeight="1" ht="14.25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</row>
    <row x14ac:dyDescent="0.25" r="273" customHeight="1" ht="14.25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</row>
    <row x14ac:dyDescent="0.25" r="274" customHeight="1" ht="14.25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</row>
    <row x14ac:dyDescent="0.25" r="275" customHeight="1" ht="14.2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</row>
    <row x14ac:dyDescent="0.25" r="276" customHeight="1" ht="14.25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</row>
    <row x14ac:dyDescent="0.25" r="277" customHeight="1" ht="14.25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</row>
    <row x14ac:dyDescent="0.25" r="278" customHeight="1" ht="14.25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</row>
    <row x14ac:dyDescent="0.25" r="279" customHeight="1" ht="14.25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</row>
    <row x14ac:dyDescent="0.25" r="280" customHeight="1" ht="14.25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</row>
    <row x14ac:dyDescent="0.25" r="281" customHeight="1" ht="14.25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</row>
    <row x14ac:dyDescent="0.25" r="282" customHeight="1" ht="14.25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</row>
    <row x14ac:dyDescent="0.25" r="283" customHeight="1" ht="14.25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</row>
    <row x14ac:dyDescent="0.25" r="284" customHeight="1" ht="14.25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</row>
    <row x14ac:dyDescent="0.25" r="285" customHeight="1" ht="14.2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</row>
    <row x14ac:dyDescent="0.25" r="286" customHeight="1" ht="14.25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</row>
    <row x14ac:dyDescent="0.25" r="287" customHeight="1" ht="14.25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</row>
    <row x14ac:dyDescent="0.25" r="288" customHeight="1" ht="14.25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</row>
    <row x14ac:dyDescent="0.25" r="289" customHeight="1" ht="14.25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</row>
    <row x14ac:dyDescent="0.25" r="290" customHeight="1" ht="14.25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</row>
    <row x14ac:dyDescent="0.25" r="291" customHeight="1" ht="14.25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</row>
    <row x14ac:dyDescent="0.25" r="292" customHeight="1" ht="14.25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</row>
    <row x14ac:dyDescent="0.25" r="293" customHeight="1" ht="14.25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</row>
    <row x14ac:dyDescent="0.25" r="294" customHeight="1" ht="14.25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</row>
    <row x14ac:dyDescent="0.25" r="295" customHeight="1" ht="14.2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</row>
    <row x14ac:dyDescent="0.25" r="296" customHeight="1" ht="14.25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</row>
    <row x14ac:dyDescent="0.25" r="297" customHeight="1" ht="14.25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</row>
    <row x14ac:dyDescent="0.25" r="298" customHeight="1" ht="14.25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</row>
    <row x14ac:dyDescent="0.25" r="299" customHeight="1" ht="14.25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</row>
    <row x14ac:dyDescent="0.25" r="300" customHeight="1" ht="14.25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</row>
    <row x14ac:dyDescent="0.25" r="301" customHeight="1" ht="14.25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</row>
    <row x14ac:dyDescent="0.25" r="302" customHeight="1" ht="14.25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</row>
    <row x14ac:dyDescent="0.25" r="303" customHeight="1" ht="14.25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</row>
    <row x14ac:dyDescent="0.25" r="304" customHeight="1" ht="14.25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</row>
    <row x14ac:dyDescent="0.25" r="305" customHeight="1" ht="14.2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</row>
    <row x14ac:dyDescent="0.25" r="306" customHeight="1" ht="14.25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</row>
    <row x14ac:dyDescent="0.25" r="307" customHeight="1" ht="14.25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</row>
    <row x14ac:dyDescent="0.25" r="308" customHeight="1" ht="14.25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</row>
    <row x14ac:dyDescent="0.25" r="309" customHeight="1" ht="14.25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</row>
    <row x14ac:dyDescent="0.25" r="310" customHeight="1" ht="14.25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</row>
    <row x14ac:dyDescent="0.25" r="311" customHeight="1" ht="14.25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</row>
    <row x14ac:dyDescent="0.25" r="312" customHeight="1" ht="14.25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</row>
    <row x14ac:dyDescent="0.25" r="313" customHeight="1" ht="14.25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</row>
    <row x14ac:dyDescent="0.25" r="314" customHeight="1" ht="14.25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</row>
    <row x14ac:dyDescent="0.25" r="315" customHeight="1" ht="14.2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</row>
    <row x14ac:dyDescent="0.25" r="316" customHeight="1" ht="14.25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</row>
    <row x14ac:dyDescent="0.25" r="317" customHeight="1" ht="14.25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</row>
    <row x14ac:dyDescent="0.25" r="318" customHeight="1" ht="14.25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</row>
    <row x14ac:dyDescent="0.25" r="319" customHeight="1" ht="14.25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</row>
    <row x14ac:dyDescent="0.25" r="320" customHeight="1" ht="14.25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</row>
    <row x14ac:dyDescent="0.25" r="321" customHeight="1" ht="14.25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</row>
    <row x14ac:dyDescent="0.25" r="322" customHeight="1" ht="14.25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</row>
    <row x14ac:dyDescent="0.25" r="323" customHeight="1" ht="14.25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</row>
    <row x14ac:dyDescent="0.25" r="324" customHeight="1" ht="14.25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</row>
    <row x14ac:dyDescent="0.25" r="325" customHeight="1" ht="14.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</row>
    <row x14ac:dyDescent="0.25" r="326" customHeight="1" ht="14.25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</row>
    <row x14ac:dyDescent="0.25" r="327" customHeight="1" ht="14.25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</row>
    <row x14ac:dyDescent="0.25" r="328" customHeight="1" ht="14.25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</row>
    <row x14ac:dyDescent="0.25" r="329" customHeight="1" ht="14.25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</row>
    <row x14ac:dyDescent="0.25" r="330" customHeight="1" ht="14.25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</row>
    <row x14ac:dyDescent="0.25" r="331" customHeight="1" ht="14.25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</row>
    <row x14ac:dyDescent="0.25" r="332" customHeight="1" ht="14.25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</row>
    <row x14ac:dyDescent="0.25" r="333" customHeight="1" ht="14.25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</row>
    <row x14ac:dyDescent="0.25" r="334" customHeight="1" ht="14.25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</row>
    <row x14ac:dyDescent="0.25" r="335" customHeight="1" ht="14.2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</row>
    <row x14ac:dyDescent="0.25" r="336" customHeight="1" ht="14.25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</row>
    <row x14ac:dyDescent="0.25" r="337" customHeight="1" ht="14.25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</row>
    <row x14ac:dyDescent="0.25" r="338" customHeight="1" ht="14.25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</row>
    <row x14ac:dyDescent="0.25" r="339" customHeight="1" ht="14.25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</row>
    <row x14ac:dyDescent="0.25" r="340" customHeight="1" ht="14.25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</row>
    <row x14ac:dyDescent="0.25" r="341" customHeight="1" ht="14.25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</row>
    <row x14ac:dyDescent="0.25" r="342" customHeight="1" ht="14.25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</row>
    <row x14ac:dyDescent="0.25" r="343" customHeight="1" ht="14.25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</row>
    <row x14ac:dyDescent="0.25" r="344" customHeight="1" ht="14.25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</row>
    <row x14ac:dyDescent="0.25" r="345" customHeight="1" ht="14.2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</row>
    <row x14ac:dyDescent="0.25" r="346" customHeight="1" ht="14.25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</row>
    <row x14ac:dyDescent="0.25" r="347" customHeight="1" ht="14.25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</row>
    <row x14ac:dyDescent="0.25" r="348" customHeight="1" ht="14.25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</row>
    <row x14ac:dyDescent="0.25" r="349" customHeight="1" ht="14.25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</row>
    <row x14ac:dyDescent="0.25" r="350" customHeight="1" ht="14.25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</row>
    <row x14ac:dyDescent="0.25" r="351" customHeight="1" ht="14.25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</row>
    <row x14ac:dyDescent="0.25" r="352" customHeight="1" ht="14.25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</row>
    <row x14ac:dyDescent="0.25" r="353" customHeight="1" ht="14.25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</row>
    <row x14ac:dyDescent="0.25" r="354" customHeight="1" ht="14.25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</row>
    <row x14ac:dyDescent="0.25" r="355" customHeight="1" ht="14.2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</row>
    <row x14ac:dyDescent="0.25" r="356" customHeight="1" ht="14.25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</row>
    <row x14ac:dyDescent="0.25" r="357" customHeight="1" ht="14.25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</row>
    <row x14ac:dyDescent="0.25" r="358" customHeight="1" ht="14.25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</row>
    <row x14ac:dyDescent="0.25" r="359" customHeight="1" ht="14.25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</row>
    <row x14ac:dyDescent="0.25" r="360" customHeight="1" ht="14.25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</row>
    <row x14ac:dyDescent="0.25" r="361" customHeight="1" ht="14.25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</row>
    <row x14ac:dyDescent="0.25" r="362" customHeight="1" ht="14.25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</row>
    <row x14ac:dyDescent="0.25" r="363" customHeight="1" ht="14.25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</row>
    <row x14ac:dyDescent="0.25" r="364" customHeight="1" ht="14.25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</row>
    <row x14ac:dyDescent="0.25" r="365" customHeight="1" ht="14.2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</row>
    <row x14ac:dyDescent="0.25" r="366" customHeight="1" ht="14.25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</row>
    <row x14ac:dyDescent="0.25" r="367" customHeight="1" ht="14.25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</row>
    <row x14ac:dyDescent="0.25" r="368" customHeight="1" ht="14.25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</row>
    <row x14ac:dyDescent="0.25" r="369" customHeight="1" ht="14.25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</row>
    <row x14ac:dyDescent="0.25" r="370" customHeight="1" ht="14.25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</row>
    <row x14ac:dyDescent="0.25" r="371" customHeight="1" ht="14.25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</row>
    <row x14ac:dyDescent="0.25" r="372" customHeight="1" ht="14.25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</row>
    <row x14ac:dyDescent="0.25" r="373" customHeight="1" ht="14.25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</row>
    <row x14ac:dyDescent="0.25" r="374" customHeight="1" ht="14.25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</row>
    <row x14ac:dyDescent="0.25" r="375" customHeight="1" ht="14.2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</row>
    <row x14ac:dyDescent="0.25" r="376" customHeight="1" ht="14.25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</row>
    <row x14ac:dyDescent="0.25" r="377" customHeight="1" ht="14.25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</row>
    <row x14ac:dyDescent="0.25" r="378" customHeight="1" ht="14.25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</row>
    <row x14ac:dyDescent="0.25" r="379" customHeight="1" ht="14.25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</row>
    <row x14ac:dyDescent="0.25" r="380" customHeight="1" ht="14.25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</row>
    <row x14ac:dyDescent="0.25" r="381" customHeight="1" ht="14.25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</row>
    <row x14ac:dyDescent="0.25" r="382" customHeight="1" ht="14.25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</row>
    <row x14ac:dyDescent="0.25" r="383" customHeight="1" ht="14.25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</row>
    <row x14ac:dyDescent="0.25" r="384" customHeight="1" ht="14.25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</row>
    <row x14ac:dyDescent="0.25" r="385" customHeight="1" ht="14.2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</row>
    <row x14ac:dyDescent="0.25" r="386" customHeight="1" ht="14.25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</row>
    <row x14ac:dyDescent="0.25" r="387" customHeight="1" ht="14.25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</row>
    <row x14ac:dyDescent="0.25" r="388" customHeight="1" ht="14.25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</row>
    <row x14ac:dyDescent="0.25" r="389" customHeight="1" ht="14.25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</row>
    <row x14ac:dyDescent="0.25" r="390" customHeight="1" ht="14.25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</row>
    <row x14ac:dyDescent="0.25" r="391" customHeight="1" ht="14.25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</row>
    <row x14ac:dyDescent="0.25" r="392" customHeight="1" ht="14.25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</row>
    <row x14ac:dyDescent="0.25" r="393" customHeight="1" ht="14.25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</row>
    <row x14ac:dyDescent="0.25" r="394" customHeight="1" ht="14.25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</row>
    <row x14ac:dyDescent="0.25" r="395" customHeight="1" ht="14.2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</row>
    <row x14ac:dyDescent="0.25" r="396" customHeight="1" ht="14.25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</row>
    <row x14ac:dyDescent="0.25" r="397" customHeight="1" ht="14.25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</row>
    <row x14ac:dyDescent="0.25" r="398" customHeight="1" ht="14.25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</row>
    <row x14ac:dyDescent="0.25" r="399" customHeight="1" ht="14.25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</row>
    <row x14ac:dyDescent="0.25" r="400" customHeight="1" ht="14.25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</row>
    <row x14ac:dyDescent="0.25" r="401" customHeight="1" ht="14.25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</row>
    <row x14ac:dyDescent="0.25" r="402" customHeight="1" ht="14.25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</row>
    <row x14ac:dyDescent="0.25" r="403" customHeight="1" ht="14.25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</row>
    <row x14ac:dyDescent="0.25" r="404" customHeight="1" ht="14.25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</row>
    <row x14ac:dyDescent="0.25" r="405" customHeight="1" ht="14.2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</row>
    <row x14ac:dyDescent="0.25" r="406" customHeight="1" ht="14.25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</row>
    <row x14ac:dyDescent="0.25" r="407" customHeight="1" ht="14.25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</row>
    <row x14ac:dyDescent="0.25" r="408" customHeight="1" ht="14.25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</row>
    <row x14ac:dyDescent="0.25" r="409" customHeight="1" ht="14.25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</row>
    <row x14ac:dyDescent="0.25" r="410" customHeight="1" ht="14.25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</row>
    <row x14ac:dyDescent="0.25" r="411" customHeight="1" ht="14.25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</row>
    <row x14ac:dyDescent="0.25" r="412" customHeight="1" ht="14.25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</row>
    <row x14ac:dyDescent="0.25" r="413" customHeight="1" ht="14.25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</row>
    <row x14ac:dyDescent="0.25" r="414" customHeight="1" ht="14.25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</row>
    <row x14ac:dyDescent="0.25" r="415" customHeight="1" ht="14.2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</row>
    <row x14ac:dyDescent="0.25" r="416" customHeight="1" ht="14.25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</row>
    <row x14ac:dyDescent="0.25" r="417" customHeight="1" ht="14.25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</row>
    <row x14ac:dyDescent="0.25" r="418" customHeight="1" ht="14.25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</row>
    <row x14ac:dyDescent="0.25" r="419" customHeight="1" ht="14.25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</row>
    <row x14ac:dyDescent="0.25" r="420" customHeight="1" ht="14.25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</row>
    <row x14ac:dyDescent="0.25" r="421" customHeight="1" ht="14.25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</row>
    <row x14ac:dyDescent="0.25" r="422" customHeight="1" ht="14.25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</row>
    <row x14ac:dyDescent="0.25" r="423" customHeight="1" ht="14.25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</row>
    <row x14ac:dyDescent="0.25" r="424" customHeight="1" ht="14.25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</row>
    <row x14ac:dyDescent="0.25" r="425" customHeight="1" ht="14.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</row>
    <row x14ac:dyDescent="0.25" r="426" customHeight="1" ht="14.25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</row>
    <row x14ac:dyDescent="0.25" r="427" customHeight="1" ht="14.25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</row>
    <row x14ac:dyDescent="0.25" r="428" customHeight="1" ht="14.25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</row>
    <row x14ac:dyDescent="0.25" r="429" customHeight="1" ht="14.25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</row>
    <row x14ac:dyDescent="0.25" r="430" customHeight="1" ht="14.25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</row>
    <row x14ac:dyDescent="0.25" r="431" customHeight="1" ht="14.25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</row>
    <row x14ac:dyDescent="0.25" r="432" customHeight="1" ht="14.25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</row>
    <row x14ac:dyDescent="0.25" r="433" customHeight="1" ht="14.25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</row>
    <row x14ac:dyDescent="0.25" r="434" customHeight="1" ht="14.25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</row>
    <row x14ac:dyDescent="0.25" r="435" customHeight="1" ht="14.2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</row>
    <row x14ac:dyDescent="0.25" r="436" customHeight="1" ht="14.25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</row>
    <row x14ac:dyDescent="0.25" r="437" customHeight="1" ht="14.25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</row>
    <row x14ac:dyDescent="0.25" r="438" customHeight="1" ht="14.25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</row>
    <row x14ac:dyDescent="0.25" r="439" customHeight="1" ht="14.25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</row>
    <row x14ac:dyDescent="0.25" r="440" customHeight="1" ht="14.25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</row>
    <row x14ac:dyDescent="0.25" r="441" customHeight="1" ht="14.25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</row>
    <row x14ac:dyDescent="0.25" r="442" customHeight="1" ht="14.25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</row>
    <row x14ac:dyDescent="0.25" r="443" customHeight="1" ht="14.25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</row>
    <row x14ac:dyDescent="0.25" r="444" customHeight="1" ht="14.25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</row>
    <row x14ac:dyDescent="0.25" r="445" customHeight="1" ht="14.2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</row>
    <row x14ac:dyDescent="0.25" r="446" customHeight="1" ht="14.25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</row>
    <row x14ac:dyDescent="0.25" r="447" customHeight="1" ht="14.25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</row>
    <row x14ac:dyDescent="0.25" r="448" customHeight="1" ht="14.25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</row>
    <row x14ac:dyDescent="0.25" r="449" customHeight="1" ht="14.25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</row>
    <row x14ac:dyDescent="0.25" r="450" customHeight="1" ht="14.25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</row>
    <row x14ac:dyDescent="0.25" r="451" customHeight="1" ht="14.25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</row>
    <row x14ac:dyDescent="0.25" r="452" customHeight="1" ht="14.25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</row>
    <row x14ac:dyDescent="0.25" r="453" customHeight="1" ht="14.25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</row>
    <row x14ac:dyDescent="0.25" r="454" customHeight="1" ht="14.25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</row>
    <row x14ac:dyDescent="0.25" r="455" customHeight="1" ht="14.2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</row>
    <row x14ac:dyDescent="0.25" r="456" customHeight="1" ht="14.25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</row>
    <row x14ac:dyDescent="0.25" r="457" customHeight="1" ht="14.25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</row>
    <row x14ac:dyDescent="0.25" r="458" customHeight="1" ht="14.25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</row>
    <row x14ac:dyDescent="0.25" r="459" customHeight="1" ht="14.25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</row>
    <row x14ac:dyDescent="0.25" r="460" customHeight="1" ht="14.25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</row>
    <row x14ac:dyDescent="0.25" r="461" customHeight="1" ht="14.25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</row>
    <row x14ac:dyDescent="0.25" r="462" customHeight="1" ht="14.25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</row>
    <row x14ac:dyDescent="0.25" r="463" customHeight="1" ht="14.25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</row>
    <row x14ac:dyDescent="0.25" r="464" customHeight="1" ht="14.25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</row>
    <row x14ac:dyDescent="0.25" r="465" customHeight="1" ht="14.2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</row>
    <row x14ac:dyDescent="0.25" r="466" customHeight="1" ht="14.25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</row>
    <row x14ac:dyDescent="0.25" r="467" customHeight="1" ht="14.25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</row>
    <row x14ac:dyDescent="0.25" r="468" customHeight="1" ht="14.25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</row>
    <row x14ac:dyDescent="0.25" r="469" customHeight="1" ht="14.25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</row>
    <row x14ac:dyDescent="0.25" r="470" customHeight="1" ht="14.25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</row>
    <row x14ac:dyDescent="0.25" r="471" customHeight="1" ht="14.25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</row>
    <row x14ac:dyDescent="0.25" r="472" customHeight="1" ht="14.25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</row>
    <row x14ac:dyDescent="0.25" r="473" customHeight="1" ht="14.25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</row>
    <row x14ac:dyDescent="0.25" r="474" customHeight="1" ht="14.25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</row>
    <row x14ac:dyDescent="0.25" r="475" customHeight="1" ht="14.2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</row>
    <row x14ac:dyDescent="0.25" r="476" customHeight="1" ht="14.25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</row>
    <row x14ac:dyDescent="0.25" r="477" customHeight="1" ht="14.25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</row>
    <row x14ac:dyDescent="0.25" r="478" customHeight="1" ht="14.25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</row>
    <row x14ac:dyDescent="0.25" r="479" customHeight="1" ht="14.25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</row>
    <row x14ac:dyDescent="0.25" r="480" customHeight="1" ht="14.25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</row>
    <row x14ac:dyDescent="0.25" r="481" customHeight="1" ht="14.25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</row>
    <row x14ac:dyDescent="0.25" r="482" customHeight="1" ht="14.25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</row>
    <row x14ac:dyDescent="0.25" r="483" customHeight="1" ht="14.25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</row>
    <row x14ac:dyDescent="0.25" r="484" customHeight="1" ht="14.25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</row>
    <row x14ac:dyDescent="0.25" r="485" customHeight="1" ht="14.2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</row>
    <row x14ac:dyDescent="0.25" r="486" customHeight="1" ht="14.25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</row>
    <row x14ac:dyDescent="0.25" r="487" customHeight="1" ht="14.25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</row>
    <row x14ac:dyDescent="0.25" r="488" customHeight="1" ht="14.25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</row>
    <row x14ac:dyDescent="0.25" r="489" customHeight="1" ht="14.25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</row>
    <row x14ac:dyDescent="0.25" r="490" customHeight="1" ht="14.25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</row>
    <row x14ac:dyDescent="0.25" r="491" customHeight="1" ht="14.25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</row>
    <row x14ac:dyDescent="0.25" r="492" customHeight="1" ht="14.25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</row>
    <row x14ac:dyDescent="0.25" r="493" customHeight="1" ht="14.25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</row>
    <row x14ac:dyDescent="0.25" r="494" customHeight="1" ht="14.25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</row>
    <row x14ac:dyDescent="0.25" r="495" customHeight="1" ht="14.2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</row>
    <row x14ac:dyDescent="0.25" r="496" customHeight="1" ht="14.25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</row>
    <row x14ac:dyDescent="0.25" r="497" customHeight="1" ht="14.25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</row>
    <row x14ac:dyDescent="0.25" r="498" customHeight="1" ht="14.25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</row>
    <row x14ac:dyDescent="0.25" r="499" customHeight="1" ht="14.25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</row>
    <row x14ac:dyDescent="0.25" r="500" customHeight="1" ht="14.25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</row>
    <row x14ac:dyDescent="0.25" r="501" customHeight="1" ht="14.25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</row>
    <row x14ac:dyDescent="0.25" r="502" customHeight="1" ht="14.25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</row>
    <row x14ac:dyDescent="0.25" r="503" customHeight="1" ht="14.25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</row>
    <row x14ac:dyDescent="0.25" r="504" customHeight="1" ht="14.25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</row>
    <row x14ac:dyDescent="0.25" r="505" customHeight="1" ht="14.2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</row>
    <row x14ac:dyDescent="0.25" r="506" customHeight="1" ht="14.25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</row>
    <row x14ac:dyDescent="0.25" r="507" customHeight="1" ht="14.25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</row>
    <row x14ac:dyDescent="0.25" r="508" customHeight="1" ht="14.25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</row>
    <row x14ac:dyDescent="0.25" r="509" customHeight="1" ht="14.25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</row>
    <row x14ac:dyDescent="0.25" r="510" customHeight="1" ht="14.25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</row>
    <row x14ac:dyDescent="0.25" r="511" customHeight="1" ht="14.25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</row>
    <row x14ac:dyDescent="0.25" r="512" customHeight="1" ht="14.25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</row>
    <row x14ac:dyDescent="0.25" r="513" customHeight="1" ht="14.25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</row>
    <row x14ac:dyDescent="0.25" r="514" customHeight="1" ht="14.25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</row>
    <row x14ac:dyDescent="0.25" r="515" customHeight="1" ht="14.2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</row>
    <row x14ac:dyDescent="0.25" r="516" customHeight="1" ht="14.25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</row>
    <row x14ac:dyDescent="0.25" r="517" customHeight="1" ht="14.25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</row>
    <row x14ac:dyDescent="0.25" r="518" customHeight="1" ht="14.25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</row>
    <row x14ac:dyDescent="0.25" r="519" customHeight="1" ht="14.25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</row>
    <row x14ac:dyDescent="0.25" r="520" customHeight="1" ht="14.25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</row>
    <row x14ac:dyDescent="0.25" r="521" customHeight="1" ht="14.25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</row>
    <row x14ac:dyDescent="0.25" r="522" customHeight="1" ht="14.25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</row>
    <row x14ac:dyDescent="0.25" r="523" customHeight="1" ht="14.25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</row>
    <row x14ac:dyDescent="0.25" r="524" customHeight="1" ht="14.25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</row>
    <row x14ac:dyDescent="0.25" r="525" customHeight="1" ht="14.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</row>
    <row x14ac:dyDescent="0.25" r="526" customHeight="1" ht="14.25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</row>
    <row x14ac:dyDescent="0.25" r="527" customHeight="1" ht="14.25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</row>
    <row x14ac:dyDescent="0.25" r="528" customHeight="1" ht="14.25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</row>
    <row x14ac:dyDescent="0.25" r="529" customHeight="1" ht="14.25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</row>
    <row x14ac:dyDescent="0.25" r="530" customHeight="1" ht="14.25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</row>
    <row x14ac:dyDescent="0.25" r="531" customHeight="1" ht="14.25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</row>
    <row x14ac:dyDescent="0.25" r="532" customHeight="1" ht="14.25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</row>
    <row x14ac:dyDescent="0.25" r="533" customHeight="1" ht="14.25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</row>
    <row x14ac:dyDescent="0.25" r="534" customHeight="1" ht="14.25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</row>
    <row x14ac:dyDescent="0.25" r="535" customHeight="1" ht="14.2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</row>
    <row x14ac:dyDescent="0.25" r="536" customHeight="1" ht="14.25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</row>
    <row x14ac:dyDescent="0.25" r="537" customHeight="1" ht="14.25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</row>
    <row x14ac:dyDescent="0.25" r="538" customHeight="1" ht="14.25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</row>
    <row x14ac:dyDescent="0.25" r="539" customHeight="1" ht="14.25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</row>
    <row x14ac:dyDescent="0.25" r="540" customHeight="1" ht="14.25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</row>
    <row x14ac:dyDescent="0.25" r="541" customHeight="1" ht="14.25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</row>
    <row x14ac:dyDescent="0.25" r="542" customHeight="1" ht="14.25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</row>
    <row x14ac:dyDescent="0.25" r="543" customHeight="1" ht="14.25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</row>
    <row x14ac:dyDescent="0.25" r="544" customHeight="1" ht="14.25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</row>
    <row x14ac:dyDescent="0.25" r="545" customHeight="1" ht="14.2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</row>
    <row x14ac:dyDescent="0.25" r="546" customHeight="1" ht="14.25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</row>
    <row x14ac:dyDescent="0.25" r="547" customHeight="1" ht="14.25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</row>
    <row x14ac:dyDescent="0.25" r="548" customHeight="1" ht="14.25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</row>
    <row x14ac:dyDescent="0.25" r="549" customHeight="1" ht="14.25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</row>
    <row x14ac:dyDescent="0.25" r="550" customHeight="1" ht="14.25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</row>
    <row x14ac:dyDescent="0.25" r="551" customHeight="1" ht="14.25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</row>
    <row x14ac:dyDescent="0.25" r="552" customHeight="1" ht="14.25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</row>
    <row x14ac:dyDescent="0.25" r="553" customHeight="1" ht="14.25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</row>
    <row x14ac:dyDescent="0.25" r="554" customHeight="1" ht="14.25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</row>
    <row x14ac:dyDescent="0.25" r="555" customHeight="1" ht="14.2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</row>
    <row x14ac:dyDescent="0.25" r="556" customHeight="1" ht="14.25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</row>
    <row x14ac:dyDescent="0.25" r="557" customHeight="1" ht="14.25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</row>
    <row x14ac:dyDescent="0.25" r="558" customHeight="1" ht="14.25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</row>
    <row x14ac:dyDescent="0.25" r="559" customHeight="1" ht="14.25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</row>
    <row x14ac:dyDescent="0.25" r="560" customHeight="1" ht="14.25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</row>
    <row x14ac:dyDescent="0.25" r="561" customHeight="1" ht="14.25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</row>
    <row x14ac:dyDescent="0.25" r="562" customHeight="1" ht="14.25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</row>
    <row x14ac:dyDescent="0.25" r="563" customHeight="1" ht="14.25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</row>
    <row x14ac:dyDescent="0.25" r="564" customHeight="1" ht="14.25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</row>
    <row x14ac:dyDescent="0.25" r="565" customHeight="1" ht="14.2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</row>
    <row x14ac:dyDescent="0.25" r="566" customHeight="1" ht="14.25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</row>
    <row x14ac:dyDescent="0.25" r="567" customHeight="1" ht="14.25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</row>
    <row x14ac:dyDescent="0.25" r="568" customHeight="1" ht="14.25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</row>
    <row x14ac:dyDescent="0.25" r="569" customHeight="1" ht="14.25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</row>
    <row x14ac:dyDescent="0.25" r="570" customHeight="1" ht="14.25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</row>
    <row x14ac:dyDescent="0.25" r="571" customHeight="1" ht="14.25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</row>
    <row x14ac:dyDescent="0.25" r="572" customHeight="1" ht="14.25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</row>
    <row x14ac:dyDescent="0.25" r="573" customHeight="1" ht="14.25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</row>
    <row x14ac:dyDescent="0.25" r="574" customHeight="1" ht="14.25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</row>
    <row x14ac:dyDescent="0.25" r="575" customHeight="1" ht="14.2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</row>
    <row x14ac:dyDescent="0.25" r="576" customHeight="1" ht="14.25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</row>
    <row x14ac:dyDescent="0.25" r="577" customHeight="1" ht="14.25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</row>
    <row x14ac:dyDescent="0.25" r="578" customHeight="1" ht="14.25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</row>
    <row x14ac:dyDescent="0.25" r="579" customHeight="1" ht="14.25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</row>
    <row x14ac:dyDescent="0.25" r="580" customHeight="1" ht="14.25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</row>
    <row x14ac:dyDescent="0.25" r="581" customHeight="1" ht="14.25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</row>
    <row x14ac:dyDescent="0.25" r="582" customHeight="1" ht="14.25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</row>
    <row x14ac:dyDescent="0.25" r="583" customHeight="1" ht="14.25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</row>
    <row x14ac:dyDescent="0.25" r="584" customHeight="1" ht="14.25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</row>
    <row x14ac:dyDescent="0.25" r="585" customHeight="1" ht="14.2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</row>
    <row x14ac:dyDescent="0.25" r="586" customHeight="1" ht="14.25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</row>
    <row x14ac:dyDescent="0.25" r="587" customHeight="1" ht="14.25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</row>
    <row x14ac:dyDescent="0.25" r="588" customHeight="1" ht="14.25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</row>
    <row x14ac:dyDescent="0.25" r="589" customHeight="1" ht="14.25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</row>
    <row x14ac:dyDescent="0.25" r="590" customHeight="1" ht="14.25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</row>
    <row x14ac:dyDescent="0.25" r="591" customHeight="1" ht="14.25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</row>
    <row x14ac:dyDescent="0.25" r="592" customHeight="1" ht="14.25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</row>
    <row x14ac:dyDescent="0.25" r="593" customHeight="1" ht="14.25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</row>
    <row x14ac:dyDescent="0.25" r="594" customHeight="1" ht="14.25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</row>
    <row x14ac:dyDescent="0.25" r="595" customHeight="1" ht="14.2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</row>
    <row x14ac:dyDescent="0.25" r="596" customHeight="1" ht="14.25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</row>
    <row x14ac:dyDescent="0.25" r="597" customHeight="1" ht="14.25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</row>
    <row x14ac:dyDescent="0.25" r="598" customHeight="1" ht="14.25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</row>
    <row x14ac:dyDescent="0.25" r="599" customHeight="1" ht="14.25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</row>
    <row x14ac:dyDescent="0.25" r="600" customHeight="1" ht="14.25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</row>
    <row x14ac:dyDescent="0.25" r="601" customHeight="1" ht="14.25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</row>
    <row x14ac:dyDescent="0.25" r="602" customHeight="1" ht="14.25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</row>
    <row x14ac:dyDescent="0.25" r="603" customHeight="1" ht="14.25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</row>
    <row x14ac:dyDescent="0.25" r="604" customHeight="1" ht="14.25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</row>
    <row x14ac:dyDescent="0.25" r="605" customHeight="1" ht="14.2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</row>
    <row x14ac:dyDescent="0.25" r="606" customHeight="1" ht="14.25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</row>
    <row x14ac:dyDescent="0.25" r="607" customHeight="1" ht="14.25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</row>
    <row x14ac:dyDescent="0.25" r="608" customHeight="1" ht="14.25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</row>
    <row x14ac:dyDescent="0.25" r="609" customHeight="1" ht="14.25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</row>
    <row x14ac:dyDescent="0.25" r="610" customHeight="1" ht="14.25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</row>
    <row x14ac:dyDescent="0.25" r="611" customHeight="1" ht="14.25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</row>
    <row x14ac:dyDescent="0.25" r="612" customHeight="1" ht="14.25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</row>
    <row x14ac:dyDescent="0.25" r="613" customHeight="1" ht="14.25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</row>
    <row x14ac:dyDescent="0.25" r="614" customHeight="1" ht="14.25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</row>
    <row x14ac:dyDescent="0.25" r="615" customHeight="1" ht="14.2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</row>
    <row x14ac:dyDescent="0.25" r="616" customHeight="1" ht="14.25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</row>
    <row x14ac:dyDescent="0.25" r="617" customHeight="1" ht="14.25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</row>
    <row x14ac:dyDescent="0.25" r="618" customHeight="1" ht="14.25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</row>
    <row x14ac:dyDescent="0.25" r="619" customHeight="1" ht="14.25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</row>
    <row x14ac:dyDescent="0.25" r="620" customHeight="1" ht="14.25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</row>
    <row x14ac:dyDescent="0.25" r="621" customHeight="1" ht="14.25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</row>
    <row x14ac:dyDescent="0.25" r="622" customHeight="1" ht="14.25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</row>
    <row x14ac:dyDescent="0.25" r="623" customHeight="1" ht="14.25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</row>
    <row x14ac:dyDescent="0.25" r="624" customHeight="1" ht="14.25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</row>
    <row x14ac:dyDescent="0.25" r="625" customHeight="1" ht="14.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</row>
    <row x14ac:dyDescent="0.25" r="626" customHeight="1" ht="14.25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</row>
    <row x14ac:dyDescent="0.25" r="627" customHeight="1" ht="14.25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</row>
    <row x14ac:dyDescent="0.25" r="628" customHeight="1" ht="14.25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</row>
    <row x14ac:dyDescent="0.25" r="629" customHeight="1" ht="14.25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</row>
    <row x14ac:dyDescent="0.25" r="630" customHeight="1" ht="14.25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</row>
    <row x14ac:dyDescent="0.25" r="631" customHeight="1" ht="14.25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</row>
    <row x14ac:dyDescent="0.25" r="632" customHeight="1" ht="14.25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</row>
    <row x14ac:dyDescent="0.25" r="633" customHeight="1" ht="14.25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</row>
    <row x14ac:dyDescent="0.25" r="634" customHeight="1" ht="14.25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</row>
    <row x14ac:dyDescent="0.25" r="635" customHeight="1" ht="14.2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</row>
    <row x14ac:dyDescent="0.25" r="636" customHeight="1" ht="14.25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</row>
    <row x14ac:dyDescent="0.25" r="637" customHeight="1" ht="14.25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</row>
    <row x14ac:dyDescent="0.25" r="638" customHeight="1" ht="14.25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</row>
    <row x14ac:dyDescent="0.25" r="639" customHeight="1" ht="14.25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</row>
    <row x14ac:dyDescent="0.25" r="640" customHeight="1" ht="14.25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</row>
    <row x14ac:dyDescent="0.25" r="641" customHeight="1" ht="14.25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</row>
    <row x14ac:dyDescent="0.25" r="642" customHeight="1" ht="14.25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</row>
    <row x14ac:dyDescent="0.25" r="643" customHeight="1" ht="14.25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</row>
    <row x14ac:dyDescent="0.25" r="644" customHeight="1" ht="14.25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</row>
    <row x14ac:dyDescent="0.25" r="645" customHeight="1" ht="14.2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</row>
    <row x14ac:dyDescent="0.25" r="646" customHeight="1" ht="14.25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</row>
    <row x14ac:dyDescent="0.25" r="647" customHeight="1" ht="14.25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</row>
    <row x14ac:dyDescent="0.25" r="648" customHeight="1" ht="14.25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</row>
    <row x14ac:dyDescent="0.25" r="649" customHeight="1" ht="14.25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</row>
    <row x14ac:dyDescent="0.25" r="650" customHeight="1" ht="14.25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</row>
    <row x14ac:dyDescent="0.25" r="651" customHeight="1" ht="14.25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</row>
    <row x14ac:dyDescent="0.25" r="652" customHeight="1" ht="14.25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</row>
    <row x14ac:dyDescent="0.25" r="653" customHeight="1" ht="14.25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</row>
    <row x14ac:dyDescent="0.25" r="654" customHeight="1" ht="14.25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</row>
    <row x14ac:dyDescent="0.25" r="655" customHeight="1" ht="14.2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</row>
    <row x14ac:dyDescent="0.25" r="656" customHeight="1" ht="14.25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</row>
    <row x14ac:dyDescent="0.25" r="657" customHeight="1" ht="14.25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</row>
    <row x14ac:dyDescent="0.25" r="658" customHeight="1" ht="14.25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</row>
    <row x14ac:dyDescent="0.25" r="659" customHeight="1" ht="14.25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</row>
    <row x14ac:dyDescent="0.25" r="660" customHeight="1" ht="14.25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</row>
    <row x14ac:dyDescent="0.25" r="661" customHeight="1" ht="14.25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</row>
    <row x14ac:dyDescent="0.25" r="662" customHeight="1" ht="14.25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</row>
    <row x14ac:dyDescent="0.25" r="663" customHeight="1" ht="14.25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</row>
    <row x14ac:dyDescent="0.25" r="664" customHeight="1" ht="14.25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</row>
    <row x14ac:dyDescent="0.25" r="665" customHeight="1" ht="14.2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</row>
    <row x14ac:dyDescent="0.25" r="666" customHeight="1" ht="14.25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</row>
    <row x14ac:dyDescent="0.25" r="667" customHeight="1" ht="14.25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</row>
    <row x14ac:dyDescent="0.25" r="668" customHeight="1" ht="14.25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</row>
    <row x14ac:dyDescent="0.25" r="669" customHeight="1" ht="14.25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</row>
    <row x14ac:dyDescent="0.25" r="670" customHeight="1" ht="14.25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</row>
    <row x14ac:dyDescent="0.25" r="671" customHeight="1" ht="14.25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</row>
    <row x14ac:dyDescent="0.25" r="672" customHeight="1" ht="14.25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</row>
    <row x14ac:dyDescent="0.25" r="673" customHeight="1" ht="14.25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</row>
    <row x14ac:dyDescent="0.25" r="674" customHeight="1" ht="14.25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</row>
    <row x14ac:dyDescent="0.25" r="675" customHeight="1" ht="14.2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</row>
    <row x14ac:dyDescent="0.25" r="676" customHeight="1" ht="14.25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</row>
    <row x14ac:dyDescent="0.25" r="677" customHeight="1" ht="14.25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</row>
    <row x14ac:dyDescent="0.25" r="678" customHeight="1" ht="14.25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</row>
    <row x14ac:dyDescent="0.25" r="679" customHeight="1" ht="14.25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</row>
    <row x14ac:dyDescent="0.25" r="680" customHeight="1" ht="14.25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</row>
    <row x14ac:dyDescent="0.25" r="681" customHeight="1" ht="14.25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</row>
    <row x14ac:dyDescent="0.25" r="682" customHeight="1" ht="14.25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</row>
    <row x14ac:dyDescent="0.25" r="683" customHeight="1" ht="14.25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</row>
    <row x14ac:dyDescent="0.25" r="684" customHeight="1" ht="14.25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</row>
    <row x14ac:dyDescent="0.25" r="685" customHeight="1" ht="14.2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</row>
    <row x14ac:dyDescent="0.25" r="686" customHeight="1" ht="14.25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</row>
    <row x14ac:dyDescent="0.25" r="687" customHeight="1" ht="14.25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</row>
    <row x14ac:dyDescent="0.25" r="688" customHeight="1" ht="14.25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</row>
    <row x14ac:dyDescent="0.25" r="689" customHeight="1" ht="14.25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</row>
    <row x14ac:dyDescent="0.25" r="690" customHeight="1" ht="14.25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</row>
    <row x14ac:dyDescent="0.25" r="691" customHeight="1" ht="14.25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</row>
    <row x14ac:dyDescent="0.25" r="692" customHeight="1" ht="14.25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</row>
    <row x14ac:dyDescent="0.25" r="693" customHeight="1" ht="14.25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</row>
    <row x14ac:dyDescent="0.25" r="694" customHeight="1" ht="14.25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</row>
    <row x14ac:dyDescent="0.25" r="695" customHeight="1" ht="14.2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</row>
    <row x14ac:dyDescent="0.25" r="696" customHeight="1" ht="14.25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</row>
    <row x14ac:dyDescent="0.25" r="697" customHeight="1" ht="14.25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</row>
    <row x14ac:dyDescent="0.25" r="698" customHeight="1" ht="14.25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</row>
    <row x14ac:dyDescent="0.25" r="699" customHeight="1" ht="14.25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</row>
    <row x14ac:dyDescent="0.25" r="700" customHeight="1" ht="14.25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</row>
    <row x14ac:dyDescent="0.25" r="701" customHeight="1" ht="14.25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</row>
    <row x14ac:dyDescent="0.25" r="702" customHeight="1" ht="14.25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</row>
    <row x14ac:dyDescent="0.25" r="703" customHeight="1" ht="14.25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</row>
    <row x14ac:dyDescent="0.25" r="704" customHeight="1" ht="14.25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</row>
    <row x14ac:dyDescent="0.25" r="705" customHeight="1" ht="14.2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</row>
    <row x14ac:dyDescent="0.25" r="706" customHeight="1" ht="14.25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</row>
    <row x14ac:dyDescent="0.25" r="707" customHeight="1" ht="14.25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</row>
    <row x14ac:dyDescent="0.25" r="708" customHeight="1" ht="14.25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</row>
    <row x14ac:dyDescent="0.25" r="709" customHeight="1" ht="14.25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</row>
    <row x14ac:dyDescent="0.25" r="710" customHeight="1" ht="14.25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</row>
    <row x14ac:dyDescent="0.25" r="711" customHeight="1" ht="14.25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</row>
    <row x14ac:dyDescent="0.25" r="712" customHeight="1" ht="14.25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</row>
    <row x14ac:dyDescent="0.25" r="713" customHeight="1" ht="14.25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</row>
    <row x14ac:dyDescent="0.25" r="714" customHeight="1" ht="14.25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</row>
    <row x14ac:dyDescent="0.25" r="715" customHeight="1" ht="14.2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</row>
    <row x14ac:dyDescent="0.25" r="716" customHeight="1" ht="14.25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</row>
    <row x14ac:dyDescent="0.25" r="717" customHeight="1" ht="14.25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</row>
    <row x14ac:dyDescent="0.25" r="718" customHeight="1" ht="14.25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</row>
    <row x14ac:dyDescent="0.25" r="719" customHeight="1" ht="14.25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</row>
    <row x14ac:dyDescent="0.25" r="720" customHeight="1" ht="14.25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</row>
    <row x14ac:dyDescent="0.25" r="721" customHeight="1" ht="14.25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</row>
    <row x14ac:dyDescent="0.25" r="722" customHeight="1" ht="14.25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</row>
    <row x14ac:dyDescent="0.25" r="723" customHeight="1" ht="14.25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</row>
    <row x14ac:dyDescent="0.25" r="724" customHeight="1" ht="14.25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</row>
    <row x14ac:dyDescent="0.25" r="725" customHeight="1" ht="14.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</row>
    <row x14ac:dyDescent="0.25" r="726" customHeight="1" ht="14.25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</row>
    <row x14ac:dyDescent="0.25" r="727" customHeight="1" ht="14.25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</row>
    <row x14ac:dyDescent="0.25" r="728" customHeight="1" ht="14.25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</row>
    <row x14ac:dyDescent="0.25" r="729" customHeight="1" ht="14.25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</row>
    <row x14ac:dyDescent="0.25" r="730" customHeight="1" ht="14.25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</row>
    <row x14ac:dyDescent="0.25" r="731" customHeight="1" ht="14.25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</row>
    <row x14ac:dyDescent="0.25" r="732" customHeight="1" ht="14.25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</row>
    <row x14ac:dyDescent="0.25" r="733" customHeight="1" ht="14.25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</row>
    <row x14ac:dyDescent="0.25" r="734" customHeight="1" ht="14.25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</row>
    <row x14ac:dyDescent="0.25" r="735" customHeight="1" ht="14.2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</row>
    <row x14ac:dyDescent="0.25" r="736" customHeight="1" ht="14.25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</row>
    <row x14ac:dyDescent="0.25" r="737" customHeight="1" ht="14.25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</row>
    <row x14ac:dyDescent="0.25" r="738" customHeight="1" ht="14.25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</row>
    <row x14ac:dyDescent="0.25" r="739" customHeight="1" ht="14.25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</row>
    <row x14ac:dyDescent="0.25" r="740" customHeight="1" ht="14.25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</row>
    <row x14ac:dyDescent="0.25" r="741" customHeight="1" ht="14.25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</row>
    <row x14ac:dyDescent="0.25" r="742" customHeight="1" ht="14.25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</row>
    <row x14ac:dyDescent="0.25" r="743" customHeight="1" ht="14.25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</row>
    <row x14ac:dyDescent="0.25" r="744" customHeight="1" ht="14.25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</row>
    <row x14ac:dyDescent="0.25" r="745" customHeight="1" ht="14.2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</row>
    <row x14ac:dyDescent="0.25" r="746" customHeight="1" ht="14.25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</row>
    <row x14ac:dyDescent="0.25" r="747" customHeight="1" ht="14.25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</row>
    <row x14ac:dyDescent="0.25" r="748" customHeight="1" ht="14.25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</row>
    <row x14ac:dyDescent="0.25" r="749" customHeight="1" ht="14.25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</row>
    <row x14ac:dyDescent="0.25" r="750" customHeight="1" ht="14.25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</row>
    <row x14ac:dyDescent="0.25" r="751" customHeight="1" ht="14.25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</row>
    <row x14ac:dyDescent="0.25" r="752" customHeight="1" ht="14.25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</row>
    <row x14ac:dyDescent="0.25" r="753" customHeight="1" ht="14.25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</row>
    <row x14ac:dyDescent="0.25" r="754" customHeight="1" ht="14.25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</row>
    <row x14ac:dyDescent="0.25" r="755" customHeight="1" ht="14.2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</row>
    <row x14ac:dyDescent="0.25" r="756" customHeight="1" ht="14.25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</row>
    <row x14ac:dyDescent="0.25" r="757" customHeight="1" ht="14.25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</row>
    <row x14ac:dyDescent="0.25" r="758" customHeight="1" ht="14.25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</row>
    <row x14ac:dyDescent="0.25" r="759" customHeight="1" ht="14.25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</row>
    <row x14ac:dyDescent="0.25" r="760" customHeight="1" ht="14.25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</row>
    <row x14ac:dyDescent="0.25" r="761" customHeight="1" ht="14.25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</row>
    <row x14ac:dyDescent="0.25" r="762" customHeight="1" ht="14.25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</row>
    <row x14ac:dyDescent="0.25" r="763" customHeight="1" ht="14.25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</row>
    <row x14ac:dyDescent="0.25" r="764" customHeight="1" ht="14.25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</row>
    <row x14ac:dyDescent="0.25" r="765" customHeight="1" ht="14.2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</row>
    <row x14ac:dyDescent="0.25" r="766" customHeight="1" ht="14.25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</row>
    <row x14ac:dyDescent="0.25" r="767" customHeight="1" ht="14.25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</row>
    <row x14ac:dyDescent="0.25" r="768" customHeight="1" ht="14.25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</row>
    <row x14ac:dyDescent="0.25" r="769" customHeight="1" ht="14.25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</row>
    <row x14ac:dyDescent="0.25" r="770" customHeight="1" ht="14.25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</row>
    <row x14ac:dyDescent="0.25" r="771" customHeight="1" ht="14.25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</row>
    <row x14ac:dyDescent="0.25" r="772" customHeight="1" ht="14.25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</row>
    <row x14ac:dyDescent="0.25" r="773" customHeight="1" ht="14.25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</row>
    <row x14ac:dyDescent="0.25" r="774" customHeight="1" ht="14.25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</row>
    <row x14ac:dyDescent="0.25" r="775" customHeight="1" ht="14.2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</row>
    <row x14ac:dyDescent="0.25" r="776" customHeight="1" ht="14.25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</row>
    <row x14ac:dyDescent="0.25" r="777" customHeight="1" ht="14.25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</row>
    <row x14ac:dyDescent="0.25" r="778" customHeight="1" ht="14.25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</row>
    <row x14ac:dyDescent="0.25" r="779" customHeight="1" ht="14.25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</row>
    <row x14ac:dyDescent="0.25" r="780" customHeight="1" ht="14.25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</row>
    <row x14ac:dyDescent="0.25" r="781" customHeight="1" ht="14.25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</row>
    <row x14ac:dyDescent="0.25" r="782" customHeight="1" ht="14.25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</row>
    <row x14ac:dyDescent="0.25" r="783" customHeight="1" ht="14.25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</row>
    <row x14ac:dyDescent="0.25" r="784" customHeight="1" ht="14.25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</row>
    <row x14ac:dyDescent="0.25" r="785" customHeight="1" ht="14.2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</row>
    <row x14ac:dyDescent="0.25" r="786" customHeight="1" ht="14.25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</row>
    <row x14ac:dyDescent="0.25" r="787" customHeight="1" ht="14.25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</row>
    <row x14ac:dyDescent="0.25" r="788" customHeight="1" ht="14.25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</row>
    <row x14ac:dyDescent="0.25" r="789" customHeight="1" ht="14.25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</row>
    <row x14ac:dyDescent="0.25" r="790" customHeight="1" ht="14.25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</row>
    <row x14ac:dyDescent="0.25" r="791" customHeight="1" ht="14.25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</row>
    <row x14ac:dyDescent="0.25" r="792" customHeight="1" ht="14.25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</row>
    <row x14ac:dyDescent="0.25" r="793" customHeight="1" ht="14.25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</row>
    <row x14ac:dyDescent="0.25" r="794" customHeight="1" ht="14.25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</row>
    <row x14ac:dyDescent="0.25" r="795" customHeight="1" ht="14.2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</row>
    <row x14ac:dyDescent="0.25" r="796" customHeight="1" ht="14.25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</row>
    <row x14ac:dyDescent="0.25" r="797" customHeight="1" ht="14.25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</row>
    <row x14ac:dyDescent="0.25" r="798" customHeight="1" ht="14.25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</row>
    <row x14ac:dyDescent="0.25" r="799" customHeight="1" ht="14.25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</row>
    <row x14ac:dyDescent="0.25" r="800" customHeight="1" ht="14.25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</row>
    <row x14ac:dyDescent="0.25" r="801" customHeight="1" ht="14.25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</row>
    <row x14ac:dyDescent="0.25" r="802" customHeight="1" ht="14.25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</row>
    <row x14ac:dyDescent="0.25" r="803" customHeight="1" ht="14.25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</row>
    <row x14ac:dyDescent="0.25" r="804" customHeight="1" ht="14.25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</row>
    <row x14ac:dyDescent="0.25" r="805" customHeight="1" ht="14.2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</row>
    <row x14ac:dyDescent="0.25" r="806" customHeight="1" ht="14.25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</row>
    <row x14ac:dyDescent="0.25" r="807" customHeight="1" ht="14.25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</row>
    <row x14ac:dyDescent="0.25" r="808" customHeight="1" ht="14.25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</row>
    <row x14ac:dyDescent="0.25" r="809" customHeight="1" ht="14.25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</row>
    <row x14ac:dyDescent="0.25" r="810" customHeight="1" ht="14.25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</row>
    <row x14ac:dyDescent="0.25" r="811" customHeight="1" ht="14.25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</row>
    <row x14ac:dyDescent="0.25" r="812" customHeight="1" ht="14.25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</row>
    <row x14ac:dyDescent="0.25" r="813" customHeight="1" ht="14.25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</row>
    <row x14ac:dyDescent="0.25" r="814" customHeight="1" ht="14.25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</row>
    <row x14ac:dyDescent="0.25" r="815" customHeight="1" ht="14.2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</row>
    <row x14ac:dyDescent="0.25" r="816" customHeight="1" ht="14.25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</row>
    <row x14ac:dyDescent="0.25" r="817" customHeight="1" ht="14.25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</row>
    <row x14ac:dyDescent="0.25" r="818" customHeight="1" ht="14.25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</row>
    <row x14ac:dyDescent="0.25" r="819" customHeight="1" ht="14.25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</row>
    <row x14ac:dyDescent="0.25" r="820" customHeight="1" ht="14.25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</row>
    <row x14ac:dyDescent="0.25" r="821" customHeight="1" ht="14.25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</row>
    <row x14ac:dyDescent="0.25" r="822" customHeight="1" ht="14.25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</row>
    <row x14ac:dyDescent="0.25" r="823" customHeight="1" ht="14.25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</row>
    <row x14ac:dyDescent="0.25" r="824" customHeight="1" ht="14.25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</row>
    <row x14ac:dyDescent="0.25" r="825" customHeight="1" ht="14.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</row>
    <row x14ac:dyDescent="0.25" r="826" customHeight="1" ht="14.25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</row>
    <row x14ac:dyDescent="0.25" r="827" customHeight="1" ht="14.25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</row>
    <row x14ac:dyDescent="0.25" r="828" customHeight="1" ht="14.25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</row>
    <row x14ac:dyDescent="0.25" r="829" customHeight="1" ht="14.25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</row>
    <row x14ac:dyDescent="0.25" r="830" customHeight="1" ht="14.25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</row>
    <row x14ac:dyDescent="0.25" r="831" customHeight="1" ht="14.25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</row>
    <row x14ac:dyDescent="0.25" r="832" customHeight="1" ht="14.25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</row>
    <row x14ac:dyDescent="0.25" r="833" customHeight="1" ht="14.25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</row>
    <row x14ac:dyDescent="0.25" r="834" customHeight="1" ht="14.25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</row>
    <row x14ac:dyDescent="0.25" r="835" customHeight="1" ht="14.2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</row>
    <row x14ac:dyDescent="0.25" r="836" customHeight="1" ht="14.25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</row>
    <row x14ac:dyDescent="0.25" r="837" customHeight="1" ht="14.25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</row>
    <row x14ac:dyDescent="0.25" r="838" customHeight="1" ht="14.25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</row>
    <row x14ac:dyDescent="0.25" r="839" customHeight="1" ht="14.25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</row>
    <row x14ac:dyDescent="0.25" r="840" customHeight="1" ht="14.25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</row>
    <row x14ac:dyDescent="0.25" r="841" customHeight="1" ht="14.25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</row>
    <row x14ac:dyDescent="0.25" r="842" customHeight="1" ht="14.25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</row>
    <row x14ac:dyDescent="0.25" r="843" customHeight="1" ht="14.25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</row>
    <row x14ac:dyDescent="0.25" r="844" customHeight="1" ht="14.25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</row>
    <row x14ac:dyDescent="0.25" r="845" customHeight="1" ht="14.2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</row>
    <row x14ac:dyDescent="0.25" r="846" customHeight="1" ht="14.25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</row>
    <row x14ac:dyDescent="0.25" r="847" customHeight="1" ht="14.25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</row>
    <row x14ac:dyDescent="0.25" r="848" customHeight="1" ht="14.25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</row>
    <row x14ac:dyDescent="0.25" r="849" customHeight="1" ht="14.25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</row>
    <row x14ac:dyDescent="0.25" r="850" customHeight="1" ht="14.25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</row>
    <row x14ac:dyDescent="0.25" r="851" customHeight="1" ht="14.25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</row>
    <row x14ac:dyDescent="0.25" r="852" customHeight="1" ht="14.25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</row>
    <row x14ac:dyDescent="0.25" r="853" customHeight="1" ht="14.25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</row>
    <row x14ac:dyDescent="0.25" r="854" customHeight="1" ht="14.25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</row>
    <row x14ac:dyDescent="0.25" r="855" customHeight="1" ht="14.2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</row>
    <row x14ac:dyDescent="0.25" r="856" customHeight="1" ht="14.25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</row>
    <row x14ac:dyDescent="0.25" r="857" customHeight="1" ht="14.25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</row>
    <row x14ac:dyDescent="0.25" r="858" customHeight="1" ht="14.25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</row>
    <row x14ac:dyDescent="0.25" r="859" customHeight="1" ht="14.25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</row>
    <row x14ac:dyDescent="0.25" r="860" customHeight="1" ht="14.25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</row>
    <row x14ac:dyDescent="0.25" r="861" customHeight="1" ht="14.25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</row>
    <row x14ac:dyDescent="0.25" r="862" customHeight="1" ht="14.25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</row>
    <row x14ac:dyDescent="0.25" r="863" customHeight="1" ht="14.25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</row>
    <row x14ac:dyDescent="0.25" r="864" customHeight="1" ht="14.25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</row>
    <row x14ac:dyDescent="0.25" r="865" customHeight="1" ht="14.2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</row>
    <row x14ac:dyDescent="0.25" r="866" customHeight="1" ht="14.25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</row>
    <row x14ac:dyDescent="0.25" r="867" customHeight="1" ht="14.25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</row>
    <row x14ac:dyDescent="0.25" r="868" customHeight="1" ht="14.25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</row>
    <row x14ac:dyDescent="0.25" r="869" customHeight="1" ht="14.25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</row>
    <row x14ac:dyDescent="0.25" r="870" customHeight="1" ht="14.25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</row>
    <row x14ac:dyDescent="0.25" r="871" customHeight="1" ht="14.25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</row>
    <row x14ac:dyDescent="0.25" r="872" customHeight="1" ht="14.25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</row>
    <row x14ac:dyDescent="0.25" r="873" customHeight="1" ht="14.25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</row>
    <row x14ac:dyDescent="0.25" r="874" customHeight="1" ht="14.25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</row>
    <row x14ac:dyDescent="0.25" r="875" customHeight="1" ht="14.2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</row>
    <row x14ac:dyDescent="0.25" r="876" customHeight="1" ht="14.25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</row>
    <row x14ac:dyDescent="0.25" r="877" customHeight="1" ht="14.25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</row>
    <row x14ac:dyDescent="0.25" r="878" customHeight="1" ht="14.25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</row>
    <row x14ac:dyDescent="0.25" r="879" customHeight="1" ht="14.25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</row>
    <row x14ac:dyDescent="0.25" r="880" customHeight="1" ht="14.25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</row>
    <row x14ac:dyDescent="0.25" r="881" customHeight="1" ht="14.25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</row>
    <row x14ac:dyDescent="0.25" r="882" customHeight="1" ht="14.25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</row>
    <row x14ac:dyDescent="0.25" r="883" customHeight="1" ht="14.25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</row>
    <row x14ac:dyDescent="0.25" r="884" customHeight="1" ht="14.25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</row>
    <row x14ac:dyDescent="0.25" r="885" customHeight="1" ht="14.2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</row>
    <row x14ac:dyDescent="0.25" r="886" customHeight="1" ht="14.25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</row>
    <row x14ac:dyDescent="0.25" r="887" customHeight="1" ht="14.25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</row>
    <row x14ac:dyDescent="0.25" r="888" customHeight="1" ht="14.25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</row>
    <row x14ac:dyDescent="0.25" r="889" customHeight="1" ht="14.25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</row>
    <row x14ac:dyDescent="0.25" r="890" customHeight="1" ht="14.25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</row>
    <row x14ac:dyDescent="0.25" r="891" customHeight="1" ht="14.25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</row>
    <row x14ac:dyDescent="0.25" r="892" customHeight="1" ht="14.25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</row>
    <row x14ac:dyDescent="0.25" r="893" customHeight="1" ht="14.25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</row>
    <row x14ac:dyDescent="0.25" r="894" customHeight="1" ht="14.25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</row>
    <row x14ac:dyDescent="0.25" r="895" customHeight="1" ht="14.2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</row>
    <row x14ac:dyDescent="0.25" r="896" customHeight="1" ht="14.25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</row>
    <row x14ac:dyDescent="0.25" r="897" customHeight="1" ht="14.25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</row>
    <row x14ac:dyDescent="0.25" r="898" customHeight="1" ht="14.25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</row>
    <row x14ac:dyDescent="0.25" r="899" customHeight="1" ht="14.25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</row>
    <row x14ac:dyDescent="0.25" r="900" customHeight="1" ht="14.25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</row>
    <row x14ac:dyDescent="0.25" r="901" customHeight="1" ht="14.25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</row>
    <row x14ac:dyDescent="0.25" r="902" customHeight="1" ht="14.25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</row>
    <row x14ac:dyDescent="0.25" r="903" customHeight="1" ht="14.25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</row>
    <row x14ac:dyDescent="0.25" r="904" customHeight="1" ht="14.25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</row>
    <row x14ac:dyDescent="0.25" r="905" customHeight="1" ht="14.2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</row>
    <row x14ac:dyDescent="0.25" r="906" customHeight="1" ht="14.25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</row>
    <row x14ac:dyDescent="0.25" r="907" customHeight="1" ht="14.25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</row>
    <row x14ac:dyDescent="0.25" r="908" customHeight="1" ht="14.25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</row>
    <row x14ac:dyDescent="0.25" r="909" customHeight="1" ht="14.25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</row>
    <row x14ac:dyDescent="0.25" r="910" customHeight="1" ht="14.25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</row>
    <row x14ac:dyDescent="0.25" r="911" customHeight="1" ht="14.25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</row>
    <row x14ac:dyDescent="0.25" r="912" customHeight="1" ht="14.25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</row>
    <row x14ac:dyDescent="0.25" r="913" customHeight="1" ht="14.25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</row>
    <row x14ac:dyDescent="0.25" r="914" customHeight="1" ht="14.25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</row>
    <row x14ac:dyDescent="0.25" r="915" customHeight="1" ht="14.2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</row>
    <row x14ac:dyDescent="0.25" r="916" customHeight="1" ht="14.25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</row>
    <row x14ac:dyDescent="0.25" r="917" customHeight="1" ht="14.25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</row>
    <row x14ac:dyDescent="0.25" r="918" customHeight="1" ht="14.25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</row>
    <row x14ac:dyDescent="0.25" r="919" customHeight="1" ht="14.25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</row>
    <row x14ac:dyDescent="0.25" r="920" customHeight="1" ht="14.25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</row>
    <row x14ac:dyDescent="0.25" r="921" customHeight="1" ht="14.25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</row>
    <row x14ac:dyDescent="0.25" r="922" customHeight="1" ht="14.25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</row>
    <row x14ac:dyDescent="0.25" r="923" customHeight="1" ht="14.25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</row>
    <row x14ac:dyDescent="0.25" r="924" customHeight="1" ht="14.25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</row>
    <row x14ac:dyDescent="0.25" r="925" customHeight="1" ht="14.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</row>
    <row x14ac:dyDescent="0.25" r="926" customHeight="1" ht="14.25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</row>
    <row x14ac:dyDescent="0.25" r="927" customHeight="1" ht="14.25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</row>
    <row x14ac:dyDescent="0.25" r="928" customHeight="1" ht="14.25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</row>
    <row x14ac:dyDescent="0.25" r="929" customHeight="1" ht="14.25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</row>
    <row x14ac:dyDescent="0.25" r="930" customHeight="1" ht="14.25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</row>
    <row x14ac:dyDescent="0.25" r="931" customHeight="1" ht="14.25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</row>
    <row x14ac:dyDescent="0.25" r="932" customHeight="1" ht="14.25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</row>
    <row x14ac:dyDescent="0.25" r="933" customHeight="1" ht="14.25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</row>
    <row x14ac:dyDescent="0.25" r="934" customHeight="1" ht="14.25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</row>
    <row x14ac:dyDescent="0.25" r="935" customHeight="1" ht="14.2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</row>
    <row x14ac:dyDescent="0.25" r="936" customHeight="1" ht="14.25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</row>
    <row x14ac:dyDescent="0.25" r="937" customHeight="1" ht="14.25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</row>
    <row x14ac:dyDescent="0.25" r="938" customHeight="1" ht="14.25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</row>
    <row x14ac:dyDescent="0.25" r="939" customHeight="1" ht="14.25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</row>
    <row x14ac:dyDescent="0.25" r="940" customHeight="1" ht="14.25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</row>
    <row x14ac:dyDescent="0.25" r="941" customHeight="1" ht="14.25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</row>
    <row x14ac:dyDescent="0.25" r="942" customHeight="1" ht="14.25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</row>
    <row x14ac:dyDescent="0.25" r="943" customHeight="1" ht="14.25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</row>
    <row x14ac:dyDescent="0.25" r="944" customHeight="1" ht="14.25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</row>
    <row x14ac:dyDescent="0.25" r="945" customHeight="1" ht="14.2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</row>
    <row x14ac:dyDescent="0.25" r="946" customHeight="1" ht="14.25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</row>
    <row x14ac:dyDescent="0.25" r="947" customHeight="1" ht="14.25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</row>
    <row x14ac:dyDescent="0.25" r="948" customHeight="1" ht="14.25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</row>
    <row x14ac:dyDescent="0.25" r="949" customHeight="1" ht="14.25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</row>
    <row x14ac:dyDescent="0.25" r="950" customHeight="1" ht="14.25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</row>
    <row x14ac:dyDescent="0.25" r="951" customHeight="1" ht="14.25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</row>
    <row x14ac:dyDescent="0.25" r="952" customHeight="1" ht="14.25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</row>
    <row x14ac:dyDescent="0.25" r="953" customHeight="1" ht="14.25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</row>
    <row x14ac:dyDescent="0.25" r="954" customHeight="1" ht="14.25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</row>
    <row x14ac:dyDescent="0.25" r="955" customHeight="1" ht="14.2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</row>
    <row x14ac:dyDescent="0.25" r="956" customHeight="1" ht="14.25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</row>
    <row x14ac:dyDescent="0.25" r="957" customHeight="1" ht="14.25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</row>
    <row x14ac:dyDescent="0.25" r="958" customHeight="1" ht="14.25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</row>
    <row x14ac:dyDescent="0.25" r="959" customHeight="1" ht="14.25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</row>
    <row x14ac:dyDescent="0.25" r="960" customHeight="1" ht="14.25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</row>
    <row x14ac:dyDescent="0.25" r="961" customHeight="1" ht="14.25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</row>
    <row x14ac:dyDescent="0.25" r="962" customHeight="1" ht="14.25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</row>
    <row x14ac:dyDescent="0.25" r="963" customHeight="1" ht="14.25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</row>
    <row x14ac:dyDescent="0.25" r="964" customHeight="1" ht="14.25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</row>
    <row x14ac:dyDescent="0.25" r="965" customHeight="1" ht="14.2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</row>
    <row x14ac:dyDescent="0.25" r="966" customHeight="1" ht="14.25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</row>
    <row x14ac:dyDescent="0.25" r="967" customHeight="1" ht="14.25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</row>
    <row x14ac:dyDescent="0.25" r="968" customHeight="1" ht="14.25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</row>
    <row x14ac:dyDescent="0.25" r="969" customHeight="1" ht="14.25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</row>
    <row x14ac:dyDescent="0.25" r="970" customHeight="1" ht="14.25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</row>
    <row x14ac:dyDescent="0.25" r="971" customHeight="1" ht="14.25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</row>
    <row x14ac:dyDescent="0.25" r="972" customHeight="1" ht="14.25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</row>
    <row x14ac:dyDescent="0.25" r="973" customHeight="1" ht="14.25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</row>
    <row x14ac:dyDescent="0.25" r="974" customHeight="1" ht="14.25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</row>
    <row x14ac:dyDescent="0.25" r="975" customHeight="1" ht="14.2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</row>
    <row x14ac:dyDescent="0.25" r="976" customHeight="1" ht="14.25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</row>
    <row x14ac:dyDescent="0.25" r="977" customHeight="1" ht="14.25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</row>
    <row x14ac:dyDescent="0.25" r="978" customHeight="1" ht="14.25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</row>
    <row x14ac:dyDescent="0.25" r="979" customHeight="1" ht="14.25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</row>
    <row x14ac:dyDescent="0.25" r="980" customHeight="1" ht="14.25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</row>
    <row x14ac:dyDescent="0.25" r="981" customHeight="1" ht="14.25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</row>
    <row x14ac:dyDescent="0.25" r="982" customHeight="1" ht="14.25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</row>
    <row x14ac:dyDescent="0.25" r="983" customHeight="1" ht="14.25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</row>
    <row x14ac:dyDescent="0.25" r="984" customHeight="1" ht="14.25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</row>
    <row x14ac:dyDescent="0.25" r="985" customHeight="1" ht="14.2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</row>
    <row x14ac:dyDescent="0.25" r="986" customHeight="1" ht="14.25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</row>
    <row x14ac:dyDescent="0.25" r="987" customHeight="1" ht="14.25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</row>
    <row x14ac:dyDescent="0.25" r="988" customHeight="1" ht="14.25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</row>
    <row x14ac:dyDescent="0.25" r="989" customHeight="1" ht="14.25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</row>
    <row x14ac:dyDescent="0.25" r="990" customHeight="1" ht="14.25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</row>
    <row x14ac:dyDescent="0.25" r="991" customHeight="1" ht="14.25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</row>
    <row x14ac:dyDescent="0.25" r="992" customHeight="1" ht="14.25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</row>
    <row x14ac:dyDescent="0.25" r="993" customHeight="1" ht="14.25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</row>
    <row x14ac:dyDescent="0.25" r="994" customHeight="1" ht="14.25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</row>
    <row x14ac:dyDescent="0.25" r="995" customHeight="1" ht="14.2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</row>
    <row x14ac:dyDescent="0.25" r="996" customHeight="1" ht="14.25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</row>
    <row x14ac:dyDescent="0.25" r="997" customHeight="1" ht="14.25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</row>
    <row x14ac:dyDescent="0.25" r="998" customHeight="1" ht="14.25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</row>
    <row x14ac:dyDescent="0.25" r="999" customHeight="1" ht="14.25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</row>
    <row x14ac:dyDescent="0.25" r="1000" customHeight="1" ht="14.25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3" width="20.862142857142857" customWidth="1" bestFit="1"/>
    <col min="2" max="2" style="13" width="33.43357142857143" customWidth="1" bestFit="1"/>
    <col min="3" max="3" style="13" width="77.57642857142856" customWidth="1" bestFit="1"/>
    <col min="4" max="4" style="13" width="33.005" customWidth="1" bestFit="1"/>
    <col min="5" max="5" style="13" width="35.71928571428572" customWidth="1" bestFit="1"/>
    <col min="6" max="6" style="13" width="58.71928571428572" customWidth="1" bestFit="1"/>
    <col min="7" max="7" style="13" width="4.147857142857143" customWidth="1" bestFit="1"/>
    <col min="8" max="8" style="13" width="8.719285714285713" customWidth="1" bestFit="1"/>
    <col min="9" max="9" style="13" width="8.719285714285713" customWidth="1" bestFit="1"/>
    <col min="10" max="10" style="13" width="8.719285714285713" customWidth="1" bestFit="1"/>
    <col min="11" max="11" style="13" width="8.719285714285713" customWidth="1" bestFit="1"/>
    <col min="12" max="12" style="13" width="8.719285714285713" customWidth="1" bestFit="1"/>
    <col min="13" max="13" style="13" width="8.719285714285713" customWidth="1" bestFit="1"/>
    <col min="14" max="14" style="13" width="8.719285714285713" customWidth="1" bestFit="1"/>
    <col min="15" max="15" style="13" width="8.719285714285713" customWidth="1" bestFit="1"/>
    <col min="16" max="16" style="13" width="8.719285714285713" customWidth="1" bestFit="1"/>
    <col min="17" max="17" style="13" width="8.719285714285713" customWidth="1" bestFit="1"/>
    <col min="18" max="18" style="13" width="8.719285714285713" customWidth="1" bestFit="1"/>
    <col min="19" max="19" style="13" width="8.719285714285713" customWidth="1" bestFit="1"/>
    <col min="20" max="20" style="13" width="8.719285714285713" customWidth="1" bestFit="1"/>
    <col min="21" max="21" style="13" width="8.719285714285713" customWidth="1" bestFit="1"/>
    <col min="22" max="22" style="13" width="8.719285714285713" customWidth="1" bestFit="1"/>
    <col min="23" max="23" style="13" width="8.719285714285713" customWidth="1" bestFit="1"/>
    <col min="24" max="24" style="13" width="8.719285714285713" customWidth="1" bestFit="1"/>
    <col min="25" max="25" style="13" width="8.719285714285713" customWidth="1" bestFit="1"/>
    <col min="26" max="26" style="13" width="8.719285714285713" customWidth="1" bestFit="1"/>
  </cols>
  <sheetData>
    <row x14ac:dyDescent="0.25" r="1" customHeight="1" ht="14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x14ac:dyDescent="0.25" r="2" customHeight="1" ht="14.2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x14ac:dyDescent="0.25" r="3" customHeight="1" ht="14.25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x14ac:dyDescent="0.25" r="4" customHeight="1" ht="14.25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x14ac:dyDescent="0.25" r="5" customHeight="1" ht="14.2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x14ac:dyDescent="0.25" r="6" customHeight="1" ht="14.25">
      <c r="A6" s="19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x14ac:dyDescent="0.25" r="7" customHeight="1" ht="14.25">
      <c r="A7" s="19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x14ac:dyDescent="0.25" r="8" customHeight="1" ht="14.25">
      <c r="A8" s="19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x14ac:dyDescent="0.25" r="9" customHeight="1" ht="14.25">
      <c r="A9" s="19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x14ac:dyDescent="0.25" r="10" customHeight="1" ht="14.25">
      <c r="A10" s="19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x14ac:dyDescent="0.25" r="11" customHeight="1" ht="14.25">
      <c r="A11" s="19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x14ac:dyDescent="0.25" r="12" customHeight="1" ht="14.25">
      <c r="A12" s="19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x14ac:dyDescent="0.25" r="13" customHeight="1" ht="14.25">
      <c r="A13" s="19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x14ac:dyDescent="0.25" r="14" customHeight="1" ht="14.25">
      <c r="A14" s="19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x14ac:dyDescent="0.25" r="15" customHeight="1" ht="14.25">
      <c r="A15" s="19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x14ac:dyDescent="0.25" r="16" customHeight="1" ht="14.25">
      <c r="A16" s="19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x14ac:dyDescent="0.25" r="17" customHeight="1" ht="14.25">
      <c r="A17" s="19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x14ac:dyDescent="0.25" r="18" customHeight="1" ht="14.25">
      <c r="A18" s="19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x14ac:dyDescent="0.25" r="19" customHeight="1" ht="14.25">
      <c r="A19" s="19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x14ac:dyDescent="0.25" r="20" customHeight="1" ht="14.25">
      <c r="A20" s="19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x14ac:dyDescent="0.25" r="21" customHeight="1" ht="14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x14ac:dyDescent="0.25" r="22" customHeight="1" ht="14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x14ac:dyDescent="0.25" r="23" customHeight="1" ht="14.25">
      <c r="A23" s="19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x14ac:dyDescent="0.25" r="24" customHeight="1" ht="14.25">
      <c r="A24" s="71"/>
      <c r="B24" s="72"/>
      <c r="C24" s="72"/>
      <c r="D24" s="72"/>
      <c r="E24" s="72"/>
      <c r="F24" s="72"/>
      <c r="G24" s="72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x14ac:dyDescent="0.25" r="25" customHeight="1" ht="14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x14ac:dyDescent="0.25" r="26" customHeight="1" ht="14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x14ac:dyDescent="0.25" r="27" customHeight="1" ht="14.25">
      <c r="A27" s="19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x14ac:dyDescent="0.25" r="28" customHeight="1" ht="14.25">
      <c r="A28" s="19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x14ac:dyDescent="0.25" r="29" customHeight="1" ht="14.25">
      <c r="A29" s="19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x14ac:dyDescent="0.25" r="30" customHeight="1" ht="14.25">
      <c r="A30" s="19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x14ac:dyDescent="0.25" r="31" customHeight="1" ht="14.25">
      <c r="A31" s="19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x14ac:dyDescent="0.25" r="32" customHeight="1" ht="14.25">
      <c r="A32" s="19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x14ac:dyDescent="0.25" r="33" customHeight="1" ht="14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x14ac:dyDescent="0.25" r="34" customHeight="1" ht="14.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x14ac:dyDescent="0.25" r="35" customHeight="1" ht="14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x14ac:dyDescent="0.25" r="36" customHeight="1" ht="14.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x14ac:dyDescent="0.25" r="37" customHeight="1" ht="14.2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x14ac:dyDescent="0.25" r="38" customHeight="1" ht="14.2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x14ac:dyDescent="0.25" r="39" customHeight="1" ht="14.2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x14ac:dyDescent="0.25" r="40" customHeight="1" ht="14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x14ac:dyDescent="0.25" r="41" customHeight="1" ht="14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x14ac:dyDescent="0.25" r="42" customHeight="1" ht="14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x14ac:dyDescent="0.25" r="43" customHeight="1" ht="14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x14ac:dyDescent="0.25" r="44" customHeight="1" ht="14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x14ac:dyDescent="0.25" r="45" customHeight="1" ht="14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x14ac:dyDescent="0.25" r="46" customHeight="1" ht="14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x14ac:dyDescent="0.25" r="47" customHeight="1" ht="14.25">
      <c r="A47" s="58"/>
      <c r="B47" s="59"/>
      <c r="C47" s="60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x14ac:dyDescent="0.25" r="48" customHeight="1" ht="14.25">
      <c r="A48" s="58"/>
      <c r="B48" s="59"/>
      <c r="C48" s="60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x14ac:dyDescent="0.25" r="49" customHeight="1" ht="14.25">
      <c r="A49" s="58"/>
      <c r="B49" s="59"/>
      <c r="C49" s="60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x14ac:dyDescent="0.25" r="50" customHeight="1" ht="14.25">
      <c r="A50" s="58"/>
      <c r="B50" s="59"/>
      <c r="C50" s="60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x14ac:dyDescent="0.25" r="51" customHeight="1" ht="14.25">
      <c r="A51" s="58"/>
      <c r="B51" s="59"/>
      <c r="C51" s="60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x14ac:dyDescent="0.25" r="52" customHeight="1" ht="14.25">
      <c r="A52" s="58"/>
      <c r="B52" s="59"/>
      <c r="C52" s="60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x14ac:dyDescent="0.25" r="53" customHeight="1" ht="14.25">
      <c r="A53" s="58"/>
      <c r="B53" s="59"/>
      <c r="C53" s="60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x14ac:dyDescent="0.25" r="54" customHeight="1" ht="14.25">
      <c r="A54" s="61"/>
      <c r="B54" s="62"/>
      <c r="C54" s="63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x14ac:dyDescent="0.25" r="55" customHeight="1" ht="14.2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x14ac:dyDescent="0.25" r="56" customHeight="1" ht="14.2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x14ac:dyDescent="0.25" r="57" customHeight="1" ht="14.2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x14ac:dyDescent="0.25" r="58" customHeight="1" ht="14.2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x14ac:dyDescent="0.25" r="59" customHeight="1" ht="14.2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x14ac:dyDescent="0.25" r="60" customHeight="1" ht="14.2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x14ac:dyDescent="0.25" r="61" customHeight="1" ht="14.2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x14ac:dyDescent="0.25" r="62" customHeight="1" ht="14.2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x14ac:dyDescent="0.25" r="63" customHeight="1" ht="14.2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x14ac:dyDescent="0.25" r="64" customHeight="1" ht="14.2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x14ac:dyDescent="0.25" r="65" customHeight="1" ht="14.2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x14ac:dyDescent="0.25" r="66" customHeight="1" ht="14.2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x14ac:dyDescent="0.25" r="67" customHeight="1" ht="14.2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x14ac:dyDescent="0.25" r="68" customHeight="1" ht="14.2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x14ac:dyDescent="0.25" r="69" customHeight="1" ht="14.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x14ac:dyDescent="0.25" r="70" customHeight="1" ht="14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x14ac:dyDescent="0.25" r="71" customHeight="1" ht="14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x14ac:dyDescent="0.25" r="72" customHeight="1" ht="14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x14ac:dyDescent="0.25" r="73" customHeight="1" ht="14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x14ac:dyDescent="0.25" r="74" customHeight="1" ht="14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x14ac:dyDescent="0.25" r="75" customHeight="1" ht="14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x14ac:dyDescent="0.25" r="76" customHeight="1" ht="14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x14ac:dyDescent="0.25" r="77" customHeight="1" ht="14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x14ac:dyDescent="0.25" r="78" customHeight="1" ht="14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x14ac:dyDescent="0.25" r="79" customHeight="1" ht="14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x14ac:dyDescent="0.25" r="80" customHeight="1" ht="14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x14ac:dyDescent="0.25" r="81" customHeight="1" ht="14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x14ac:dyDescent="0.25" r="82" customHeight="1" ht="14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x14ac:dyDescent="0.25" r="83" customHeight="1" ht="14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x14ac:dyDescent="0.25" r="84" customHeight="1" ht="14.2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x14ac:dyDescent="0.25" r="85" customHeight="1" ht="14.2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x14ac:dyDescent="0.25" r="86" customHeight="1" ht="14.2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x14ac:dyDescent="0.25" r="87" customHeight="1" ht="14.2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x14ac:dyDescent="0.25" r="88" customHeight="1" ht="14.2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x14ac:dyDescent="0.25" r="89" customHeight="1" ht="14.2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x14ac:dyDescent="0.25" r="90" customHeight="1" ht="14.2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x14ac:dyDescent="0.25" r="91" customHeight="1" ht="14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x14ac:dyDescent="0.25" r="92" customHeight="1" ht="14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x14ac:dyDescent="0.25" r="93" customHeight="1" ht="14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x14ac:dyDescent="0.25" r="94" customHeight="1" ht="14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x14ac:dyDescent="0.25" r="95" customHeight="1" ht="14.2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x14ac:dyDescent="0.25" r="96" customHeight="1" ht="14.2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x14ac:dyDescent="0.25" r="97" customHeight="1" ht="14.2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x14ac:dyDescent="0.25" r="98" customHeight="1" ht="14.2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x14ac:dyDescent="0.25" r="99" customHeight="1" ht="14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x14ac:dyDescent="0.25" r="100" customHeight="1" ht="14.2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x14ac:dyDescent="0.25" r="101" customHeight="1" ht="14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x14ac:dyDescent="0.25" r="102" customHeight="1" ht="14.2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x14ac:dyDescent="0.25" r="103" customHeight="1" ht="14.2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x14ac:dyDescent="0.25" r="104" customHeight="1" ht="14.2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x14ac:dyDescent="0.25" r="105" customHeight="1" ht="14.2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x14ac:dyDescent="0.25" r="106" customHeight="1" ht="14.2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x14ac:dyDescent="0.25" r="107" customHeight="1" ht="14.2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x14ac:dyDescent="0.25" r="108" customHeight="1" ht="14.2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x14ac:dyDescent="0.25" r="109" customHeight="1" ht="14.2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x14ac:dyDescent="0.25" r="110" customHeight="1" ht="14.2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x14ac:dyDescent="0.25" r="111" customHeight="1" ht="14.2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x14ac:dyDescent="0.25" r="112" customHeight="1" ht="14.2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x14ac:dyDescent="0.25" r="113" customHeight="1" ht="14.2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x14ac:dyDescent="0.25" r="114" customHeight="1" ht="14.2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x14ac:dyDescent="0.25" r="115" customHeight="1" ht="14.2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x14ac:dyDescent="0.25" r="116" customHeight="1" ht="14.2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x14ac:dyDescent="0.25" r="117" customHeight="1" ht="14.2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x14ac:dyDescent="0.25" r="118" customHeight="1" ht="14.2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x14ac:dyDescent="0.25" r="119" customHeight="1" ht="14.2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x14ac:dyDescent="0.25" r="120" customHeight="1" ht="14.2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x14ac:dyDescent="0.25" r="121" customHeight="1" ht="14.2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x14ac:dyDescent="0.25" r="122" customHeight="1" ht="14.2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x14ac:dyDescent="0.25" r="123" customHeight="1" ht="14.2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x14ac:dyDescent="0.25" r="124" customHeight="1" ht="14.2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x14ac:dyDescent="0.25" r="125" customHeight="1" ht="14.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x14ac:dyDescent="0.25" r="126" customHeight="1" ht="14.2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x14ac:dyDescent="0.25" r="127" customHeight="1" ht="14.2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x14ac:dyDescent="0.25" r="128" customHeight="1" ht="14.2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x14ac:dyDescent="0.25" r="129" customHeight="1" ht="14.2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x14ac:dyDescent="0.25" r="130" customHeight="1" ht="14.2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x14ac:dyDescent="0.25" r="131" customHeight="1" ht="14.2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x14ac:dyDescent="0.25" r="132" customHeight="1" ht="14.2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x14ac:dyDescent="0.25" r="133" customHeight="1" ht="14.2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x14ac:dyDescent="0.25" r="134" customHeight="1" ht="14.2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x14ac:dyDescent="0.25" r="135" customHeight="1" ht="14.2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x14ac:dyDescent="0.25" r="136" customHeight="1" ht="14.2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x14ac:dyDescent="0.25" r="137" customHeight="1" ht="14.2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x14ac:dyDescent="0.25" r="138" customHeight="1" ht="14.2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x14ac:dyDescent="0.25" r="139" customHeight="1" ht="14.2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x14ac:dyDescent="0.25" r="140" customHeight="1" ht="14.2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x14ac:dyDescent="0.25" r="141" customHeight="1" ht="14.2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x14ac:dyDescent="0.25" r="142" customHeight="1" ht="14.2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x14ac:dyDescent="0.25" r="143" customHeight="1" ht="14.2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x14ac:dyDescent="0.25" r="144" customHeight="1" ht="14.2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x14ac:dyDescent="0.25" r="145" customHeight="1" ht="14.2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x14ac:dyDescent="0.25" r="146" customHeight="1" ht="14.2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x14ac:dyDescent="0.25" r="147" customHeight="1" ht="14.2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x14ac:dyDescent="0.25" r="148" customHeight="1" ht="14.2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x14ac:dyDescent="0.25" r="149" customHeight="1" ht="14.2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x14ac:dyDescent="0.25" r="150" customHeight="1" ht="14.2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x14ac:dyDescent="0.25" r="151" customHeight="1" ht="14.2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x14ac:dyDescent="0.25" r="152" customHeight="1" ht="14.2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x14ac:dyDescent="0.25" r="153" customHeight="1" ht="14.2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x14ac:dyDescent="0.25" r="154" customHeight="1" ht="14.2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x14ac:dyDescent="0.25" r="155" customHeight="1" ht="14.2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x14ac:dyDescent="0.25" r="156" customHeight="1" ht="14.2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x14ac:dyDescent="0.25" r="157" customHeight="1" ht="14.2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x14ac:dyDescent="0.25" r="158" customHeight="1" ht="14.2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x14ac:dyDescent="0.25" r="159" customHeight="1" ht="14.2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x14ac:dyDescent="0.25" r="160" customHeight="1" ht="14.2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x14ac:dyDescent="0.25" r="161" customHeight="1" ht="14.2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x14ac:dyDescent="0.25" r="162" customHeight="1" ht="14.2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x14ac:dyDescent="0.25" r="163" customHeight="1" ht="14.2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x14ac:dyDescent="0.25" r="164" customHeight="1" ht="14.2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x14ac:dyDescent="0.25" r="165" customHeight="1" ht="14.2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x14ac:dyDescent="0.25" r="166" customHeight="1" ht="14.2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x14ac:dyDescent="0.25" r="167" customHeight="1" ht="14.2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x14ac:dyDescent="0.25" r="168" customHeight="1" ht="14.2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x14ac:dyDescent="0.25" r="169" customHeight="1" ht="14.2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x14ac:dyDescent="0.25" r="170" customHeight="1" ht="14.2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x14ac:dyDescent="0.25" r="171" customHeight="1" ht="14.2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x14ac:dyDescent="0.25" r="172" customHeight="1" ht="14.2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x14ac:dyDescent="0.25" r="173" customHeight="1" ht="14.2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x14ac:dyDescent="0.25" r="174" customHeight="1" ht="14.2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x14ac:dyDescent="0.25" r="175" customHeight="1" ht="14.2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x14ac:dyDescent="0.25" r="176" customHeight="1" ht="14.2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x14ac:dyDescent="0.25" r="177" customHeight="1" ht="14.2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x14ac:dyDescent="0.25" r="178" customHeight="1" ht="14.2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x14ac:dyDescent="0.25" r="179" customHeight="1" ht="14.2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x14ac:dyDescent="0.25" r="180" customHeight="1" ht="14.2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x14ac:dyDescent="0.25" r="181" customHeight="1" ht="14.2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x14ac:dyDescent="0.25" r="182" customHeight="1" ht="14.2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x14ac:dyDescent="0.25" r="183" customHeight="1" ht="14.2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x14ac:dyDescent="0.25" r="184" customHeight="1" ht="14.2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x14ac:dyDescent="0.25" r="185" customHeight="1" ht="14.2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x14ac:dyDescent="0.25" r="186" customHeight="1" ht="14.2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x14ac:dyDescent="0.25" r="187" customHeight="1" ht="14.2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x14ac:dyDescent="0.25" r="188" customHeight="1" ht="14.2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x14ac:dyDescent="0.25" r="189" customHeight="1" ht="14.2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x14ac:dyDescent="0.25" r="190" customHeight="1" ht="14.2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x14ac:dyDescent="0.25" r="191" customHeight="1" ht="14.2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x14ac:dyDescent="0.25" r="192" customHeight="1" ht="14.2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x14ac:dyDescent="0.25" r="193" customHeight="1" ht="14.2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x14ac:dyDescent="0.25" r="194" customHeight="1" ht="14.2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x14ac:dyDescent="0.25" r="195" customHeight="1" ht="14.2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x14ac:dyDescent="0.25" r="196" customHeight="1" ht="14.2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x14ac:dyDescent="0.25" r="197" customHeight="1" ht="14.2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x14ac:dyDescent="0.25" r="198" customHeight="1" ht="14.2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x14ac:dyDescent="0.25" r="199" customHeight="1" ht="14.2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x14ac:dyDescent="0.25" r="200" customHeight="1" ht="14.2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x14ac:dyDescent="0.25" r="201" customHeight="1" ht="14.2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x14ac:dyDescent="0.25" r="202" customHeight="1" ht="14.2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x14ac:dyDescent="0.25" r="203" customHeight="1" ht="14.2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x14ac:dyDescent="0.25" r="204" customHeight="1" ht="14.2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x14ac:dyDescent="0.25" r="205" customHeight="1" ht="14.2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x14ac:dyDescent="0.25" r="206" customHeight="1" ht="14.2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x14ac:dyDescent="0.25" r="207" customHeight="1" ht="14.2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x14ac:dyDescent="0.25" r="208" customHeight="1" ht="14.2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x14ac:dyDescent="0.25" r="209" customHeight="1" ht="14.2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x14ac:dyDescent="0.25" r="210" customHeight="1" ht="14.2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x14ac:dyDescent="0.25" r="211" customHeight="1" ht="14.2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x14ac:dyDescent="0.25" r="212" customHeight="1" ht="14.2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x14ac:dyDescent="0.25" r="213" customHeight="1" ht="14.2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x14ac:dyDescent="0.25" r="214" customHeight="1" ht="14.2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x14ac:dyDescent="0.25" r="215" customHeight="1" ht="14.2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x14ac:dyDescent="0.25" r="216" customHeight="1" ht="14.2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x14ac:dyDescent="0.25" r="217" customHeight="1" ht="14.2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x14ac:dyDescent="0.25" r="218" customHeight="1" ht="14.2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x14ac:dyDescent="0.25" r="219" customHeight="1" ht="14.2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x14ac:dyDescent="0.25" r="220" customHeight="1" ht="14.2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x14ac:dyDescent="0.25" r="221" customHeight="1" ht="14.2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x14ac:dyDescent="0.25" r="222" customHeight="1" ht="14.2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x14ac:dyDescent="0.25" r="223" customHeight="1" ht="14.2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x14ac:dyDescent="0.25" r="224" customHeight="1" ht="14.2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x14ac:dyDescent="0.25" r="225" customHeight="1" ht="14.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x14ac:dyDescent="0.25" r="226" customHeight="1" ht="14.2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x14ac:dyDescent="0.25" r="227" customHeight="1" ht="14.2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x14ac:dyDescent="0.25" r="228" customHeight="1" ht="14.2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x14ac:dyDescent="0.25" r="229" customHeight="1" ht="14.2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x14ac:dyDescent="0.25" r="230" customHeight="1" ht="14.25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x14ac:dyDescent="0.25" r="231" customHeight="1" ht="14.25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x14ac:dyDescent="0.25" r="232" customHeight="1" ht="14.25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x14ac:dyDescent="0.25" r="233" customHeight="1" ht="14.25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x14ac:dyDescent="0.25" r="234" customHeight="1" ht="14.25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x14ac:dyDescent="0.25" r="235" customHeight="1" ht="14.2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x14ac:dyDescent="0.25" r="236" customHeight="1" ht="14.25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x14ac:dyDescent="0.25" r="237" customHeight="1" ht="14.25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x14ac:dyDescent="0.25" r="238" customHeight="1" ht="14.25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x14ac:dyDescent="0.25" r="239" customHeight="1" ht="14.25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x14ac:dyDescent="0.25" r="240" customHeight="1" ht="14.2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x14ac:dyDescent="0.25" r="241" customHeight="1" ht="14.25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x14ac:dyDescent="0.25" r="242" customHeight="1" ht="14.25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x14ac:dyDescent="0.25" r="243" customHeight="1" ht="14.25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x14ac:dyDescent="0.25" r="244" customHeight="1" ht="14.25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x14ac:dyDescent="0.25" r="245" customHeight="1" ht="14.2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x14ac:dyDescent="0.25" r="246" customHeight="1" ht="14.25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x14ac:dyDescent="0.25" r="247" customHeight="1" ht="14.25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x14ac:dyDescent="0.25" r="248" customHeight="1" ht="14.25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x14ac:dyDescent="0.25" r="249" customHeight="1" ht="14.25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x14ac:dyDescent="0.25" r="250" customHeight="1" ht="14.2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x14ac:dyDescent="0.25" r="251" customHeight="1" ht="14.25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x14ac:dyDescent="0.25" r="252" customHeight="1" ht="14.25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x14ac:dyDescent="0.25" r="253" customHeight="1" ht="14.25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x14ac:dyDescent="0.25" r="254" customHeight="1" ht="14.25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x14ac:dyDescent="0.25" r="255" customHeight="1" ht="14.2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x14ac:dyDescent="0.25" r="256" customHeight="1" ht="14.25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x14ac:dyDescent="0.25" r="257" customHeight="1" ht="14.25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x14ac:dyDescent="0.25" r="258" customHeight="1" ht="14.25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x14ac:dyDescent="0.25" r="259" customHeight="1" ht="14.25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x14ac:dyDescent="0.25" r="260" customHeight="1" ht="14.25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x14ac:dyDescent="0.25" r="261" customHeight="1" ht="14.25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x14ac:dyDescent="0.25" r="262" customHeight="1" ht="14.25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x14ac:dyDescent="0.25" r="263" customHeight="1" ht="14.25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x14ac:dyDescent="0.25" r="264" customHeight="1" ht="14.25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x14ac:dyDescent="0.25" r="265" customHeight="1" ht="14.2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x14ac:dyDescent="0.25" r="266" customHeight="1" ht="14.25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x14ac:dyDescent="0.25" r="267" customHeight="1" ht="14.25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x14ac:dyDescent="0.25" r="268" customHeight="1" ht="14.25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x14ac:dyDescent="0.25" r="269" customHeight="1" ht="14.25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x14ac:dyDescent="0.25" r="270" customHeight="1" ht="14.25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x14ac:dyDescent="0.25" r="271" customHeight="1" ht="14.25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x14ac:dyDescent="0.25" r="272" customHeight="1" ht="14.25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x14ac:dyDescent="0.25" r="273" customHeight="1" ht="14.25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x14ac:dyDescent="0.25" r="274" customHeight="1" ht="14.25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x14ac:dyDescent="0.25" r="275" customHeight="1" ht="14.2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x14ac:dyDescent="0.25" r="276" customHeight="1" ht="14.25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x14ac:dyDescent="0.25" r="277" customHeight="1" ht="14.25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x14ac:dyDescent="0.25" r="278" customHeight="1" ht="14.25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x14ac:dyDescent="0.25" r="279" customHeight="1" ht="14.25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x14ac:dyDescent="0.25" r="280" customHeight="1" ht="14.25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x14ac:dyDescent="0.25" r="281" customHeight="1" ht="14.25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x14ac:dyDescent="0.25" r="282" customHeight="1" ht="14.25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x14ac:dyDescent="0.25" r="283" customHeight="1" ht="14.25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x14ac:dyDescent="0.25" r="284" customHeight="1" ht="14.25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x14ac:dyDescent="0.25" r="285" customHeight="1" ht="14.2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x14ac:dyDescent="0.25" r="286" customHeight="1" ht="14.25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x14ac:dyDescent="0.25" r="287" customHeight="1" ht="14.25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x14ac:dyDescent="0.25" r="288" customHeight="1" ht="14.25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x14ac:dyDescent="0.25" r="289" customHeight="1" ht="14.25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x14ac:dyDescent="0.25" r="290" customHeight="1" ht="14.25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x14ac:dyDescent="0.25" r="291" customHeight="1" ht="14.25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x14ac:dyDescent="0.25" r="292" customHeight="1" ht="14.25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x14ac:dyDescent="0.25" r="293" customHeight="1" ht="14.25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x14ac:dyDescent="0.25" r="294" customHeight="1" ht="14.25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x14ac:dyDescent="0.25" r="295" customHeight="1" ht="14.2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x14ac:dyDescent="0.25" r="296" customHeight="1" ht="14.25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x14ac:dyDescent="0.25" r="297" customHeight="1" ht="14.25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x14ac:dyDescent="0.25" r="298" customHeight="1" ht="14.25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x14ac:dyDescent="0.25" r="299" customHeight="1" ht="14.25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x14ac:dyDescent="0.25" r="300" customHeight="1" ht="14.25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x14ac:dyDescent="0.25" r="301" customHeight="1" ht="14.25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x14ac:dyDescent="0.25" r="302" customHeight="1" ht="14.25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x14ac:dyDescent="0.25" r="303" customHeight="1" ht="14.25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x14ac:dyDescent="0.25" r="304" customHeight="1" ht="14.25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x14ac:dyDescent="0.25" r="305" customHeight="1" ht="14.2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x14ac:dyDescent="0.25" r="306" customHeight="1" ht="14.25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x14ac:dyDescent="0.25" r="307" customHeight="1" ht="14.25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x14ac:dyDescent="0.25" r="308" customHeight="1" ht="14.25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x14ac:dyDescent="0.25" r="309" customHeight="1" ht="14.25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x14ac:dyDescent="0.25" r="310" customHeight="1" ht="14.25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x14ac:dyDescent="0.25" r="311" customHeight="1" ht="14.25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x14ac:dyDescent="0.25" r="312" customHeight="1" ht="14.25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x14ac:dyDescent="0.25" r="313" customHeight="1" ht="14.25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x14ac:dyDescent="0.25" r="314" customHeight="1" ht="14.25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x14ac:dyDescent="0.25" r="315" customHeight="1" ht="14.2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x14ac:dyDescent="0.25" r="316" customHeight="1" ht="14.25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x14ac:dyDescent="0.25" r="317" customHeight="1" ht="14.25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x14ac:dyDescent="0.25" r="318" customHeight="1" ht="14.25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x14ac:dyDescent="0.25" r="319" customHeight="1" ht="14.25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x14ac:dyDescent="0.25" r="320" customHeight="1" ht="14.25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x14ac:dyDescent="0.25" r="321" customHeight="1" ht="14.25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x14ac:dyDescent="0.25" r="322" customHeight="1" ht="14.25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x14ac:dyDescent="0.25" r="323" customHeight="1" ht="14.25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x14ac:dyDescent="0.25" r="324" customHeight="1" ht="14.25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x14ac:dyDescent="0.25" r="325" customHeight="1" ht="14.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x14ac:dyDescent="0.25" r="326" customHeight="1" ht="14.25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x14ac:dyDescent="0.25" r="327" customHeight="1" ht="14.25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x14ac:dyDescent="0.25" r="328" customHeight="1" ht="14.25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x14ac:dyDescent="0.25" r="329" customHeight="1" ht="14.25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x14ac:dyDescent="0.25" r="330" customHeight="1" ht="14.25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x14ac:dyDescent="0.25" r="331" customHeight="1" ht="14.25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x14ac:dyDescent="0.25" r="332" customHeight="1" ht="14.25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x14ac:dyDescent="0.25" r="333" customHeight="1" ht="14.25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x14ac:dyDescent="0.25" r="334" customHeight="1" ht="14.25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x14ac:dyDescent="0.25" r="335" customHeight="1" ht="14.2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x14ac:dyDescent="0.25" r="336" customHeight="1" ht="14.25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x14ac:dyDescent="0.25" r="337" customHeight="1" ht="14.25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x14ac:dyDescent="0.25" r="338" customHeight="1" ht="14.25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x14ac:dyDescent="0.25" r="339" customHeight="1" ht="14.25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x14ac:dyDescent="0.25" r="340" customHeight="1" ht="14.25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x14ac:dyDescent="0.25" r="341" customHeight="1" ht="14.25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x14ac:dyDescent="0.25" r="342" customHeight="1" ht="14.25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x14ac:dyDescent="0.25" r="343" customHeight="1" ht="14.25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x14ac:dyDescent="0.25" r="344" customHeight="1" ht="14.25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x14ac:dyDescent="0.25" r="345" customHeight="1" ht="14.2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x14ac:dyDescent="0.25" r="346" customHeight="1" ht="14.25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x14ac:dyDescent="0.25" r="347" customHeight="1" ht="14.25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x14ac:dyDescent="0.25" r="348" customHeight="1" ht="14.25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x14ac:dyDescent="0.25" r="349" customHeight="1" ht="14.25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x14ac:dyDescent="0.25" r="350" customHeight="1" ht="14.25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x14ac:dyDescent="0.25" r="351" customHeight="1" ht="14.25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x14ac:dyDescent="0.25" r="352" customHeight="1" ht="14.25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x14ac:dyDescent="0.25" r="353" customHeight="1" ht="14.25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x14ac:dyDescent="0.25" r="354" customHeight="1" ht="14.25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x14ac:dyDescent="0.25" r="355" customHeight="1" ht="14.2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x14ac:dyDescent="0.25" r="356" customHeight="1" ht="14.25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x14ac:dyDescent="0.25" r="357" customHeight="1" ht="14.25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x14ac:dyDescent="0.25" r="358" customHeight="1" ht="14.25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x14ac:dyDescent="0.25" r="359" customHeight="1" ht="14.25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x14ac:dyDescent="0.25" r="360" customHeight="1" ht="14.25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x14ac:dyDescent="0.25" r="361" customHeight="1" ht="14.25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x14ac:dyDescent="0.25" r="362" customHeight="1" ht="14.25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x14ac:dyDescent="0.25" r="363" customHeight="1" ht="14.25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x14ac:dyDescent="0.25" r="364" customHeight="1" ht="14.25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x14ac:dyDescent="0.25" r="365" customHeight="1" ht="14.2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x14ac:dyDescent="0.25" r="366" customHeight="1" ht="14.25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x14ac:dyDescent="0.25" r="367" customHeight="1" ht="14.25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x14ac:dyDescent="0.25" r="368" customHeight="1" ht="14.25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x14ac:dyDescent="0.25" r="369" customHeight="1" ht="14.25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x14ac:dyDescent="0.25" r="370" customHeight="1" ht="14.25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x14ac:dyDescent="0.25" r="371" customHeight="1" ht="14.25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x14ac:dyDescent="0.25" r="372" customHeight="1" ht="14.25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x14ac:dyDescent="0.25" r="373" customHeight="1" ht="14.25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x14ac:dyDescent="0.25" r="374" customHeight="1" ht="14.25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x14ac:dyDescent="0.25" r="375" customHeight="1" ht="14.2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x14ac:dyDescent="0.25" r="376" customHeight="1" ht="14.25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x14ac:dyDescent="0.25" r="377" customHeight="1" ht="14.25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x14ac:dyDescent="0.25" r="378" customHeight="1" ht="14.25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x14ac:dyDescent="0.25" r="379" customHeight="1" ht="14.25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x14ac:dyDescent="0.25" r="380" customHeight="1" ht="14.25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x14ac:dyDescent="0.25" r="381" customHeight="1" ht="14.25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x14ac:dyDescent="0.25" r="382" customHeight="1" ht="14.25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x14ac:dyDescent="0.25" r="383" customHeight="1" ht="14.25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x14ac:dyDescent="0.25" r="384" customHeight="1" ht="14.25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x14ac:dyDescent="0.25" r="385" customHeight="1" ht="14.2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x14ac:dyDescent="0.25" r="386" customHeight="1" ht="14.25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x14ac:dyDescent="0.25" r="387" customHeight="1" ht="14.25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x14ac:dyDescent="0.25" r="388" customHeight="1" ht="14.25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x14ac:dyDescent="0.25" r="389" customHeight="1" ht="14.25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x14ac:dyDescent="0.25" r="390" customHeight="1" ht="14.25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x14ac:dyDescent="0.25" r="391" customHeight="1" ht="14.25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x14ac:dyDescent="0.25" r="392" customHeight="1" ht="14.25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x14ac:dyDescent="0.25" r="393" customHeight="1" ht="14.25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x14ac:dyDescent="0.25" r="394" customHeight="1" ht="14.25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x14ac:dyDescent="0.25" r="395" customHeight="1" ht="14.2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x14ac:dyDescent="0.25" r="396" customHeight="1" ht="14.25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x14ac:dyDescent="0.25" r="397" customHeight="1" ht="14.25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x14ac:dyDescent="0.25" r="398" customHeight="1" ht="14.25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x14ac:dyDescent="0.25" r="399" customHeight="1" ht="14.25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x14ac:dyDescent="0.25" r="400" customHeight="1" ht="14.25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x14ac:dyDescent="0.25" r="401" customHeight="1" ht="14.25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x14ac:dyDescent="0.25" r="402" customHeight="1" ht="14.25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x14ac:dyDescent="0.25" r="403" customHeight="1" ht="14.25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x14ac:dyDescent="0.25" r="404" customHeight="1" ht="14.25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x14ac:dyDescent="0.25" r="405" customHeight="1" ht="14.2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x14ac:dyDescent="0.25" r="406" customHeight="1" ht="14.25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x14ac:dyDescent="0.25" r="407" customHeight="1" ht="14.25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x14ac:dyDescent="0.25" r="408" customHeight="1" ht="14.25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x14ac:dyDescent="0.25" r="409" customHeight="1" ht="14.25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x14ac:dyDescent="0.25" r="410" customHeight="1" ht="14.25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x14ac:dyDescent="0.25" r="411" customHeight="1" ht="14.25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x14ac:dyDescent="0.25" r="412" customHeight="1" ht="14.25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x14ac:dyDescent="0.25" r="413" customHeight="1" ht="14.25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x14ac:dyDescent="0.25" r="414" customHeight="1" ht="14.25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x14ac:dyDescent="0.25" r="415" customHeight="1" ht="14.2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x14ac:dyDescent="0.25" r="416" customHeight="1" ht="14.25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x14ac:dyDescent="0.25" r="417" customHeight="1" ht="14.25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x14ac:dyDescent="0.25" r="418" customHeight="1" ht="14.25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x14ac:dyDescent="0.25" r="419" customHeight="1" ht="14.25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x14ac:dyDescent="0.25" r="420" customHeight="1" ht="14.25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x14ac:dyDescent="0.25" r="421" customHeight="1" ht="14.25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x14ac:dyDescent="0.25" r="422" customHeight="1" ht="14.25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x14ac:dyDescent="0.25" r="423" customHeight="1" ht="14.25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x14ac:dyDescent="0.25" r="424" customHeight="1" ht="14.25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x14ac:dyDescent="0.25" r="425" customHeight="1" ht="14.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x14ac:dyDescent="0.25" r="426" customHeight="1" ht="14.25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x14ac:dyDescent="0.25" r="427" customHeight="1" ht="14.25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x14ac:dyDescent="0.25" r="428" customHeight="1" ht="14.25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x14ac:dyDescent="0.25" r="429" customHeight="1" ht="14.25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x14ac:dyDescent="0.25" r="430" customHeight="1" ht="14.25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x14ac:dyDescent="0.25" r="431" customHeight="1" ht="14.25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x14ac:dyDescent="0.25" r="432" customHeight="1" ht="14.25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x14ac:dyDescent="0.25" r="433" customHeight="1" ht="14.25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x14ac:dyDescent="0.25" r="434" customHeight="1" ht="14.25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x14ac:dyDescent="0.25" r="435" customHeight="1" ht="14.2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x14ac:dyDescent="0.25" r="436" customHeight="1" ht="14.25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x14ac:dyDescent="0.25" r="437" customHeight="1" ht="14.25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x14ac:dyDescent="0.25" r="438" customHeight="1" ht="14.25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x14ac:dyDescent="0.25" r="439" customHeight="1" ht="14.25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x14ac:dyDescent="0.25" r="440" customHeight="1" ht="14.25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x14ac:dyDescent="0.25" r="441" customHeight="1" ht="14.25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x14ac:dyDescent="0.25" r="442" customHeight="1" ht="14.25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x14ac:dyDescent="0.25" r="443" customHeight="1" ht="14.25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x14ac:dyDescent="0.25" r="444" customHeight="1" ht="14.25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x14ac:dyDescent="0.25" r="445" customHeight="1" ht="14.2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x14ac:dyDescent="0.25" r="446" customHeight="1" ht="14.25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x14ac:dyDescent="0.25" r="447" customHeight="1" ht="14.25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x14ac:dyDescent="0.25" r="448" customHeight="1" ht="14.25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x14ac:dyDescent="0.25" r="449" customHeight="1" ht="14.25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x14ac:dyDescent="0.25" r="450" customHeight="1" ht="14.25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x14ac:dyDescent="0.25" r="451" customHeight="1" ht="14.25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x14ac:dyDescent="0.25" r="452" customHeight="1" ht="14.25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x14ac:dyDescent="0.25" r="453" customHeight="1" ht="14.25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x14ac:dyDescent="0.25" r="454" customHeight="1" ht="14.25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x14ac:dyDescent="0.25" r="455" customHeight="1" ht="14.2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x14ac:dyDescent="0.25" r="456" customHeight="1" ht="14.25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x14ac:dyDescent="0.25" r="457" customHeight="1" ht="14.25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x14ac:dyDescent="0.25" r="458" customHeight="1" ht="14.25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x14ac:dyDescent="0.25" r="459" customHeight="1" ht="14.25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x14ac:dyDescent="0.25" r="460" customHeight="1" ht="14.25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x14ac:dyDescent="0.25" r="461" customHeight="1" ht="14.25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x14ac:dyDescent="0.25" r="462" customHeight="1" ht="14.25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x14ac:dyDescent="0.25" r="463" customHeight="1" ht="14.25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x14ac:dyDescent="0.25" r="464" customHeight="1" ht="14.25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x14ac:dyDescent="0.25" r="465" customHeight="1" ht="14.2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x14ac:dyDescent="0.25" r="466" customHeight="1" ht="14.25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x14ac:dyDescent="0.25" r="467" customHeight="1" ht="14.25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x14ac:dyDescent="0.25" r="468" customHeight="1" ht="14.25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x14ac:dyDescent="0.25" r="469" customHeight="1" ht="14.25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x14ac:dyDescent="0.25" r="470" customHeight="1" ht="14.25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x14ac:dyDescent="0.25" r="471" customHeight="1" ht="14.25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x14ac:dyDescent="0.25" r="472" customHeight="1" ht="14.25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x14ac:dyDescent="0.25" r="473" customHeight="1" ht="14.25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x14ac:dyDescent="0.25" r="474" customHeight="1" ht="14.25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x14ac:dyDescent="0.25" r="475" customHeight="1" ht="14.2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x14ac:dyDescent="0.25" r="476" customHeight="1" ht="14.25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x14ac:dyDescent="0.25" r="477" customHeight="1" ht="14.25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x14ac:dyDescent="0.25" r="478" customHeight="1" ht="14.25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x14ac:dyDescent="0.25" r="479" customHeight="1" ht="14.25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x14ac:dyDescent="0.25" r="480" customHeight="1" ht="14.25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x14ac:dyDescent="0.25" r="481" customHeight="1" ht="14.25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x14ac:dyDescent="0.25" r="482" customHeight="1" ht="14.25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x14ac:dyDescent="0.25" r="483" customHeight="1" ht="14.25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x14ac:dyDescent="0.25" r="484" customHeight="1" ht="14.25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x14ac:dyDescent="0.25" r="485" customHeight="1" ht="14.2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x14ac:dyDescent="0.25" r="486" customHeight="1" ht="14.25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x14ac:dyDescent="0.25" r="487" customHeight="1" ht="14.25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x14ac:dyDescent="0.25" r="488" customHeight="1" ht="14.25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x14ac:dyDescent="0.25" r="489" customHeight="1" ht="14.25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x14ac:dyDescent="0.25" r="490" customHeight="1" ht="14.25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x14ac:dyDescent="0.25" r="491" customHeight="1" ht="14.25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x14ac:dyDescent="0.25" r="492" customHeight="1" ht="14.25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x14ac:dyDescent="0.25" r="493" customHeight="1" ht="14.25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x14ac:dyDescent="0.25" r="494" customHeight="1" ht="14.25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x14ac:dyDescent="0.25" r="495" customHeight="1" ht="14.2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x14ac:dyDescent="0.25" r="496" customHeight="1" ht="14.25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x14ac:dyDescent="0.25" r="497" customHeight="1" ht="14.25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x14ac:dyDescent="0.25" r="498" customHeight="1" ht="14.25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x14ac:dyDescent="0.25" r="499" customHeight="1" ht="14.25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x14ac:dyDescent="0.25" r="500" customHeight="1" ht="14.25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x14ac:dyDescent="0.25" r="501" customHeight="1" ht="14.25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x14ac:dyDescent="0.25" r="502" customHeight="1" ht="14.25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x14ac:dyDescent="0.25" r="503" customHeight="1" ht="14.25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x14ac:dyDescent="0.25" r="504" customHeight="1" ht="14.25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x14ac:dyDescent="0.25" r="505" customHeight="1" ht="14.2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x14ac:dyDescent="0.25" r="506" customHeight="1" ht="14.25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x14ac:dyDescent="0.25" r="507" customHeight="1" ht="14.25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x14ac:dyDescent="0.25" r="508" customHeight="1" ht="14.25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x14ac:dyDescent="0.25" r="509" customHeight="1" ht="14.25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x14ac:dyDescent="0.25" r="510" customHeight="1" ht="14.25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x14ac:dyDescent="0.25" r="511" customHeight="1" ht="14.25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x14ac:dyDescent="0.25" r="512" customHeight="1" ht="14.25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x14ac:dyDescent="0.25" r="513" customHeight="1" ht="14.25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x14ac:dyDescent="0.25" r="514" customHeight="1" ht="14.25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x14ac:dyDescent="0.25" r="515" customHeight="1" ht="14.2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x14ac:dyDescent="0.25" r="516" customHeight="1" ht="14.25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x14ac:dyDescent="0.25" r="517" customHeight="1" ht="14.25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x14ac:dyDescent="0.25" r="518" customHeight="1" ht="14.25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x14ac:dyDescent="0.25" r="519" customHeight="1" ht="14.25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x14ac:dyDescent="0.25" r="520" customHeight="1" ht="14.25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x14ac:dyDescent="0.25" r="521" customHeight="1" ht="14.25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x14ac:dyDescent="0.25" r="522" customHeight="1" ht="14.25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x14ac:dyDescent="0.25" r="523" customHeight="1" ht="14.25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x14ac:dyDescent="0.25" r="524" customHeight="1" ht="14.25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x14ac:dyDescent="0.25" r="525" customHeight="1" ht="14.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x14ac:dyDescent="0.25" r="526" customHeight="1" ht="14.25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x14ac:dyDescent="0.25" r="527" customHeight="1" ht="14.25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x14ac:dyDescent="0.25" r="528" customHeight="1" ht="14.25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x14ac:dyDescent="0.25" r="529" customHeight="1" ht="14.25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x14ac:dyDescent="0.25" r="530" customHeight="1" ht="14.25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x14ac:dyDescent="0.25" r="531" customHeight="1" ht="14.25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x14ac:dyDescent="0.25" r="532" customHeight="1" ht="14.25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x14ac:dyDescent="0.25" r="533" customHeight="1" ht="14.25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x14ac:dyDescent="0.25" r="534" customHeight="1" ht="14.25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x14ac:dyDescent="0.25" r="535" customHeight="1" ht="14.2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x14ac:dyDescent="0.25" r="536" customHeight="1" ht="14.25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x14ac:dyDescent="0.25" r="537" customHeight="1" ht="14.25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x14ac:dyDescent="0.25" r="538" customHeight="1" ht="14.25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x14ac:dyDescent="0.25" r="539" customHeight="1" ht="14.25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x14ac:dyDescent="0.25" r="540" customHeight="1" ht="14.25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x14ac:dyDescent="0.25" r="541" customHeight="1" ht="14.25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x14ac:dyDescent="0.25" r="542" customHeight="1" ht="14.25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x14ac:dyDescent="0.25" r="543" customHeight="1" ht="14.25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x14ac:dyDescent="0.25" r="544" customHeight="1" ht="14.25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x14ac:dyDescent="0.25" r="545" customHeight="1" ht="14.2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x14ac:dyDescent="0.25" r="546" customHeight="1" ht="14.25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x14ac:dyDescent="0.25" r="547" customHeight="1" ht="14.25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x14ac:dyDescent="0.25" r="548" customHeight="1" ht="14.25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x14ac:dyDescent="0.25" r="549" customHeight="1" ht="14.25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x14ac:dyDescent="0.25" r="550" customHeight="1" ht="14.25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x14ac:dyDescent="0.25" r="551" customHeight="1" ht="14.25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x14ac:dyDescent="0.25" r="552" customHeight="1" ht="14.25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x14ac:dyDescent="0.25" r="553" customHeight="1" ht="14.25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x14ac:dyDescent="0.25" r="554" customHeight="1" ht="14.25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x14ac:dyDescent="0.25" r="555" customHeight="1" ht="14.2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x14ac:dyDescent="0.25" r="556" customHeight="1" ht="14.25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x14ac:dyDescent="0.25" r="557" customHeight="1" ht="14.25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x14ac:dyDescent="0.25" r="558" customHeight="1" ht="14.25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x14ac:dyDescent="0.25" r="559" customHeight="1" ht="14.25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x14ac:dyDescent="0.25" r="560" customHeight="1" ht="14.25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x14ac:dyDescent="0.25" r="561" customHeight="1" ht="14.25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x14ac:dyDescent="0.25" r="562" customHeight="1" ht="14.25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x14ac:dyDescent="0.25" r="563" customHeight="1" ht="14.25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x14ac:dyDescent="0.25" r="564" customHeight="1" ht="14.25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x14ac:dyDescent="0.25" r="565" customHeight="1" ht="14.2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x14ac:dyDescent="0.25" r="566" customHeight="1" ht="14.25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x14ac:dyDescent="0.25" r="567" customHeight="1" ht="14.25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x14ac:dyDescent="0.25" r="568" customHeight="1" ht="14.25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x14ac:dyDescent="0.25" r="569" customHeight="1" ht="14.25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x14ac:dyDescent="0.25" r="570" customHeight="1" ht="14.25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x14ac:dyDescent="0.25" r="571" customHeight="1" ht="14.25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x14ac:dyDescent="0.25" r="572" customHeight="1" ht="14.25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x14ac:dyDescent="0.25" r="573" customHeight="1" ht="14.25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x14ac:dyDescent="0.25" r="574" customHeight="1" ht="14.25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x14ac:dyDescent="0.25" r="575" customHeight="1" ht="14.2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x14ac:dyDescent="0.25" r="576" customHeight="1" ht="14.25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x14ac:dyDescent="0.25" r="577" customHeight="1" ht="14.25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x14ac:dyDescent="0.25" r="578" customHeight="1" ht="14.25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x14ac:dyDescent="0.25" r="579" customHeight="1" ht="14.25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x14ac:dyDescent="0.25" r="580" customHeight="1" ht="14.25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x14ac:dyDescent="0.25" r="581" customHeight="1" ht="14.25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x14ac:dyDescent="0.25" r="582" customHeight="1" ht="14.25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x14ac:dyDescent="0.25" r="583" customHeight="1" ht="14.25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x14ac:dyDescent="0.25" r="584" customHeight="1" ht="14.25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x14ac:dyDescent="0.25" r="585" customHeight="1" ht="14.2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x14ac:dyDescent="0.25" r="586" customHeight="1" ht="14.25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x14ac:dyDescent="0.25" r="587" customHeight="1" ht="14.25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x14ac:dyDescent="0.25" r="588" customHeight="1" ht="14.25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x14ac:dyDescent="0.25" r="589" customHeight="1" ht="14.25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x14ac:dyDescent="0.25" r="590" customHeight="1" ht="14.25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x14ac:dyDescent="0.25" r="591" customHeight="1" ht="14.25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x14ac:dyDescent="0.25" r="592" customHeight="1" ht="14.25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x14ac:dyDescent="0.25" r="593" customHeight="1" ht="14.25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x14ac:dyDescent="0.25" r="594" customHeight="1" ht="14.25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x14ac:dyDescent="0.25" r="595" customHeight="1" ht="14.2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x14ac:dyDescent="0.25" r="596" customHeight="1" ht="14.25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x14ac:dyDescent="0.25" r="597" customHeight="1" ht="14.25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x14ac:dyDescent="0.25" r="598" customHeight="1" ht="14.25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x14ac:dyDescent="0.25" r="599" customHeight="1" ht="14.25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x14ac:dyDescent="0.25" r="600" customHeight="1" ht="14.25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x14ac:dyDescent="0.25" r="601" customHeight="1" ht="14.25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x14ac:dyDescent="0.25" r="602" customHeight="1" ht="14.25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x14ac:dyDescent="0.25" r="603" customHeight="1" ht="14.25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x14ac:dyDescent="0.25" r="604" customHeight="1" ht="14.25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x14ac:dyDescent="0.25" r="605" customHeight="1" ht="14.2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x14ac:dyDescent="0.25" r="606" customHeight="1" ht="14.25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x14ac:dyDescent="0.25" r="607" customHeight="1" ht="14.25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x14ac:dyDescent="0.25" r="608" customHeight="1" ht="14.25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x14ac:dyDescent="0.25" r="609" customHeight="1" ht="14.25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x14ac:dyDescent="0.25" r="610" customHeight="1" ht="14.25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x14ac:dyDescent="0.25" r="611" customHeight="1" ht="14.25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x14ac:dyDescent="0.25" r="612" customHeight="1" ht="14.25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x14ac:dyDescent="0.25" r="613" customHeight="1" ht="14.25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x14ac:dyDescent="0.25" r="614" customHeight="1" ht="14.25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x14ac:dyDescent="0.25" r="615" customHeight="1" ht="14.2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x14ac:dyDescent="0.25" r="616" customHeight="1" ht="14.25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x14ac:dyDescent="0.25" r="617" customHeight="1" ht="14.25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x14ac:dyDescent="0.25" r="618" customHeight="1" ht="14.25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x14ac:dyDescent="0.25" r="619" customHeight="1" ht="14.25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x14ac:dyDescent="0.25" r="620" customHeight="1" ht="14.25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x14ac:dyDescent="0.25" r="621" customHeight="1" ht="14.25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x14ac:dyDescent="0.25" r="622" customHeight="1" ht="14.25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x14ac:dyDescent="0.25" r="623" customHeight="1" ht="14.25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x14ac:dyDescent="0.25" r="624" customHeight="1" ht="14.25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x14ac:dyDescent="0.25" r="625" customHeight="1" ht="14.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x14ac:dyDescent="0.25" r="626" customHeight="1" ht="14.25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x14ac:dyDescent="0.25" r="627" customHeight="1" ht="14.25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x14ac:dyDescent="0.25" r="628" customHeight="1" ht="14.25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x14ac:dyDescent="0.25" r="629" customHeight="1" ht="14.25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x14ac:dyDescent="0.25" r="630" customHeight="1" ht="14.25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x14ac:dyDescent="0.25" r="631" customHeight="1" ht="14.25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x14ac:dyDescent="0.25" r="632" customHeight="1" ht="14.25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x14ac:dyDescent="0.25" r="633" customHeight="1" ht="14.25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x14ac:dyDescent="0.25" r="634" customHeight="1" ht="14.25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x14ac:dyDescent="0.25" r="635" customHeight="1" ht="14.2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x14ac:dyDescent="0.25" r="636" customHeight="1" ht="14.25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x14ac:dyDescent="0.25" r="637" customHeight="1" ht="14.25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x14ac:dyDescent="0.25" r="638" customHeight="1" ht="14.25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x14ac:dyDescent="0.25" r="639" customHeight="1" ht="14.25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x14ac:dyDescent="0.25" r="640" customHeight="1" ht="14.25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x14ac:dyDescent="0.25" r="641" customHeight="1" ht="14.25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x14ac:dyDescent="0.25" r="642" customHeight="1" ht="14.25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x14ac:dyDescent="0.25" r="643" customHeight="1" ht="14.25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x14ac:dyDescent="0.25" r="644" customHeight="1" ht="14.25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x14ac:dyDescent="0.25" r="645" customHeight="1" ht="14.2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x14ac:dyDescent="0.25" r="646" customHeight="1" ht="14.25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x14ac:dyDescent="0.25" r="647" customHeight="1" ht="14.25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x14ac:dyDescent="0.25" r="648" customHeight="1" ht="14.25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x14ac:dyDescent="0.25" r="649" customHeight="1" ht="14.25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x14ac:dyDescent="0.25" r="650" customHeight="1" ht="14.25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x14ac:dyDescent="0.25" r="651" customHeight="1" ht="14.25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x14ac:dyDescent="0.25" r="652" customHeight="1" ht="14.25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x14ac:dyDescent="0.25" r="653" customHeight="1" ht="14.25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x14ac:dyDescent="0.25" r="654" customHeight="1" ht="14.25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x14ac:dyDescent="0.25" r="655" customHeight="1" ht="14.2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x14ac:dyDescent="0.25" r="656" customHeight="1" ht="14.25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x14ac:dyDescent="0.25" r="657" customHeight="1" ht="14.25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x14ac:dyDescent="0.25" r="658" customHeight="1" ht="14.25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x14ac:dyDescent="0.25" r="659" customHeight="1" ht="14.25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x14ac:dyDescent="0.25" r="660" customHeight="1" ht="14.25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x14ac:dyDescent="0.25" r="661" customHeight="1" ht="14.25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x14ac:dyDescent="0.25" r="662" customHeight="1" ht="14.25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x14ac:dyDescent="0.25" r="663" customHeight="1" ht="14.25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x14ac:dyDescent="0.25" r="664" customHeight="1" ht="14.25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x14ac:dyDescent="0.25" r="665" customHeight="1" ht="14.2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x14ac:dyDescent="0.25" r="666" customHeight="1" ht="14.25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x14ac:dyDescent="0.25" r="667" customHeight="1" ht="14.25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x14ac:dyDescent="0.25" r="668" customHeight="1" ht="14.25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x14ac:dyDescent="0.25" r="669" customHeight="1" ht="14.25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x14ac:dyDescent="0.25" r="670" customHeight="1" ht="14.25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x14ac:dyDescent="0.25" r="671" customHeight="1" ht="14.25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x14ac:dyDescent="0.25" r="672" customHeight="1" ht="14.25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x14ac:dyDescent="0.25" r="673" customHeight="1" ht="14.25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x14ac:dyDescent="0.25" r="674" customHeight="1" ht="14.25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x14ac:dyDescent="0.25" r="675" customHeight="1" ht="14.2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x14ac:dyDescent="0.25" r="676" customHeight="1" ht="14.25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x14ac:dyDescent="0.25" r="677" customHeight="1" ht="14.25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x14ac:dyDescent="0.25" r="678" customHeight="1" ht="14.25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x14ac:dyDescent="0.25" r="679" customHeight="1" ht="14.25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x14ac:dyDescent="0.25" r="680" customHeight="1" ht="14.25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x14ac:dyDescent="0.25" r="681" customHeight="1" ht="14.25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x14ac:dyDescent="0.25" r="682" customHeight="1" ht="14.25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x14ac:dyDescent="0.25" r="683" customHeight="1" ht="14.25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x14ac:dyDescent="0.25" r="684" customHeight="1" ht="14.25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x14ac:dyDescent="0.25" r="685" customHeight="1" ht="14.2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x14ac:dyDescent="0.25" r="686" customHeight="1" ht="14.25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x14ac:dyDescent="0.25" r="687" customHeight="1" ht="14.25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x14ac:dyDescent="0.25" r="688" customHeight="1" ht="14.25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x14ac:dyDescent="0.25" r="689" customHeight="1" ht="14.25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x14ac:dyDescent="0.25" r="690" customHeight="1" ht="14.25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x14ac:dyDescent="0.25" r="691" customHeight="1" ht="14.25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x14ac:dyDescent="0.25" r="692" customHeight="1" ht="14.25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x14ac:dyDescent="0.25" r="693" customHeight="1" ht="14.25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x14ac:dyDescent="0.25" r="694" customHeight="1" ht="14.25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x14ac:dyDescent="0.25" r="695" customHeight="1" ht="14.2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x14ac:dyDescent="0.25" r="696" customHeight="1" ht="14.25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x14ac:dyDescent="0.25" r="697" customHeight="1" ht="14.25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x14ac:dyDescent="0.25" r="698" customHeight="1" ht="14.25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x14ac:dyDescent="0.25" r="699" customHeight="1" ht="14.25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x14ac:dyDescent="0.25" r="700" customHeight="1" ht="14.25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x14ac:dyDescent="0.25" r="701" customHeight="1" ht="14.25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x14ac:dyDescent="0.25" r="702" customHeight="1" ht="14.25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x14ac:dyDescent="0.25" r="703" customHeight="1" ht="14.25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x14ac:dyDescent="0.25" r="704" customHeight="1" ht="14.25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x14ac:dyDescent="0.25" r="705" customHeight="1" ht="14.2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x14ac:dyDescent="0.25" r="706" customHeight="1" ht="14.25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x14ac:dyDescent="0.25" r="707" customHeight="1" ht="14.25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x14ac:dyDescent="0.25" r="708" customHeight="1" ht="14.25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x14ac:dyDescent="0.25" r="709" customHeight="1" ht="14.25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x14ac:dyDescent="0.25" r="710" customHeight="1" ht="14.25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x14ac:dyDescent="0.25" r="711" customHeight="1" ht="14.25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x14ac:dyDescent="0.25" r="712" customHeight="1" ht="14.25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x14ac:dyDescent="0.25" r="713" customHeight="1" ht="14.25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x14ac:dyDescent="0.25" r="714" customHeight="1" ht="14.25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x14ac:dyDescent="0.25" r="715" customHeight="1" ht="14.2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x14ac:dyDescent="0.25" r="716" customHeight="1" ht="14.25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x14ac:dyDescent="0.25" r="717" customHeight="1" ht="14.25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x14ac:dyDescent="0.25" r="718" customHeight="1" ht="14.25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x14ac:dyDescent="0.25" r="719" customHeight="1" ht="14.25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x14ac:dyDescent="0.25" r="720" customHeight="1" ht="14.25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x14ac:dyDescent="0.25" r="721" customHeight="1" ht="14.25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x14ac:dyDescent="0.25" r="722" customHeight="1" ht="14.25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x14ac:dyDescent="0.25" r="723" customHeight="1" ht="14.25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x14ac:dyDescent="0.25" r="724" customHeight="1" ht="14.25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x14ac:dyDescent="0.25" r="725" customHeight="1" ht="14.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x14ac:dyDescent="0.25" r="726" customHeight="1" ht="14.25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x14ac:dyDescent="0.25" r="727" customHeight="1" ht="14.25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x14ac:dyDescent="0.25" r="728" customHeight="1" ht="14.25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x14ac:dyDescent="0.25" r="729" customHeight="1" ht="14.25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x14ac:dyDescent="0.25" r="730" customHeight="1" ht="14.25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x14ac:dyDescent="0.25" r="731" customHeight="1" ht="14.25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x14ac:dyDescent="0.25" r="732" customHeight="1" ht="14.25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x14ac:dyDescent="0.25" r="733" customHeight="1" ht="14.25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x14ac:dyDescent="0.25" r="734" customHeight="1" ht="14.25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x14ac:dyDescent="0.25" r="735" customHeight="1" ht="14.2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x14ac:dyDescent="0.25" r="736" customHeight="1" ht="14.25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x14ac:dyDescent="0.25" r="737" customHeight="1" ht="14.25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x14ac:dyDescent="0.25" r="738" customHeight="1" ht="14.25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x14ac:dyDescent="0.25" r="739" customHeight="1" ht="14.25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x14ac:dyDescent="0.25" r="740" customHeight="1" ht="14.25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x14ac:dyDescent="0.25" r="741" customHeight="1" ht="14.25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x14ac:dyDescent="0.25" r="742" customHeight="1" ht="14.25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x14ac:dyDescent="0.25" r="743" customHeight="1" ht="14.25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x14ac:dyDescent="0.25" r="744" customHeight="1" ht="14.25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x14ac:dyDescent="0.25" r="745" customHeight="1" ht="14.2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x14ac:dyDescent="0.25" r="746" customHeight="1" ht="14.25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x14ac:dyDescent="0.25" r="747" customHeight="1" ht="14.25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x14ac:dyDescent="0.25" r="748" customHeight="1" ht="14.25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x14ac:dyDescent="0.25" r="749" customHeight="1" ht="14.25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x14ac:dyDescent="0.25" r="750" customHeight="1" ht="14.25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x14ac:dyDescent="0.25" r="751" customHeight="1" ht="14.25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x14ac:dyDescent="0.25" r="752" customHeight="1" ht="14.25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x14ac:dyDescent="0.25" r="753" customHeight="1" ht="14.25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x14ac:dyDescent="0.25" r="754" customHeight="1" ht="14.25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x14ac:dyDescent="0.25" r="755" customHeight="1" ht="14.2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x14ac:dyDescent="0.25" r="756" customHeight="1" ht="14.25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x14ac:dyDescent="0.25" r="757" customHeight="1" ht="14.25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x14ac:dyDescent="0.25" r="758" customHeight="1" ht="14.25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x14ac:dyDescent="0.25" r="759" customHeight="1" ht="14.25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x14ac:dyDescent="0.25" r="760" customHeight="1" ht="14.25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x14ac:dyDescent="0.25" r="761" customHeight="1" ht="14.25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x14ac:dyDescent="0.25" r="762" customHeight="1" ht="14.25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x14ac:dyDescent="0.25" r="763" customHeight="1" ht="14.25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x14ac:dyDescent="0.25" r="764" customHeight="1" ht="14.25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x14ac:dyDescent="0.25" r="765" customHeight="1" ht="14.2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x14ac:dyDescent="0.25" r="766" customHeight="1" ht="14.25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x14ac:dyDescent="0.25" r="767" customHeight="1" ht="14.25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x14ac:dyDescent="0.25" r="768" customHeight="1" ht="14.25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x14ac:dyDescent="0.25" r="769" customHeight="1" ht="14.25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x14ac:dyDescent="0.25" r="770" customHeight="1" ht="14.25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x14ac:dyDescent="0.25" r="771" customHeight="1" ht="14.25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x14ac:dyDescent="0.25" r="772" customHeight="1" ht="14.25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x14ac:dyDescent="0.25" r="773" customHeight="1" ht="14.25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x14ac:dyDescent="0.25" r="774" customHeight="1" ht="14.25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x14ac:dyDescent="0.25" r="775" customHeight="1" ht="14.2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x14ac:dyDescent="0.25" r="776" customHeight="1" ht="14.25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x14ac:dyDescent="0.25" r="777" customHeight="1" ht="14.25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x14ac:dyDescent="0.25" r="778" customHeight="1" ht="14.25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x14ac:dyDescent="0.25" r="779" customHeight="1" ht="14.25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x14ac:dyDescent="0.25" r="780" customHeight="1" ht="14.25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x14ac:dyDescent="0.25" r="781" customHeight="1" ht="14.25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x14ac:dyDescent="0.25" r="782" customHeight="1" ht="14.25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x14ac:dyDescent="0.25" r="783" customHeight="1" ht="14.25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x14ac:dyDescent="0.25" r="784" customHeight="1" ht="14.25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x14ac:dyDescent="0.25" r="785" customHeight="1" ht="14.2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x14ac:dyDescent="0.25" r="786" customHeight="1" ht="14.25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x14ac:dyDescent="0.25" r="787" customHeight="1" ht="14.25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x14ac:dyDescent="0.25" r="788" customHeight="1" ht="14.25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x14ac:dyDescent="0.25" r="789" customHeight="1" ht="14.25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x14ac:dyDescent="0.25" r="790" customHeight="1" ht="14.25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x14ac:dyDescent="0.25" r="791" customHeight="1" ht="14.25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x14ac:dyDescent="0.25" r="792" customHeight="1" ht="14.25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x14ac:dyDescent="0.25" r="793" customHeight="1" ht="14.25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x14ac:dyDescent="0.25" r="794" customHeight="1" ht="14.25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x14ac:dyDescent="0.25" r="795" customHeight="1" ht="14.2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x14ac:dyDescent="0.25" r="796" customHeight="1" ht="14.25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x14ac:dyDescent="0.25" r="797" customHeight="1" ht="14.25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x14ac:dyDescent="0.25" r="798" customHeight="1" ht="14.25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x14ac:dyDescent="0.25" r="799" customHeight="1" ht="14.25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x14ac:dyDescent="0.25" r="800" customHeight="1" ht="14.25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x14ac:dyDescent="0.25" r="801" customHeight="1" ht="14.25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x14ac:dyDescent="0.25" r="802" customHeight="1" ht="14.25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x14ac:dyDescent="0.25" r="803" customHeight="1" ht="14.25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x14ac:dyDescent="0.25" r="804" customHeight="1" ht="14.25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x14ac:dyDescent="0.25" r="805" customHeight="1" ht="14.2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x14ac:dyDescent="0.25" r="806" customHeight="1" ht="14.25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x14ac:dyDescent="0.25" r="807" customHeight="1" ht="14.25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x14ac:dyDescent="0.25" r="808" customHeight="1" ht="14.25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x14ac:dyDescent="0.25" r="809" customHeight="1" ht="14.25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x14ac:dyDescent="0.25" r="810" customHeight="1" ht="14.25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x14ac:dyDescent="0.25" r="811" customHeight="1" ht="14.25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x14ac:dyDescent="0.25" r="812" customHeight="1" ht="14.25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x14ac:dyDescent="0.25" r="813" customHeight="1" ht="14.25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x14ac:dyDescent="0.25" r="814" customHeight="1" ht="14.25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x14ac:dyDescent="0.25" r="815" customHeight="1" ht="14.2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x14ac:dyDescent="0.25" r="816" customHeight="1" ht="14.25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x14ac:dyDescent="0.25" r="817" customHeight="1" ht="14.25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x14ac:dyDescent="0.25" r="818" customHeight="1" ht="14.25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x14ac:dyDescent="0.25" r="819" customHeight="1" ht="14.25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x14ac:dyDescent="0.25" r="820" customHeight="1" ht="14.25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x14ac:dyDescent="0.25" r="821" customHeight="1" ht="14.25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x14ac:dyDescent="0.25" r="822" customHeight="1" ht="14.25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x14ac:dyDescent="0.25" r="823" customHeight="1" ht="14.25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x14ac:dyDescent="0.25" r="824" customHeight="1" ht="14.25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x14ac:dyDescent="0.25" r="825" customHeight="1" ht="14.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x14ac:dyDescent="0.25" r="826" customHeight="1" ht="14.25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x14ac:dyDescent="0.25" r="827" customHeight="1" ht="14.25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x14ac:dyDescent="0.25" r="828" customHeight="1" ht="14.25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x14ac:dyDescent="0.25" r="829" customHeight="1" ht="14.25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x14ac:dyDescent="0.25" r="830" customHeight="1" ht="14.25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x14ac:dyDescent="0.25" r="831" customHeight="1" ht="14.25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x14ac:dyDescent="0.25" r="832" customHeight="1" ht="14.25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x14ac:dyDescent="0.25" r="833" customHeight="1" ht="14.25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x14ac:dyDescent="0.25" r="834" customHeight="1" ht="14.25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x14ac:dyDescent="0.25" r="835" customHeight="1" ht="14.2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x14ac:dyDescent="0.25" r="836" customHeight="1" ht="14.25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x14ac:dyDescent="0.25" r="837" customHeight="1" ht="14.25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x14ac:dyDescent="0.25" r="838" customHeight="1" ht="14.25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x14ac:dyDescent="0.25" r="839" customHeight="1" ht="14.25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x14ac:dyDescent="0.25" r="840" customHeight="1" ht="14.25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x14ac:dyDescent="0.25" r="841" customHeight="1" ht="14.25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x14ac:dyDescent="0.25" r="842" customHeight="1" ht="14.25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x14ac:dyDescent="0.25" r="843" customHeight="1" ht="14.25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x14ac:dyDescent="0.25" r="844" customHeight="1" ht="14.25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x14ac:dyDescent="0.25" r="845" customHeight="1" ht="14.2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x14ac:dyDescent="0.25" r="846" customHeight="1" ht="14.25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x14ac:dyDescent="0.25" r="847" customHeight="1" ht="14.25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x14ac:dyDescent="0.25" r="848" customHeight="1" ht="14.25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x14ac:dyDescent="0.25" r="849" customHeight="1" ht="14.25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x14ac:dyDescent="0.25" r="850" customHeight="1" ht="14.25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x14ac:dyDescent="0.25" r="851" customHeight="1" ht="14.25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x14ac:dyDescent="0.25" r="852" customHeight="1" ht="14.25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x14ac:dyDescent="0.25" r="853" customHeight="1" ht="14.25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x14ac:dyDescent="0.25" r="854" customHeight="1" ht="14.25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x14ac:dyDescent="0.25" r="855" customHeight="1" ht="14.2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x14ac:dyDescent="0.25" r="856" customHeight="1" ht="14.25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x14ac:dyDescent="0.25" r="857" customHeight="1" ht="14.25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x14ac:dyDescent="0.25" r="858" customHeight="1" ht="14.25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x14ac:dyDescent="0.25" r="859" customHeight="1" ht="14.25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x14ac:dyDescent="0.25" r="860" customHeight="1" ht="14.25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x14ac:dyDescent="0.25" r="861" customHeight="1" ht="14.25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x14ac:dyDescent="0.25" r="862" customHeight="1" ht="14.25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x14ac:dyDescent="0.25" r="863" customHeight="1" ht="14.25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x14ac:dyDescent="0.25" r="864" customHeight="1" ht="14.25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x14ac:dyDescent="0.25" r="865" customHeight="1" ht="14.2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x14ac:dyDescent="0.25" r="866" customHeight="1" ht="14.25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x14ac:dyDescent="0.25" r="867" customHeight="1" ht="14.25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x14ac:dyDescent="0.25" r="868" customHeight="1" ht="14.25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x14ac:dyDescent="0.25" r="869" customHeight="1" ht="14.25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x14ac:dyDescent="0.25" r="870" customHeight="1" ht="14.25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x14ac:dyDescent="0.25" r="871" customHeight="1" ht="14.25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x14ac:dyDescent="0.25" r="872" customHeight="1" ht="14.25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x14ac:dyDescent="0.25" r="873" customHeight="1" ht="14.25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x14ac:dyDescent="0.25" r="874" customHeight="1" ht="14.25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x14ac:dyDescent="0.25" r="875" customHeight="1" ht="14.2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x14ac:dyDescent="0.25" r="876" customHeight="1" ht="14.25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x14ac:dyDescent="0.25" r="877" customHeight="1" ht="14.25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x14ac:dyDescent="0.25" r="878" customHeight="1" ht="14.25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x14ac:dyDescent="0.25" r="879" customHeight="1" ht="14.25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x14ac:dyDescent="0.25" r="880" customHeight="1" ht="14.25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x14ac:dyDescent="0.25" r="881" customHeight="1" ht="14.25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x14ac:dyDescent="0.25" r="882" customHeight="1" ht="14.25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x14ac:dyDescent="0.25" r="883" customHeight="1" ht="14.25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x14ac:dyDescent="0.25" r="884" customHeight="1" ht="14.25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x14ac:dyDescent="0.25" r="885" customHeight="1" ht="14.2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x14ac:dyDescent="0.25" r="886" customHeight="1" ht="14.25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x14ac:dyDescent="0.25" r="887" customHeight="1" ht="14.25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x14ac:dyDescent="0.25" r="888" customHeight="1" ht="14.25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x14ac:dyDescent="0.25" r="889" customHeight="1" ht="14.25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x14ac:dyDescent="0.25" r="890" customHeight="1" ht="14.25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x14ac:dyDescent="0.25" r="891" customHeight="1" ht="14.25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x14ac:dyDescent="0.25" r="892" customHeight="1" ht="14.25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x14ac:dyDescent="0.25" r="893" customHeight="1" ht="14.25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x14ac:dyDescent="0.25" r="894" customHeight="1" ht="14.25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x14ac:dyDescent="0.25" r="895" customHeight="1" ht="14.2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x14ac:dyDescent="0.25" r="896" customHeight="1" ht="14.25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x14ac:dyDescent="0.25" r="897" customHeight="1" ht="14.25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x14ac:dyDescent="0.25" r="898" customHeight="1" ht="14.25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x14ac:dyDescent="0.25" r="899" customHeight="1" ht="14.25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x14ac:dyDescent="0.25" r="900" customHeight="1" ht="14.25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x14ac:dyDescent="0.25" r="901" customHeight="1" ht="14.25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x14ac:dyDescent="0.25" r="902" customHeight="1" ht="14.25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x14ac:dyDescent="0.25" r="903" customHeight="1" ht="14.25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x14ac:dyDescent="0.25" r="904" customHeight="1" ht="14.25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x14ac:dyDescent="0.25" r="905" customHeight="1" ht="14.2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x14ac:dyDescent="0.25" r="906" customHeight="1" ht="14.25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x14ac:dyDescent="0.25" r="907" customHeight="1" ht="14.25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x14ac:dyDescent="0.25" r="908" customHeight="1" ht="14.25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x14ac:dyDescent="0.25" r="909" customHeight="1" ht="14.25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x14ac:dyDescent="0.25" r="910" customHeight="1" ht="14.25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x14ac:dyDescent="0.25" r="911" customHeight="1" ht="14.25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x14ac:dyDescent="0.25" r="912" customHeight="1" ht="14.25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x14ac:dyDescent="0.25" r="913" customHeight="1" ht="14.25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x14ac:dyDescent="0.25" r="914" customHeight="1" ht="14.25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x14ac:dyDescent="0.25" r="915" customHeight="1" ht="14.2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x14ac:dyDescent="0.25" r="916" customHeight="1" ht="14.25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x14ac:dyDescent="0.25" r="917" customHeight="1" ht="14.25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x14ac:dyDescent="0.25" r="918" customHeight="1" ht="14.25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x14ac:dyDescent="0.25" r="919" customHeight="1" ht="14.25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x14ac:dyDescent="0.25" r="920" customHeight="1" ht="14.25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x14ac:dyDescent="0.25" r="921" customHeight="1" ht="14.25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x14ac:dyDescent="0.25" r="922" customHeight="1" ht="14.25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x14ac:dyDescent="0.25" r="923" customHeight="1" ht="14.25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x14ac:dyDescent="0.25" r="924" customHeight="1" ht="14.25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x14ac:dyDescent="0.25" r="925" customHeight="1" ht="14.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x14ac:dyDescent="0.25" r="926" customHeight="1" ht="14.25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x14ac:dyDescent="0.25" r="927" customHeight="1" ht="14.25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x14ac:dyDescent="0.25" r="928" customHeight="1" ht="14.25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x14ac:dyDescent="0.25" r="929" customHeight="1" ht="14.25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x14ac:dyDescent="0.25" r="930" customHeight="1" ht="14.25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x14ac:dyDescent="0.25" r="931" customHeight="1" ht="14.25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x14ac:dyDescent="0.25" r="932" customHeight="1" ht="14.25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x14ac:dyDescent="0.25" r="933" customHeight="1" ht="14.25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x14ac:dyDescent="0.25" r="934" customHeight="1" ht="14.25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x14ac:dyDescent="0.25" r="935" customHeight="1" ht="14.2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x14ac:dyDescent="0.25" r="936" customHeight="1" ht="14.25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x14ac:dyDescent="0.25" r="937" customHeight="1" ht="14.25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x14ac:dyDescent="0.25" r="938" customHeight="1" ht="14.25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x14ac:dyDescent="0.25" r="939" customHeight="1" ht="14.25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x14ac:dyDescent="0.25" r="940" customHeight="1" ht="14.25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x14ac:dyDescent="0.25" r="941" customHeight="1" ht="14.25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x14ac:dyDescent="0.25" r="942" customHeight="1" ht="14.25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x14ac:dyDescent="0.25" r="943" customHeight="1" ht="14.25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x14ac:dyDescent="0.25" r="944" customHeight="1" ht="14.25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x14ac:dyDescent="0.25" r="945" customHeight="1" ht="14.2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x14ac:dyDescent="0.25" r="946" customHeight="1" ht="14.25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x14ac:dyDescent="0.25" r="947" customHeight="1" ht="14.25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x14ac:dyDescent="0.25" r="948" customHeight="1" ht="14.25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x14ac:dyDescent="0.25" r="949" customHeight="1" ht="14.25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x14ac:dyDescent="0.25" r="950" customHeight="1" ht="14.25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x14ac:dyDescent="0.25" r="951" customHeight="1" ht="14.25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x14ac:dyDescent="0.25" r="952" customHeight="1" ht="14.25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x14ac:dyDescent="0.25" r="953" customHeight="1" ht="14.25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x14ac:dyDescent="0.25" r="954" customHeight="1" ht="14.25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x14ac:dyDescent="0.25" r="955" customHeight="1" ht="14.2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x14ac:dyDescent="0.25" r="956" customHeight="1" ht="14.25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x14ac:dyDescent="0.25" r="957" customHeight="1" ht="14.25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x14ac:dyDescent="0.25" r="958" customHeight="1" ht="14.25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x14ac:dyDescent="0.25" r="959" customHeight="1" ht="14.25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x14ac:dyDescent="0.25" r="960" customHeight="1" ht="14.25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x14ac:dyDescent="0.25" r="961" customHeight="1" ht="14.25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x14ac:dyDescent="0.25" r="962" customHeight="1" ht="14.25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x14ac:dyDescent="0.25" r="963" customHeight="1" ht="14.25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x14ac:dyDescent="0.25" r="964" customHeight="1" ht="14.25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x14ac:dyDescent="0.25" r="965" customHeight="1" ht="14.2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x14ac:dyDescent="0.25" r="966" customHeight="1" ht="14.25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x14ac:dyDescent="0.25" r="967" customHeight="1" ht="14.25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x14ac:dyDescent="0.25" r="968" customHeight="1" ht="14.25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x14ac:dyDescent="0.25" r="969" customHeight="1" ht="14.25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x14ac:dyDescent="0.25" r="970" customHeight="1" ht="14.25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x14ac:dyDescent="0.25" r="971" customHeight="1" ht="14.25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x14ac:dyDescent="0.25" r="972" customHeight="1" ht="14.25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x14ac:dyDescent="0.25" r="973" customHeight="1" ht="14.25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x14ac:dyDescent="0.25" r="974" customHeight="1" ht="14.25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x14ac:dyDescent="0.25" r="975" customHeight="1" ht="14.2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x14ac:dyDescent="0.25" r="976" customHeight="1" ht="14.25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x14ac:dyDescent="0.25" r="977" customHeight="1" ht="14.25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x14ac:dyDescent="0.25" r="978" customHeight="1" ht="14.25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x14ac:dyDescent="0.25" r="979" customHeight="1" ht="14.25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x14ac:dyDescent="0.25" r="980" customHeight="1" ht="14.25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x14ac:dyDescent="0.25" r="981" customHeight="1" ht="14.25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x14ac:dyDescent="0.25" r="982" customHeight="1" ht="14.25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x14ac:dyDescent="0.25" r="983" customHeight="1" ht="14.25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x14ac:dyDescent="0.25" r="984" customHeight="1" ht="14.25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x14ac:dyDescent="0.25" r="985" customHeight="1" ht="14.2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x14ac:dyDescent="0.25" r="986" customHeight="1" ht="14.25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x14ac:dyDescent="0.25" r="987" customHeight="1" ht="14.25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x14ac:dyDescent="0.25" r="988" customHeight="1" ht="14.25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x14ac:dyDescent="0.25" r="989" customHeight="1" ht="14.25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x14ac:dyDescent="0.25" r="990" customHeight="1" ht="14.25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x14ac:dyDescent="0.25" r="991" customHeight="1" ht="14.25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x14ac:dyDescent="0.25" r="992" customHeight="1" ht="14.25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x14ac:dyDescent="0.25" r="993" customHeight="1" ht="14.25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x14ac:dyDescent="0.25" r="994" customHeight="1" ht="14.25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x14ac:dyDescent="0.25" r="995" customHeight="1" ht="14.2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x14ac:dyDescent="0.25" r="996" customHeight="1" ht="14.25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x14ac:dyDescent="0.25" r="997" customHeight="1" ht="14.25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x14ac:dyDescent="0.25" r="998" customHeight="1" ht="14.25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x14ac:dyDescent="0.25" r="999" customHeight="1" ht="14.25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x14ac:dyDescent="0.25" r="1000" customHeight="1" ht="14.25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mergeCells count="1">
    <mergeCell ref="A24:G2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3" width="2.5764285714285715" customWidth="1" bestFit="1"/>
    <col min="2" max="2" style="13" width="44.71928571428572" customWidth="1" bestFit="1"/>
    <col min="3" max="3" style="13" width="41.71928571428572" customWidth="1" bestFit="1"/>
    <col min="4" max="4" style="13" width="44.005" customWidth="1" bestFit="1"/>
    <col min="5" max="5" style="13" width="12.719285714285713" customWidth="1" bestFit="1"/>
    <col min="6" max="6" style="13" width="12.719285714285713" customWidth="1" bestFit="1"/>
    <col min="7" max="7" style="13" width="12.719285714285713" customWidth="1" bestFit="1"/>
    <col min="8" max="8" style="13" width="8.719285714285713" customWidth="1" bestFit="1"/>
    <col min="9" max="9" style="13" width="8.719285714285713" customWidth="1" bestFit="1"/>
    <col min="10" max="10" style="13" width="8.719285714285713" customWidth="1" bestFit="1"/>
    <col min="11" max="11" style="13" width="8.719285714285713" customWidth="1" bestFit="1"/>
    <col min="12" max="12" style="13" width="8.719285714285713" customWidth="1" bestFit="1"/>
    <col min="13" max="13" style="13" width="8.719285714285713" customWidth="1" bestFit="1"/>
    <col min="14" max="14" style="13" width="8.719285714285713" customWidth="1" bestFit="1"/>
    <col min="15" max="15" style="13" width="8.719285714285713" customWidth="1" bestFit="1"/>
    <col min="16" max="16" style="13" width="8.719285714285713" customWidth="1" bestFit="1"/>
    <col min="17" max="17" style="13" width="8.719285714285713" customWidth="1" bestFit="1"/>
    <col min="18" max="18" style="13" width="8.719285714285713" customWidth="1" bestFit="1"/>
    <col min="19" max="19" style="13" width="8.719285714285713" customWidth="1" bestFit="1"/>
    <col min="20" max="20" style="13" width="8.719285714285713" customWidth="1" bestFit="1"/>
    <col min="21" max="21" style="13" width="8.719285714285713" customWidth="1" bestFit="1"/>
    <col min="22" max="22" style="13" width="8.719285714285713" customWidth="1" bestFit="1"/>
    <col min="23" max="23" style="13" width="8.719285714285713" customWidth="1" bestFit="1"/>
    <col min="24" max="24" style="13" width="8.719285714285713" customWidth="1" bestFit="1"/>
    <col min="25" max="25" style="13" width="8.719285714285713" customWidth="1" bestFit="1"/>
    <col min="26" max="26" style="13" width="8.719285714285713" customWidth="1" bestFit="1"/>
  </cols>
  <sheetData>
    <row x14ac:dyDescent="0.25" r="1" customHeight="1" ht="9.75">
      <c r="A1" s="19"/>
      <c r="B1" s="19"/>
      <c r="C1" s="19"/>
      <c r="D1" s="19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x14ac:dyDescent="0.25" r="2" customHeight="1" ht="14.25">
      <c r="A2" s="19"/>
      <c r="B2" s="64" t="s">
        <v>392</v>
      </c>
      <c r="C2" s="64" t="s">
        <v>393</v>
      </c>
      <c r="D2" s="64" t="s">
        <v>394</v>
      </c>
      <c r="E2" s="65" t="s">
        <v>395</v>
      </c>
      <c r="F2" s="17"/>
      <c r="G2" s="18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x14ac:dyDescent="0.25" r="3" customHeight="1" ht="16.5">
      <c r="A3" s="19"/>
      <c r="B3" s="66"/>
      <c r="C3" s="66"/>
      <c r="D3" s="66"/>
      <c r="E3" s="67" t="s">
        <v>396</v>
      </c>
      <c r="F3" s="67" t="s">
        <v>397</v>
      </c>
      <c r="G3" s="67" t="s">
        <v>398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x14ac:dyDescent="0.25" r="4" customHeight="1" ht="19.5">
      <c r="A4" s="19"/>
      <c r="B4" s="32" t="s">
        <v>399</v>
      </c>
      <c r="C4" s="32" t="s">
        <v>400</v>
      </c>
      <c r="D4" s="32" t="s">
        <v>401</v>
      </c>
      <c r="E4" s="68" t="s">
        <v>402</v>
      </c>
      <c r="F4" s="69"/>
      <c r="G4" s="69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x14ac:dyDescent="0.25" r="5" customHeight="1" ht="19.5">
      <c r="A5" s="19"/>
      <c r="B5" s="32" t="s">
        <v>403</v>
      </c>
      <c r="C5" s="32" t="s">
        <v>400</v>
      </c>
      <c r="D5" s="32" t="s">
        <v>404</v>
      </c>
      <c r="E5" s="68" t="s">
        <v>402</v>
      </c>
      <c r="F5" s="69"/>
      <c r="G5" s="6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x14ac:dyDescent="0.25" r="6" customHeight="1" ht="40.5">
      <c r="A6" s="19"/>
      <c r="B6" s="32" t="s">
        <v>405</v>
      </c>
      <c r="C6" s="32" t="s">
        <v>406</v>
      </c>
      <c r="D6" s="32" t="s">
        <v>407</v>
      </c>
      <c r="E6" s="68" t="s">
        <v>402</v>
      </c>
      <c r="F6" s="69"/>
      <c r="G6" s="68" t="s">
        <v>402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x14ac:dyDescent="0.25" r="7" customHeight="1" ht="42.75">
      <c r="A7" s="19"/>
      <c r="B7" s="32" t="s">
        <v>408</v>
      </c>
      <c r="C7" s="32" t="s">
        <v>400</v>
      </c>
      <c r="D7" s="32" t="s">
        <v>409</v>
      </c>
      <c r="E7" s="68" t="s">
        <v>402</v>
      </c>
      <c r="F7" s="69"/>
      <c r="G7" s="68" t="s">
        <v>402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x14ac:dyDescent="0.25" r="8" customHeight="1" ht="19.5">
      <c r="A8" s="19"/>
      <c r="B8" s="32" t="s">
        <v>410</v>
      </c>
      <c r="C8" s="32" t="s">
        <v>400</v>
      </c>
      <c r="D8" s="32" t="s">
        <v>411</v>
      </c>
      <c r="E8" s="68" t="s">
        <v>402</v>
      </c>
      <c r="F8" s="68" t="s">
        <v>402</v>
      </c>
      <c r="G8" s="69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x14ac:dyDescent="0.25" r="9" customHeight="1" ht="42">
      <c r="A9" s="19"/>
      <c r="B9" s="47" t="s">
        <v>412</v>
      </c>
      <c r="C9" s="32" t="s">
        <v>400</v>
      </c>
      <c r="D9" s="32" t="s">
        <v>413</v>
      </c>
      <c r="E9" s="68" t="s">
        <v>402</v>
      </c>
      <c r="F9" s="69"/>
      <c r="G9" s="68" t="s">
        <v>402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x14ac:dyDescent="0.25" r="10" customHeight="1" ht="19.5">
      <c r="A10" s="19"/>
      <c r="B10" s="32" t="s">
        <v>414</v>
      </c>
      <c r="C10" s="32" t="s">
        <v>415</v>
      </c>
      <c r="D10" s="32" t="s">
        <v>416</v>
      </c>
      <c r="E10" s="68" t="s">
        <v>402</v>
      </c>
      <c r="F10" s="68" t="s">
        <v>402</v>
      </c>
      <c r="G10" s="69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x14ac:dyDescent="0.25" r="11" customHeight="1" ht="19.5">
      <c r="A11" s="19"/>
      <c r="B11" s="32" t="s">
        <v>417</v>
      </c>
      <c r="C11" s="32" t="s">
        <v>400</v>
      </c>
      <c r="D11" s="32" t="s">
        <v>418</v>
      </c>
      <c r="E11" s="68" t="s">
        <v>402</v>
      </c>
      <c r="F11" s="69"/>
      <c r="G11" s="68" t="s">
        <v>402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x14ac:dyDescent="0.25" r="12" customHeight="1" ht="42">
      <c r="A12" s="19"/>
      <c r="B12" s="24" t="s">
        <v>419</v>
      </c>
      <c r="C12" s="24" t="s">
        <v>420</v>
      </c>
      <c r="D12" s="24" t="s">
        <v>421</v>
      </c>
      <c r="E12" s="69"/>
      <c r="F12" s="69"/>
      <c r="G12" s="6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x14ac:dyDescent="0.25" r="13" customHeight="1" ht="19.5">
      <c r="A13" s="19"/>
      <c r="B13" s="47" t="s">
        <v>422</v>
      </c>
      <c r="C13" s="32" t="s">
        <v>400</v>
      </c>
      <c r="D13" s="32" t="s">
        <v>423</v>
      </c>
      <c r="E13" s="68"/>
      <c r="F13" s="69"/>
      <c r="G13" s="68" t="s">
        <v>402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x14ac:dyDescent="0.25" r="14" customHeight="1" ht="19.5">
      <c r="A14" s="19"/>
      <c r="B14" s="70"/>
      <c r="C14" s="70"/>
      <c r="D14" s="70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x14ac:dyDescent="0.25" r="15" customHeight="1" ht="19.5">
      <c r="A15" s="19"/>
      <c r="B15" s="70"/>
      <c r="C15" s="70"/>
      <c r="D15" s="70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x14ac:dyDescent="0.25" r="16" customHeight="1" ht="19.5">
      <c r="A16" s="19"/>
      <c r="B16" s="70"/>
      <c r="C16" s="70"/>
      <c r="D16" s="70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x14ac:dyDescent="0.25" r="17" customHeight="1" ht="19.5">
      <c r="A17" s="19"/>
      <c r="B17" s="70"/>
      <c r="C17" s="70"/>
      <c r="D17" s="70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x14ac:dyDescent="0.25" r="18" customHeight="1" ht="19.5">
      <c r="A18" s="19"/>
      <c r="B18" s="70"/>
      <c r="C18" s="70"/>
      <c r="D18" s="70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x14ac:dyDescent="0.25" r="19" customHeight="1" ht="19.5">
      <c r="A19" s="19"/>
      <c r="B19" s="70"/>
      <c r="C19" s="70"/>
      <c r="D19" s="70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x14ac:dyDescent="0.25" r="20" customHeight="1" ht="19.5">
      <c r="A20" s="19"/>
      <c r="B20" s="70"/>
      <c r="C20" s="70"/>
      <c r="D20" s="70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x14ac:dyDescent="0.25" r="21" customHeight="1" ht="15.75">
      <c r="A21" s="19"/>
      <c r="B21" s="70"/>
      <c r="C21" s="70"/>
      <c r="D21" s="70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x14ac:dyDescent="0.25" r="22" customHeight="1" ht="15.75">
      <c r="A22" s="19"/>
      <c r="B22" s="70"/>
      <c r="C22" s="70"/>
      <c r="D22" s="70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x14ac:dyDescent="0.25" r="23" customHeight="1" ht="15.75">
      <c r="A23" s="19"/>
      <c r="B23" s="70"/>
      <c r="C23" s="70"/>
      <c r="D23" s="70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x14ac:dyDescent="0.25" r="24" customHeight="1" ht="15.75">
      <c r="A24" s="19"/>
      <c r="B24" s="70"/>
      <c r="C24" s="70"/>
      <c r="D24" s="70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x14ac:dyDescent="0.25" r="25" customHeight="1" ht="15.75">
      <c r="A25" s="19"/>
      <c r="B25" s="70"/>
      <c r="C25" s="70"/>
      <c r="D25" s="70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x14ac:dyDescent="0.25" r="26" customHeight="1" ht="15.75">
      <c r="A26" s="19"/>
      <c r="B26" s="70"/>
      <c r="C26" s="70"/>
      <c r="D26" s="70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x14ac:dyDescent="0.25" r="27" customHeight="1" ht="15.75">
      <c r="A27" s="19"/>
      <c r="B27" s="70"/>
      <c r="C27" s="70"/>
      <c r="D27" s="70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x14ac:dyDescent="0.25" r="28" customHeight="1" ht="15.75">
      <c r="A28" s="19"/>
      <c r="B28" s="70"/>
      <c r="C28" s="70"/>
      <c r="D28" s="70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x14ac:dyDescent="0.25" r="29" customHeight="1" ht="15.75">
      <c r="A29" s="19"/>
      <c r="B29" s="70"/>
      <c r="C29" s="70"/>
      <c r="D29" s="70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x14ac:dyDescent="0.25" r="30" customHeight="1" ht="15.75">
      <c r="A30" s="19"/>
      <c r="B30" s="70"/>
      <c r="C30" s="70"/>
      <c r="D30" s="70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x14ac:dyDescent="0.25" r="31" customHeight="1" ht="15.75">
      <c r="A31" s="19"/>
      <c r="B31" s="70"/>
      <c r="C31" s="70"/>
      <c r="D31" s="70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x14ac:dyDescent="0.25" r="32" customHeight="1" ht="15.75">
      <c r="A32" s="19"/>
      <c r="B32" s="70"/>
      <c r="C32" s="70"/>
      <c r="D32" s="70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x14ac:dyDescent="0.25" r="33" customHeight="1" ht="15.75">
      <c r="A33" s="19"/>
      <c r="B33" s="70"/>
      <c r="C33" s="70"/>
      <c r="D33" s="70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x14ac:dyDescent="0.25" r="34" customHeight="1" ht="15.75">
      <c r="A34" s="19"/>
      <c r="B34" s="70"/>
      <c r="C34" s="70"/>
      <c r="D34" s="70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x14ac:dyDescent="0.25" r="35" customHeight="1" ht="15.75">
      <c r="A35" s="19"/>
      <c r="B35" s="70"/>
      <c r="C35" s="70"/>
      <c r="D35" s="70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x14ac:dyDescent="0.25" r="36" customHeight="1" ht="15.75">
      <c r="A36" s="19"/>
      <c r="B36" s="70"/>
      <c r="C36" s="70"/>
      <c r="D36" s="70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x14ac:dyDescent="0.25" r="37" customHeight="1" ht="15.75">
      <c r="A37" s="19"/>
      <c r="B37" s="70"/>
      <c r="C37" s="70"/>
      <c r="D37" s="70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x14ac:dyDescent="0.25" r="38" customHeight="1" ht="15.75">
      <c r="A38" s="19"/>
      <c r="B38" s="70"/>
      <c r="C38" s="70"/>
      <c r="D38" s="70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x14ac:dyDescent="0.25" r="39" customHeight="1" ht="15.75">
      <c r="A39" s="19"/>
      <c r="B39" s="70"/>
      <c r="C39" s="70"/>
      <c r="D39" s="70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x14ac:dyDescent="0.25" r="40" customHeight="1" ht="15.75">
      <c r="A40" s="19"/>
      <c r="B40" s="70"/>
      <c r="C40" s="70"/>
      <c r="D40" s="70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x14ac:dyDescent="0.25" r="41" customHeight="1" ht="15.75">
      <c r="A41" s="19"/>
      <c r="B41" s="70"/>
      <c r="C41" s="70"/>
      <c r="D41" s="70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x14ac:dyDescent="0.25" r="42" customHeight="1" ht="15.75">
      <c r="A42" s="19"/>
      <c r="B42" s="70"/>
      <c r="C42" s="70"/>
      <c r="D42" s="70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x14ac:dyDescent="0.25" r="43" customHeight="1" ht="15.75">
      <c r="A43" s="19"/>
      <c r="B43" s="70"/>
      <c r="C43" s="70"/>
      <c r="D43" s="70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x14ac:dyDescent="0.25" r="44" customHeight="1" ht="15.75">
      <c r="A44" s="19"/>
      <c r="B44" s="70"/>
      <c r="C44" s="70"/>
      <c r="D44" s="70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x14ac:dyDescent="0.25" r="45" customHeight="1" ht="15.75">
      <c r="A45" s="19"/>
      <c r="B45" s="70"/>
      <c r="C45" s="70"/>
      <c r="D45" s="70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x14ac:dyDescent="0.25" r="46" customHeight="1" ht="15.75">
      <c r="A46" s="19"/>
      <c r="B46" s="70"/>
      <c r="C46" s="70"/>
      <c r="D46" s="70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x14ac:dyDescent="0.25" r="47" customHeight="1" ht="15.75">
      <c r="A47" s="19"/>
      <c r="B47" s="70"/>
      <c r="C47" s="70"/>
      <c r="D47" s="70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x14ac:dyDescent="0.25" r="48" customHeight="1" ht="15.75">
      <c r="A48" s="19"/>
      <c r="B48" s="70"/>
      <c r="C48" s="70"/>
      <c r="D48" s="70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x14ac:dyDescent="0.25" r="49" customHeight="1" ht="15.75">
      <c r="A49" s="19"/>
      <c r="B49" s="70"/>
      <c r="C49" s="70"/>
      <c r="D49" s="70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x14ac:dyDescent="0.25" r="50" customHeight="1" ht="15.75">
      <c r="A50" s="19"/>
      <c r="B50" s="70"/>
      <c r="C50" s="70"/>
      <c r="D50" s="70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x14ac:dyDescent="0.25" r="51" customHeight="1" ht="15.75">
      <c r="A51" s="19"/>
      <c r="B51" s="70"/>
      <c r="C51" s="70"/>
      <c r="D51" s="70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x14ac:dyDescent="0.25" r="52" customHeight="1" ht="15.75">
      <c r="A52" s="19"/>
      <c r="B52" s="70"/>
      <c r="C52" s="70"/>
      <c r="D52" s="70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x14ac:dyDescent="0.25" r="53" customHeight="1" ht="15.75">
      <c r="A53" s="19"/>
      <c r="B53" s="70"/>
      <c r="C53" s="70"/>
      <c r="D53" s="70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x14ac:dyDescent="0.25" r="54" customHeight="1" ht="15.75">
      <c r="A54" s="19"/>
      <c r="B54" s="70"/>
      <c r="C54" s="70"/>
      <c r="D54" s="70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x14ac:dyDescent="0.25" r="55" customHeight="1" ht="15.75">
      <c r="A55" s="19"/>
      <c r="B55" s="70"/>
      <c r="C55" s="70"/>
      <c r="D55" s="70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x14ac:dyDescent="0.25" r="56" customHeight="1" ht="15.75">
      <c r="A56" s="19"/>
      <c r="B56" s="70"/>
      <c r="C56" s="70"/>
      <c r="D56" s="70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x14ac:dyDescent="0.25" r="57" customHeight="1" ht="15.75">
      <c r="A57" s="19"/>
      <c r="B57" s="70"/>
      <c r="C57" s="70"/>
      <c r="D57" s="70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x14ac:dyDescent="0.25" r="58" customHeight="1" ht="15.75">
      <c r="A58" s="19"/>
      <c r="B58" s="70"/>
      <c r="C58" s="70"/>
      <c r="D58" s="70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x14ac:dyDescent="0.25" r="59" customHeight="1" ht="15.75">
      <c r="A59" s="19"/>
      <c r="B59" s="70"/>
      <c r="C59" s="70"/>
      <c r="D59" s="70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x14ac:dyDescent="0.25" r="60" customHeight="1" ht="15.75">
      <c r="A60" s="19"/>
      <c r="B60" s="70"/>
      <c r="C60" s="70"/>
      <c r="D60" s="70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x14ac:dyDescent="0.25" r="61" customHeight="1" ht="15.75">
      <c r="A61" s="19"/>
      <c r="B61" s="70"/>
      <c r="C61" s="70"/>
      <c r="D61" s="70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x14ac:dyDescent="0.25" r="62" customHeight="1" ht="15.75">
      <c r="A62" s="19"/>
      <c r="B62" s="70"/>
      <c r="C62" s="70"/>
      <c r="D62" s="70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x14ac:dyDescent="0.25" r="63" customHeight="1" ht="15.75">
      <c r="A63" s="19"/>
      <c r="B63" s="70"/>
      <c r="C63" s="70"/>
      <c r="D63" s="70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x14ac:dyDescent="0.25" r="64" customHeight="1" ht="15.75">
      <c r="A64" s="19"/>
      <c r="B64" s="70"/>
      <c r="C64" s="70"/>
      <c r="D64" s="70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x14ac:dyDescent="0.25" r="65" customHeight="1" ht="15.75">
      <c r="A65" s="19"/>
      <c r="B65" s="70"/>
      <c r="C65" s="70"/>
      <c r="D65" s="70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x14ac:dyDescent="0.25" r="66" customHeight="1" ht="15.75">
      <c r="A66" s="19"/>
      <c r="B66" s="70"/>
      <c r="C66" s="70"/>
      <c r="D66" s="70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x14ac:dyDescent="0.25" r="67" customHeight="1" ht="15.75">
      <c r="A67" s="19"/>
      <c r="B67" s="70"/>
      <c r="C67" s="70"/>
      <c r="D67" s="70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x14ac:dyDescent="0.25" r="68" customHeight="1" ht="15.75">
      <c r="A68" s="19"/>
      <c r="B68" s="70"/>
      <c r="C68" s="70"/>
      <c r="D68" s="70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x14ac:dyDescent="0.25" r="69" customHeight="1" ht="15.75">
      <c r="A69" s="19"/>
      <c r="B69" s="70"/>
      <c r="C69" s="70"/>
      <c r="D69" s="70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x14ac:dyDescent="0.25" r="70" customHeight="1" ht="15.75">
      <c r="A70" s="19"/>
      <c r="B70" s="70"/>
      <c r="C70" s="70"/>
      <c r="D70" s="70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x14ac:dyDescent="0.25" r="71" customHeight="1" ht="15.75">
      <c r="A71" s="19"/>
      <c r="B71" s="70"/>
      <c r="C71" s="70"/>
      <c r="D71" s="70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x14ac:dyDescent="0.25" r="72" customHeight="1" ht="15.75">
      <c r="A72" s="19"/>
      <c r="B72" s="70"/>
      <c r="C72" s="70"/>
      <c r="D72" s="70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x14ac:dyDescent="0.25" r="73" customHeight="1" ht="15.75">
      <c r="A73" s="19"/>
      <c r="B73" s="70"/>
      <c r="C73" s="70"/>
      <c r="D73" s="70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x14ac:dyDescent="0.25" r="74" customHeight="1" ht="15.75">
      <c r="A74" s="19"/>
      <c r="B74" s="70"/>
      <c r="C74" s="70"/>
      <c r="D74" s="70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x14ac:dyDescent="0.25" r="75" customHeight="1" ht="15.75">
      <c r="A75" s="19"/>
      <c r="B75" s="70"/>
      <c r="C75" s="70"/>
      <c r="D75" s="70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x14ac:dyDescent="0.25" r="76" customHeight="1" ht="15.75">
      <c r="A76" s="19"/>
      <c r="B76" s="70"/>
      <c r="C76" s="70"/>
      <c r="D76" s="70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x14ac:dyDescent="0.25" r="77" customHeight="1" ht="15.75">
      <c r="A77" s="19"/>
      <c r="B77" s="70"/>
      <c r="C77" s="70"/>
      <c r="D77" s="70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x14ac:dyDescent="0.25" r="78" customHeight="1" ht="15.75">
      <c r="A78" s="19"/>
      <c r="B78" s="70"/>
      <c r="C78" s="70"/>
      <c r="D78" s="70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x14ac:dyDescent="0.25" r="79" customHeight="1" ht="15.75">
      <c r="A79" s="19"/>
      <c r="B79" s="70"/>
      <c r="C79" s="70"/>
      <c r="D79" s="70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x14ac:dyDescent="0.25" r="80" customHeight="1" ht="15.75">
      <c r="A80" s="19"/>
      <c r="B80" s="70"/>
      <c r="C80" s="70"/>
      <c r="D80" s="70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x14ac:dyDescent="0.25" r="81" customHeight="1" ht="15.75">
      <c r="A81" s="19"/>
      <c r="B81" s="70"/>
      <c r="C81" s="70"/>
      <c r="D81" s="70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x14ac:dyDescent="0.25" r="82" customHeight="1" ht="15.75">
      <c r="A82" s="19"/>
      <c r="B82" s="70"/>
      <c r="C82" s="70"/>
      <c r="D82" s="70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x14ac:dyDescent="0.25" r="83" customHeight="1" ht="15.75">
      <c r="A83" s="19"/>
      <c r="B83" s="70"/>
      <c r="C83" s="70"/>
      <c r="D83" s="70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x14ac:dyDescent="0.25" r="84" customHeight="1" ht="15.75">
      <c r="A84" s="19"/>
      <c r="B84" s="70"/>
      <c r="C84" s="70"/>
      <c r="D84" s="70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x14ac:dyDescent="0.25" r="85" customHeight="1" ht="15.75">
      <c r="A85" s="19"/>
      <c r="B85" s="70"/>
      <c r="C85" s="70"/>
      <c r="D85" s="70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x14ac:dyDescent="0.25" r="86" customHeight="1" ht="15.75">
      <c r="A86" s="19"/>
      <c r="B86" s="70"/>
      <c r="C86" s="70"/>
      <c r="D86" s="70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x14ac:dyDescent="0.25" r="87" customHeight="1" ht="15.75">
      <c r="A87" s="19"/>
      <c r="B87" s="70"/>
      <c r="C87" s="70"/>
      <c r="D87" s="70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x14ac:dyDescent="0.25" r="88" customHeight="1" ht="15.75">
      <c r="A88" s="19"/>
      <c r="B88" s="70"/>
      <c r="C88" s="70"/>
      <c r="D88" s="70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x14ac:dyDescent="0.25" r="89" customHeight="1" ht="15.75">
      <c r="A89" s="19"/>
      <c r="B89" s="19"/>
      <c r="C89" s="19"/>
      <c r="D89" s="19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x14ac:dyDescent="0.25" r="90" customHeight="1" ht="15.75">
      <c r="A90" s="19"/>
      <c r="B90" s="19"/>
      <c r="C90" s="19"/>
      <c r="D90" s="19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x14ac:dyDescent="0.25" r="91" customHeight="1" ht="15.75">
      <c r="A91" s="19"/>
      <c r="B91" s="19"/>
      <c r="C91" s="19"/>
      <c r="D91" s="19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x14ac:dyDescent="0.25" r="92" customHeight="1" ht="15.75">
      <c r="A92" s="19"/>
      <c r="B92" s="19"/>
      <c r="C92" s="19"/>
      <c r="D92" s="19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x14ac:dyDescent="0.25" r="93" customHeight="1" ht="15.75">
      <c r="A93" s="19"/>
      <c r="B93" s="19"/>
      <c r="C93" s="19"/>
      <c r="D93" s="19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x14ac:dyDescent="0.25" r="94" customHeight="1" ht="15.75">
      <c r="A94" s="19"/>
      <c r="B94" s="19"/>
      <c r="C94" s="19"/>
      <c r="D94" s="19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x14ac:dyDescent="0.25" r="95" customHeight="1" ht="15.75">
      <c r="A95" s="19"/>
      <c r="B95" s="19"/>
      <c r="C95" s="19"/>
      <c r="D95" s="19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x14ac:dyDescent="0.25" r="96" customHeight="1" ht="15.75">
      <c r="A96" s="19"/>
      <c r="B96" s="19"/>
      <c r="C96" s="19"/>
      <c r="D96" s="19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x14ac:dyDescent="0.25" r="97" customHeight="1" ht="15.75">
      <c r="A97" s="19"/>
      <c r="B97" s="19"/>
      <c r="C97" s="19"/>
      <c r="D97" s="19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x14ac:dyDescent="0.25" r="98" customHeight="1" ht="15.75">
      <c r="A98" s="19"/>
      <c r="B98" s="19"/>
      <c r="C98" s="19"/>
      <c r="D98" s="19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x14ac:dyDescent="0.25" r="99" customHeight="1" ht="15.75">
      <c r="A99" s="19"/>
      <c r="B99" s="19"/>
      <c r="C99" s="19"/>
      <c r="D99" s="19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x14ac:dyDescent="0.25" r="100" customHeight="1" ht="15.75">
      <c r="A100" s="19"/>
      <c r="B100" s="19"/>
      <c r="C100" s="19"/>
      <c r="D100" s="19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x14ac:dyDescent="0.25" r="101" customHeight="1" ht="15.75">
      <c r="A101" s="19"/>
      <c r="B101" s="19"/>
      <c r="C101" s="19"/>
      <c r="D101" s="19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x14ac:dyDescent="0.25" r="102" customHeight="1" ht="15.75">
      <c r="A102" s="19"/>
      <c r="B102" s="19"/>
      <c r="C102" s="19"/>
      <c r="D102" s="19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x14ac:dyDescent="0.25" r="103" customHeight="1" ht="15.75">
      <c r="A103" s="19"/>
      <c r="B103" s="19"/>
      <c r="C103" s="19"/>
      <c r="D103" s="19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x14ac:dyDescent="0.25" r="104" customHeight="1" ht="15.75">
      <c r="A104" s="19"/>
      <c r="B104" s="19"/>
      <c r="C104" s="19"/>
      <c r="D104" s="19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x14ac:dyDescent="0.25" r="105" customHeight="1" ht="15.75">
      <c r="A105" s="19"/>
      <c r="B105" s="19"/>
      <c r="C105" s="19"/>
      <c r="D105" s="19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x14ac:dyDescent="0.25" r="106" customHeight="1" ht="15.75">
      <c r="A106" s="19"/>
      <c r="B106" s="19"/>
      <c r="C106" s="19"/>
      <c r="D106" s="19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x14ac:dyDescent="0.25" r="107" customHeight="1" ht="15.75">
      <c r="A107" s="19"/>
      <c r="B107" s="19"/>
      <c r="C107" s="19"/>
      <c r="D107" s="19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x14ac:dyDescent="0.25" r="108" customHeight="1" ht="15.75">
      <c r="A108" s="19"/>
      <c r="B108" s="19"/>
      <c r="C108" s="19"/>
      <c r="D108" s="19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x14ac:dyDescent="0.25" r="109" customHeight="1" ht="15.75">
      <c r="A109" s="19"/>
      <c r="B109" s="19"/>
      <c r="C109" s="19"/>
      <c r="D109" s="19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x14ac:dyDescent="0.25" r="110" customHeight="1" ht="15.75">
      <c r="A110" s="19"/>
      <c r="B110" s="19"/>
      <c r="C110" s="19"/>
      <c r="D110" s="19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x14ac:dyDescent="0.25" r="111" customHeight="1" ht="15.75">
      <c r="A111" s="19"/>
      <c r="B111" s="19"/>
      <c r="C111" s="19"/>
      <c r="D111" s="19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x14ac:dyDescent="0.25" r="112" customHeight="1" ht="15.75">
      <c r="A112" s="19"/>
      <c r="B112" s="19"/>
      <c r="C112" s="19"/>
      <c r="D112" s="19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x14ac:dyDescent="0.25" r="113" customHeight="1" ht="15.75">
      <c r="A113" s="19"/>
      <c r="B113" s="19"/>
      <c r="C113" s="19"/>
      <c r="D113" s="19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x14ac:dyDescent="0.25" r="114" customHeight="1" ht="15.75">
      <c r="A114" s="19"/>
      <c r="B114" s="19"/>
      <c r="C114" s="19"/>
      <c r="D114" s="19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x14ac:dyDescent="0.25" r="115" customHeight="1" ht="15.75">
      <c r="A115" s="19"/>
      <c r="B115" s="19"/>
      <c r="C115" s="19"/>
      <c r="D115" s="19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x14ac:dyDescent="0.25" r="116" customHeight="1" ht="15.75">
      <c r="A116" s="19"/>
      <c r="B116" s="19"/>
      <c r="C116" s="19"/>
      <c r="D116" s="19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x14ac:dyDescent="0.25" r="117" customHeight="1" ht="15.75">
      <c r="A117" s="19"/>
      <c r="B117" s="19"/>
      <c r="C117" s="19"/>
      <c r="D117" s="19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x14ac:dyDescent="0.25" r="118" customHeight="1" ht="15.75">
      <c r="A118" s="19"/>
      <c r="B118" s="19"/>
      <c r="C118" s="19"/>
      <c r="D118" s="19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x14ac:dyDescent="0.25" r="119" customHeight="1" ht="15.75">
      <c r="A119" s="19"/>
      <c r="B119" s="19"/>
      <c r="C119" s="19"/>
      <c r="D119" s="19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x14ac:dyDescent="0.25" r="120" customHeight="1" ht="15.75">
      <c r="A120" s="19"/>
      <c r="B120" s="19"/>
      <c r="C120" s="19"/>
      <c r="D120" s="19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x14ac:dyDescent="0.25" r="121" customHeight="1" ht="15.75">
      <c r="A121" s="19"/>
      <c r="B121" s="19"/>
      <c r="C121" s="19"/>
      <c r="D121" s="19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x14ac:dyDescent="0.25" r="122" customHeight="1" ht="15.75">
      <c r="A122" s="19"/>
      <c r="B122" s="19"/>
      <c r="C122" s="19"/>
      <c r="D122" s="19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x14ac:dyDescent="0.25" r="123" customHeight="1" ht="15.75">
      <c r="A123" s="19"/>
      <c r="B123" s="19"/>
      <c r="C123" s="19"/>
      <c r="D123" s="19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x14ac:dyDescent="0.25" r="124" customHeight="1" ht="15.75">
      <c r="A124" s="19"/>
      <c r="B124" s="19"/>
      <c r="C124" s="19"/>
      <c r="D124" s="19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x14ac:dyDescent="0.25" r="125" customHeight="1" ht="15.75">
      <c r="A125" s="19"/>
      <c r="B125" s="19"/>
      <c r="C125" s="19"/>
      <c r="D125" s="19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x14ac:dyDescent="0.25" r="126" customHeight="1" ht="15.75">
      <c r="A126" s="19"/>
      <c r="B126" s="19"/>
      <c r="C126" s="19"/>
      <c r="D126" s="19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x14ac:dyDescent="0.25" r="127" customHeight="1" ht="15.75">
      <c r="A127" s="19"/>
      <c r="B127" s="19"/>
      <c r="C127" s="19"/>
      <c r="D127" s="19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x14ac:dyDescent="0.25" r="128" customHeight="1" ht="15.75">
      <c r="A128" s="19"/>
      <c r="B128" s="19"/>
      <c r="C128" s="19"/>
      <c r="D128" s="19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x14ac:dyDescent="0.25" r="129" customHeight="1" ht="15.75">
      <c r="A129" s="19"/>
      <c r="B129" s="19"/>
      <c r="C129" s="19"/>
      <c r="D129" s="19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x14ac:dyDescent="0.25" r="130" customHeight="1" ht="15.75">
      <c r="A130" s="19"/>
      <c r="B130" s="19"/>
      <c r="C130" s="19"/>
      <c r="D130" s="19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x14ac:dyDescent="0.25" r="131" customHeight="1" ht="15.75">
      <c r="A131" s="19"/>
      <c r="B131" s="19"/>
      <c r="C131" s="19"/>
      <c r="D131" s="19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x14ac:dyDescent="0.25" r="132" customHeight="1" ht="15.75">
      <c r="A132" s="19"/>
      <c r="B132" s="19"/>
      <c r="C132" s="19"/>
      <c r="D132" s="19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x14ac:dyDescent="0.25" r="133" customHeight="1" ht="15.75">
      <c r="A133" s="19"/>
      <c r="B133" s="19"/>
      <c r="C133" s="19"/>
      <c r="D133" s="19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x14ac:dyDescent="0.25" r="134" customHeight="1" ht="15.75">
      <c r="A134" s="19"/>
      <c r="B134" s="19"/>
      <c r="C134" s="19"/>
      <c r="D134" s="19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x14ac:dyDescent="0.25" r="135" customHeight="1" ht="15.75">
      <c r="A135" s="19"/>
      <c r="B135" s="19"/>
      <c r="C135" s="19"/>
      <c r="D135" s="19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x14ac:dyDescent="0.25" r="136" customHeight="1" ht="15.75">
      <c r="A136" s="19"/>
      <c r="B136" s="19"/>
      <c r="C136" s="19"/>
      <c r="D136" s="19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x14ac:dyDescent="0.25" r="137" customHeight="1" ht="15.75">
      <c r="A137" s="19"/>
      <c r="B137" s="19"/>
      <c r="C137" s="19"/>
      <c r="D137" s="19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x14ac:dyDescent="0.25" r="138" customHeight="1" ht="15.75">
      <c r="A138" s="19"/>
      <c r="B138" s="19"/>
      <c r="C138" s="19"/>
      <c r="D138" s="19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x14ac:dyDescent="0.25" r="139" customHeight="1" ht="15.75">
      <c r="A139" s="19"/>
      <c r="B139" s="19"/>
      <c r="C139" s="19"/>
      <c r="D139" s="19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x14ac:dyDescent="0.25" r="140" customHeight="1" ht="15.75">
      <c r="A140" s="19"/>
      <c r="B140" s="19"/>
      <c r="C140" s="19"/>
      <c r="D140" s="19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x14ac:dyDescent="0.25" r="141" customHeight="1" ht="15.75">
      <c r="A141" s="19"/>
      <c r="B141" s="19"/>
      <c r="C141" s="19"/>
      <c r="D141" s="19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x14ac:dyDescent="0.25" r="142" customHeight="1" ht="15.75">
      <c r="A142" s="19"/>
      <c r="B142" s="19"/>
      <c r="C142" s="19"/>
      <c r="D142" s="19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x14ac:dyDescent="0.25" r="143" customHeight="1" ht="15.75">
      <c r="A143" s="19"/>
      <c r="B143" s="19"/>
      <c r="C143" s="19"/>
      <c r="D143" s="19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x14ac:dyDescent="0.25" r="144" customHeight="1" ht="15.75">
      <c r="A144" s="19"/>
      <c r="B144" s="19"/>
      <c r="C144" s="19"/>
      <c r="D144" s="19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x14ac:dyDescent="0.25" r="145" customHeight="1" ht="15.75">
      <c r="A145" s="19"/>
      <c r="B145" s="19"/>
      <c r="C145" s="19"/>
      <c r="D145" s="19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x14ac:dyDescent="0.25" r="146" customHeight="1" ht="15.75">
      <c r="A146" s="19"/>
      <c r="B146" s="19"/>
      <c r="C146" s="19"/>
      <c r="D146" s="19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x14ac:dyDescent="0.25" r="147" customHeight="1" ht="15.75">
      <c r="A147" s="19"/>
      <c r="B147" s="19"/>
      <c r="C147" s="19"/>
      <c r="D147" s="19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x14ac:dyDescent="0.25" r="148" customHeight="1" ht="15.75">
      <c r="A148" s="19"/>
      <c r="B148" s="19"/>
      <c r="C148" s="19"/>
      <c r="D148" s="19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x14ac:dyDescent="0.25" r="149" customHeight="1" ht="15.75">
      <c r="A149" s="19"/>
      <c r="B149" s="19"/>
      <c r="C149" s="19"/>
      <c r="D149" s="19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x14ac:dyDescent="0.25" r="150" customHeight="1" ht="15.75">
      <c r="A150" s="19"/>
      <c r="B150" s="19"/>
      <c r="C150" s="19"/>
      <c r="D150" s="19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x14ac:dyDescent="0.25" r="151" customHeight="1" ht="15.75">
      <c r="A151" s="19"/>
      <c r="B151" s="19"/>
      <c r="C151" s="19"/>
      <c r="D151" s="19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x14ac:dyDescent="0.25" r="152" customHeight="1" ht="15.75">
      <c r="A152" s="19"/>
      <c r="B152" s="19"/>
      <c r="C152" s="19"/>
      <c r="D152" s="19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x14ac:dyDescent="0.25" r="153" customHeight="1" ht="15.75">
      <c r="A153" s="19"/>
      <c r="B153" s="19"/>
      <c r="C153" s="19"/>
      <c r="D153" s="19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x14ac:dyDescent="0.25" r="154" customHeight="1" ht="15.75">
      <c r="A154" s="19"/>
      <c r="B154" s="19"/>
      <c r="C154" s="19"/>
      <c r="D154" s="19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x14ac:dyDescent="0.25" r="155" customHeight="1" ht="15.75">
      <c r="A155" s="19"/>
      <c r="B155" s="19"/>
      <c r="C155" s="19"/>
      <c r="D155" s="19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x14ac:dyDescent="0.25" r="156" customHeight="1" ht="15.75">
      <c r="A156" s="19"/>
      <c r="B156" s="19"/>
      <c r="C156" s="19"/>
      <c r="D156" s="19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x14ac:dyDescent="0.25" r="157" customHeight="1" ht="15.75">
      <c r="A157" s="19"/>
      <c r="B157" s="19"/>
      <c r="C157" s="19"/>
      <c r="D157" s="19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x14ac:dyDescent="0.25" r="158" customHeight="1" ht="15.75">
      <c r="A158" s="19"/>
      <c r="B158" s="19"/>
      <c r="C158" s="19"/>
      <c r="D158" s="19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x14ac:dyDescent="0.25" r="159" customHeight="1" ht="15.75">
      <c r="A159" s="19"/>
      <c r="B159" s="19"/>
      <c r="C159" s="19"/>
      <c r="D159" s="19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x14ac:dyDescent="0.25" r="160" customHeight="1" ht="15.75">
      <c r="A160" s="19"/>
      <c r="B160" s="19"/>
      <c r="C160" s="19"/>
      <c r="D160" s="19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x14ac:dyDescent="0.25" r="161" customHeight="1" ht="15.75">
      <c r="A161" s="19"/>
      <c r="B161" s="19"/>
      <c r="C161" s="19"/>
      <c r="D161" s="19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x14ac:dyDescent="0.25" r="162" customHeight="1" ht="15.75">
      <c r="A162" s="19"/>
      <c r="B162" s="19"/>
      <c r="C162" s="19"/>
      <c r="D162" s="19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x14ac:dyDescent="0.25" r="163" customHeight="1" ht="15.75">
      <c r="A163" s="19"/>
      <c r="B163" s="19"/>
      <c r="C163" s="19"/>
      <c r="D163" s="19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x14ac:dyDescent="0.25" r="164" customHeight="1" ht="15.75">
      <c r="A164" s="19"/>
      <c r="B164" s="19"/>
      <c r="C164" s="19"/>
      <c r="D164" s="19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x14ac:dyDescent="0.25" r="165" customHeight="1" ht="15.75">
      <c r="A165" s="19"/>
      <c r="B165" s="19"/>
      <c r="C165" s="19"/>
      <c r="D165" s="19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x14ac:dyDescent="0.25" r="166" customHeight="1" ht="15.75">
      <c r="A166" s="19"/>
      <c r="B166" s="19"/>
      <c r="C166" s="19"/>
      <c r="D166" s="19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x14ac:dyDescent="0.25" r="167" customHeight="1" ht="15.75">
      <c r="A167" s="19"/>
      <c r="B167" s="19"/>
      <c r="C167" s="19"/>
      <c r="D167" s="19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x14ac:dyDescent="0.25" r="168" customHeight="1" ht="15.75">
      <c r="A168" s="19"/>
      <c r="B168" s="19"/>
      <c r="C168" s="19"/>
      <c r="D168" s="19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x14ac:dyDescent="0.25" r="169" customHeight="1" ht="15.75">
      <c r="A169" s="19"/>
      <c r="B169" s="19"/>
      <c r="C169" s="19"/>
      <c r="D169" s="19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x14ac:dyDescent="0.25" r="170" customHeight="1" ht="15.75">
      <c r="A170" s="19"/>
      <c r="B170" s="19"/>
      <c r="C170" s="19"/>
      <c r="D170" s="19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x14ac:dyDescent="0.25" r="171" customHeight="1" ht="15.75">
      <c r="A171" s="19"/>
      <c r="B171" s="19"/>
      <c r="C171" s="19"/>
      <c r="D171" s="19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x14ac:dyDescent="0.25" r="172" customHeight="1" ht="15.75">
      <c r="A172" s="19"/>
      <c r="B172" s="19"/>
      <c r="C172" s="19"/>
      <c r="D172" s="19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x14ac:dyDescent="0.25" r="173" customHeight="1" ht="15.75">
      <c r="A173" s="19"/>
      <c r="B173" s="19"/>
      <c r="C173" s="19"/>
      <c r="D173" s="19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x14ac:dyDescent="0.25" r="174" customHeight="1" ht="15.75">
      <c r="A174" s="19"/>
      <c r="B174" s="19"/>
      <c r="C174" s="19"/>
      <c r="D174" s="19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x14ac:dyDescent="0.25" r="175" customHeight="1" ht="15.75">
      <c r="A175" s="19"/>
      <c r="B175" s="19"/>
      <c r="C175" s="19"/>
      <c r="D175" s="19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x14ac:dyDescent="0.25" r="176" customHeight="1" ht="15.75">
      <c r="A176" s="19"/>
      <c r="B176" s="19"/>
      <c r="C176" s="19"/>
      <c r="D176" s="19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x14ac:dyDescent="0.25" r="177" customHeight="1" ht="15.75">
      <c r="A177" s="19"/>
      <c r="B177" s="19"/>
      <c r="C177" s="19"/>
      <c r="D177" s="19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x14ac:dyDescent="0.25" r="178" customHeight="1" ht="15.75">
      <c r="A178" s="19"/>
      <c r="B178" s="19"/>
      <c r="C178" s="19"/>
      <c r="D178" s="19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x14ac:dyDescent="0.25" r="179" customHeight="1" ht="15.75">
      <c r="A179" s="19"/>
      <c r="B179" s="19"/>
      <c r="C179" s="19"/>
      <c r="D179" s="19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x14ac:dyDescent="0.25" r="180" customHeight="1" ht="15.75">
      <c r="A180" s="19"/>
      <c r="B180" s="19"/>
      <c r="C180" s="19"/>
      <c r="D180" s="19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x14ac:dyDescent="0.25" r="181" customHeight="1" ht="15.75">
      <c r="A181" s="19"/>
      <c r="B181" s="19"/>
      <c r="C181" s="19"/>
      <c r="D181" s="19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x14ac:dyDescent="0.25" r="182" customHeight="1" ht="15.75">
      <c r="A182" s="19"/>
      <c r="B182" s="19"/>
      <c r="C182" s="19"/>
      <c r="D182" s="19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x14ac:dyDescent="0.25" r="183" customHeight="1" ht="15.75">
      <c r="A183" s="19"/>
      <c r="B183" s="19"/>
      <c r="C183" s="19"/>
      <c r="D183" s="19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x14ac:dyDescent="0.25" r="184" customHeight="1" ht="15.75">
      <c r="A184" s="19"/>
      <c r="B184" s="19"/>
      <c r="C184" s="19"/>
      <c r="D184" s="19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x14ac:dyDescent="0.25" r="185" customHeight="1" ht="15.75">
      <c r="A185" s="19"/>
      <c r="B185" s="19"/>
      <c r="C185" s="19"/>
      <c r="D185" s="19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x14ac:dyDescent="0.25" r="186" customHeight="1" ht="15.75">
      <c r="A186" s="19"/>
      <c r="B186" s="19"/>
      <c r="C186" s="19"/>
      <c r="D186" s="19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x14ac:dyDescent="0.25" r="187" customHeight="1" ht="15.75">
      <c r="A187" s="19"/>
      <c r="B187" s="19"/>
      <c r="C187" s="19"/>
      <c r="D187" s="19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x14ac:dyDescent="0.25" r="188" customHeight="1" ht="15.75">
      <c r="A188" s="19"/>
      <c r="B188" s="19"/>
      <c r="C188" s="19"/>
      <c r="D188" s="19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x14ac:dyDescent="0.25" r="189" customHeight="1" ht="15.75">
      <c r="A189" s="19"/>
      <c r="B189" s="19"/>
      <c r="C189" s="19"/>
      <c r="D189" s="19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x14ac:dyDescent="0.25" r="190" customHeight="1" ht="15.75">
      <c r="A190" s="19"/>
      <c r="B190" s="19"/>
      <c r="C190" s="19"/>
      <c r="D190" s="19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x14ac:dyDescent="0.25" r="191" customHeight="1" ht="15.75">
      <c r="A191" s="19"/>
      <c r="B191" s="19"/>
      <c r="C191" s="19"/>
      <c r="D191" s="19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x14ac:dyDescent="0.25" r="192" customHeight="1" ht="15.75">
      <c r="A192" s="19"/>
      <c r="B192" s="19"/>
      <c r="C192" s="19"/>
      <c r="D192" s="19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x14ac:dyDescent="0.25" r="193" customHeight="1" ht="15.75">
      <c r="A193" s="19"/>
      <c r="B193" s="19"/>
      <c r="C193" s="19"/>
      <c r="D193" s="19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x14ac:dyDescent="0.25" r="194" customHeight="1" ht="15.75">
      <c r="A194" s="19"/>
      <c r="B194" s="19"/>
      <c r="C194" s="19"/>
      <c r="D194" s="19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x14ac:dyDescent="0.25" r="195" customHeight="1" ht="15.75">
      <c r="A195" s="19"/>
      <c r="B195" s="19"/>
      <c r="C195" s="19"/>
      <c r="D195" s="19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x14ac:dyDescent="0.25" r="196" customHeight="1" ht="15.75">
      <c r="A196" s="19"/>
      <c r="B196" s="19"/>
      <c r="C196" s="19"/>
      <c r="D196" s="19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x14ac:dyDescent="0.25" r="197" customHeight="1" ht="15.75">
      <c r="A197" s="19"/>
      <c r="B197" s="19"/>
      <c r="C197" s="19"/>
      <c r="D197" s="19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x14ac:dyDescent="0.25" r="198" customHeight="1" ht="15.75">
      <c r="A198" s="19"/>
      <c r="B198" s="19"/>
      <c r="C198" s="19"/>
      <c r="D198" s="19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x14ac:dyDescent="0.25" r="199" customHeight="1" ht="15.75">
      <c r="A199" s="19"/>
      <c r="B199" s="19"/>
      <c r="C199" s="19"/>
      <c r="D199" s="19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x14ac:dyDescent="0.25" r="200" customHeight="1" ht="15.75">
      <c r="A200" s="19"/>
      <c r="B200" s="19"/>
      <c r="C200" s="19"/>
      <c r="D200" s="19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x14ac:dyDescent="0.25" r="201" customHeight="1" ht="15.75">
      <c r="A201" s="19"/>
      <c r="B201" s="19"/>
      <c r="C201" s="19"/>
      <c r="D201" s="19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x14ac:dyDescent="0.25" r="202" customHeight="1" ht="15.75">
      <c r="A202" s="19"/>
      <c r="B202" s="19"/>
      <c r="C202" s="19"/>
      <c r="D202" s="19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x14ac:dyDescent="0.25" r="203" customHeight="1" ht="15.75">
      <c r="A203" s="19"/>
      <c r="B203" s="19"/>
      <c r="C203" s="19"/>
      <c r="D203" s="19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x14ac:dyDescent="0.25" r="204" customHeight="1" ht="15.75">
      <c r="A204" s="19"/>
      <c r="B204" s="19"/>
      <c r="C204" s="19"/>
      <c r="D204" s="19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x14ac:dyDescent="0.25" r="205" customHeight="1" ht="15.75">
      <c r="A205" s="19"/>
      <c r="B205" s="19"/>
      <c r="C205" s="19"/>
      <c r="D205" s="19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x14ac:dyDescent="0.25" r="206" customHeight="1" ht="15.75">
      <c r="A206" s="19"/>
      <c r="B206" s="19"/>
      <c r="C206" s="19"/>
      <c r="D206" s="19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x14ac:dyDescent="0.25" r="207" customHeight="1" ht="15.75">
      <c r="A207" s="19"/>
      <c r="B207" s="19"/>
      <c r="C207" s="19"/>
      <c r="D207" s="19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x14ac:dyDescent="0.25" r="208" customHeight="1" ht="15.75">
      <c r="A208" s="19"/>
      <c r="B208" s="19"/>
      <c r="C208" s="19"/>
      <c r="D208" s="19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x14ac:dyDescent="0.25" r="209" customHeight="1" ht="15.75">
      <c r="A209" s="19"/>
      <c r="B209" s="19"/>
      <c r="C209" s="19"/>
      <c r="D209" s="19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x14ac:dyDescent="0.25" r="210" customHeight="1" ht="15.75">
      <c r="A210" s="19"/>
      <c r="B210" s="19"/>
      <c r="C210" s="19"/>
      <c r="D210" s="19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x14ac:dyDescent="0.25" r="211" customHeight="1" ht="15.75">
      <c r="A211" s="19"/>
      <c r="B211" s="19"/>
      <c r="C211" s="19"/>
      <c r="D211" s="19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x14ac:dyDescent="0.25" r="212" customHeight="1" ht="15.75">
      <c r="A212" s="19"/>
      <c r="B212" s="19"/>
      <c r="C212" s="19"/>
      <c r="D212" s="19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x14ac:dyDescent="0.25" r="213" customHeight="1" ht="15.75">
      <c r="A213" s="19"/>
      <c r="B213" s="19"/>
      <c r="C213" s="19"/>
      <c r="D213" s="19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x14ac:dyDescent="0.25" r="214" customHeight="1" ht="15.75">
      <c r="A214" s="19"/>
      <c r="B214" s="19"/>
      <c r="C214" s="19"/>
      <c r="D214" s="19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x14ac:dyDescent="0.25" r="215" customHeight="1" ht="15.75">
      <c r="A215" s="19"/>
      <c r="B215" s="19"/>
      <c r="C215" s="19"/>
      <c r="D215" s="19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x14ac:dyDescent="0.25" r="216" customHeight="1" ht="15.75">
      <c r="A216" s="19"/>
      <c r="B216" s="19"/>
      <c r="C216" s="19"/>
      <c r="D216" s="19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x14ac:dyDescent="0.25" r="217" customHeight="1" ht="15.75">
      <c r="A217" s="19"/>
      <c r="B217" s="19"/>
      <c r="C217" s="19"/>
      <c r="D217" s="19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x14ac:dyDescent="0.25" r="218" customHeight="1" ht="15.75">
      <c r="A218" s="19"/>
      <c r="B218" s="19"/>
      <c r="C218" s="19"/>
      <c r="D218" s="19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x14ac:dyDescent="0.25" r="219" customHeight="1" ht="15.75">
      <c r="A219" s="19"/>
      <c r="B219" s="19"/>
      <c r="C219" s="19"/>
      <c r="D219" s="19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x14ac:dyDescent="0.25" r="220" customHeight="1" ht="15.75">
      <c r="A220" s="19"/>
      <c r="B220" s="19"/>
      <c r="C220" s="19"/>
      <c r="D220" s="19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x14ac:dyDescent="0.25" r="221" customHeight="1" ht="15.7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x14ac:dyDescent="0.25" r="222" customHeight="1" ht="15.7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x14ac:dyDescent="0.25" r="223" customHeight="1" ht="15.7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x14ac:dyDescent="0.25" r="224" customHeight="1" ht="15.7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x14ac:dyDescent="0.25" r="225" customHeight="1" ht="15.7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x14ac:dyDescent="0.25" r="226" customHeight="1" ht="15.7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x14ac:dyDescent="0.25" r="227" customHeight="1" ht="15.7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x14ac:dyDescent="0.25" r="228" customHeight="1" ht="15.7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x14ac:dyDescent="0.25" r="229" customHeight="1" ht="15.7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x14ac:dyDescent="0.25" r="230" customHeight="1" ht="15.75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x14ac:dyDescent="0.25" r="231" customHeight="1" ht="15.75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x14ac:dyDescent="0.25" r="232" customHeight="1" ht="15.75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x14ac:dyDescent="0.25" r="233" customHeight="1" ht="15.75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x14ac:dyDescent="0.25" r="234" customHeight="1" ht="15.75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x14ac:dyDescent="0.25" r="235" customHeight="1" ht="15.7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x14ac:dyDescent="0.25" r="236" customHeight="1" ht="15.75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x14ac:dyDescent="0.25" r="237" customHeight="1" ht="15.75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x14ac:dyDescent="0.25" r="238" customHeight="1" ht="15.75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x14ac:dyDescent="0.25" r="239" customHeight="1" ht="15.75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x14ac:dyDescent="0.25" r="240" customHeight="1" ht="15.7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x14ac:dyDescent="0.25" r="241" customHeight="1" ht="15.75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x14ac:dyDescent="0.25" r="242" customHeight="1" ht="15.75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x14ac:dyDescent="0.25" r="243" customHeight="1" ht="15.75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x14ac:dyDescent="0.25" r="244" customHeight="1" ht="15.75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x14ac:dyDescent="0.25" r="245" customHeight="1" ht="15.7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x14ac:dyDescent="0.25" r="246" customHeight="1" ht="15.75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x14ac:dyDescent="0.25" r="247" customHeight="1" ht="15.75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x14ac:dyDescent="0.25" r="248" customHeight="1" ht="15.75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x14ac:dyDescent="0.25" r="249" customHeight="1" ht="15.75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x14ac:dyDescent="0.25" r="250" customHeight="1" ht="15.7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x14ac:dyDescent="0.25" r="251" customHeight="1" ht="15.75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x14ac:dyDescent="0.25" r="252" customHeight="1" ht="15.75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x14ac:dyDescent="0.25" r="253" customHeight="1" ht="15.75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x14ac:dyDescent="0.25" r="254" customHeight="1" ht="15.75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x14ac:dyDescent="0.25" r="255" customHeight="1" ht="15.7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x14ac:dyDescent="0.25" r="256" customHeight="1" ht="15.75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x14ac:dyDescent="0.25" r="257" customHeight="1" ht="15.75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x14ac:dyDescent="0.25" r="258" customHeight="1" ht="15.75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x14ac:dyDescent="0.25" r="259" customHeight="1" ht="15.75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x14ac:dyDescent="0.25" r="260" customHeight="1" ht="15.75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x14ac:dyDescent="0.25" r="261" customHeight="1" ht="15.75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x14ac:dyDescent="0.25" r="262" customHeight="1" ht="15.75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x14ac:dyDescent="0.25" r="263" customHeight="1" ht="15.75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x14ac:dyDescent="0.25" r="264" customHeight="1" ht="15.75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x14ac:dyDescent="0.25" r="265" customHeight="1" ht="15.7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x14ac:dyDescent="0.25" r="266" customHeight="1" ht="15.75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x14ac:dyDescent="0.25" r="267" customHeight="1" ht="15.75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x14ac:dyDescent="0.25" r="268" customHeight="1" ht="15.75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x14ac:dyDescent="0.25" r="269" customHeight="1" ht="15.75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x14ac:dyDescent="0.25" r="270" customHeight="1" ht="15.75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x14ac:dyDescent="0.25" r="271" customHeight="1" ht="15.75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x14ac:dyDescent="0.25" r="272" customHeight="1" ht="15.75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x14ac:dyDescent="0.25" r="273" customHeight="1" ht="15.75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x14ac:dyDescent="0.25" r="274" customHeight="1" ht="15.75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x14ac:dyDescent="0.25" r="275" customHeight="1" ht="15.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x14ac:dyDescent="0.25" r="276" customHeight="1" ht="15.75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x14ac:dyDescent="0.25" r="277" customHeight="1" ht="15.75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x14ac:dyDescent="0.25" r="278" customHeight="1" ht="15.75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x14ac:dyDescent="0.25" r="279" customHeight="1" ht="15.75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x14ac:dyDescent="0.25" r="280" customHeight="1" ht="15.75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x14ac:dyDescent="0.25" r="281" customHeight="1" ht="15.75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x14ac:dyDescent="0.25" r="282" customHeight="1" ht="15.75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x14ac:dyDescent="0.25" r="283" customHeight="1" ht="15.75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x14ac:dyDescent="0.25" r="284" customHeight="1" ht="15.75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x14ac:dyDescent="0.25" r="285" customHeight="1" ht="15.7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x14ac:dyDescent="0.25" r="286" customHeight="1" ht="15.75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x14ac:dyDescent="0.25" r="287" customHeight="1" ht="15.75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x14ac:dyDescent="0.25" r="288" customHeight="1" ht="15.75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x14ac:dyDescent="0.25" r="289" customHeight="1" ht="15.75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x14ac:dyDescent="0.25" r="290" customHeight="1" ht="15.75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x14ac:dyDescent="0.25" r="291" customHeight="1" ht="15.75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x14ac:dyDescent="0.25" r="292" customHeight="1" ht="15.75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x14ac:dyDescent="0.25" r="293" customHeight="1" ht="15.75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x14ac:dyDescent="0.25" r="294" customHeight="1" ht="15.75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x14ac:dyDescent="0.25" r="295" customHeight="1" ht="15.7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x14ac:dyDescent="0.25" r="296" customHeight="1" ht="15.75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x14ac:dyDescent="0.25" r="297" customHeight="1" ht="15.75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x14ac:dyDescent="0.25" r="298" customHeight="1" ht="15.75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x14ac:dyDescent="0.25" r="299" customHeight="1" ht="15.75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x14ac:dyDescent="0.25" r="300" customHeight="1" ht="15.75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x14ac:dyDescent="0.25" r="301" customHeight="1" ht="15.75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x14ac:dyDescent="0.25" r="302" customHeight="1" ht="15.75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x14ac:dyDescent="0.25" r="303" customHeight="1" ht="15.75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x14ac:dyDescent="0.25" r="304" customHeight="1" ht="15.75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x14ac:dyDescent="0.25" r="305" customHeight="1" ht="15.7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x14ac:dyDescent="0.25" r="306" customHeight="1" ht="15.75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x14ac:dyDescent="0.25" r="307" customHeight="1" ht="15.75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x14ac:dyDescent="0.25" r="308" customHeight="1" ht="15.75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x14ac:dyDescent="0.25" r="309" customHeight="1" ht="15.75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x14ac:dyDescent="0.25" r="310" customHeight="1" ht="15.75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x14ac:dyDescent="0.25" r="311" customHeight="1" ht="15.75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x14ac:dyDescent="0.25" r="312" customHeight="1" ht="15.75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x14ac:dyDescent="0.25" r="313" customHeight="1" ht="15.75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x14ac:dyDescent="0.25" r="314" customHeight="1" ht="15.75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x14ac:dyDescent="0.25" r="315" customHeight="1" ht="15.7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x14ac:dyDescent="0.25" r="316" customHeight="1" ht="15.75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x14ac:dyDescent="0.25" r="317" customHeight="1" ht="15.75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x14ac:dyDescent="0.25" r="318" customHeight="1" ht="15.75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x14ac:dyDescent="0.25" r="319" customHeight="1" ht="15.75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x14ac:dyDescent="0.25" r="320" customHeight="1" ht="15.75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x14ac:dyDescent="0.25" r="321" customHeight="1" ht="15.75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x14ac:dyDescent="0.25" r="322" customHeight="1" ht="15.75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x14ac:dyDescent="0.25" r="323" customHeight="1" ht="15.75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x14ac:dyDescent="0.25" r="324" customHeight="1" ht="15.75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x14ac:dyDescent="0.25" r="325" customHeight="1" ht="15.7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x14ac:dyDescent="0.25" r="326" customHeight="1" ht="15.75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x14ac:dyDescent="0.25" r="327" customHeight="1" ht="15.75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x14ac:dyDescent="0.25" r="328" customHeight="1" ht="15.75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x14ac:dyDescent="0.25" r="329" customHeight="1" ht="15.75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x14ac:dyDescent="0.25" r="330" customHeight="1" ht="15.75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x14ac:dyDescent="0.25" r="331" customHeight="1" ht="15.75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x14ac:dyDescent="0.25" r="332" customHeight="1" ht="15.75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x14ac:dyDescent="0.25" r="333" customHeight="1" ht="15.75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x14ac:dyDescent="0.25" r="334" customHeight="1" ht="15.75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x14ac:dyDescent="0.25" r="335" customHeight="1" ht="15.7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x14ac:dyDescent="0.25" r="336" customHeight="1" ht="15.75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x14ac:dyDescent="0.25" r="337" customHeight="1" ht="15.75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x14ac:dyDescent="0.25" r="338" customHeight="1" ht="15.75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x14ac:dyDescent="0.25" r="339" customHeight="1" ht="15.75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x14ac:dyDescent="0.25" r="340" customHeight="1" ht="15.75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x14ac:dyDescent="0.25" r="341" customHeight="1" ht="15.75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x14ac:dyDescent="0.25" r="342" customHeight="1" ht="15.75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x14ac:dyDescent="0.25" r="343" customHeight="1" ht="15.75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x14ac:dyDescent="0.25" r="344" customHeight="1" ht="15.75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x14ac:dyDescent="0.25" r="345" customHeight="1" ht="15.7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x14ac:dyDescent="0.25" r="346" customHeight="1" ht="15.75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x14ac:dyDescent="0.25" r="347" customHeight="1" ht="15.75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x14ac:dyDescent="0.25" r="348" customHeight="1" ht="15.75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x14ac:dyDescent="0.25" r="349" customHeight="1" ht="15.75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x14ac:dyDescent="0.25" r="350" customHeight="1" ht="15.75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x14ac:dyDescent="0.25" r="351" customHeight="1" ht="15.75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x14ac:dyDescent="0.25" r="352" customHeight="1" ht="15.75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x14ac:dyDescent="0.25" r="353" customHeight="1" ht="15.75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x14ac:dyDescent="0.25" r="354" customHeight="1" ht="15.75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x14ac:dyDescent="0.25" r="355" customHeight="1" ht="15.7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x14ac:dyDescent="0.25" r="356" customHeight="1" ht="15.75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x14ac:dyDescent="0.25" r="357" customHeight="1" ht="15.75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x14ac:dyDescent="0.25" r="358" customHeight="1" ht="15.75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x14ac:dyDescent="0.25" r="359" customHeight="1" ht="15.75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x14ac:dyDescent="0.25" r="360" customHeight="1" ht="15.75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x14ac:dyDescent="0.25" r="361" customHeight="1" ht="15.75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x14ac:dyDescent="0.25" r="362" customHeight="1" ht="15.75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x14ac:dyDescent="0.25" r="363" customHeight="1" ht="15.75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x14ac:dyDescent="0.25" r="364" customHeight="1" ht="15.75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x14ac:dyDescent="0.25" r="365" customHeight="1" ht="15.7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x14ac:dyDescent="0.25" r="366" customHeight="1" ht="15.75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x14ac:dyDescent="0.25" r="367" customHeight="1" ht="15.75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x14ac:dyDescent="0.25" r="368" customHeight="1" ht="15.75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x14ac:dyDescent="0.25" r="369" customHeight="1" ht="15.75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x14ac:dyDescent="0.25" r="370" customHeight="1" ht="15.75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x14ac:dyDescent="0.25" r="371" customHeight="1" ht="15.75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x14ac:dyDescent="0.25" r="372" customHeight="1" ht="15.75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x14ac:dyDescent="0.25" r="373" customHeight="1" ht="15.75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x14ac:dyDescent="0.25" r="374" customHeight="1" ht="15.75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x14ac:dyDescent="0.25" r="375" customHeight="1" ht="15.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x14ac:dyDescent="0.25" r="376" customHeight="1" ht="15.75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x14ac:dyDescent="0.25" r="377" customHeight="1" ht="15.75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x14ac:dyDescent="0.25" r="378" customHeight="1" ht="15.75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x14ac:dyDescent="0.25" r="379" customHeight="1" ht="15.75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x14ac:dyDescent="0.25" r="380" customHeight="1" ht="15.75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x14ac:dyDescent="0.25" r="381" customHeight="1" ht="15.75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x14ac:dyDescent="0.25" r="382" customHeight="1" ht="15.75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x14ac:dyDescent="0.25" r="383" customHeight="1" ht="15.75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x14ac:dyDescent="0.25" r="384" customHeight="1" ht="15.75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x14ac:dyDescent="0.25" r="385" customHeight="1" ht="15.7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x14ac:dyDescent="0.25" r="386" customHeight="1" ht="15.75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x14ac:dyDescent="0.25" r="387" customHeight="1" ht="15.75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x14ac:dyDescent="0.25" r="388" customHeight="1" ht="15.75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x14ac:dyDescent="0.25" r="389" customHeight="1" ht="15.75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x14ac:dyDescent="0.25" r="390" customHeight="1" ht="15.75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x14ac:dyDescent="0.25" r="391" customHeight="1" ht="15.75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x14ac:dyDescent="0.25" r="392" customHeight="1" ht="15.75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x14ac:dyDescent="0.25" r="393" customHeight="1" ht="15.75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x14ac:dyDescent="0.25" r="394" customHeight="1" ht="15.75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x14ac:dyDescent="0.25" r="395" customHeight="1" ht="15.7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x14ac:dyDescent="0.25" r="396" customHeight="1" ht="15.75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x14ac:dyDescent="0.25" r="397" customHeight="1" ht="15.75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x14ac:dyDescent="0.25" r="398" customHeight="1" ht="15.75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x14ac:dyDescent="0.25" r="399" customHeight="1" ht="15.75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x14ac:dyDescent="0.25" r="400" customHeight="1" ht="15.75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x14ac:dyDescent="0.25" r="401" customHeight="1" ht="15.75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x14ac:dyDescent="0.25" r="402" customHeight="1" ht="15.75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x14ac:dyDescent="0.25" r="403" customHeight="1" ht="15.75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x14ac:dyDescent="0.25" r="404" customHeight="1" ht="15.75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x14ac:dyDescent="0.25" r="405" customHeight="1" ht="15.7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x14ac:dyDescent="0.25" r="406" customHeight="1" ht="15.75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x14ac:dyDescent="0.25" r="407" customHeight="1" ht="15.75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x14ac:dyDescent="0.25" r="408" customHeight="1" ht="15.75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x14ac:dyDescent="0.25" r="409" customHeight="1" ht="15.75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x14ac:dyDescent="0.25" r="410" customHeight="1" ht="15.75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x14ac:dyDescent="0.25" r="411" customHeight="1" ht="15.75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x14ac:dyDescent="0.25" r="412" customHeight="1" ht="15.75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x14ac:dyDescent="0.25" r="413" customHeight="1" ht="15.75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x14ac:dyDescent="0.25" r="414" customHeight="1" ht="15.75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x14ac:dyDescent="0.25" r="415" customHeight="1" ht="15.7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x14ac:dyDescent="0.25" r="416" customHeight="1" ht="15.75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x14ac:dyDescent="0.25" r="417" customHeight="1" ht="15.75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x14ac:dyDescent="0.25" r="418" customHeight="1" ht="15.75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x14ac:dyDescent="0.25" r="419" customHeight="1" ht="15.75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x14ac:dyDescent="0.25" r="420" customHeight="1" ht="15.75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x14ac:dyDescent="0.25" r="421" customHeight="1" ht="15.75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x14ac:dyDescent="0.25" r="422" customHeight="1" ht="15.75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x14ac:dyDescent="0.25" r="423" customHeight="1" ht="15.75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x14ac:dyDescent="0.25" r="424" customHeight="1" ht="15.75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x14ac:dyDescent="0.25" r="425" customHeight="1" ht="15.7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x14ac:dyDescent="0.25" r="426" customHeight="1" ht="15.75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x14ac:dyDescent="0.25" r="427" customHeight="1" ht="15.75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x14ac:dyDescent="0.25" r="428" customHeight="1" ht="15.75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x14ac:dyDescent="0.25" r="429" customHeight="1" ht="15.75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x14ac:dyDescent="0.25" r="430" customHeight="1" ht="15.75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x14ac:dyDescent="0.25" r="431" customHeight="1" ht="15.75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x14ac:dyDescent="0.25" r="432" customHeight="1" ht="15.75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x14ac:dyDescent="0.25" r="433" customHeight="1" ht="15.75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x14ac:dyDescent="0.25" r="434" customHeight="1" ht="15.75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x14ac:dyDescent="0.25" r="435" customHeight="1" ht="15.7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x14ac:dyDescent="0.25" r="436" customHeight="1" ht="15.75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x14ac:dyDescent="0.25" r="437" customHeight="1" ht="15.75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x14ac:dyDescent="0.25" r="438" customHeight="1" ht="15.75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x14ac:dyDescent="0.25" r="439" customHeight="1" ht="15.75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x14ac:dyDescent="0.25" r="440" customHeight="1" ht="15.75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x14ac:dyDescent="0.25" r="441" customHeight="1" ht="15.75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x14ac:dyDescent="0.25" r="442" customHeight="1" ht="15.75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x14ac:dyDescent="0.25" r="443" customHeight="1" ht="15.75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x14ac:dyDescent="0.25" r="444" customHeight="1" ht="15.75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x14ac:dyDescent="0.25" r="445" customHeight="1" ht="15.7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x14ac:dyDescent="0.25" r="446" customHeight="1" ht="15.75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x14ac:dyDescent="0.25" r="447" customHeight="1" ht="15.75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x14ac:dyDescent="0.25" r="448" customHeight="1" ht="15.75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x14ac:dyDescent="0.25" r="449" customHeight="1" ht="15.75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x14ac:dyDescent="0.25" r="450" customHeight="1" ht="15.75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x14ac:dyDescent="0.25" r="451" customHeight="1" ht="15.75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x14ac:dyDescent="0.25" r="452" customHeight="1" ht="15.75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x14ac:dyDescent="0.25" r="453" customHeight="1" ht="15.75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x14ac:dyDescent="0.25" r="454" customHeight="1" ht="15.75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x14ac:dyDescent="0.25" r="455" customHeight="1" ht="15.7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x14ac:dyDescent="0.25" r="456" customHeight="1" ht="15.75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x14ac:dyDescent="0.25" r="457" customHeight="1" ht="15.75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x14ac:dyDescent="0.25" r="458" customHeight="1" ht="15.75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x14ac:dyDescent="0.25" r="459" customHeight="1" ht="15.75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x14ac:dyDescent="0.25" r="460" customHeight="1" ht="15.75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x14ac:dyDescent="0.25" r="461" customHeight="1" ht="15.75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x14ac:dyDescent="0.25" r="462" customHeight="1" ht="15.75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x14ac:dyDescent="0.25" r="463" customHeight="1" ht="15.75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x14ac:dyDescent="0.25" r="464" customHeight="1" ht="15.75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x14ac:dyDescent="0.25" r="465" customHeight="1" ht="15.7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x14ac:dyDescent="0.25" r="466" customHeight="1" ht="15.75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x14ac:dyDescent="0.25" r="467" customHeight="1" ht="15.75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x14ac:dyDescent="0.25" r="468" customHeight="1" ht="15.75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x14ac:dyDescent="0.25" r="469" customHeight="1" ht="15.75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x14ac:dyDescent="0.25" r="470" customHeight="1" ht="15.75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x14ac:dyDescent="0.25" r="471" customHeight="1" ht="15.75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x14ac:dyDescent="0.25" r="472" customHeight="1" ht="15.75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x14ac:dyDescent="0.25" r="473" customHeight="1" ht="15.75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x14ac:dyDescent="0.25" r="474" customHeight="1" ht="15.75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x14ac:dyDescent="0.25" r="475" customHeight="1" ht="15.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x14ac:dyDescent="0.25" r="476" customHeight="1" ht="15.75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x14ac:dyDescent="0.25" r="477" customHeight="1" ht="15.75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x14ac:dyDescent="0.25" r="478" customHeight="1" ht="15.75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x14ac:dyDescent="0.25" r="479" customHeight="1" ht="15.75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x14ac:dyDescent="0.25" r="480" customHeight="1" ht="15.75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x14ac:dyDescent="0.25" r="481" customHeight="1" ht="15.75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x14ac:dyDescent="0.25" r="482" customHeight="1" ht="15.75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x14ac:dyDescent="0.25" r="483" customHeight="1" ht="15.75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x14ac:dyDescent="0.25" r="484" customHeight="1" ht="15.75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x14ac:dyDescent="0.25" r="485" customHeight="1" ht="15.7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x14ac:dyDescent="0.25" r="486" customHeight="1" ht="15.75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x14ac:dyDescent="0.25" r="487" customHeight="1" ht="15.75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x14ac:dyDescent="0.25" r="488" customHeight="1" ht="15.75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x14ac:dyDescent="0.25" r="489" customHeight="1" ht="15.75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x14ac:dyDescent="0.25" r="490" customHeight="1" ht="15.75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x14ac:dyDescent="0.25" r="491" customHeight="1" ht="15.75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x14ac:dyDescent="0.25" r="492" customHeight="1" ht="15.75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x14ac:dyDescent="0.25" r="493" customHeight="1" ht="15.75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x14ac:dyDescent="0.25" r="494" customHeight="1" ht="15.75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x14ac:dyDescent="0.25" r="495" customHeight="1" ht="15.7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x14ac:dyDescent="0.25" r="496" customHeight="1" ht="15.75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x14ac:dyDescent="0.25" r="497" customHeight="1" ht="15.75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x14ac:dyDescent="0.25" r="498" customHeight="1" ht="15.75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x14ac:dyDescent="0.25" r="499" customHeight="1" ht="15.75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x14ac:dyDescent="0.25" r="500" customHeight="1" ht="15.75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x14ac:dyDescent="0.25" r="501" customHeight="1" ht="15.75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x14ac:dyDescent="0.25" r="502" customHeight="1" ht="15.75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x14ac:dyDescent="0.25" r="503" customHeight="1" ht="15.75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x14ac:dyDescent="0.25" r="504" customHeight="1" ht="15.75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x14ac:dyDescent="0.25" r="505" customHeight="1" ht="15.7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x14ac:dyDescent="0.25" r="506" customHeight="1" ht="15.75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x14ac:dyDescent="0.25" r="507" customHeight="1" ht="15.75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x14ac:dyDescent="0.25" r="508" customHeight="1" ht="15.75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x14ac:dyDescent="0.25" r="509" customHeight="1" ht="15.75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x14ac:dyDescent="0.25" r="510" customHeight="1" ht="15.75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x14ac:dyDescent="0.25" r="511" customHeight="1" ht="15.75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x14ac:dyDescent="0.25" r="512" customHeight="1" ht="15.75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x14ac:dyDescent="0.25" r="513" customHeight="1" ht="15.75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x14ac:dyDescent="0.25" r="514" customHeight="1" ht="15.75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x14ac:dyDescent="0.25" r="515" customHeight="1" ht="15.7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x14ac:dyDescent="0.25" r="516" customHeight="1" ht="15.75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x14ac:dyDescent="0.25" r="517" customHeight="1" ht="15.75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x14ac:dyDescent="0.25" r="518" customHeight="1" ht="15.75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x14ac:dyDescent="0.25" r="519" customHeight="1" ht="15.75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x14ac:dyDescent="0.25" r="520" customHeight="1" ht="15.75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x14ac:dyDescent="0.25" r="521" customHeight="1" ht="15.75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x14ac:dyDescent="0.25" r="522" customHeight="1" ht="15.75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x14ac:dyDescent="0.25" r="523" customHeight="1" ht="15.75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x14ac:dyDescent="0.25" r="524" customHeight="1" ht="15.75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x14ac:dyDescent="0.25" r="525" customHeight="1" ht="15.7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x14ac:dyDescent="0.25" r="526" customHeight="1" ht="15.75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x14ac:dyDescent="0.25" r="527" customHeight="1" ht="15.75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x14ac:dyDescent="0.25" r="528" customHeight="1" ht="15.75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x14ac:dyDescent="0.25" r="529" customHeight="1" ht="15.75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x14ac:dyDescent="0.25" r="530" customHeight="1" ht="15.75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x14ac:dyDescent="0.25" r="531" customHeight="1" ht="15.75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x14ac:dyDescent="0.25" r="532" customHeight="1" ht="15.75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x14ac:dyDescent="0.25" r="533" customHeight="1" ht="15.75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x14ac:dyDescent="0.25" r="534" customHeight="1" ht="15.75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x14ac:dyDescent="0.25" r="535" customHeight="1" ht="15.7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x14ac:dyDescent="0.25" r="536" customHeight="1" ht="15.75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x14ac:dyDescent="0.25" r="537" customHeight="1" ht="15.75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x14ac:dyDescent="0.25" r="538" customHeight="1" ht="15.75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x14ac:dyDescent="0.25" r="539" customHeight="1" ht="15.75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x14ac:dyDescent="0.25" r="540" customHeight="1" ht="15.75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x14ac:dyDescent="0.25" r="541" customHeight="1" ht="15.75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x14ac:dyDescent="0.25" r="542" customHeight="1" ht="15.75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x14ac:dyDescent="0.25" r="543" customHeight="1" ht="15.75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x14ac:dyDescent="0.25" r="544" customHeight="1" ht="15.75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x14ac:dyDescent="0.25" r="545" customHeight="1" ht="15.7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x14ac:dyDescent="0.25" r="546" customHeight="1" ht="15.75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x14ac:dyDescent="0.25" r="547" customHeight="1" ht="15.75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x14ac:dyDescent="0.25" r="548" customHeight="1" ht="15.75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x14ac:dyDescent="0.25" r="549" customHeight="1" ht="15.75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x14ac:dyDescent="0.25" r="550" customHeight="1" ht="15.75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x14ac:dyDescent="0.25" r="551" customHeight="1" ht="15.75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x14ac:dyDescent="0.25" r="552" customHeight="1" ht="15.75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x14ac:dyDescent="0.25" r="553" customHeight="1" ht="15.75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x14ac:dyDescent="0.25" r="554" customHeight="1" ht="15.75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x14ac:dyDescent="0.25" r="555" customHeight="1" ht="15.7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x14ac:dyDescent="0.25" r="556" customHeight="1" ht="15.75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x14ac:dyDescent="0.25" r="557" customHeight="1" ht="15.75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x14ac:dyDescent="0.25" r="558" customHeight="1" ht="15.75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x14ac:dyDescent="0.25" r="559" customHeight="1" ht="15.75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x14ac:dyDescent="0.25" r="560" customHeight="1" ht="15.75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x14ac:dyDescent="0.25" r="561" customHeight="1" ht="15.75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x14ac:dyDescent="0.25" r="562" customHeight="1" ht="15.75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x14ac:dyDescent="0.25" r="563" customHeight="1" ht="15.75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x14ac:dyDescent="0.25" r="564" customHeight="1" ht="15.75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x14ac:dyDescent="0.25" r="565" customHeight="1" ht="15.7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x14ac:dyDescent="0.25" r="566" customHeight="1" ht="15.75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x14ac:dyDescent="0.25" r="567" customHeight="1" ht="15.75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x14ac:dyDescent="0.25" r="568" customHeight="1" ht="15.75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x14ac:dyDescent="0.25" r="569" customHeight="1" ht="15.75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x14ac:dyDescent="0.25" r="570" customHeight="1" ht="15.75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x14ac:dyDescent="0.25" r="571" customHeight="1" ht="15.75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x14ac:dyDescent="0.25" r="572" customHeight="1" ht="15.75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x14ac:dyDescent="0.25" r="573" customHeight="1" ht="15.75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x14ac:dyDescent="0.25" r="574" customHeight="1" ht="15.75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x14ac:dyDescent="0.25" r="575" customHeight="1" ht="15.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x14ac:dyDescent="0.25" r="576" customHeight="1" ht="15.75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x14ac:dyDescent="0.25" r="577" customHeight="1" ht="15.75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x14ac:dyDescent="0.25" r="578" customHeight="1" ht="15.75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x14ac:dyDescent="0.25" r="579" customHeight="1" ht="15.75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x14ac:dyDescent="0.25" r="580" customHeight="1" ht="15.75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x14ac:dyDescent="0.25" r="581" customHeight="1" ht="15.75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x14ac:dyDescent="0.25" r="582" customHeight="1" ht="15.75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x14ac:dyDescent="0.25" r="583" customHeight="1" ht="15.75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x14ac:dyDescent="0.25" r="584" customHeight="1" ht="15.75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x14ac:dyDescent="0.25" r="585" customHeight="1" ht="15.7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x14ac:dyDescent="0.25" r="586" customHeight="1" ht="15.75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x14ac:dyDescent="0.25" r="587" customHeight="1" ht="15.75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x14ac:dyDescent="0.25" r="588" customHeight="1" ht="15.75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x14ac:dyDescent="0.25" r="589" customHeight="1" ht="15.75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x14ac:dyDescent="0.25" r="590" customHeight="1" ht="15.75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x14ac:dyDescent="0.25" r="591" customHeight="1" ht="15.75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x14ac:dyDescent="0.25" r="592" customHeight="1" ht="15.75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x14ac:dyDescent="0.25" r="593" customHeight="1" ht="15.75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x14ac:dyDescent="0.25" r="594" customHeight="1" ht="15.75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x14ac:dyDescent="0.25" r="595" customHeight="1" ht="15.7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x14ac:dyDescent="0.25" r="596" customHeight="1" ht="15.75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x14ac:dyDescent="0.25" r="597" customHeight="1" ht="15.75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x14ac:dyDescent="0.25" r="598" customHeight="1" ht="15.75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x14ac:dyDescent="0.25" r="599" customHeight="1" ht="15.75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x14ac:dyDescent="0.25" r="600" customHeight="1" ht="15.75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x14ac:dyDescent="0.25" r="601" customHeight="1" ht="15.75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x14ac:dyDescent="0.25" r="602" customHeight="1" ht="15.75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x14ac:dyDescent="0.25" r="603" customHeight="1" ht="15.75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x14ac:dyDescent="0.25" r="604" customHeight="1" ht="15.75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x14ac:dyDescent="0.25" r="605" customHeight="1" ht="15.7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x14ac:dyDescent="0.25" r="606" customHeight="1" ht="15.75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x14ac:dyDescent="0.25" r="607" customHeight="1" ht="15.75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x14ac:dyDescent="0.25" r="608" customHeight="1" ht="15.75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x14ac:dyDescent="0.25" r="609" customHeight="1" ht="15.75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x14ac:dyDescent="0.25" r="610" customHeight="1" ht="15.75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x14ac:dyDescent="0.25" r="611" customHeight="1" ht="15.75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x14ac:dyDescent="0.25" r="612" customHeight="1" ht="15.75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x14ac:dyDescent="0.25" r="613" customHeight="1" ht="15.75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x14ac:dyDescent="0.25" r="614" customHeight="1" ht="15.75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x14ac:dyDescent="0.25" r="615" customHeight="1" ht="15.7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x14ac:dyDescent="0.25" r="616" customHeight="1" ht="15.75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x14ac:dyDescent="0.25" r="617" customHeight="1" ht="15.75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x14ac:dyDescent="0.25" r="618" customHeight="1" ht="15.75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x14ac:dyDescent="0.25" r="619" customHeight="1" ht="15.75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x14ac:dyDescent="0.25" r="620" customHeight="1" ht="15.75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x14ac:dyDescent="0.25" r="621" customHeight="1" ht="15.75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x14ac:dyDescent="0.25" r="622" customHeight="1" ht="15.75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x14ac:dyDescent="0.25" r="623" customHeight="1" ht="15.75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x14ac:dyDescent="0.25" r="624" customHeight="1" ht="15.75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x14ac:dyDescent="0.25" r="625" customHeight="1" ht="15.7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x14ac:dyDescent="0.25" r="626" customHeight="1" ht="15.75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x14ac:dyDescent="0.25" r="627" customHeight="1" ht="15.75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x14ac:dyDescent="0.25" r="628" customHeight="1" ht="15.75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x14ac:dyDescent="0.25" r="629" customHeight="1" ht="15.75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x14ac:dyDescent="0.25" r="630" customHeight="1" ht="15.75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x14ac:dyDescent="0.25" r="631" customHeight="1" ht="15.75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x14ac:dyDescent="0.25" r="632" customHeight="1" ht="15.75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x14ac:dyDescent="0.25" r="633" customHeight="1" ht="15.75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x14ac:dyDescent="0.25" r="634" customHeight="1" ht="15.75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x14ac:dyDescent="0.25" r="635" customHeight="1" ht="15.7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x14ac:dyDescent="0.25" r="636" customHeight="1" ht="15.75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x14ac:dyDescent="0.25" r="637" customHeight="1" ht="15.75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x14ac:dyDescent="0.25" r="638" customHeight="1" ht="15.75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x14ac:dyDescent="0.25" r="639" customHeight="1" ht="15.75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x14ac:dyDescent="0.25" r="640" customHeight="1" ht="15.75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x14ac:dyDescent="0.25" r="641" customHeight="1" ht="15.75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x14ac:dyDescent="0.25" r="642" customHeight="1" ht="15.75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x14ac:dyDescent="0.25" r="643" customHeight="1" ht="15.75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x14ac:dyDescent="0.25" r="644" customHeight="1" ht="15.75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x14ac:dyDescent="0.25" r="645" customHeight="1" ht="15.7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x14ac:dyDescent="0.25" r="646" customHeight="1" ht="15.75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x14ac:dyDescent="0.25" r="647" customHeight="1" ht="15.75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x14ac:dyDescent="0.25" r="648" customHeight="1" ht="15.75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x14ac:dyDescent="0.25" r="649" customHeight="1" ht="15.75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x14ac:dyDescent="0.25" r="650" customHeight="1" ht="15.75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x14ac:dyDescent="0.25" r="651" customHeight="1" ht="15.75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x14ac:dyDescent="0.25" r="652" customHeight="1" ht="15.75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x14ac:dyDescent="0.25" r="653" customHeight="1" ht="15.75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x14ac:dyDescent="0.25" r="654" customHeight="1" ht="15.75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x14ac:dyDescent="0.25" r="655" customHeight="1" ht="15.7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x14ac:dyDescent="0.25" r="656" customHeight="1" ht="15.75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x14ac:dyDescent="0.25" r="657" customHeight="1" ht="15.75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x14ac:dyDescent="0.25" r="658" customHeight="1" ht="15.75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x14ac:dyDescent="0.25" r="659" customHeight="1" ht="15.75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x14ac:dyDescent="0.25" r="660" customHeight="1" ht="15.75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x14ac:dyDescent="0.25" r="661" customHeight="1" ht="15.75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x14ac:dyDescent="0.25" r="662" customHeight="1" ht="15.75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x14ac:dyDescent="0.25" r="663" customHeight="1" ht="15.75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x14ac:dyDescent="0.25" r="664" customHeight="1" ht="15.75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x14ac:dyDescent="0.25" r="665" customHeight="1" ht="15.7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x14ac:dyDescent="0.25" r="666" customHeight="1" ht="15.75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x14ac:dyDescent="0.25" r="667" customHeight="1" ht="15.75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x14ac:dyDescent="0.25" r="668" customHeight="1" ht="15.75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x14ac:dyDescent="0.25" r="669" customHeight="1" ht="15.75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x14ac:dyDescent="0.25" r="670" customHeight="1" ht="15.75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x14ac:dyDescent="0.25" r="671" customHeight="1" ht="15.75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x14ac:dyDescent="0.25" r="672" customHeight="1" ht="15.75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x14ac:dyDescent="0.25" r="673" customHeight="1" ht="15.75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x14ac:dyDescent="0.25" r="674" customHeight="1" ht="15.75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x14ac:dyDescent="0.25" r="675" customHeight="1" ht="15.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x14ac:dyDescent="0.25" r="676" customHeight="1" ht="15.75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x14ac:dyDescent="0.25" r="677" customHeight="1" ht="15.75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x14ac:dyDescent="0.25" r="678" customHeight="1" ht="15.75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x14ac:dyDescent="0.25" r="679" customHeight="1" ht="15.75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x14ac:dyDescent="0.25" r="680" customHeight="1" ht="15.75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x14ac:dyDescent="0.25" r="681" customHeight="1" ht="15.75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x14ac:dyDescent="0.25" r="682" customHeight="1" ht="15.75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x14ac:dyDescent="0.25" r="683" customHeight="1" ht="15.75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x14ac:dyDescent="0.25" r="684" customHeight="1" ht="15.75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x14ac:dyDescent="0.25" r="685" customHeight="1" ht="15.7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x14ac:dyDescent="0.25" r="686" customHeight="1" ht="15.75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x14ac:dyDescent="0.25" r="687" customHeight="1" ht="15.75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x14ac:dyDescent="0.25" r="688" customHeight="1" ht="15.75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x14ac:dyDescent="0.25" r="689" customHeight="1" ht="15.75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x14ac:dyDescent="0.25" r="690" customHeight="1" ht="15.75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x14ac:dyDescent="0.25" r="691" customHeight="1" ht="15.75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x14ac:dyDescent="0.25" r="692" customHeight="1" ht="15.75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x14ac:dyDescent="0.25" r="693" customHeight="1" ht="15.75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x14ac:dyDescent="0.25" r="694" customHeight="1" ht="15.75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x14ac:dyDescent="0.25" r="695" customHeight="1" ht="15.7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x14ac:dyDescent="0.25" r="696" customHeight="1" ht="15.75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x14ac:dyDescent="0.25" r="697" customHeight="1" ht="15.75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x14ac:dyDescent="0.25" r="698" customHeight="1" ht="15.75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x14ac:dyDescent="0.25" r="699" customHeight="1" ht="15.75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x14ac:dyDescent="0.25" r="700" customHeight="1" ht="15.75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x14ac:dyDescent="0.25" r="701" customHeight="1" ht="15.75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x14ac:dyDescent="0.25" r="702" customHeight="1" ht="15.75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x14ac:dyDescent="0.25" r="703" customHeight="1" ht="15.75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x14ac:dyDescent="0.25" r="704" customHeight="1" ht="15.75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x14ac:dyDescent="0.25" r="705" customHeight="1" ht="15.7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x14ac:dyDescent="0.25" r="706" customHeight="1" ht="15.75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x14ac:dyDescent="0.25" r="707" customHeight="1" ht="15.75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x14ac:dyDescent="0.25" r="708" customHeight="1" ht="15.75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x14ac:dyDescent="0.25" r="709" customHeight="1" ht="15.75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x14ac:dyDescent="0.25" r="710" customHeight="1" ht="15.75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x14ac:dyDescent="0.25" r="711" customHeight="1" ht="15.75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x14ac:dyDescent="0.25" r="712" customHeight="1" ht="15.75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x14ac:dyDescent="0.25" r="713" customHeight="1" ht="15.75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x14ac:dyDescent="0.25" r="714" customHeight="1" ht="15.75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x14ac:dyDescent="0.25" r="715" customHeight="1" ht="15.7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x14ac:dyDescent="0.25" r="716" customHeight="1" ht="15.75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x14ac:dyDescent="0.25" r="717" customHeight="1" ht="15.75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x14ac:dyDescent="0.25" r="718" customHeight="1" ht="15.75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x14ac:dyDescent="0.25" r="719" customHeight="1" ht="15.75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x14ac:dyDescent="0.25" r="720" customHeight="1" ht="15.75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x14ac:dyDescent="0.25" r="721" customHeight="1" ht="15.75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x14ac:dyDescent="0.25" r="722" customHeight="1" ht="15.75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x14ac:dyDescent="0.25" r="723" customHeight="1" ht="15.75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x14ac:dyDescent="0.25" r="724" customHeight="1" ht="15.75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x14ac:dyDescent="0.25" r="725" customHeight="1" ht="15.7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x14ac:dyDescent="0.25" r="726" customHeight="1" ht="15.75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x14ac:dyDescent="0.25" r="727" customHeight="1" ht="15.75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x14ac:dyDescent="0.25" r="728" customHeight="1" ht="15.75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x14ac:dyDescent="0.25" r="729" customHeight="1" ht="15.75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x14ac:dyDescent="0.25" r="730" customHeight="1" ht="15.75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x14ac:dyDescent="0.25" r="731" customHeight="1" ht="15.75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x14ac:dyDescent="0.25" r="732" customHeight="1" ht="15.75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x14ac:dyDescent="0.25" r="733" customHeight="1" ht="15.75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x14ac:dyDescent="0.25" r="734" customHeight="1" ht="15.75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x14ac:dyDescent="0.25" r="735" customHeight="1" ht="15.7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x14ac:dyDescent="0.25" r="736" customHeight="1" ht="15.75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x14ac:dyDescent="0.25" r="737" customHeight="1" ht="15.75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x14ac:dyDescent="0.25" r="738" customHeight="1" ht="15.75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x14ac:dyDescent="0.25" r="739" customHeight="1" ht="15.75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x14ac:dyDescent="0.25" r="740" customHeight="1" ht="15.75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x14ac:dyDescent="0.25" r="741" customHeight="1" ht="15.75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x14ac:dyDescent="0.25" r="742" customHeight="1" ht="15.75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x14ac:dyDescent="0.25" r="743" customHeight="1" ht="15.75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x14ac:dyDescent="0.25" r="744" customHeight="1" ht="15.75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x14ac:dyDescent="0.25" r="745" customHeight="1" ht="15.7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x14ac:dyDescent="0.25" r="746" customHeight="1" ht="15.75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x14ac:dyDescent="0.25" r="747" customHeight="1" ht="15.75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x14ac:dyDescent="0.25" r="748" customHeight="1" ht="15.75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x14ac:dyDescent="0.25" r="749" customHeight="1" ht="15.75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x14ac:dyDescent="0.25" r="750" customHeight="1" ht="15.75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x14ac:dyDescent="0.25" r="751" customHeight="1" ht="15.75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x14ac:dyDescent="0.25" r="752" customHeight="1" ht="15.75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x14ac:dyDescent="0.25" r="753" customHeight="1" ht="15.75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x14ac:dyDescent="0.25" r="754" customHeight="1" ht="15.75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x14ac:dyDescent="0.25" r="755" customHeight="1" ht="15.7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x14ac:dyDescent="0.25" r="756" customHeight="1" ht="15.75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x14ac:dyDescent="0.25" r="757" customHeight="1" ht="15.75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x14ac:dyDescent="0.25" r="758" customHeight="1" ht="15.75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x14ac:dyDescent="0.25" r="759" customHeight="1" ht="15.75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x14ac:dyDescent="0.25" r="760" customHeight="1" ht="15.75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x14ac:dyDescent="0.25" r="761" customHeight="1" ht="15.75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x14ac:dyDescent="0.25" r="762" customHeight="1" ht="15.75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x14ac:dyDescent="0.25" r="763" customHeight="1" ht="15.75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x14ac:dyDescent="0.25" r="764" customHeight="1" ht="15.75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x14ac:dyDescent="0.25" r="765" customHeight="1" ht="15.7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x14ac:dyDescent="0.25" r="766" customHeight="1" ht="15.75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x14ac:dyDescent="0.25" r="767" customHeight="1" ht="15.75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x14ac:dyDescent="0.25" r="768" customHeight="1" ht="15.75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x14ac:dyDescent="0.25" r="769" customHeight="1" ht="15.75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x14ac:dyDescent="0.25" r="770" customHeight="1" ht="15.75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x14ac:dyDescent="0.25" r="771" customHeight="1" ht="15.75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x14ac:dyDescent="0.25" r="772" customHeight="1" ht="15.75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x14ac:dyDescent="0.25" r="773" customHeight="1" ht="15.75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x14ac:dyDescent="0.25" r="774" customHeight="1" ht="15.75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x14ac:dyDescent="0.25" r="775" customHeight="1" ht="15.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x14ac:dyDescent="0.25" r="776" customHeight="1" ht="15.75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x14ac:dyDescent="0.25" r="777" customHeight="1" ht="15.75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x14ac:dyDescent="0.25" r="778" customHeight="1" ht="15.75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x14ac:dyDescent="0.25" r="779" customHeight="1" ht="15.75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x14ac:dyDescent="0.25" r="780" customHeight="1" ht="15.75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x14ac:dyDescent="0.25" r="781" customHeight="1" ht="15.75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x14ac:dyDescent="0.25" r="782" customHeight="1" ht="15.75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x14ac:dyDescent="0.25" r="783" customHeight="1" ht="15.75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x14ac:dyDescent="0.25" r="784" customHeight="1" ht="15.75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x14ac:dyDescent="0.25" r="785" customHeight="1" ht="15.7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x14ac:dyDescent="0.25" r="786" customHeight="1" ht="15.75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x14ac:dyDescent="0.25" r="787" customHeight="1" ht="15.75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x14ac:dyDescent="0.25" r="788" customHeight="1" ht="15.75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x14ac:dyDescent="0.25" r="789" customHeight="1" ht="15.75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x14ac:dyDescent="0.25" r="790" customHeight="1" ht="15.75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x14ac:dyDescent="0.25" r="791" customHeight="1" ht="15.75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x14ac:dyDescent="0.25" r="792" customHeight="1" ht="15.75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x14ac:dyDescent="0.25" r="793" customHeight="1" ht="15.75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x14ac:dyDescent="0.25" r="794" customHeight="1" ht="15.75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x14ac:dyDescent="0.25" r="795" customHeight="1" ht="15.7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x14ac:dyDescent="0.25" r="796" customHeight="1" ht="15.75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x14ac:dyDescent="0.25" r="797" customHeight="1" ht="15.75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x14ac:dyDescent="0.25" r="798" customHeight="1" ht="15.75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x14ac:dyDescent="0.25" r="799" customHeight="1" ht="15.75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x14ac:dyDescent="0.25" r="800" customHeight="1" ht="15.75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x14ac:dyDescent="0.25" r="801" customHeight="1" ht="15.75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x14ac:dyDescent="0.25" r="802" customHeight="1" ht="15.75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x14ac:dyDescent="0.25" r="803" customHeight="1" ht="15.75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x14ac:dyDescent="0.25" r="804" customHeight="1" ht="15.75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x14ac:dyDescent="0.25" r="805" customHeight="1" ht="15.7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x14ac:dyDescent="0.25" r="806" customHeight="1" ht="15.75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x14ac:dyDescent="0.25" r="807" customHeight="1" ht="15.75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x14ac:dyDescent="0.25" r="808" customHeight="1" ht="15.75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x14ac:dyDescent="0.25" r="809" customHeight="1" ht="15.75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x14ac:dyDescent="0.25" r="810" customHeight="1" ht="15.75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x14ac:dyDescent="0.25" r="811" customHeight="1" ht="15.75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x14ac:dyDescent="0.25" r="812" customHeight="1" ht="15.75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x14ac:dyDescent="0.25" r="813" customHeight="1" ht="15.75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x14ac:dyDescent="0.25" r="814" customHeight="1" ht="15.75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x14ac:dyDescent="0.25" r="815" customHeight="1" ht="15.7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x14ac:dyDescent="0.25" r="816" customHeight="1" ht="15.75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x14ac:dyDescent="0.25" r="817" customHeight="1" ht="15.75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x14ac:dyDescent="0.25" r="818" customHeight="1" ht="15.75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x14ac:dyDescent="0.25" r="819" customHeight="1" ht="15.75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x14ac:dyDescent="0.25" r="820" customHeight="1" ht="15.75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x14ac:dyDescent="0.25" r="821" customHeight="1" ht="15.75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x14ac:dyDescent="0.25" r="822" customHeight="1" ht="15.75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x14ac:dyDescent="0.25" r="823" customHeight="1" ht="15.75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x14ac:dyDescent="0.25" r="824" customHeight="1" ht="15.75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x14ac:dyDescent="0.25" r="825" customHeight="1" ht="15.7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x14ac:dyDescent="0.25" r="826" customHeight="1" ht="15.75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x14ac:dyDescent="0.25" r="827" customHeight="1" ht="15.75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x14ac:dyDescent="0.25" r="828" customHeight="1" ht="15.75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x14ac:dyDescent="0.25" r="829" customHeight="1" ht="15.75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x14ac:dyDescent="0.25" r="830" customHeight="1" ht="15.75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x14ac:dyDescent="0.25" r="831" customHeight="1" ht="15.75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x14ac:dyDescent="0.25" r="832" customHeight="1" ht="15.75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x14ac:dyDescent="0.25" r="833" customHeight="1" ht="15.75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x14ac:dyDescent="0.25" r="834" customHeight="1" ht="15.75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x14ac:dyDescent="0.25" r="835" customHeight="1" ht="15.7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x14ac:dyDescent="0.25" r="836" customHeight="1" ht="15.75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x14ac:dyDescent="0.25" r="837" customHeight="1" ht="15.75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x14ac:dyDescent="0.25" r="838" customHeight="1" ht="15.75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x14ac:dyDescent="0.25" r="839" customHeight="1" ht="15.75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x14ac:dyDescent="0.25" r="840" customHeight="1" ht="15.75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x14ac:dyDescent="0.25" r="841" customHeight="1" ht="15.75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x14ac:dyDescent="0.25" r="842" customHeight="1" ht="15.75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x14ac:dyDescent="0.25" r="843" customHeight="1" ht="15.75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x14ac:dyDescent="0.25" r="844" customHeight="1" ht="15.75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x14ac:dyDescent="0.25" r="845" customHeight="1" ht="15.7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x14ac:dyDescent="0.25" r="846" customHeight="1" ht="15.75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x14ac:dyDescent="0.25" r="847" customHeight="1" ht="15.75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x14ac:dyDescent="0.25" r="848" customHeight="1" ht="15.75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x14ac:dyDescent="0.25" r="849" customHeight="1" ht="15.75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x14ac:dyDescent="0.25" r="850" customHeight="1" ht="15.75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x14ac:dyDescent="0.25" r="851" customHeight="1" ht="15.75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x14ac:dyDescent="0.25" r="852" customHeight="1" ht="15.75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x14ac:dyDescent="0.25" r="853" customHeight="1" ht="15.75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x14ac:dyDescent="0.25" r="854" customHeight="1" ht="15.75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x14ac:dyDescent="0.25" r="855" customHeight="1" ht="15.7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x14ac:dyDescent="0.25" r="856" customHeight="1" ht="15.75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x14ac:dyDescent="0.25" r="857" customHeight="1" ht="15.75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x14ac:dyDescent="0.25" r="858" customHeight="1" ht="15.75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x14ac:dyDescent="0.25" r="859" customHeight="1" ht="15.75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x14ac:dyDescent="0.25" r="860" customHeight="1" ht="15.75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x14ac:dyDescent="0.25" r="861" customHeight="1" ht="15.75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x14ac:dyDescent="0.25" r="862" customHeight="1" ht="15.75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x14ac:dyDescent="0.25" r="863" customHeight="1" ht="15.75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x14ac:dyDescent="0.25" r="864" customHeight="1" ht="15.75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x14ac:dyDescent="0.25" r="865" customHeight="1" ht="15.7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x14ac:dyDescent="0.25" r="866" customHeight="1" ht="15.75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x14ac:dyDescent="0.25" r="867" customHeight="1" ht="15.75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x14ac:dyDescent="0.25" r="868" customHeight="1" ht="15.75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x14ac:dyDescent="0.25" r="869" customHeight="1" ht="15.75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x14ac:dyDescent="0.25" r="870" customHeight="1" ht="15.75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x14ac:dyDescent="0.25" r="871" customHeight="1" ht="15.75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x14ac:dyDescent="0.25" r="872" customHeight="1" ht="15.75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x14ac:dyDescent="0.25" r="873" customHeight="1" ht="15.75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x14ac:dyDescent="0.25" r="874" customHeight="1" ht="15.75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x14ac:dyDescent="0.25" r="875" customHeight="1" ht="15.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x14ac:dyDescent="0.25" r="876" customHeight="1" ht="15.75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x14ac:dyDescent="0.25" r="877" customHeight="1" ht="15.75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x14ac:dyDescent="0.25" r="878" customHeight="1" ht="15.75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x14ac:dyDescent="0.25" r="879" customHeight="1" ht="15.75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x14ac:dyDescent="0.25" r="880" customHeight="1" ht="15.75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x14ac:dyDescent="0.25" r="881" customHeight="1" ht="15.75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x14ac:dyDescent="0.25" r="882" customHeight="1" ht="15.75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x14ac:dyDescent="0.25" r="883" customHeight="1" ht="15.75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x14ac:dyDescent="0.25" r="884" customHeight="1" ht="15.75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x14ac:dyDescent="0.25" r="885" customHeight="1" ht="15.7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x14ac:dyDescent="0.25" r="886" customHeight="1" ht="15.75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x14ac:dyDescent="0.25" r="887" customHeight="1" ht="15.75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x14ac:dyDescent="0.25" r="888" customHeight="1" ht="15.75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x14ac:dyDescent="0.25" r="889" customHeight="1" ht="15.75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x14ac:dyDescent="0.25" r="890" customHeight="1" ht="15.75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x14ac:dyDescent="0.25" r="891" customHeight="1" ht="15.75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x14ac:dyDescent="0.25" r="892" customHeight="1" ht="15.75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x14ac:dyDescent="0.25" r="893" customHeight="1" ht="15.75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x14ac:dyDescent="0.25" r="894" customHeight="1" ht="15.75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x14ac:dyDescent="0.25" r="895" customHeight="1" ht="15.7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x14ac:dyDescent="0.25" r="896" customHeight="1" ht="15.75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x14ac:dyDescent="0.25" r="897" customHeight="1" ht="15.75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x14ac:dyDescent="0.25" r="898" customHeight="1" ht="15.75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x14ac:dyDescent="0.25" r="899" customHeight="1" ht="15.75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x14ac:dyDescent="0.25" r="900" customHeight="1" ht="15.75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x14ac:dyDescent="0.25" r="901" customHeight="1" ht="15.75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x14ac:dyDescent="0.25" r="902" customHeight="1" ht="15.75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x14ac:dyDescent="0.25" r="903" customHeight="1" ht="15.75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x14ac:dyDescent="0.25" r="904" customHeight="1" ht="15.75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x14ac:dyDescent="0.25" r="905" customHeight="1" ht="15.7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x14ac:dyDescent="0.25" r="906" customHeight="1" ht="15.75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x14ac:dyDescent="0.25" r="907" customHeight="1" ht="15.75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x14ac:dyDescent="0.25" r="908" customHeight="1" ht="15.75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x14ac:dyDescent="0.25" r="909" customHeight="1" ht="15.75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x14ac:dyDescent="0.25" r="910" customHeight="1" ht="15.75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x14ac:dyDescent="0.25" r="911" customHeight="1" ht="15.75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x14ac:dyDescent="0.25" r="912" customHeight="1" ht="15.75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x14ac:dyDescent="0.25" r="913" customHeight="1" ht="15.75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x14ac:dyDescent="0.25" r="914" customHeight="1" ht="15.75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x14ac:dyDescent="0.25" r="915" customHeight="1" ht="15.7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x14ac:dyDescent="0.25" r="916" customHeight="1" ht="15.75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x14ac:dyDescent="0.25" r="917" customHeight="1" ht="15.75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x14ac:dyDescent="0.25" r="918" customHeight="1" ht="15.75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x14ac:dyDescent="0.25" r="919" customHeight="1" ht="15.75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x14ac:dyDescent="0.25" r="920" customHeight="1" ht="15.75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x14ac:dyDescent="0.25" r="921" customHeight="1" ht="15.75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x14ac:dyDescent="0.25" r="922" customHeight="1" ht="15.75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x14ac:dyDescent="0.25" r="923" customHeight="1" ht="15.75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x14ac:dyDescent="0.25" r="924" customHeight="1" ht="15.75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x14ac:dyDescent="0.25" r="925" customHeight="1" ht="15.7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x14ac:dyDescent="0.25" r="926" customHeight="1" ht="15.75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x14ac:dyDescent="0.25" r="927" customHeight="1" ht="15.75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x14ac:dyDescent="0.25" r="928" customHeight="1" ht="15.75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x14ac:dyDescent="0.25" r="929" customHeight="1" ht="15.75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x14ac:dyDescent="0.25" r="930" customHeight="1" ht="15.75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x14ac:dyDescent="0.25" r="931" customHeight="1" ht="15.75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x14ac:dyDescent="0.25" r="932" customHeight="1" ht="15.75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x14ac:dyDescent="0.25" r="933" customHeight="1" ht="15.75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x14ac:dyDescent="0.25" r="934" customHeight="1" ht="15.75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x14ac:dyDescent="0.25" r="935" customHeight="1" ht="15.7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x14ac:dyDescent="0.25" r="936" customHeight="1" ht="15.75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x14ac:dyDescent="0.25" r="937" customHeight="1" ht="15.75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x14ac:dyDescent="0.25" r="938" customHeight="1" ht="15.75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x14ac:dyDescent="0.25" r="939" customHeight="1" ht="15.75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x14ac:dyDescent="0.25" r="940" customHeight="1" ht="15.75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x14ac:dyDescent="0.25" r="941" customHeight="1" ht="15.75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x14ac:dyDescent="0.25" r="942" customHeight="1" ht="15.75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x14ac:dyDescent="0.25" r="943" customHeight="1" ht="15.75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x14ac:dyDescent="0.25" r="944" customHeight="1" ht="15.75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x14ac:dyDescent="0.25" r="945" customHeight="1" ht="15.7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x14ac:dyDescent="0.25" r="946" customHeight="1" ht="15.75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x14ac:dyDescent="0.25" r="947" customHeight="1" ht="15.75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x14ac:dyDescent="0.25" r="948" customHeight="1" ht="15.75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x14ac:dyDescent="0.25" r="949" customHeight="1" ht="15.75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x14ac:dyDescent="0.25" r="950" customHeight="1" ht="15.75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x14ac:dyDescent="0.25" r="951" customHeight="1" ht="15.75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x14ac:dyDescent="0.25" r="952" customHeight="1" ht="15.75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x14ac:dyDescent="0.25" r="953" customHeight="1" ht="15.75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x14ac:dyDescent="0.25" r="954" customHeight="1" ht="15.75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x14ac:dyDescent="0.25" r="955" customHeight="1" ht="15.7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x14ac:dyDescent="0.25" r="956" customHeight="1" ht="15.75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x14ac:dyDescent="0.25" r="957" customHeight="1" ht="15.75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x14ac:dyDescent="0.25" r="958" customHeight="1" ht="15.75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x14ac:dyDescent="0.25" r="959" customHeight="1" ht="15.75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x14ac:dyDescent="0.25" r="960" customHeight="1" ht="15.75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x14ac:dyDescent="0.25" r="961" customHeight="1" ht="15.75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x14ac:dyDescent="0.25" r="962" customHeight="1" ht="15.75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x14ac:dyDescent="0.25" r="963" customHeight="1" ht="15.75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x14ac:dyDescent="0.25" r="964" customHeight="1" ht="15.75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x14ac:dyDescent="0.25" r="965" customHeight="1" ht="15.7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x14ac:dyDescent="0.25" r="966" customHeight="1" ht="15.75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x14ac:dyDescent="0.25" r="967" customHeight="1" ht="15.75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x14ac:dyDescent="0.25" r="968" customHeight="1" ht="15.75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x14ac:dyDescent="0.25" r="969" customHeight="1" ht="15.75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x14ac:dyDescent="0.25" r="970" customHeight="1" ht="15.75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x14ac:dyDescent="0.25" r="971" customHeight="1" ht="15.75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x14ac:dyDescent="0.25" r="972" customHeight="1" ht="15.75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x14ac:dyDescent="0.25" r="973" customHeight="1" ht="15.75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x14ac:dyDescent="0.25" r="974" customHeight="1" ht="15.75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x14ac:dyDescent="0.25" r="975" customHeight="1" ht="15.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x14ac:dyDescent="0.25" r="976" customHeight="1" ht="15.75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x14ac:dyDescent="0.25" r="977" customHeight="1" ht="15.75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x14ac:dyDescent="0.25" r="978" customHeight="1" ht="15.75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x14ac:dyDescent="0.25" r="979" customHeight="1" ht="15.75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x14ac:dyDescent="0.25" r="980" customHeight="1" ht="15.75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x14ac:dyDescent="0.25" r="981" customHeight="1" ht="15.75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x14ac:dyDescent="0.25" r="982" customHeight="1" ht="15.75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x14ac:dyDescent="0.25" r="983" customHeight="1" ht="15.75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x14ac:dyDescent="0.25" r="984" customHeight="1" ht="15.75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x14ac:dyDescent="0.25" r="985" customHeight="1" ht="15.7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x14ac:dyDescent="0.25" r="986" customHeight="1" ht="15.75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x14ac:dyDescent="0.25" r="987" customHeight="1" ht="15.75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x14ac:dyDescent="0.25" r="988" customHeight="1" ht="15.75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x14ac:dyDescent="0.25" r="989" customHeight="1" ht="15.75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x14ac:dyDescent="0.25" r="990" customHeight="1" ht="15.75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x14ac:dyDescent="0.25" r="991" customHeight="1" ht="15.75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x14ac:dyDescent="0.25" r="992" customHeight="1" ht="15.75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x14ac:dyDescent="0.25" r="993" customHeight="1" ht="15.75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x14ac:dyDescent="0.25" r="994" customHeight="1" ht="15.75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x14ac:dyDescent="0.25" r="995" customHeight="1" ht="15.7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x14ac:dyDescent="0.25" r="996" customHeight="1" ht="15.75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x14ac:dyDescent="0.25" r="997" customHeight="1" ht="15.75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x14ac:dyDescent="0.25" r="998" customHeight="1" ht="15.75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x14ac:dyDescent="0.25" r="999" customHeight="1" ht="15.75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x14ac:dyDescent="0.25" r="1000" customHeight="1" ht="15.75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mergeCells count="4">
    <mergeCell ref="B2:B3"/>
    <mergeCell ref="C2:C3"/>
    <mergeCell ref="D2:D3"/>
    <mergeCell ref="E2:G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1000"/>
  <sheetViews>
    <sheetView workbookViewId="0"/>
  </sheetViews>
  <sheetFormatPr defaultRowHeight="15" x14ac:dyDescent="0.25"/>
  <cols>
    <col min="1" max="1" style="13" width="21.290714285714284" customWidth="1" bestFit="1"/>
    <col min="2" max="2" style="13" width="20.862142857142857" customWidth="1" bestFit="1"/>
    <col min="3" max="3" style="12" width="35.71928571428572" customWidth="1" bestFit="1"/>
    <col min="4" max="4" style="12" width="3.7192857142857143" customWidth="1" bestFit="1"/>
    <col min="5" max="5" style="13" width="61.57642857142857" customWidth="1" bestFit="1"/>
    <col min="6" max="6" style="13" width="18.719285714285714" customWidth="1" bestFit="1"/>
    <col min="7" max="7" style="13" width="8.719285714285713" customWidth="1" bestFit="1"/>
    <col min="8" max="8" style="13" width="67.29071428571429" customWidth="1" bestFit="1"/>
    <col min="9" max="9" style="27" width="14.147857142857141" customWidth="1" bestFit="1"/>
    <col min="10" max="10" style="13" width="14.147857142857141" customWidth="1" bestFit="1"/>
    <col min="11" max="11" style="13" width="14.147857142857141" customWidth="1" bestFit="1"/>
    <col min="12" max="12" style="13" width="14.147857142857141" customWidth="1" bestFit="1"/>
    <col min="13" max="13" style="13" width="14.147857142857141" customWidth="1" bestFit="1"/>
    <col min="14" max="14" style="13" width="14.147857142857141" customWidth="1" bestFit="1"/>
  </cols>
  <sheetData>
    <row x14ac:dyDescent="0.25" r="1" customHeight="1" ht="19.5">
      <c r="A1" s="19"/>
      <c r="B1" s="11"/>
      <c r="C1" s="6"/>
      <c r="D1" s="6"/>
      <c r="E1" s="11"/>
      <c r="F1" s="11"/>
      <c r="G1" s="11"/>
      <c r="H1" s="11"/>
      <c r="I1" s="26"/>
      <c r="J1" s="11"/>
      <c r="K1" s="11"/>
      <c r="L1" s="11"/>
      <c r="M1" s="11"/>
      <c r="N1" s="11"/>
    </row>
    <row x14ac:dyDescent="0.25" r="2" customHeight="1" ht="44.25">
      <c r="A2" s="19"/>
      <c r="B2" s="11"/>
      <c r="C2" s="6"/>
      <c r="D2" s="6"/>
      <c r="E2" s="11"/>
      <c r="F2" s="11"/>
      <c r="G2" s="11"/>
      <c r="H2" s="11"/>
      <c r="I2" s="26"/>
      <c r="J2" s="11"/>
      <c r="K2" s="11"/>
      <c r="L2" s="11"/>
      <c r="M2" s="11"/>
      <c r="N2" s="11"/>
    </row>
    <row x14ac:dyDescent="0.25" r="3" customHeight="1" ht="19.5">
      <c r="A3" s="19"/>
      <c r="B3" s="11"/>
      <c r="C3" s="6"/>
      <c r="D3" s="6"/>
      <c r="E3" s="11"/>
      <c r="F3" s="11"/>
      <c r="G3" s="11"/>
      <c r="H3" s="11"/>
      <c r="I3" s="26"/>
      <c r="J3" s="11"/>
      <c r="K3" s="11"/>
      <c r="L3" s="11"/>
      <c r="M3" s="11"/>
      <c r="N3" s="11"/>
    </row>
    <row x14ac:dyDescent="0.25" r="4" customHeight="1" ht="19.5">
      <c r="A4" s="19"/>
      <c r="B4" s="11"/>
      <c r="C4" s="6"/>
      <c r="D4" s="6"/>
      <c r="E4" s="11"/>
      <c r="F4" s="11"/>
      <c r="G4" s="11"/>
      <c r="H4" s="11"/>
      <c r="I4" s="26"/>
      <c r="J4" s="11"/>
      <c r="K4" s="11"/>
      <c r="L4" s="11"/>
      <c r="M4" s="11"/>
      <c r="N4" s="11"/>
    </row>
    <row x14ac:dyDescent="0.25" r="5" customHeight="1" ht="19.5">
      <c r="A5" s="19"/>
      <c r="B5" s="11"/>
      <c r="C5" s="6"/>
      <c r="D5" s="6"/>
      <c r="E5" s="11"/>
      <c r="F5" s="11"/>
      <c r="G5" s="11"/>
      <c r="H5" s="11"/>
      <c r="I5" s="26"/>
      <c r="J5" s="11"/>
      <c r="K5" s="11"/>
      <c r="L5" s="11"/>
      <c r="M5" s="11"/>
      <c r="N5" s="11"/>
    </row>
    <row x14ac:dyDescent="0.25" r="6" customHeight="1" ht="19.5">
      <c r="A6" s="19"/>
      <c r="B6" s="11"/>
      <c r="C6" s="6"/>
      <c r="D6" s="6"/>
      <c r="E6" s="11"/>
      <c r="F6" s="11"/>
      <c r="G6" s="11"/>
      <c r="H6" s="11"/>
      <c r="I6" s="26"/>
      <c r="J6" s="11"/>
      <c r="K6" s="11"/>
      <c r="L6" s="11"/>
      <c r="M6" s="11"/>
      <c r="N6" s="11"/>
    </row>
    <row x14ac:dyDescent="0.25" r="7" customHeight="1" ht="19.5">
      <c r="A7" s="19"/>
      <c r="B7" s="11"/>
      <c r="C7" s="6"/>
      <c r="D7" s="6"/>
      <c r="E7" s="11"/>
      <c r="F7" s="11"/>
      <c r="G7" s="11"/>
      <c r="H7" s="11"/>
      <c r="I7" s="26"/>
      <c r="J7" s="11"/>
      <c r="K7" s="11"/>
      <c r="L7" s="11"/>
      <c r="M7" s="11"/>
      <c r="N7" s="11"/>
    </row>
    <row x14ac:dyDescent="0.25" r="8" customHeight="1" ht="19.5">
      <c r="A8" s="19"/>
      <c r="B8" s="11"/>
      <c r="C8" s="6"/>
      <c r="D8" s="6"/>
      <c r="E8" s="11"/>
      <c r="F8" s="11"/>
      <c r="G8" s="11"/>
      <c r="H8" s="11"/>
      <c r="I8" s="26"/>
      <c r="J8" s="11"/>
      <c r="K8" s="11"/>
      <c r="L8" s="11"/>
      <c r="M8" s="11"/>
      <c r="N8" s="11"/>
    </row>
    <row x14ac:dyDescent="0.25" r="9" customHeight="1" ht="19.5">
      <c r="A9" s="19"/>
      <c r="B9" s="11"/>
      <c r="C9" s="6"/>
      <c r="D9" s="6"/>
      <c r="E9" s="11"/>
      <c r="F9" s="11"/>
      <c r="G9" s="11"/>
      <c r="H9" s="11"/>
      <c r="I9" s="26"/>
      <c r="J9" s="11"/>
      <c r="K9" s="11"/>
      <c r="L9" s="11"/>
      <c r="M9" s="11"/>
      <c r="N9" s="11"/>
    </row>
    <row x14ac:dyDescent="0.25" r="10" customHeight="1" ht="19.5">
      <c r="A10" s="19"/>
      <c r="B10" s="11"/>
      <c r="C10" s="6"/>
      <c r="D10" s="6"/>
      <c r="E10" s="11"/>
      <c r="F10" s="11"/>
      <c r="G10" s="11"/>
      <c r="H10" s="11"/>
      <c r="I10" s="26"/>
      <c r="J10" s="11"/>
      <c r="K10" s="11"/>
      <c r="L10" s="11"/>
      <c r="M10" s="11"/>
      <c r="N10" s="11"/>
    </row>
    <row x14ac:dyDescent="0.25" r="11" customHeight="1" ht="19.5">
      <c r="A11" s="19"/>
      <c r="B11" s="11"/>
      <c r="C11" s="6"/>
      <c r="D11" s="6"/>
      <c r="E11" s="11"/>
      <c r="F11" s="11"/>
      <c r="G11" s="11"/>
      <c r="H11" s="11"/>
      <c r="I11" s="26"/>
      <c r="J11" s="11"/>
      <c r="K11" s="11"/>
      <c r="L11" s="11"/>
      <c r="M11" s="11"/>
      <c r="N11" s="19"/>
    </row>
    <row x14ac:dyDescent="0.25" r="12" customHeight="1" ht="19.5">
      <c r="A12" s="19"/>
      <c r="B12" s="11"/>
      <c r="C12" s="6"/>
      <c r="D12" s="6"/>
      <c r="E12" s="58"/>
      <c r="F12" s="59"/>
      <c r="G12" s="60"/>
      <c r="H12" s="11"/>
      <c r="I12" s="26"/>
      <c r="J12" s="11"/>
      <c r="K12" s="11"/>
      <c r="L12" s="11"/>
      <c r="M12" s="11"/>
      <c r="N12" s="19"/>
    </row>
    <row x14ac:dyDescent="0.25" r="13" customHeight="1" ht="19.5">
      <c r="A13" s="19"/>
      <c r="B13" s="11"/>
      <c r="C13" s="6"/>
      <c r="D13" s="6"/>
      <c r="E13" s="58"/>
      <c r="F13" s="59"/>
      <c r="G13" s="60"/>
      <c r="H13" s="11"/>
      <c r="I13" s="26"/>
      <c r="J13" s="11"/>
      <c r="K13" s="11"/>
      <c r="L13" s="11"/>
      <c r="M13" s="11"/>
      <c r="N13" s="19"/>
    </row>
    <row x14ac:dyDescent="0.25" r="14" customHeight="1" ht="19.5">
      <c r="A14" s="19"/>
      <c r="B14" s="11"/>
      <c r="C14" s="6"/>
      <c r="D14" s="6"/>
      <c r="E14" s="58"/>
      <c r="F14" s="59"/>
      <c r="G14" s="60"/>
      <c r="H14" s="11"/>
      <c r="I14" s="26"/>
      <c r="J14" s="11"/>
      <c r="K14" s="11"/>
      <c r="L14" s="11"/>
      <c r="M14" s="11"/>
      <c r="N14" s="19"/>
    </row>
    <row x14ac:dyDescent="0.25" r="15" customHeight="1" ht="19.5">
      <c r="A15" s="19"/>
      <c r="B15" s="11"/>
      <c r="C15" s="6"/>
      <c r="D15" s="6"/>
      <c r="E15" s="58"/>
      <c r="F15" s="59"/>
      <c r="G15" s="60"/>
      <c r="H15" s="11"/>
      <c r="I15" s="26"/>
      <c r="J15" s="11"/>
      <c r="K15" s="11"/>
      <c r="L15" s="11"/>
      <c r="M15" s="11"/>
      <c r="N15" s="19"/>
    </row>
    <row x14ac:dyDescent="0.25" r="16" customHeight="1" ht="19.5">
      <c r="A16" s="19"/>
      <c r="B16" s="11"/>
      <c r="C16" s="6"/>
      <c r="D16" s="6"/>
      <c r="E16" s="58"/>
      <c r="F16" s="59"/>
      <c r="G16" s="60"/>
      <c r="H16" s="11"/>
      <c r="I16" s="26"/>
      <c r="J16" s="11"/>
      <c r="K16" s="11"/>
      <c r="L16" s="11"/>
      <c r="M16" s="11"/>
      <c r="N16" s="19"/>
    </row>
    <row x14ac:dyDescent="0.25" r="17" customHeight="1" ht="19.5">
      <c r="A17" s="19"/>
      <c r="B17" s="11"/>
      <c r="C17" s="6"/>
      <c r="D17" s="6"/>
      <c r="E17" s="58"/>
      <c r="F17" s="59"/>
      <c r="G17" s="60"/>
      <c r="H17" s="11"/>
      <c r="I17" s="26"/>
      <c r="J17" s="11"/>
      <c r="K17" s="11"/>
      <c r="L17" s="11"/>
      <c r="M17" s="11"/>
      <c r="N17" s="19"/>
    </row>
    <row x14ac:dyDescent="0.25" r="18" customHeight="1" ht="19.5">
      <c r="A18" s="19"/>
      <c r="B18" s="11"/>
      <c r="C18" s="6"/>
      <c r="D18" s="6"/>
      <c r="E18" s="58"/>
      <c r="F18" s="59"/>
      <c r="G18" s="60"/>
      <c r="H18" s="11"/>
      <c r="I18" s="26"/>
      <c r="J18" s="11"/>
      <c r="K18" s="11"/>
      <c r="L18" s="11"/>
      <c r="M18" s="11"/>
      <c r="N18" s="19"/>
    </row>
    <row x14ac:dyDescent="0.25" r="19" customHeight="1" ht="19.5">
      <c r="A19" s="19"/>
      <c r="B19" s="11"/>
      <c r="C19" s="6"/>
      <c r="D19" s="6"/>
      <c r="E19" s="61"/>
      <c r="F19" s="62"/>
      <c r="G19" s="63"/>
      <c r="H19" s="11"/>
      <c r="I19" s="26"/>
      <c r="J19" s="11"/>
      <c r="K19" s="11"/>
      <c r="L19" s="11"/>
      <c r="M19" s="11"/>
      <c r="N19" s="19"/>
    </row>
    <row x14ac:dyDescent="0.25" r="20" customHeight="1" ht="19.5">
      <c r="A20" s="19"/>
      <c r="B20" s="11"/>
      <c r="C20" s="6"/>
      <c r="D20" s="6"/>
      <c r="E20" s="11"/>
      <c r="F20" s="11"/>
      <c r="G20" s="11"/>
      <c r="H20" s="11"/>
      <c r="I20" s="26"/>
      <c r="J20" s="11"/>
      <c r="K20" s="11"/>
      <c r="L20" s="11"/>
      <c r="M20" s="11"/>
      <c r="N20" s="19"/>
    </row>
    <row x14ac:dyDescent="0.25" r="21" customHeight="1" ht="15.75">
      <c r="A21" s="19"/>
      <c r="B21" s="11"/>
      <c r="C21" s="6"/>
      <c r="D21" s="6"/>
      <c r="E21" s="11"/>
      <c r="F21" s="11"/>
      <c r="G21" s="11"/>
      <c r="H21" s="11"/>
      <c r="I21" s="26"/>
      <c r="J21" s="11"/>
      <c r="K21" s="11"/>
      <c r="L21" s="11"/>
      <c r="M21" s="11"/>
      <c r="N21" s="19"/>
    </row>
    <row x14ac:dyDescent="0.25" r="22" customHeight="1" ht="15.75">
      <c r="A22" s="19"/>
      <c r="B22" s="11"/>
      <c r="C22" s="6"/>
      <c r="D22" s="6"/>
      <c r="E22" s="11"/>
      <c r="F22" s="11"/>
      <c r="G22" s="11"/>
      <c r="H22" s="11"/>
      <c r="I22" s="26"/>
      <c r="J22" s="11"/>
      <c r="K22" s="11"/>
      <c r="L22" s="11"/>
      <c r="M22" s="11"/>
      <c r="N22" s="19"/>
    </row>
    <row x14ac:dyDescent="0.25" r="23" customHeight="1" ht="15.75">
      <c r="A23" s="19"/>
      <c r="B23" s="11"/>
      <c r="C23" s="6"/>
      <c r="D23" s="6"/>
      <c r="E23" s="11"/>
      <c r="F23" s="11"/>
      <c r="G23" s="11"/>
      <c r="H23" s="11"/>
      <c r="I23" s="26"/>
      <c r="J23" s="11"/>
      <c r="K23" s="11"/>
      <c r="L23" s="11"/>
      <c r="M23" s="11"/>
      <c r="N23" s="19"/>
    </row>
    <row x14ac:dyDescent="0.25" r="24" customHeight="1" ht="15.75">
      <c r="A24" s="19"/>
      <c r="B24" s="11"/>
      <c r="C24" s="6"/>
      <c r="D24" s="6"/>
      <c r="E24" s="11"/>
      <c r="F24" s="11"/>
      <c r="G24" s="11"/>
      <c r="H24" s="11"/>
      <c r="I24" s="26"/>
      <c r="J24" s="11"/>
      <c r="K24" s="11"/>
      <c r="L24" s="11"/>
      <c r="M24" s="11"/>
      <c r="N24" s="19"/>
    </row>
    <row x14ac:dyDescent="0.25" r="25" customHeight="1" ht="15.75">
      <c r="A25" s="19"/>
      <c r="B25" s="11"/>
      <c r="C25" s="6"/>
      <c r="D25" s="6"/>
      <c r="E25" s="11"/>
      <c r="F25" s="11"/>
      <c r="G25" s="11"/>
      <c r="H25" s="11"/>
      <c r="I25" s="26"/>
      <c r="J25" s="11"/>
      <c r="K25" s="11"/>
      <c r="L25" s="11"/>
      <c r="M25" s="11"/>
      <c r="N25" s="19"/>
    </row>
    <row x14ac:dyDescent="0.25" r="26" customHeight="1" ht="15.75">
      <c r="A26" s="11"/>
      <c r="B26" s="11"/>
      <c r="C26" s="6"/>
      <c r="D26" s="6"/>
      <c r="E26" s="11"/>
      <c r="F26" s="11"/>
      <c r="G26" s="11"/>
      <c r="H26" s="11"/>
      <c r="I26" s="26"/>
      <c r="J26" s="11"/>
      <c r="K26" s="11"/>
      <c r="L26" s="11"/>
      <c r="M26" s="11"/>
      <c r="N26" s="19"/>
    </row>
    <row x14ac:dyDescent="0.25" r="27" customHeight="1" ht="15.75">
      <c r="A27" s="11"/>
      <c r="B27" s="11"/>
      <c r="C27" s="6"/>
      <c r="D27" s="6"/>
      <c r="E27" s="11"/>
      <c r="F27" s="11"/>
      <c r="G27" s="11"/>
      <c r="H27" s="11"/>
      <c r="I27" s="26"/>
      <c r="J27" s="11"/>
      <c r="K27" s="11"/>
      <c r="L27" s="11"/>
      <c r="M27" s="11"/>
      <c r="N27" s="19"/>
    </row>
    <row x14ac:dyDescent="0.25" r="28" customHeight="1" ht="15.75">
      <c r="A28" s="11"/>
      <c r="B28" s="11"/>
      <c r="C28" s="6"/>
      <c r="D28" s="6"/>
      <c r="E28" s="11"/>
      <c r="F28" s="11"/>
      <c r="G28" s="11"/>
      <c r="H28" s="11"/>
      <c r="I28" s="26"/>
      <c r="J28" s="11"/>
      <c r="K28" s="11"/>
      <c r="L28" s="11"/>
      <c r="M28" s="11"/>
      <c r="N28" s="19"/>
    </row>
    <row x14ac:dyDescent="0.25" r="29" customHeight="1" ht="15.75">
      <c r="A29" s="11"/>
      <c r="B29" s="11"/>
      <c r="C29" s="6"/>
      <c r="D29" s="6"/>
      <c r="E29" s="11"/>
      <c r="F29" s="11"/>
      <c r="G29" s="11"/>
      <c r="H29" s="11"/>
      <c r="I29" s="26"/>
      <c r="J29" s="11"/>
      <c r="K29" s="11"/>
      <c r="L29" s="11"/>
      <c r="M29" s="11"/>
      <c r="N29" s="19"/>
    </row>
    <row x14ac:dyDescent="0.25" r="30" customHeight="1" ht="15.75">
      <c r="A30" s="11"/>
      <c r="B30" s="11"/>
      <c r="C30" s="6"/>
      <c r="D30" s="6"/>
      <c r="E30" s="11"/>
      <c r="F30" s="11"/>
      <c r="G30" s="11"/>
      <c r="H30" s="11"/>
      <c r="I30" s="26"/>
      <c r="J30" s="11"/>
      <c r="K30" s="11"/>
      <c r="L30" s="11"/>
      <c r="M30" s="11"/>
      <c r="N30" s="19"/>
    </row>
    <row x14ac:dyDescent="0.25" r="31" customHeight="1" ht="15.75">
      <c r="A31" s="11"/>
      <c r="B31" s="11"/>
      <c r="C31" s="6"/>
      <c r="D31" s="6"/>
      <c r="E31" s="11"/>
      <c r="F31" s="11"/>
      <c r="G31" s="11"/>
      <c r="H31" s="11"/>
      <c r="I31" s="26"/>
      <c r="J31" s="11"/>
      <c r="K31" s="11"/>
      <c r="L31" s="11"/>
      <c r="M31" s="11"/>
      <c r="N31" s="19"/>
    </row>
    <row x14ac:dyDescent="0.25" r="32" customHeight="1" ht="15.75">
      <c r="A32" s="11"/>
      <c r="B32" s="19"/>
      <c r="C32" s="6"/>
      <c r="D32" s="6"/>
      <c r="E32" s="11"/>
      <c r="F32" s="11"/>
      <c r="G32" s="11"/>
      <c r="H32" s="11"/>
      <c r="I32" s="26"/>
      <c r="J32" s="11"/>
      <c r="K32" s="11"/>
      <c r="L32" s="11"/>
      <c r="M32" s="11"/>
      <c r="N32" s="19"/>
    </row>
    <row x14ac:dyDescent="0.25" r="33" customHeight="1" ht="15.75">
      <c r="A33" s="19"/>
      <c r="B33" s="19"/>
      <c r="C33" s="6"/>
      <c r="D33" s="6"/>
      <c r="E33" s="11"/>
      <c r="F33" s="11"/>
      <c r="G33" s="11"/>
      <c r="H33" s="11"/>
      <c r="I33" s="26"/>
      <c r="J33" s="11"/>
      <c r="K33" s="11"/>
      <c r="L33" s="11"/>
      <c r="M33" s="11"/>
      <c r="N33" s="19"/>
    </row>
    <row x14ac:dyDescent="0.25" r="34" customHeight="1" ht="15.75">
      <c r="A34" s="19"/>
      <c r="B34" s="19"/>
      <c r="C34" s="6"/>
      <c r="D34" s="6"/>
      <c r="E34" s="11"/>
      <c r="F34" s="11"/>
      <c r="G34" s="11"/>
      <c r="H34" s="11"/>
      <c r="I34" s="26"/>
      <c r="J34" s="11"/>
      <c r="K34" s="11"/>
      <c r="L34" s="11"/>
      <c r="M34" s="11"/>
      <c r="N34" s="19"/>
    </row>
    <row x14ac:dyDescent="0.25" r="35" customHeight="1" ht="15.75">
      <c r="A35" s="19"/>
      <c r="B35" s="19"/>
      <c r="C35" s="6"/>
      <c r="D35" s="6"/>
      <c r="E35" s="11"/>
      <c r="F35" s="11"/>
      <c r="G35" s="11"/>
      <c r="H35" s="11"/>
      <c r="I35" s="26"/>
      <c r="J35" s="11"/>
      <c r="K35" s="11"/>
      <c r="L35" s="11"/>
      <c r="M35" s="11"/>
      <c r="N35" s="19"/>
    </row>
    <row x14ac:dyDescent="0.25" r="36" customHeight="1" ht="15.75">
      <c r="A36" s="19"/>
      <c r="B36" s="19"/>
      <c r="C36" s="6"/>
      <c r="D36" s="6"/>
      <c r="E36" s="11"/>
      <c r="F36" s="11"/>
      <c r="G36" s="11"/>
      <c r="H36" s="11"/>
      <c r="I36" s="26"/>
      <c r="J36" s="11"/>
      <c r="K36" s="11"/>
      <c r="L36" s="11"/>
      <c r="M36" s="11"/>
      <c r="N36" s="19"/>
    </row>
    <row x14ac:dyDescent="0.25" r="37" customHeight="1" ht="15.75">
      <c r="A37" s="19"/>
      <c r="B37" s="19"/>
      <c r="C37" s="6"/>
      <c r="D37" s="6"/>
      <c r="E37" s="11"/>
      <c r="F37" s="11"/>
      <c r="G37" s="11"/>
      <c r="H37" s="11"/>
      <c r="I37" s="26"/>
      <c r="J37" s="11"/>
      <c r="K37" s="11"/>
      <c r="L37" s="11"/>
      <c r="M37" s="11"/>
      <c r="N37" s="19"/>
    </row>
    <row x14ac:dyDescent="0.25" r="38" customHeight="1" ht="15.75">
      <c r="A38" s="19"/>
      <c r="B38" s="19"/>
      <c r="C38" s="6"/>
      <c r="D38" s="6"/>
      <c r="E38" s="11"/>
      <c r="F38" s="11"/>
      <c r="G38" s="11"/>
      <c r="H38" s="11"/>
      <c r="I38" s="26"/>
      <c r="J38" s="11"/>
      <c r="K38" s="11"/>
      <c r="L38" s="11"/>
      <c r="M38" s="11"/>
      <c r="N38" s="19"/>
    </row>
    <row x14ac:dyDescent="0.25" r="39" customHeight="1" ht="15.75">
      <c r="A39" s="19"/>
      <c r="B39" s="19"/>
      <c r="C39" s="6"/>
      <c r="D39" s="6"/>
      <c r="E39" s="11"/>
      <c r="F39" s="11"/>
      <c r="G39" s="11"/>
      <c r="H39" s="11"/>
      <c r="I39" s="26"/>
      <c r="J39" s="11"/>
      <c r="K39" s="11"/>
      <c r="L39" s="11"/>
      <c r="M39" s="11"/>
      <c r="N39" s="19"/>
    </row>
    <row x14ac:dyDescent="0.25" r="40" customHeight="1" ht="15.75">
      <c r="A40" s="19"/>
      <c r="B40" s="19"/>
      <c r="C40" s="6"/>
      <c r="D40" s="6"/>
      <c r="E40" s="11"/>
      <c r="F40" s="11"/>
      <c r="G40" s="11"/>
      <c r="H40" s="11"/>
      <c r="I40" s="26"/>
      <c r="J40" s="11"/>
      <c r="K40" s="11"/>
      <c r="L40" s="11"/>
      <c r="M40" s="11"/>
      <c r="N40" s="19"/>
    </row>
    <row x14ac:dyDescent="0.25" r="41" customHeight="1" ht="15.75">
      <c r="A41" s="19"/>
      <c r="B41" s="19"/>
      <c r="C41" s="6"/>
      <c r="D41" s="6"/>
      <c r="E41" s="11"/>
      <c r="F41" s="11"/>
      <c r="G41" s="11"/>
      <c r="H41" s="11"/>
      <c r="I41" s="26"/>
      <c r="J41" s="11"/>
      <c r="K41" s="11"/>
      <c r="L41" s="11"/>
      <c r="M41" s="11"/>
      <c r="N41" s="19"/>
    </row>
    <row x14ac:dyDescent="0.25" r="42" customHeight="1" ht="15.75">
      <c r="A42" s="19"/>
      <c r="B42" s="19"/>
      <c r="C42" s="6"/>
      <c r="D42" s="6"/>
      <c r="E42" s="11"/>
      <c r="F42" s="11"/>
      <c r="G42" s="11"/>
      <c r="H42" s="11"/>
      <c r="I42" s="26"/>
      <c r="J42" s="11"/>
      <c r="K42" s="11"/>
      <c r="L42" s="11"/>
      <c r="M42" s="11"/>
      <c r="N42" s="19"/>
    </row>
    <row x14ac:dyDescent="0.25" r="43" customHeight="1" ht="15.75">
      <c r="A43" s="19"/>
      <c r="B43" s="19"/>
      <c r="C43" s="6"/>
      <c r="D43" s="6"/>
      <c r="E43" s="11"/>
      <c r="F43" s="11"/>
      <c r="G43" s="11"/>
      <c r="H43" s="11"/>
      <c r="I43" s="26"/>
      <c r="J43" s="11"/>
      <c r="K43" s="11"/>
      <c r="L43" s="11"/>
      <c r="M43" s="11"/>
      <c r="N43" s="19"/>
    </row>
    <row x14ac:dyDescent="0.25" r="44" customHeight="1" ht="15.75">
      <c r="A44" s="19"/>
      <c r="B44" s="19"/>
      <c r="C44" s="6"/>
      <c r="D44" s="6"/>
      <c r="E44" s="11"/>
      <c r="F44" s="11"/>
      <c r="G44" s="11"/>
      <c r="H44" s="11"/>
      <c r="I44" s="26"/>
      <c r="J44" s="11"/>
      <c r="K44" s="11"/>
      <c r="L44" s="11"/>
      <c r="M44" s="11"/>
      <c r="N44" s="19"/>
    </row>
    <row x14ac:dyDescent="0.25" r="45" customHeight="1" ht="15.75">
      <c r="A45" s="19"/>
      <c r="B45" s="19"/>
      <c r="C45" s="6"/>
      <c r="D45" s="6"/>
      <c r="E45" s="11"/>
      <c r="F45" s="11"/>
      <c r="G45" s="11"/>
      <c r="H45" s="11"/>
      <c r="I45" s="26"/>
      <c r="J45" s="11"/>
      <c r="K45" s="11"/>
      <c r="L45" s="11"/>
      <c r="M45" s="11"/>
      <c r="N45" s="19"/>
    </row>
    <row x14ac:dyDescent="0.25" r="46" customHeight="1" ht="15.75">
      <c r="A46" s="19"/>
      <c r="B46" s="19"/>
      <c r="C46" s="6"/>
      <c r="D46" s="6"/>
      <c r="E46" s="11"/>
      <c r="F46" s="11"/>
      <c r="G46" s="11"/>
      <c r="H46" s="11"/>
      <c r="I46" s="26"/>
      <c r="J46" s="11"/>
      <c r="K46" s="11"/>
      <c r="L46" s="11"/>
      <c r="M46" s="11"/>
      <c r="N46" s="19"/>
    </row>
    <row x14ac:dyDescent="0.25" r="47" customHeight="1" ht="15.75">
      <c r="A47" s="19"/>
      <c r="B47" s="11"/>
      <c r="C47" s="6"/>
      <c r="D47" s="6"/>
      <c r="E47" s="11"/>
      <c r="F47" s="11"/>
      <c r="G47" s="11"/>
      <c r="H47" s="11"/>
      <c r="I47" s="26"/>
      <c r="J47" s="11"/>
      <c r="K47" s="11"/>
      <c r="L47" s="11"/>
      <c r="M47" s="11"/>
      <c r="N47" s="19"/>
    </row>
    <row x14ac:dyDescent="0.25" r="48" customHeight="1" ht="15.75">
      <c r="A48" s="19"/>
      <c r="B48" s="11"/>
      <c r="C48" s="6"/>
      <c r="D48" s="6"/>
      <c r="E48" s="11"/>
      <c r="F48" s="11"/>
      <c r="G48" s="11"/>
      <c r="H48" s="11"/>
      <c r="I48" s="26"/>
      <c r="J48" s="11"/>
      <c r="K48" s="11"/>
      <c r="L48" s="11"/>
      <c r="M48" s="11"/>
      <c r="N48" s="19"/>
    </row>
    <row x14ac:dyDescent="0.25" r="49" customHeight="1" ht="15.75">
      <c r="A49" s="19"/>
      <c r="B49" s="11"/>
      <c r="C49" s="6"/>
      <c r="D49" s="6"/>
      <c r="E49" s="11"/>
      <c r="F49" s="11"/>
      <c r="G49" s="11"/>
      <c r="H49" s="11"/>
      <c r="I49" s="26"/>
      <c r="J49" s="11"/>
      <c r="K49" s="11"/>
      <c r="L49" s="11"/>
      <c r="M49" s="11"/>
      <c r="N49" s="19"/>
    </row>
    <row x14ac:dyDescent="0.25" r="50" customHeight="1" ht="15.75">
      <c r="A50" s="19"/>
      <c r="B50" s="11"/>
      <c r="C50" s="6"/>
      <c r="D50" s="6"/>
      <c r="E50" s="11"/>
      <c r="F50" s="11"/>
      <c r="G50" s="11"/>
      <c r="H50" s="11"/>
      <c r="I50" s="26"/>
      <c r="J50" s="11"/>
      <c r="K50" s="11"/>
      <c r="L50" s="11"/>
      <c r="M50" s="11"/>
      <c r="N50" s="19"/>
    </row>
    <row x14ac:dyDescent="0.25" r="51" customHeight="1" ht="15.75">
      <c r="A51" s="19"/>
      <c r="B51" s="11"/>
      <c r="C51" s="6"/>
      <c r="D51" s="6"/>
      <c r="E51" s="11"/>
      <c r="F51" s="11"/>
      <c r="G51" s="11"/>
      <c r="H51" s="11"/>
      <c r="I51" s="26"/>
      <c r="J51" s="11"/>
      <c r="K51" s="11"/>
      <c r="L51" s="11"/>
      <c r="M51" s="11"/>
      <c r="N51" s="19"/>
    </row>
    <row x14ac:dyDescent="0.25" r="52" customHeight="1" ht="15.75">
      <c r="A52" s="19"/>
      <c r="B52" s="11"/>
      <c r="C52" s="6"/>
      <c r="D52" s="6"/>
      <c r="E52" s="11"/>
      <c r="F52" s="11"/>
      <c r="G52" s="11"/>
      <c r="H52" s="11"/>
      <c r="I52" s="26"/>
      <c r="J52" s="11"/>
      <c r="K52" s="11"/>
      <c r="L52" s="11"/>
      <c r="M52" s="11"/>
      <c r="N52" s="19"/>
    </row>
    <row x14ac:dyDescent="0.25" r="53" customHeight="1" ht="15.75">
      <c r="A53" s="19"/>
      <c r="B53" s="11"/>
      <c r="C53" s="6"/>
      <c r="D53" s="6"/>
      <c r="E53" s="11"/>
      <c r="F53" s="11"/>
      <c r="G53" s="11"/>
      <c r="H53" s="11"/>
      <c r="I53" s="26"/>
      <c r="J53" s="11"/>
      <c r="K53" s="11"/>
      <c r="L53" s="11"/>
      <c r="M53" s="11"/>
      <c r="N53" s="19"/>
    </row>
    <row x14ac:dyDescent="0.25" r="54" customHeight="1" ht="15.75">
      <c r="A54" s="19"/>
      <c r="B54" s="11"/>
      <c r="C54" s="6"/>
      <c r="D54" s="6"/>
      <c r="E54" s="11"/>
      <c r="F54" s="11"/>
      <c r="G54" s="11"/>
      <c r="H54" s="11"/>
      <c r="I54" s="26"/>
      <c r="J54" s="11"/>
      <c r="K54" s="11"/>
      <c r="L54" s="11"/>
      <c r="M54" s="11"/>
      <c r="N54" s="19"/>
    </row>
    <row x14ac:dyDescent="0.25" r="55" customHeight="1" ht="15.75">
      <c r="A55" s="19"/>
      <c r="B55" s="11"/>
      <c r="C55" s="6"/>
      <c r="D55" s="6"/>
      <c r="E55" s="11"/>
      <c r="F55" s="11"/>
      <c r="G55" s="11"/>
      <c r="H55" s="11"/>
      <c r="I55" s="26"/>
      <c r="J55" s="11"/>
      <c r="K55" s="11"/>
      <c r="L55" s="11"/>
      <c r="M55" s="11"/>
      <c r="N55" s="19"/>
    </row>
    <row x14ac:dyDescent="0.25" r="56" customHeight="1" ht="15.75">
      <c r="A56" s="19"/>
      <c r="B56" s="11"/>
      <c r="C56" s="6"/>
      <c r="D56" s="6"/>
      <c r="E56" s="11"/>
      <c r="F56" s="11"/>
      <c r="G56" s="11"/>
      <c r="H56" s="11"/>
      <c r="I56" s="26"/>
      <c r="J56" s="11"/>
      <c r="K56" s="11"/>
      <c r="L56" s="11"/>
      <c r="M56" s="11"/>
      <c r="N56" s="19"/>
    </row>
    <row x14ac:dyDescent="0.25" r="57" customHeight="1" ht="15.75">
      <c r="A57" s="19"/>
      <c r="B57" s="11"/>
      <c r="C57" s="6"/>
      <c r="D57" s="6"/>
      <c r="E57" s="11"/>
      <c r="F57" s="11"/>
      <c r="G57" s="11"/>
      <c r="H57" s="11"/>
      <c r="I57" s="26"/>
      <c r="J57" s="11"/>
      <c r="K57" s="11"/>
      <c r="L57" s="11"/>
      <c r="M57" s="11"/>
      <c r="N57" s="19"/>
    </row>
    <row x14ac:dyDescent="0.25" r="58" customHeight="1" ht="15.75">
      <c r="A58" s="19"/>
      <c r="B58" s="11"/>
      <c r="C58" s="6"/>
      <c r="D58" s="6"/>
      <c r="E58" s="11"/>
      <c r="F58" s="11"/>
      <c r="G58" s="11"/>
      <c r="H58" s="11"/>
      <c r="I58" s="26"/>
      <c r="J58" s="11"/>
      <c r="K58" s="11"/>
      <c r="L58" s="11"/>
      <c r="M58" s="11"/>
      <c r="N58" s="19"/>
    </row>
    <row x14ac:dyDescent="0.25" r="59" customHeight="1" ht="15.75">
      <c r="A59" s="19"/>
      <c r="B59" s="11"/>
      <c r="C59" s="6"/>
      <c r="D59" s="6"/>
      <c r="E59" s="11"/>
      <c r="F59" s="11"/>
      <c r="G59" s="11"/>
      <c r="H59" s="11"/>
      <c r="I59" s="26"/>
      <c r="J59" s="11"/>
      <c r="K59" s="11"/>
      <c r="L59" s="11"/>
      <c r="M59" s="11"/>
      <c r="N59" s="19"/>
    </row>
    <row x14ac:dyDescent="0.25" r="60" customHeight="1" ht="15.75">
      <c r="A60" s="19"/>
      <c r="B60" s="11"/>
      <c r="C60" s="6"/>
      <c r="D60" s="6"/>
      <c r="E60" s="11"/>
      <c r="F60" s="11"/>
      <c r="G60" s="11"/>
      <c r="H60" s="11"/>
      <c r="I60" s="26"/>
      <c r="J60" s="11"/>
      <c r="K60" s="11"/>
      <c r="L60" s="11"/>
      <c r="M60" s="11"/>
      <c r="N60" s="19"/>
    </row>
    <row x14ac:dyDescent="0.25" r="61" customHeight="1" ht="15.75">
      <c r="A61" s="19"/>
      <c r="B61" s="11"/>
      <c r="C61" s="6"/>
      <c r="D61" s="6"/>
      <c r="E61" s="11"/>
      <c r="F61" s="11"/>
      <c r="G61" s="11"/>
      <c r="H61" s="11"/>
      <c r="I61" s="26"/>
      <c r="J61" s="11"/>
      <c r="K61" s="11"/>
      <c r="L61" s="11"/>
      <c r="M61" s="11"/>
      <c r="N61" s="19"/>
    </row>
    <row x14ac:dyDescent="0.25" r="62" customHeight="1" ht="15.75">
      <c r="A62" s="19"/>
      <c r="B62" s="11"/>
      <c r="C62" s="6"/>
      <c r="D62" s="6"/>
      <c r="E62" s="11"/>
      <c r="F62" s="11"/>
      <c r="G62" s="11"/>
      <c r="H62" s="11"/>
      <c r="I62" s="26"/>
      <c r="J62" s="11"/>
      <c r="K62" s="11"/>
      <c r="L62" s="11"/>
      <c r="M62" s="11"/>
      <c r="N62" s="19"/>
    </row>
    <row x14ac:dyDescent="0.25" r="63" customHeight="1" ht="15.75">
      <c r="A63" s="19"/>
      <c r="B63" s="11"/>
      <c r="C63" s="6"/>
      <c r="D63" s="6"/>
      <c r="E63" s="11"/>
      <c r="F63" s="11"/>
      <c r="G63" s="11"/>
      <c r="H63" s="11"/>
      <c r="I63" s="26"/>
      <c r="J63" s="11"/>
      <c r="K63" s="11"/>
      <c r="L63" s="11"/>
      <c r="M63" s="11"/>
      <c r="N63" s="19"/>
    </row>
    <row x14ac:dyDescent="0.25" r="64" customHeight="1" ht="15.75">
      <c r="A64" s="19"/>
      <c r="B64" s="11"/>
      <c r="C64" s="6"/>
      <c r="D64" s="6"/>
      <c r="E64" s="11"/>
      <c r="F64" s="11"/>
      <c r="G64" s="11"/>
      <c r="H64" s="11"/>
      <c r="I64" s="26"/>
      <c r="J64" s="11"/>
      <c r="K64" s="11"/>
      <c r="L64" s="11"/>
      <c r="M64" s="11"/>
      <c r="N64" s="19"/>
    </row>
    <row x14ac:dyDescent="0.25" r="65" customHeight="1" ht="15.75">
      <c r="A65" s="19"/>
      <c r="B65" s="11"/>
      <c r="C65" s="6"/>
      <c r="D65" s="6"/>
      <c r="E65" s="11"/>
      <c r="F65" s="11"/>
      <c r="G65" s="11"/>
      <c r="H65" s="11"/>
      <c r="I65" s="26"/>
      <c r="J65" s="11"/>
      <c r="K65" s="11"/>
      <c r="L65" s="11"/>
      <c r="M65" s="11"/>
      <c r="N65" s="19"/>
    </row>
    <row x14ac:dyDescent="0.25" r="66" customHeight="1" ht="15.75">
      <c r="A66" s="19"/>
      <c r="B66" s="11"/>
      <c r="C66" s="6"/>
      <c r="D66" s="6"/>
      <c r="E66" s="11"/>
      <c r="F66" s="11"/>
      <c r="G66" s="11"/>
      <c r="H66" s="11"/>
      <c r="I66" s="26"/>
      <c r="J66" s="11"/>
      <c r="K66" s="11"/>
      <c r="L66" s="11"/>
      <c r="M66" s="11"/>
      <c r="N66" s="19"/>
    </row>
    <row x14ac:dyDescent="0.25" r="67" customHeight="1" ht="15.75">
      <c r="A67" s="19"/>
      <c r="B67" s="11"/>
      <c r="C67" s="6"/>
      <c r="D67" s="6"/>
      <c r="E67" s="11"/>
      <c r="F67" s="11"/>
      <c r="G67" s="11"/>
      <c r="H67" s="11"/>
      <c r="I67" s="26"/>
      <c r="J67" s="11"/>
      <c r="K67" s="11"/>
      <c r="L67" s="11"/>
      <c r="M67" s="11"/>
      <c r="N67" s="19"/>
    </row>
    <row x14ac:dyDescent="0.25" r="68" customHeight="1" ht="15.75">
      <c r="A68" s="19"/>
      <c r="B68" s="11"/>
      <c r="C68" s="6"/>
      <c r="D68" s="6"/>
      <c r="E68" s="11"/>
      <c r="F68" s="11"/>
      <c r="G68" s="11"/>
      <c r="H68" s="11"/>
      <c r="I68" s="26"/>
      <c r="J68" s="11"/>
      <c r="K68" s="11"/>
      <c r="L68" s="11"/>
      <c r="M68" s="11"/>
      <c r="N68" s="19"/>
    </row>
    <row x14ac:dyDescent="0.25" r="69" customHeight="1" ht="15.75">
      <c r="A69" s="19"/>
      <c r="B69" s="11"/>
      <c r="C69" s="6"/>
      <c r="D69" s="6"/>
      <c r="E69" s="11"/>
      <c r="F69" s="11"/>
      <c r="G69" s="11"/>
      <c r="H69" s="11"/>
      <c r="I69" s="26"/>
      <c r="J69" s="11"/>
      <c r="K69" s="11"/>
      <c r="L69" s="11"/>
      <c r="M69" s="11"/>
      <c r="N69" s="19"/>
    </row>
    <row x14ac:dyDescent="0.25" r="70" customHeight="1" ht="15.75">
      <c r="A70" s="19"/>
      <c r="B70" s="11"/>
      <c r="C70" s="6"/>
      <c r="D70" s="6"/>
      <c r="E70" s="11"/>
      <c r="F70" s="11"/>
      <c r="G70" s="11"/>
      <c r="H70" s="11"/>
      <c r="I70" s="26"/>
      <c r="J70" s="11"/>
      <c r="K70" s="11"/>
      <c r="L70" s="11"/>
      <c r="M70" s="11"/>
      <c r="N70" s="19"/>
    </row>
    <row x14ac:dyDescent="0.25" r="71" customHeight="1" ht="15.75">
      <c r="A71" s="19"/>
      <c r="B71" s="11"/>
      <c r="C71" s="6"/>
      <c r="D71" s="6"/>
      <c r="E71" s="11"/>
      <c r="F71" s="11"/>
      <c r="G71" s="11"/>
      <c r="H71" s="11"/>
      <c r="I71" s="26"/>
      <c r="J71" s="11"/>
      <c r="K71" s="11"/>
      <c r="L71" s="11"/>
      <c r="M71" s="11"/>
      <c r="N71" s="19"/>
    </row>
    <row x14ac:dyDescent="0.25" r="72" customHeight="1" ht="15.75">
      <c r="A72" s="19"/>
      <c r="B72" s="11"/>
      <c r="C72" s="6"/>
      <c r="D72" s="6"/>
      <c r="E72" s="11"/>
      <c r="F72" s="11"/>
      <c r="G72" s="11"/>
      <c r="H72" s="11"/>
      <c r="I72" s="26"/>
      <c r="J72" s="11"/>
      <c r="K72" s="11"/>
      <c r="L72" s="11"/>
      <c r="M72" s="11"/>
      <c r="N72" s="19"/>
    </row>
    <row x14ac:dyDescent="0.25" r="73" customHeight="1" ht="15.75">
      <c r="A73" s="19"/>
      <c r="B73" s="11"/>
      <c r="C73" s="6"/>
      <c r="D73" s="6"/>
      <c r="E73" s="11"/>
      <c r="F73" s="11"/>
      <c r="G73" s="11"/>
      <c r="H73" s="11"/>
      <c r="I73" s="26"/>
      <c r="J73" s="11"/>
      <c r="K73" s="11"/>
      <c r="L73" s="11"/>
      <c r="M73" s="11"/>
      <c r="N73" s="19"/>
    </row>
    <row x14ac:dyDescent="0.25" r="74" customHeight="1" ht="15.75">
      <c r="A74" s="19"/>
      <c r="B74" s="11"/>
      <c r="C74" s="6"/>
      <c r="D74" s="6"/>
      <c r="E74" s="11"/>
      <c r="F74" s="11"/>
      <c r="G74" s="11"/>
      <c r="H74" s="11"/>
      <c r="I74" s="26"/>
      <c r="J74" s="11"/>
      <c r="K74" s="11"/>
      <c r="L74" s="11"/>
      <c r="M74" s="11"/>
      <c r="N74" s="19"/>
    </row>
    <row x14ac:dyDescent="0.25" r="75" customHeight="1" ht="15.75">
      <c r="A75" s="19"/>
      <c r="B75" s="11"/>
      <c r="C75" s="6"/>
      <c r="D75" s="6"/>
      <c r="E75" s="11"/>
      <c r="F75" s="11"/>
      <c r="G75" s="11"/>
      <c r="H75" s="11"/>
      <c r="I75" s="26"/>
      <c r="J75" s="11"/>
      <c r="K75" s="11"/>
      <c r="L75" s="11"/>
      <c r="M75" s="11"/>
      <c r="N75" s="19"/>
    </row>
    <row x14ac:dyDescent="0.25" r="76" customHeight="1" ht="15.75">
      <c r="A76" s="19"/>
      <c r="B76" s="11"/>
      <c r="C76" s="6"/>
      <c r="D76" s="6"/>
      <c r="E76" s="11"/>
      <c r="F76" s="11"/>
      <c r="G76" s="11"/>
      <c r="H76" s="11"/>
      <c r="I76" s="26"/>
      <c r="J76" s="11"/>
      <c r="K76" s="11"/>
      <c r="L76" s="11"/>
      <c r="M76" s="11"/>
      <c r="N76" s="19"/>
    </row>
    <row x14ac:dyDescent="0.25" r="77" customHeight="1" ht="15.75">
      <c r="A77" s="19"/>
      <c r="B77" s="11"/>
      <c r="C77" s="6"/>
      <c r="D77" s="6"/>
      <c r="E77" s="11"/>
      <c r="F77" s="11"/>
      <c r="G77" s="11"/>
      <c r="H77" s="11"/>
      <c r="I77" s="26"/>
      <c r="J77" s="11"/>
      <c r="K77" s="11"/>
      <c r="L77" s="11"/>
      <c r="M77" s="11"/>
      <c r="N77" s="19"/>
    </row>
    <row x14ac:dyDescent="0.25" r="78" customHeight="1" ht="15.75">
      <c r="A78" s="19"/>
      <c r="B78" s="11"/>
      <c r="C78" s="6"/>
      <c r="D78" s="6"/>
      <c r="E78" s="11"/>
      <c r="F78" s="11"/>
      <c r="G78" s="11"/>
      <c r="H78" s="11"/>
      <c r="I78" s="26"/>
      <c r="J78" s="11"/>
      <c r="K78" s="11"/>
      <c r="L78" s="11"/>
      <c r="M78" s="11"/>
      <c r="N78" s="19"/>
    </row>
    <row x14ac:dyDescent="0.25" r="79" customHeight="1" ht="15.75">
      <c r="A79" s="19"/>
      <c r="B79" s="11"/>
      <c r="C79" s="6"/>
      <c r="D79" s="6"/>
      <c r="E79" s="11"/>
      <c r="F79" s="11"/>
      <c r="G79" s="11"/>
      <c r="H79" s="11"/>
      <c r="I79" s="26"/>
      <c r="J79" s="11"/>
      <c r="K79" s="11"/>
      <c r="L79" s="11"/>
      <c r="M79" s="11"/>
      <c r="N79" s="19"/>
    </row>
    <row x14ac:dyDescent="0.25" r="80" customHeight="1" ht="15.75">
      <c r="A80" s="19"/>
      <c r="B80" s="11"/>
      <c r="C80" s="6"/>
      <c r="D80" s="6"/>
      <c r="E80" s="11"/>
      <c r="F80" s="11"/>
      <c r="G80" s="11"/>
      <c r="H80" s="11"/>
      <c r="I80" s="26"/>
      <c r="J80" s="11"/>
      <c r="K80" s="11"/>
      <c r="L80" s="11"/>
      <c r="M80" s="11"/>
      <c r="N80" s="19"/>
    </row>
    <row x14ac:dyDescent="0.25" r="81" customHeight="1" ht="15.75">
      <c r="A81" s="19"/>
      <c r="B81" s="11"/>
      <c r="C81" s="6"/>
      <c r="D81" s="6"/>
      <c r="E81" s="11"/>
      <c r="F81" s="11"/>
      <c r="G81" s="11"/>
      <c r="H81" s="11"/>
      <c r="I81" s="26"/>
      <c r="J81" s="11"/>
      <c r="K81" s="11"/>
      <c r="L81" s="11"/>
      <c r="M81" s="11"/>
      <c r="N81" s="19"/>
    </row>
    <row x14ac:dyDescent="0.25" r="82" customHeight="1" ht="15.75">
      <c r="A82" s="19"/>
      <c r="B82" s="11"/>
      <c r="C82" s="6"/>
      <c r="D82" s="6"/>
      <c r="E82" s="11"/>
      <c r="F82" s="11"/>
      <c r="G82" s="11"/>
      <c r="H82" s="11"/>
      <c r="I82" s="26"/>
      <c r="J82" s="11"/>
      <c r="K82" s="11"/>
      <c r="L82" s="11"/>
      <c r="M82" s="11"/>
      <c r="N82" s="19"/>
    </row>
    <row x14ac:dyDescent="0.25" r="83" customHeight="1" ht="15.75">
      <c r="A83" s="19"/>
      <c r="B83" s="11"/>
      <c r="C83" s="6"/>
      <c r="D83" s="6"/>
      <c r="E83" s="11"/>
      <c r="F83" s="11"/>
      <c r="G83" s="11"/>
      <c r="H83" s="11"/>
      <c r="I83" s="26"/>
      <c r="J83" s="11"/>
      <c r="K83" s="11"/>
      <c r="L83" s="11"/>
      <c r="M83" s="11"/>
      <c r="N83" s="19"/>
    </row>
    <row x14ac:dyDescent="0.25" r="84" customHeight="1" ht="15.75">
      <c r="A84" s="19"/>
      <c r="B84" s="11"/>
      <c r="C84" s="6"/>
      <c r="D84" s="6"/>
      <c r="E84" s="11"/>
      <c r="F84" s="11"/>
      <c r="G84" s="11"/>
      <c r="H84" s="11"/>
      <c r="I84" s="26"/>
      <c r="J84" s="11"/>
      <c r="K84" s="11"/>
      <c r="L84" s="11"/>
      <c r="M84" s="11"/>
      <c r="N84" s="19"/>
    </row>
    <row x14ac:dyDescent="0.25" r="85" customHeight="1" ht="15.75">
      <c r="A85" s="19"/>
      <c r="B85" s="11"/>
      <c r="C85" s="6"/>
      <c r="D85" s="6"/>
      <c r="E85" s="11"/>
      <c r="F85" s="11"/>
      <c r="G85" s="11"/>
      <c r="H85" s="11"/>
      <c r="I85" s="26"/>
      <c r="J85" s="11"/>
      <c r="K85" s="11"/>
      <c r="L85" s="11"/>
      <c r="M85" s="11"/>
      <c r="N85" s="19"/>
    </row>
    <row x14ac:dyDescent="0.25" r="86" customHeight="1" ht="15.75">
      <c r="A86" s="19"/>
      <c r="B86" s="11"/>
      <c r="C86" s="6"/>
      <c r="D86" s="6"/>
      <c r="E86" s="11"/>
      <c r="F86" s="11"/>
      <c r="G86" s="11"/>
      <c r="H86" s="11"/>
      <c r="I86" s="26"/>
      <c r="J86" s="11"/>
      <c r="K86" s="11"/>
      <c r="L86" s="11"/>
      <c r="M86" s="11"/>
      <c r="N86" s="19"/>
    </row>
    <row x14ac:dyDescent="0.25" r="87" customHeight="1" ht="15.75">
      <c r="A87" s="19"/>
      <c r="B87" s="11"/>
      <c r="C87" s="6"/>
      <c r="D87" s="6"/>
      <c r="E87" s="11"/>
      <c r="F87" s="11"/>
      <c r="G87" s="11"/>
      <c r="H87" s="11"/>
      <c r="I87" s="26"/>
      <c r="J87" s="11"/>
      <c r="K87" s="11"/>
      <c r="L87" s="11"/>
      <c r="M87" s="11"/>
      <c r="N87" s="19"/>
    </row>
    <row x14ac:dyDescent="0.25" r="88" customHeight="1" ht="15.75">
      <c r="A88" s="19"/>
      <c r="B88" s="11"/>
      <c r="C88" s="6"/>
      <c r="D88" s="6"/>
      <c r="E88" s="11"/>
      <c r="F88" s="11"/>
      <c r="G88" s="11"/>
      <c r="H88" s="11"/>
      <c r="I88" s="26"/>
      <c r="J88" s="11"/>
      <c r="K88" s="11"/>
      <c r="L88" s="11"/>
      <c r="M88" s="11"/>
      <c r="N88" s="19"/>
    </row>
    <row x14ac:dyDescent="0.25" r="89" customHeight="1" ht="15.75">
      <c r="A89" s="19"/>
      <c r="B89" s="11"/>
      <c r="C89" s="6"/>
      <c r="D89" s="6"/>
      <c r="E89" s="11"/>
      <c r="F89" s="11"/>
      <c r="G89" s="11"/>
      <c r="H89" s="11"/>
      <c r="I89" s="26"/>
      <c r="J89" s="11"/>
      <c r="K89" s="11"/>
      <c r="L89" s="11"/>
      <c r="M89" s="11"/>
      <c r="N89" s="19"/>
    </row>
    <row x14ac:dyDescent="0.25" r="90" customHeight="1" ht="15.75">
      <c r="A90" s="19"/>
      <c r="B90" s="11"/>
      <c r="C90" s="6"/>
      <c r="D90" s="6"/>
      <c r="E90" s="11"/>
      <c r="F90" s="11"/>
      <c r="G90" s="11"/>
      <c r="H90" s="11"/>
      <c r="I90" s="26"/>
      <c r="J90" s="11"/>
      <c r="K90" s="11"/>
      <c r="L90" s="11"/>
      <c r="M90" s="11"/>
      <c r="N90" s="19"/>
    </row>
    <row x14ac:dyDescent="0.25" r="91" customHeight="1" ht="15.75">
      <c r="A91" s="19"/>
      <c r="B91" s="11"/>
      <c r="C91" s="6"/>
      <c r="D91" s="6"/>
      <c r="E91" s="11"/>
      <c r="F91" s="11"/>
      <c r="G91" s="11"/>
      <c r="H91" s="11"/>
      <c r="I91" s="26"/>
      <c r="J91" s="11"/>
      <c r="K91" s="11"/>
      <c r="L91" s="11"/>
      <c r="M91" s="11"/>
      <c r="N91" s="19"/>
    </row>
    <row x14ac:dyDescent="0.25" r="92" customHeight="1" ht="15.75">
      <c r="A92" s="19"/>
      <c r="B92" s="11"/>
      <c r="C92" s="6"/>
      <c r="D92" s="6"/>
      <c r="E92" s="11"/>
      <c r="F92" s="11"/>
      <c r="G92" s="11"/>
      <c r="H92" s="11"/>
      <c r="I92" s="26"/>
      <c r="J92" s="11"/>
      <c r="K92" s="11"/>
      <c r="L92" s="11"/>
      <c r="M92" s="11"/>
      <c r="N92" s="19"/>
    </row>
    <row x14ac:dyDescent="0.25" r="93" customHeight="1" ht="15.75">
      <c r="A93" s="19"/>
      <c r="B93" s="11"/>
      <c r="C93" s="6"/>
      <c r="D93" s="6"/>
      <c r="E93" s="11"/>
      <c r="F93" s="11"/>
      <c r="G93" s="11"/>
      <c r="H93" s="11"/>
      <c r="I93" s="26"/>
      <c r="J93" s="11"/>
      <c r="K93" s="11"/>
      <c r="L93" s="11"/>
      <c r="M93" s="11"/>
      <c r="N93" s="19"/>
    </row>
    <row x14ac:dyDescent="0.25" r="94" customHeight="1" ht="15.75">
      <c r="A94" s="50" t="s">
        <v>110</v>
      </c>
      <c r="B94" s="51" t="s">
        <v>111</v>
      </c>
      <c r="C94" s="51" t="s">
        <v>112</v>
      </c>
      <c r="D94" s="51" t="s">
        <v>113</v>
      </c>
      <c r="E94" s="51" t="s">
        <v>114</v>
      </c>
      <c r="F94" s="51" t="s">
        <v>115</v>
      </c>
      <c r="G94" s="51" t="s">
        <v>116</v>
      </c>
      <c r="H94" s="11"/>
      <c r="I94" s="26"/>
      <c r="J94" s="11"/>
      <c r="K94" s="11"/>
      <c r="L94" s="11"/>
      <c r="M94" s="11"/>
      <c r="N94" s="19"/>
    </row>
    <row x14ac:dyDescent="0.25" r="95" customHeight="1" ht="15.75">
      <c r="A95" s="53" t="s">
        <v>120</v>
      </c>
      <c r="B95" s="53" t="s">
        <v>121</v>
      </c>
      <c r="C95" s="32" t="s">
        <v>122</v>
      </c>
      <c r="D95" s="52" t="s">
        <v>123</v>
      </c>
      <c r="E95" s="52" t="s">
        <v>124</v>
      </c>
      <c r="F95" s="52" t="s">
        <v>123</v>
      </c>
      <c r="G95" s="52" t="s">
        <v>124</v>
      </c>
      <c r="H95" s="11"/>
      <c r="I95" s="26"/>
      <c r="J95" s="11"/>
      <c r="K95" s="11"/>
      <c r="L95" s="11"/>
      <c r="M95" s="11"/>
      <c r="N95" s="19"/>
    </row>
    <row x14ac:dyDescent="0.25" r="96" customHeight="1" ht="15.75">
      <c r="A96" s="53" t="s">
        <v>125</v>
      </c>
      <c r="B96" s="53" t="s">
        <v>121</v>
      </c>
      <c r="C96" s="32" t="s">
        <v>126</v>
      </c>
      <c r="D96" s="52" t="s">
        <v>123</v>
      </c>
      <c r="E96" s="52" t="s">
        <v>124</v>
      </c>
      <c r="F96" s="52" t="s">
        <v>123</v>
      </c>
      <c r="G96" s="52" t="s">
        <v>124</v>
      </c>
      <c r="H96" s="11"/>
      <c r="I96" s="26"/>
      <c r="J96" s="11"/>
      <c r="K96" s="11"/>
      <c r="L96" s="11"/>
      <c r="M96" s="11"/>
      <c r="N96" s="19"/>
    </row>
    <row x14ac:dyDescent="0.25" r="97" customHeight="1" ht="15.75">
      <c r="A97" s="52" t="s">
        <v>128</v>
      </c>
      <c r="B97" s="53" t="s">
        <v>121</v>
      </c>
      <c r="C97" s="32" t="s">
        <v>129</v>
      </c>
      <c r="D97" s="52" t="s">
        <v>123</v>
      </c>
      <c r="E97" s="52" t="s">
        <v>124</v>
      </c>
      <c r="F97" s="52" t="s">
        <v>123</v>
      </c>
      <c r="G97" s="52" t="s">
        <v>124</v>
      </c>
      <c r="H97" s="29" t="s">
        <v>390</v>
      </c>
      <c r="I97" s="54">
        <v>89</v>
      </c>
      <c r="J97" s="11"/>
      <c r="K97" s="11"/>
      <c r="L97" s="11"/>
      <c r="M97" s="11"/>
      <c r="N97" s="19"/>
    </row>
    <row x14ac:dyDescent="0.25" r="98" customHeight="1" ht="15.75">
      <c r="A98" s="52" t="s">
        <v>131</v>
      </c>
      <c r="B98" s="53" t="s">
        <v>121</v>
      </c>
      <c r="C98" s="32" t="s">
        <v>129</v>
      </c>
      <c r="D98" s="52" t="s">
        <v>123</v>
      </c>
      <c r="E98" s="52" t="s">
        <v>124</v>
      </c>
      <c r="F98" s="52" t="s">
        <v>123</v>
      </c>
      <c r="G98" s="52" t="s">
        <v>124</v>
      </c>
      <c r="H98" s="29" t="s">
        <v>391</v>
      </c>
      <c r="I98" s="54">
        <v>56</v>
      </c>
      <c r="J98" s="11"/>
      <c r="K98" s="11"/>
      <c r="L98" s="11"/>
      <c r="M98" s="11"/>
      <c r="N98" s="19"/>
    </row>
    <row x14ac:dyDescent="0.25" r="99" customHeight="1" ht="15.75">
      <c r="A99" s="53" t="s">
        <v>133</v>
      </c>
      <c r="B99" s="53" t="s">
        <v>121</v>
      </c>
      <c r="C99" s="32" t="s">
        <v>134</v>
      </c>
      <c r="D99" s="52" t="s">
        <v>123</v>
      </c>
      <c r="E99" s="52" t="s">
        <v>124</v>
      </c>
      <c r="F99" s="52" t="s">
        <v>135</v>
      </c>
      <c r="G99" s="52" t="s">
        <v>136</v>
      </c>
      <c r="H99" s="11"/>
      <c r="I99" s="26"/>
      <c r="J99" s="11"/>
      <c r="K99" s="11"/>
      <c r="L99" s="11"/>
      <c r="M99" s="11"/>
      <c r="N99" s="19"/>
    </row>
    <row x14ac:dyDescent="0.25" r="100" customHeight="1" ht="15.75">
      <c r="A100" s="53" t="s">
        <v>138</v>
      </c>
      <c r="B100" s="53" t="s">
        <v>135</v>
      </c>
      <c r="C100" s="32" t="s">
        <v>139</v>
      </c>
      <c r="D100" s="52" t="s">
        <v>123</v>
      </c>
      <c r="E100" s="52" t="s">
        <v>124</v>
      </c>
      <c r="F100" s="52" t="s">
        <v>135</v>
      </c>
      <c r="G100" s="52" t="s">
        <v>139</v>
      </c>
      <c r="H100" s="11"/>
      <c r="I100" s="26"/>
      <c r="J100" s="11"/>
      <c r="K100" s="11"/>
      <c r="L100" s="11"/>
      <c r="M100" s="11"/>
      <c r="N100" s="19"/>
    </row>
    <row x14ac:dyDescent="0.25" r="101" customHeight="1" ht="15.75" customFormat="1" s="1">
      <c r="A101" s="52" t="s">
        <v>140</v>
      </c>
      <c r="B101" s="53" t="s">
        <v>123</v>
      </c>
      <c r="C101" s="32" t="s">
        <v>124</v>
      </c>
      <c r="D101" s="53" t="s">
        <v>123</v>
      </c>
      <c r="E101" s="53" t="s">
        <v>124</v>
      </c>
      <c r="F101" s="53" t="s">
        <v>124</v>
      </c>
      <c r="G101" s="53" t="s">
        <v>124</v>
      </c>
      <c r="H101" s="6"/>
      <c r="I101" s="46"/>
      <c r="J101" s="6"/>
      <c r="K101" s="6"/>
      <c r="L101" s="6"/>
      <c r="M101" s="6"/>
      <c r="N101" s="6"/>
    </row>
    <row x14ac:dyDescent="0.25" r="102" customHeight="1" ht="15.75" customFormat="1" s="1">
      <c r="A102" s="53" t="s">
        <v>141</v>
      </c>
      <c r="B102" s="53" t="s">
        <v>135</v>
      </c>
      <c r="C102" s="32" t="s">
        <v>142</v>
      </c>
      <c r="D102" s="52" t="s">
        <v>123</v>
      </c>
      <c r="E102" s="52" t="s">
        <v>124</v>
      </c>
      <c r="F102" s="52" t="s">
        <v>135</v>
      </c>
      <c r="G102" s="32" t="s">
        <v>142</v>
      </c>
      <c r="H102" s="6"/>
      <c r="I102" s="46"/>
      <c r="J102" s="6"/>
      <c r="K102" s="6"/>
      <c r="L102" s="6"/>
      <c r="M102" s="6"/>
      <c r="N102" s="6"/>
    </row>
    <row x14ac:dyDescent="0.25" r="103" customHeight="1" ht="15.75" customFormat="1" s="1">
      <c r="A103" s="53" t="s">
        <v>143</v>
      </c>
      <c r="B103" s="53" t="s">
        <v>135</v>
      </c>
      <c r="C103" s="32" t="s">
        <v>144</v>
      </c>
      <c r="D103" s="52" t="s">
        <v>123</v>
      </c>
      <c r="E103" s="52" t="s">
        <v>124</v>
      </c>
      <c r="F103" s="52" t="s">
        <v>123</v>
      </c>
      <c r="G103" s="52" t="s">
        <v>124</v>
      </c>
      <c r="H103" s="6"/>
      <c r="I103" s="46"/>
      <c r="J103" s="6"/>
      <c r="K103" s="6"/>
      <c r="L103" s="6"/>
      <c r="M103" s="6"/>
      <c r="N103" s="6"/>
    </row>
    <row x14ac:dyDescent="0.25" r="104" customHeight="1" ht="15.75" customFormat="1" s="1">
      <c r="A104" s="53" t="s">
        <v>145</v>
      </c>
      <c r="B104" s="53" t="s">
        <v>135</v>
      </c>
      <c r="C104" s="32" t="s">
        <v>146</v>
      </c>
      <c r="D104" s="52" t="s">
        <v>123</v>
      </c>
      <c r="E104" s="52" t="s">
        <v>124</v>
      </c>
      <c r="F104" s="52" t="s">
        <v>123</v>
      </c>
      <c r="G104" s="52" t="s">
        <v>124</v>
      </c>
      <c r="H104" s="6"/>
      <c r="I104" s="46"/>
      <c r="J104" s="6"/>
      <c r="K104" s="6"/>
      <c r="L104" s="6"/>
      <c r="M104" s="6"/>
      <c r="N104" s="6"/>
    </row>
    <row x14ac:dyDescent="0.25" r="105" customHeight="1" ht="15.75" customFormat="1" s="1">
      <c r="A105" s="53" t="s">
        <v>147</v>
      </c>
      <c r="B105" s="53" t="s">
        <v>135</v>
      </c>
      <c r="C105" s="32" t="s">
        <v>148</v>
      </c>
      <c r="D105" s="52" t="s">
        <v>123</v>
      </c>
      <c r="E105" s="52" t="s">
        <v>124</v>
      </c>
      <c r="F105" s="52" t="s">
        <v>135</v>
      </c>
      <c r="G105" s="32" t="s">
        <v>148</v>
      </c>
      <c r="H105" s="6"/>
      <c r="I105" s="46"/>
      <c r="J105" s="6"/>
      <c r="K105" s="6"/>
      <c r="L105" s="6"/>
      <c r="M105" s="6"/>
      <c r="N105" s="6"/>
    </row>
    <row x14ac:dyDescent="0.25" r="106" customHeight="1" ht="15.75" customFormat="1" s="1">
      <c r="A106" s="53" t="s">
        <v>150</v>
      </c>
      <c r="B106" s="53" t="s">
        <v>135</v>
      </c>
      <c r="C106" s="32" t="s">
        <v>151</v>
      </c>
      <c r="D106" s="52" t="s">
        <v>135</v>
      </c>
      <c r="E106" s="52" t="s">
        <v>152</v>
      </c>
      <c r="F106" s="52" t="s">
        <v>135</v>
      </c>
      <c r="G106" s="32" t="s">
        <v>151</v>
      </c>
      <c r="H106" s="6"/>
      <c r="I106" s="46"/>
      <c r="J106" s="6"/>
      <c r="K106" s="6"/>
      <c r="L106" s="6"/>
      <c r="M106" s="6"/>
      <c r="N106" s="6"/>
    </row>
    <row x14ac:dyDescent="0.25" r="107" customHeight="1" ht="15.75" customFormat="1" s="1">
      <c r="A107" s="53" t="s">
        <v>155</v>
      </c>
      <c r="B107" s="53" t="s">
        <v>121</v>
      </c>
      <c r="C107" s="32" t="s">
        <v>156</v>
      </c>
      <c r="D107" s="52" t="s">
        <v>123</v>
      </c>
      <c r="E107" s="52" t="s">
        <v>124</v>
      </c>
      <c r="F107" s="52" t="s">
        <v>123</v>
      </c>
      <c r="G107" s="52" t="s">
        <v>124</v>
      </c>
      <c r="H107" s="6"/>
      <c r="I107" s="46"/>
      <c r="J107" s="6"/>
      <c r="K107" s="6"/>
      <c r="L107" s="6"/>
      <c r="M107" s="6"/>
      <c r="N107" s="6"/>
    </row>
    <row x14ac:dyDescent="0.25" r="108" customHeight="1" ht="15.75" customFormat="1" s="1">
      <c r="A108" s="53" t="s">
        <v>157</v>
      </c>
      <c r="B108" s="53" t="s">
        <v>121</v>
      </c>
      <c r="C108" s="32" t="s">
        <v>158</v>
      </c>
      <c r="D108" s="52" t="s">
        <v>123</v>
      </c>
      <c r="E108" s="52" t="s">
        <v>124</v>
      </c>
      <c r="F108" s="52" t="s">
        <v>123</v>
      </c>
      <c r="G108" s="52" t="s">
        <v>124</v>
      </c>
      <c r="H108" s="6"/>
      <c r="I108" s="46"/>
      <c r="J108" s="6"/>
      <c r="K108" s="6"/>
      <c r="L108" s="6"/>
      <c r="M108" s="6"/>
      <c r="N108" s="6"/>
    </row>
    <row x14ac:dyDescent="0.25" r="109" customHeight="1" ht="15.75" customFormat="1" s="1">
      <c r="A109" s="53" t="s">
        <v>159</v>
      </c>
      <c r="B109" s="53" t="s">
        <v>121</v>
      </c>
      <c r="C109" s="32" t="s">
        <v>160</v>
      </c>
      <c r="D109" s="52" t="s">
        <v>123</v>
      </c>
      <c r="E109" s="52" t="s">
        <v>124</v>
      </c>
      <c r="F109" s="52" t="s">
        <v>123</v>
      </c>
      <c r="G109" s="52" t="s">
        <v>124</v>
      </c>
      <c r="H109" s="6"/>
      <c r="I109" s="46"/>
      <c r="J109" s="6"/>
      <c r="K109" s="6"/>
      <c r="L109" s="6"/>
      <c r="M109" s="6"/>
      <c r="N109" s="6"/>
    </row>
    <row x14ac:dyDescent="0.25" r="110" customHeight="1" ht="15.75" customFormat="1" s="1">
      <c r="A110" s="53" t="s">
        <v>161</v>
      </c>
      <c r="B110" s="53" t="s">
        <v>121</v>
      </c>
      <c r="C110" s="32" t="s">
        <v>162</v>
      </c>
      <c r="D110" s="52" t="s">
        <v>123</v>
      </c>
      <c r="E110" s="52" t="s">
        <v>124</v>
      </c>
      <c r="F110" s="52" t="s">
        <v>123</v>
      </c>
      <c r="G110" s="52" t="s">
        <v>124</v>
      </c>
      <c r="H110" s="6"/>
      <c r="I110" s="46"/>
      <c r="J110" s="6"/>
      <c r="K110" s="6"/>
      <c r="L110" s="6"/>
      <c r="M110" s="6"/>
      <c r="N110" s="6"/>
    </row>
    <row x14ac:dyDescent="0.25" r="111" customHeight="1" ht="15.75" customFormat="1" s="1">
      <c r="A111" s="53" t="s">
        <v>166</v>
      </c>
      <c r="B111" s="53" t="s">
        <v>123</v>
      </c>
      <c r="C111" s="32" t="s">
        <v>124</v>
      </c>
      <c r="D111" s="52" t="s">
        <v>123</v>
      </c>
      <c r="E111" s="52" t="s">
        <v>124</v>
      </c>
      <c r="F111" s="52" t="s">
        <v>123</v>
      </c>
      <c r="G111" s="52" t="s">
        <v>124</v>
      </c>
      <c r="H111" s="6"/>
      <c r="I111" s="46"/>
      <c r="J111" s="6"/>
      <c r="K111" s="6"/>
      <c r="L111" s="6"/>
      <c r="M111" s="6"/>
      <c r="N111" s="6"/>
    </row>
    <row x14ac:dyDescent="0.25" r="112" customHeight="1" ht="15.75" customFormat="1" s="1">
      <c r="A112" s="53" t="s">
        <v>168</v>
      </c>
      <c r="B112" s="53" t="s">
        <v>121</v>
      </c>
      <c r="C112" s="32" t="s">
        <v>169</v>
      </c>
      <c r="D112" s="52" t="s">
        <v>123</v>
      </c>
      <c r="E112" s="52" t="s">
        <v>124</v>
      </c>
      <c r="F112" s="52" t="s">
        <v>123</v>
      </c>
      <c r="G112" s="52" t="s">
        <v>124</v>
      </c>
      <c r="H112" s="6"/>
      <c r="I112" s="46"/>
      <c r="J112" s="6"/>
      <c r="K112" s="6"/>
      <c r="L112" s="6"/>
      <c r="M112" s="6"/>
      <c r="N112" s="6"/>
    </row>
    <row x14ac:dyDescent="0.25" r="113" customHeight="1" ht="15.75" customFormat="1" s="1">
      <c r="A113" s="55" t="s">
        <v>170</v>
      </c>
      <c r="B113" s="53" t="s">
        <v>135</v>
      </c>
      <c r="C113" s="32" t="s">
        <v>171</v>
      </c>
      <c r="D113" s="52" t="s">
        <v>123</v>
      </c>
      <c r="E113" s="52" t="s">
        <v>124</v>
      </c>
      <c r="F113" s="52" t="s">
        <v>123</v>
      </c>
      <c r="G113" s="52" t="s">
        <v>124</v>
      </c>
      <c r="H113" s="6"/>
      <c r="I113" s="46"/>
      <c r="J113" s="6"/>
      <c r="K113" s="6"/>
      <c r="L113" s="6"/>
      <c r="M113" s="6"/>
      <c r="N113" s="6"/>
    </row>
    <row x14ac:dyDescent="0.25" r="114" customHeight="1" ht="15.75" customFormat="1" s="1">
      <c r="A114" s="52" t="s">
        <v>173</v>
      </c>
      <c r="B114" s="53" t="s">
        <v>121</v>
      </c>
      <c r="C114" s="32" t="s">
        <v>174</v>
      </c>
      <c r="D114" s="52" t="s">
        <v>123</v>
      </c>
      <c r="E114" s="52" t="s">
        <v>124</v>
      </c>
      <c r="F114" s="52" t="s">
        <v>123</v>
      </c>
      <c r="G114" s="52" t="s">
        <v>124</v>
      </c>
      <c r="H114" s="6"/>
      <c r="I114" s="46"/>
      <c r="J114" s="6"/>
      <c r="K114" s="6"/>
      <c r="L114" s="6"/>
      <c r="M114" s="6"/>
      <c r="N114" s="6"/>
    </row>
    <row x14ac:dyDescent="0.25" r="115" customHeight="1" ht="15.75" customFormat="1" s="1">
      <c r="A115" s="53" t="s">
        <v>177</v>
      </c>
      <c r="B115" s="53" t="s">
        <v>121</v>
      </c>
      <c r="C115" s="32" t="s">
        <v>178</v>
      </c>
      <c r="D115" s="52" t="s">
        <v>123</v>
      </c>
      <c r="E115" s="52" t="s">
        <v>124</v>
      </c>
      <c r="F115" s="52" t="s">
        <v>123</v>
      </c>
      <c r="G115" s="52" t="s">
        <v>124</v>
      </c>
      <c r="H115" s="6"/>
      <c r="I115" s="46"/>
      <c r="J115" s="6"/>
      <c r="K115" s="6"/>
      <c r="L115" s="6"/>
      <c r="M115" s="6"/>
      <c r="N115" s="6"/>
    </row>
    <row x14ac:dyDescent="0.25" r="116" customHeight="1" ht="15.75" customFormat="1" s="1">
      <c r="A116" s="53" t="s">
        <v>180</v>
      </c>
      <c r="B116" s="53" t="s">
        <v>121</v>
      </c>
      <c r="C116" s="32" t="s">
        <v>181</v>
      </c>
      <c r="D116" s="52" t="s">
        <v>123</v>
      </c>
      <c r="E116" s="52" t="s">
        <v>124</v>
      </c>
      <c r="F116" s="52" t="s">
        <v>123</v>
      </c>
      <c r="G116" s="52" t="s">
        <v>124</v>
      </c>
      <c r="H116" s="6"/>
      <c r="I116" s="46"/>
      <c r="J116" s="6"/>
      <c r="K116" s="6"/>
      <c r="L116" s="6"/>
      <c r="M116" s="6"/>
      <c r="N116" s="6"/>
    </row>
    <row x14ac:dyDescent="0.25" r="117" customHeight="1" ht="15.75" customFormat="1" s="1">
      <c r="A117" s="53" t="s">
        <v>183</v>
      </c>
      <c r="B117" s="53" t="s">
        <v>121</v>
      </c>
      <c r="C117" s="32" t="s">
        <v>184</v>
      </c>
      <c r="D117" s="52" t="s">
        <v>123</v>
      </c>
      <c r="E117" s="52" t="s">
        <v>124</v>
      </c>
      <c r="F117" s="52" t="s">
        <v>123</v>
      </c>
      <c r="G117" s="52" t="s">
        <v>124</v>
      </c>
      <c r="H117" s="6"/>
      <c r="I117" s="46"/>
      <c r="J117" s="6"/>
      <c r="K117" s="6"/>
      <c r="L117" s="6"/>
      <c r="M117" s="6"/>
      <c r="N117" s="6"/>
    </row>
    <row x14ac:dyDescent="0.25" r="118" customHeight="1" ht="15.75" customFormat="1" s="1">
      <c r="A118" s="53" t="s">
        <v>187</v>
      </c>
      <c r="B118" s="53" t="s">
        <v>121</v>
      </c>
      <c r="C118" s="32" t="s">
        <v>188</v>
      </c>
      <c r="D118" s="52" t="s">
        <v>135</v>
      </c>
      <c r="E118" s="52" t="s">
        <v>189</v>
      </c>
      <c r="F118" s="52" t="s">
        <v>135</v>
      </c>
      <c r="G118" s="52" t="s">
        <v>190</v>
      </c>
      <c r="H118" s="6"/>
      <c r="I118" s="46"/>
      <c r="J118" s="6"/>
      <c r="K118" s="6"/>
      <c r="L118" s="6"/>
      <c r="M118" s="6"/>
      <c r="N118" s="6"/>
    </row>
    <row x14ac:dyDescent="0.25" r="119" customHeight="1" ht="15.75" customFormat="1" s="1">
      <c r="A119" s="53" t="s">
        <v>191</v>
      </c>
      <c r="B119" s="53" t="s">
        <v>121</v>
      </c>
      <c r="C119" s="32" t="s">
        <v>192</v>
      </c>
      <c r="D119" s="52" t="s">
        <v>135</v>
      </c>
      <c r="E119" s="52" t="s">
        <v>189</v>
      </c>
      <c r="F119" s="52" t="s">
        <v>135</v>
      </c>
      <c r="G119" s="32" t="s">
        <v>192</v>
      </c>
      <c r="H119" s="6"/>
      <c r="I119" s="46"/>
      <c r="J119" s="6"/>
      <c r="K119" s="6"/>
      <c r="L119" s="6"/>
      <c r="M119" s="6"/>
      <c r="N119" s="6"/>
    </row>
    <row x14ac:dyDescent="0.25" r="120" customHeight="1" ht="15.75" customFormat="1" s="1">
      <c r="A120" s="53" t="s">
        <v>193</v>
      </c>
      <c r="B120" s="53" t="s">
        <v>121</v>
      </c>
      <c r="C120" s="32" t="s">
        <v>194</v>
      </c>
      <c r="D120" s="52" t="s">
        <v>135</v>
      </c>
      <c r="E120" s="52" t="s">
        <v>195</v>
      </c>
      <c r="F120" s="52" t="s">
        <v>196</v>
      </c>
      <c r="G120" s="52" t="s">
        <v>197</v>
      </c>
      <c r="H120" s="6"/>
      <c r="I120" s="46"/>
      <c r="J120" s="6"/>
      <c r="K120" s="6"/>
      <c r="L120" s="6"/>
      <c r="M120" s="6"/>
      <c r="N120" s="6"/>
    </row>
    <row x14ac:dyDescent="0.25" r="121" customHeight="1" ht="15.75" customFormat="1" s="1">
      <c r="A121" s="53" t="s">
        <v>198</v>
      </c>
      <c r="B121" s="53" t="s">
        <v>121</v>
      </c>
      <c r="C121" s="32" t="s">
        <v>199</v>
      </c>
      <c r="D121" s="52" t="s">
        <v>123</v>
      </c>
      <c r="E121" s="52" t="s">
        <v>124</v>
      </c>
      <c r="F121" s="52" t="s">
        <v>200</v>
      </c>
      <c r="G121" s="32" t="s">
        <v>199</v>
      </c>
      <c r="H121" s="6"/>
      <c r="I121" s="46"/>
      <c r="J121" s="6"/>
      <c r="K121" s="6"/>
      <c r="L121" s="6"/>
      <c r="M121" s="6"/>
      <c r="N121" s="6"/>
    </row>
    <row x14ac:dyDescent="0.25" r="122" customHeight="1" ht="15.75" customFormat="1" s="1">
      <c r="A122" s="53" t="s">
        <v>203</v>
      </c>
      <c r="B122" s="53" t="s">
        <v>121</v>
      </c>
      <c r="C122" s="32" t="s">
        <v>204</v>
      </c>
      <c r="D122" s="52" t="s">
        <v>135</v>
      </c>
      <c r="E122" s="52" t="s">
        <v>205</v>
      </c>
      <c r="F122" s="52" t="s">
        <v>123</v>
      </c>
      <c r="G122" s="52" t="s">
        <v>124</v>
      </c>
      <c r="H122" s="6"/>
      <c r="I122" s="46"/>
      <c r="J122" s="6"/>
      <c r="K122" s="6"/>
      <c r="L122" s="6"/>
      <c r="M122" s="6"/>
      <c r="N122" s="6"/>
    </row>
    <row x14ac:dyDescent="0.25" r="123" customHeight="1" ht="15.75" customFormat="1" s="1">
      <c r="A123" s="53" t="s">
        <v>207</v>
      </c>
      <c r="B123" s="53" t="s">
        <v>121</v>
      </c>
      <c r="C123" s="32" t="s">
        <v>208</v>
      </c>
      <c r="D123" s="52" t="s">
        <v>123</v>
      </c>
      <c r="E123" s="52" t="s">
        <v>124</v>
      </c>
      <c r="F123" s="52" t="s">
        <v>123</v>
      </c>
      <c r="G123" s="52" t="s">
        <v>124</v>
      </c>
      <c r="H123" s="6"/>
      <c r="I123" s="46"/>
      <c r="J123" s="6"/>
      <c r="K123" s="6"/>
      <c r="L123" s="6"/>
      <c r="M123" s="6"/>
      <c r="N123" s="6"/>
    </row>
    <row x14ac:dyDescent="0.25" r="124" customHeight="1" ht="15.75" customFormat="1" s="1">
      <c r="A124" s="53" t="s">
        <v>210</v>
      </c>
      <c r="B124" s="53" t="s">
        <v>121</v>
      </c>
      <c r="C124" s="32" t="s">
        <v>208</v>
      </c>
      <c r="D124" s="52" t="s">
        <v>123</v>
      </c>
      <c r="E124" s="52" t="s">
        <v>124</v>
      </c>
      <c r="F124" s="52" t="s">
        <v>123</v>
      </c>
      <c r="G124" s="52" t="s">
        <v>124</v>
      </c>
      <c r="H124" s="6"/>
      <c r="I124" s="46"/>
      <c r="J124" s="6"/>
      <c r="K124" s="6"/>
      <c r="L124" s="6"/>
      <c r="M124" s="6"/>
      <c r="N124" s="6"/>
    </row>
    <row x14ac:dyDescent="0.25" r="125" customHeight="1" ht="15.75" customFormat="1" s="1">
      <c r="A125" s="53" t="s">
        <v>212</v>
      </c>
      <c r="B125" s="53" t="s">
        <v>121</v>
      </c>
      <c r="C125" s="32" t="s">
        <v>208</v>
      </c>
      <c r="D125" s="52" t="s">
        <v>123</v>
      </c>
      <c r="E125" s="52" t="s">
        <v>124</v>
      </c>
      <c r="F125" s="52" t="s">
        <v>123</v>
      </c>
      <c r="G125" s="52" t="s">
        <v>124</v>
      </c>
      <c r="H125" s="6"/>
      <c r="I125" s="46"/>
      <c r="J125" s="6"/>
      <c r="K125" s="6"/>
      <c r="L125" s="6"/>
      <c r="M125" s="6"/>
      <c r="N125" s="6"/>
    </row>
    <row x14ac:dyDescent="0.25" r="126" customHeight="1" ht="15.75" customFormat="1" s="1">
      <c r="A126" s="53" t="s">
        <v>214</v>
      </c>
      <c r="B126" s="53" t="s">
        <v>121</v>
      </c>
      <c r="C126" s="32" t="s">
        <v>215</v>
      </c>
      <c r="D126" s="52" t="s">
        <v>123</v>
      </c>
      <c r="E126" s="52" t="s">
        <v>124</v>
      </c>
      <c r="F126" s="52" t="s">
        <v>123</v>
      </c>
      <c r="G126" s="52" t="s">
        <v>124</v>
      </c>
      <c r="H126" s="6"/>
      <c r="I126" s="46"/>
      <c r="J126" s="6"/>
      <c r="K126" s="6"/>
      <c r="L126" s="6"/>
      <c r="M126" s="6"/>
      <c r="N126" s="6"/>
    </row>
    <row x14ac:dyDescent="0.25" r="127" customHeight="1" ht="15.75" customFormat="1" s="1">
      <c r="A127" s="52" t="s">
        <v>219</v>
      </c>
      <c r="B127" s="52" t="s">
        <v>121</v>
      </c>
      <c r="C127" s="24" t="s">
        <v>220</v>
      </c>
      <c r="D127" s="52" t="s">
        <v>123</v>
      </c>
      <c r="E127" s="52" t="s">
        <v>124</v>
      </c>
      <c r="F127" s="52" t="s">
        <v>221</v>
      </c>
      <c r="G127" s="24" t="s">
        <v>222</v>
      </c>
      <c r="H127" s="6"/>
      <c r="I127" s="46"/>
      <c r="J127" s="6"/>
      <c r="K127" s="6"/>
      <c r="L127" s="6"/>
      <c r="M127" s="6"/>
      <c r="N127" s="6"/>
    </row>
    <row x14ac:dyDescent="0.25" r="128" customHeight="1" ht="15.75" customFormat="1" s="1">
      <c r="A128" s="52" t="s">
        <v>223</v>
      </c>
      <c r="B128" s="52" t="s">
        <v>121</v>
      </c>
      <c r="C128" s="24" t="s">
        <v>224</v>
      </c>
      <c r="D128" s="52" t="s">
        <v>123</v>
      </c>
      <c r="E128" s="52" t="s">
        <v>124</v>
      </c>
      <c r="F128" s="52" t="s">
        <v>221</v>
      </c>
      <c r="G128" s="24" t="s">
        <v>225</v>
      </c>
      <c r="H128" s="6"/>
      <c r="I128" s="46"/>
      <c r="J128" s="6"/>
      <c r="K128" s="6"/>
      <c r="L128" s="6"/>
      <c r="M128" s="6"/>
      <c r="N128" s="6"/>
    </row>
    <row x14ac:dyDescent="0.25" r="129" customHeight="1" ht="15.75" customFormat="1" s="1">
      <c r="A129" s="52" t="s">
        <v>226</v>
      </c>
      <c r="B129" s="52" t="s">
        <v>121</v>
      </c>
      <c r="C129" s="24" t="s">
        <v>227</v>
      </c>
      <c r="D129" s="52" t="s">
        <v>123</v>
      </c>
      <c r="E129" s="52" t="s">
        <v>124</v>
      </c>
      <c r="F129" s="52" t="s">
        <v>228</v>
      </c>
      <c r="G129" s="52" t="s">
        <v>124</v>
      </c>
      <c r="H129" s="6"/>
      <c r="I129" s="46"/>
      <c r="J129" s="6"/>
      <c r="K129" s="6"/>
      <c r="L129" s="6"/>
      <c r="M129" s="6"/>
      <c r="N129" s="6"/>
    </row>
    <row x14ac:dyDescent="0.25" r="130" customHeight="1" ht="15.75" customFormat="1" s="1">
      <c r="A130" s="52" t="s">
        <v>231</v>
      </c>
      <c r="B130" s="52" t="s">
        <v>121</v>
      </c>
      <c r="C130" s="24" t="s">
        <v>232</v>
      </c>
      <c r="D130" s="52" t="s">
        <v>135</v>
      </c>
      <c r="E130" s="52" t="s">
        <v>233</v>
      </c>
      <c r="F130" s="52" t="s">
        <v>123</v>
      </c>
      <c r="G130" s="52" t="s">
        <v>124</v>
      </c>
      <c r="H130" s="6"/>
      <c r="I130" s="46"/>
      <c r="J130" s="6"/>
      <c r="K130" s="6"/>
      <c r="L130" s="6"/>
      <c r="M130" s="6"/>
      <c r="N130" s="6"/>
    </row>
    <row x14ac:dyDescent="0.25" r="131" customHeight="1" ht="15.75" customFormat="1" s="1">
      <c r="A131" s="52" t="s">
        <v>235</v>
      </c>
      <c r="B131" s="52" t="s">
        <v>121</v>
      </c>
      <c r="C131" s="24" t="s">
        <v>236</v>
      </c>
      <c r="D131" s="52" t="s">
        <v>123</v>
      </c>
      <c r="E131" s="52" t="s">
        <v>124</v>
      </c>
      <c r="F131" s="52" t="s">
        <v>221</v>
      </c>
      <c r="G131" s="24" t="s">
        <v>236</v>
      </c>
      <c r="H131" s="6"/>
      <c r="I131" s="46"/>
      <c r="J131" s="6"/>
      <c r="K131" s="6"/>
      <c r="L131" s="6"/>
      <c r="M131" s="6"/>
      <c r="N131" s="6"/>
    </row>
    <row x14ac:dyDescent="0.25" r="132" customHeight="1" ht="15.75" customFormat="1" s="1">
      <c r="A132" s="53" t="s">
        <v>237</v>
      </c>
      <c r="B132" s="52" t="s">
        <v>121</v>
      </c>
      <c r="C132" s="24" t="s">
        <v>238</v>
      </c>
      <c r="D132" s="52" t="s">
        <v>123</v>
      </c>
      <c r="E132" s="52" t="s">
        <v>124</v>
      </c>
      <c r="F132" s="52" t="s">
        <v>123</v>
      </c>
      <c r="G132" s="52" t="s">
        <v>124</v>
      </c>
      <c r="H132" s="6"/>
      <c r="I132" s="46"/>
      <c r="J132" s="6"/>
      <c r="K132" s="6"/>
      <c r="L132" s="6"/>
      <c r="M132" s="6"/>
      <c r="N132" s="6"/>
    </row>
    <row x14ac:dyDescent="0.25" r="133" customHeight="1" ht="15.75" customFormat="1" s="1">
      <c r="A133" s="53" t="s">
        <v>242</v>
      </c>
      <c r="B133" s="52" t="s">
        <v>121</v>
      </c>
      <c r="C133" s="24" t="s">
        <v>243</v>
      </c>
      <c r="D133" s="52" t="s">
        <v>244</v>
      </c>
      <c r="E133" s="52" t="s">
        <v>124</v>
      </c>
      <c r="F133" s="52" t="s">
        <v>123</v>
      </c>
      <c r="G133" s="52" t="s">
        <v>124</v>
      </c>
      <c r="H133" s="6"/>
      <c r="I133" s="46"/>
      <c r="J133" s="6"/>
      <c r="K133" s="6"/>
      <c r="L133" s="6"/>
      <c r="M133" s="6"/>
      <c r="N133" s="6"/>
    </row>
    <row x14ac:dyDescent="0.25" r="134" customHeight="1" ht="15.75" customFormat="1" s="1">
      <c r="A134" s="53" t="s">
        <v>246</v>
      </c>
      <c r="B134" s="52" t="s">
        <v>121</v>
      </c>
      <c r="C134" s="24" t="s">
        <v>247</v>
      </c>
      <c r="D134" s="52" t="s">
        <v>244</v>
      </c>
      <c r="E134" s="52" t="s">
        <v>124</v>
      </c>
      <c r="F134" s="52" t="s">
        <v>221</v>
      </c>
      <c r="G134" s="24" t="s">
        <v>247</v>
      </c>
      <c r="H134" s="6"/>
      <c r="I134" s="46"/>
      <c r="J134" s="6"/>
      <c r="K134" s="6"/>
      <c r="L134" s="6"/>
      <c r="M134" s="6"/>
      <c r="N134" s="6"/>
    </row>
    <row x14ac:dyDescent="0.25" r="135" customHeight="1" ht="15.75" customFormat="1" s="1">
      <c r="A135" s="53" t="s">
        <v>248</v>
      </c>
      <c r="B135" s="52" t="s">
        <v>121</v>
      </c>
      <c r="C135" s="24" t="s">
        <v>249</v>
      </c>
      <c r="D135" s="52" t="s">
        <v>244</v>
      </c>
      <c r="E135" s="52" t="s">
        <v>124</v>
      </c>
      <c r="F135" s="52" t="s">
        <v>244</v>
      </c>
      <c r="G135" s="52" t="s">
        <v>124</v>
      </c>
      <c r="H135" s="6"/>
      <c r="I135" s="46"/>
      <c r="J135" s="6"/>
      <c r="K135" s="6"/>
      <c r="L135" s="6"/>
      <c r="M135" s="6"/>
      <c r="N135" s="6"/>
    </row>
    <row x14ac:dyDescent="0.25" r="136" customHeight="1" ht="15.75" customFormat="1" s="1">
      <c r="A136" s="53" t="s">
        <v>253</v>
      </c>
      <c r="B136" s="52" t="s">
        <v>121</v>
      </c>
      <c r="C136" s="32" t="s">
        <v>254</v>
      </c>
      <c r="D136" s="52" t="s">
        <v>244</v>
      </c>
      <c r="E136" s="52" t="s">
        <v>124</v>
      </c>
      <c r="F136" s="52" t="s">
        <v>244</v>
      </c>
      <c r="G136" s="52" t="s">
        <v>124</v>
      </c>
      <c r="H136" s="6"/>
      <c r="I136" s="46"/>
      <c r="J136" s="6"/>
      <c r="K136" s="6"/>
      <c r="L136" s="6"/>
      <c r="M136" s="6"/>
      <c r="N136" s="6"/>
    </row>
    <row x14ac:dyDescent="0.25" r="137" customHeight="1" ht="15.75" customFormat="1" s="1">
      <c r="A137" s="52" t="s">
        <v>258</v>
      </c>
      <c r="B137" s="52" t="s">
        <v>121</v>
      </c>
      <c r="C137" s="24" t="s">
        <v>259</v>
      </c>
      <c r="D137" s="52" t="s">
        <v>244</v>
      </c>
      <c r="E137" s="52" t="s">
        <v>124</v>
      </c>
      <c r="F137" s="52" t="s">
        <v>244</v>
      </c>
      <c r="G137" s="52" t="s">
        <v>124</v>
      </c>
      <c r="H137" s="6"/>
      <c r="I137" s="46"/>
      <c r="J137" s="6"/>
      <c r="K137" s="6"/>
      <c r="L137" s="6"/>
      <c r="M137" s="6"/>
      <c r="N137" s="6"/>
    </row>
    <row x14ac:dyDescent="0.25" r="138" customHeight="1" ht="15.75" customFormat="1" s="1">
      <c r="A138" s="53" t="s">
        <v>261</v>
      </c>
      <c r="B138" s="52" t="s">
        <v>121</v>
      </c>
      <c r="C138" s="24" t="s">
        <v>262</v>
      </c>
      <c r="D138" s="52" t="s">
        <v>244</v>
      </c>
      <c r="E138" s="52" t="s">
        <v>124</v>
      </c>
      <c r="F138" s="52" t="s">
        <v>221</v>
      </c>
      <c r="G138" s="52" t="s">
        <v>262</v>
      </c>
      <c r="H138" s="6"/>
      <c r="I138" s="46"/>
      <c r="J138" s="6"/>
      <c r="K138" s="6"/>
      <c r="L138" s="6"/>
      <c r="M138" s="6"/>
      <c r="N138" s="6"/>
    </row>
    <row x14ac:dyDescent="0.25" r="139" customHeight="1" ht="15.75" customFormat="1" s="1">
      <c r="A139" s="53" t="s">
        <v>263</v>
      </c>
      <c r="B139" s="52" t="s">
        <v>121</v>
      </c>
      <c r="C139" s="24" t="s">
        <v>264</v>
      </c>
      <c r="D139" s="52" t="s">
        <v>244</v>
      </c>
      <c r="E139" s="52" t="s">
        <v>124</v>
      </c>
      <c r="F139" s="52" t="s">
        <v>123</v>
      </c>
      <c r="G139" s="52" t="s">
        <v>124</v>
      </c>
      <c r="H139" s="6"/>
      <c r="I139" s="46"/>
      <c r="J139" s="6"/>
      <c r="K139" s="6"/>
      <c r="L139" s="6"/>
      <c r="M139" s="6"/>
      <c r="N139" s="6"/>
    </row>
    <row x14ac:dyDescent="0.25" r="140" customHeight="1" ht="15.75" customFormat="1" s="1">
      <c r="A140" s="53" t="s">
        <v>265</v>
      </c>
      <c r="B140" s="52" t="s">
        <v>121</v>
      </c>
      <c r="C140" s="24" t="s">
        <v>264</v>
      </c>
      <c r="D140" s="52" t="s">
        <v>244</v>
      </c>
      <c r="E140" s="52" t="s">
        <v>124</v>
      </c>
      <c r="F140" s="52" t="s">
        <v>135</v>
      </c>
      <c r="G140" s="52" t="s">
        <v>264</v>
      </c>
      <c r="H140" s="6"/>
      <c r="I140" s="46"/>
      <c r="J140" s="6"/>
      <c r="K140" s="6"/>
      <c r="L140" s="6"/>
      <c r="M140" s="6"/>
      <c r="N140" s="6"/>
    </row>
    <row x14ac:dyDescent="0.25" r="141" customHeight="1" ht="15.75" customFormat="1" s="1">
      <c r="A141" s="53" t="s">
        <v>268</v>
      </c>
      <c r="B141" s="52" t="s">
        <v>121</v>
      </c>
      <c r="C141" s="24" t="s">
        <v>269</v>
      </c>
      <c r="D141" s="52" t="s">
        <v>244</v>
      </c>
      <c r="E141" s="52" t="s">
        <v>124</v>
      </c>
      <c r="F141" s="52" t="s">
        <v>123</v>
      </c>
      <c r="G141" s="52" t="s">
        <v>124</v>
      </c>
      <c r="H141" s="6"/>
      <c r="I141" s="46"/>
      <c r="J141" s="6"/>
      <c r="K141" s="6"/>
      <c r="L141" s="6"/>
      <c r="M141" s="6"/>
      <c r="N141" s="6"/>
    </row>
    <row x14ac:dyDescent="0.25" r="142" customHeight="1" ht="15.75" customFormat="1" s="1">
      <c r="A142" s="53" t="s">
        <v>150</v>
      </c>
      <c r="B142" s="52" t="s">
        <v>121</v>
      </c>
      <c r="C142" s="24" t="s">
        <v>270</v>
      </c>
      <c r="D142" s="52" t="s">
        <v>244</v>
      </c>
      <c r="E142" s="52" t="s">
        <v>124</v>
      </c>
      <c r="F142" s="52" t="s">
        <v>135</v>
      </c>
      <c r="G142" s="52" t="s">
        <v>271</v>
      </c>
      <c r="H142" s="6"/>
      <c r="I142" s="46"/>
      <c r="J142" s="6"/>
      <c r="K142" s="6"/>
      <c r="L142" s="6"/>
      <c r="M142" s="6"/>
      <c r="N142" s="6"/>
    </row>
    <row x14ac:dyDescent="0.25" r="143" customHeight="1" ht="15.75" customFormat="1" s="1">
      <c r="A143" s="53" t="s">
        <v>272</v>
      </c>
      <c r="B143" s="52" t="s">
        <v>121</v>
      </c>
      <c r="C143" s="24" t="s">
        <v>273</v>
      </c>
      <c r="D143" s="52" t="s">
        <v>244</v>
      </c>
      <c r="E143" s="52" t="s">
        <v>124</v>
      </c>
      <c r="F143" s="52" t="s">
        <v>123</v>
      </c>
      <c r="G143" s="52" t="s">
        <v>124</v>
      </c>
      <c r="H143" s="6"/>
      <c r="I143" s="46"/>
      <c r="J143" s="6"/>
      <c r="K143" s="6"/>
      <c r="L143" s="6"/>
      <c r="M143" s="6"/>
      <c r="N143" s="6"/>
    </row>
    <row x14ac:dyDescent="0.25" r="144" customHeight="1" ht="15.75" customFormat="1" s="1">
      <c r="A144" s="53" t="s">
        <v>275</v>
      </c>
      <c r="B144" s="52" t="s">
        <v>121</v>
      </c>
      <c r="C144" s="24" t="s">
        <v>276</v>
      </c>
      <c r="D144" s="52" t="s">
        <v>244</v>
      </c>
      <c r="E144" s="52" t="s">
        <v>124</v>
      </c>
      <c r="F144" s="52" t="s">
        <v>221</v>
      </c>
      <c r="G144" s="24" t="s">
        <v>276</v>
      </c>
      <c r="H144" s="6"/>
      <c r="I144" s="46"/>
      <c r="J144" s="6"/>
      <c r="K144" s="6"/>
      <c r="L144" s="6"/>
      <c r="M144" s="6"/>
      <c r="N144" s="6"/>
    </row>
    <row x14ac:dyDescent="0.25" r="145" customHeight="1" ht="15.75" customFormat="1" s="1">
      <c r="A145" s="53" t="s">
        <v>280</v>
      </c>
      <c r="B145" s="52" t="s">
        <v>121</v>
      </c>
      <c r="C145" s="24" t="s">
        <v>281</v>
      </c>
      <c r="D145" s="52" t="s">
        <v>135</v>
      </c>
      <c r="E145" s="52" t="s">
        <v>189</v>
      </c>
      <c r="F145" s="52" t="s">
        <v>282</v>
      </c>
      <c r="G145" s="52" t="s">
        <v>283</v>
      </c>
      <c r="H145" s="6"/>
      <c r="I145" s="46"/>
      <c r="J145" s="6"/>
      <c r="K145" s="6"/>
      <c r="L145" s="6"/>
      <c r="M145" s="6"/>
      <c r="N145" s="6"/>
    </row>
    <row x14ac:dyDescent="0.25" r="146" customHeight="1" ht="15.75" customFormat="1" s="1">
      <c r="A146" s="53" t="s">
        <v>284</v>
      </c>
      <c r="B146" s="52" t="s">
        <v>121</v>
      </c>
      <c r="C146" s="24" t="s">
        <v>285</v>
      </c>
      <c r="D146" s="52" t="s">
        <v>123</v>
      </c>
      <c r="E146" s="52" t="s">
        <v>124</v>
      </c>
      <c r="F146" s="52" t="s">
        <v>135</v>
      </c>
      <c r="G146" s="52" t="s">
        <v>286</v>
      </c>
      <c r="H146" s="6"/>
      <c r="I146" s="46"/>
      <c r="J146" s="6"/>
      <c r="K146" s="6"/>
      <c r="L146" s="6"/>
      <c r="M146" s="6"/>
      <c r="N146" s="6"/>
    </row>
    <row x14ac:dyDescent="0.25" r="147" customHeight="1" ht="15.75" customFormat="1" s="1">
      <c r="A147" s="53" t="s">
        <v>287</v>
      </c>
      <c r="B147" s="52" t="s">
        <v>121</v>
      </c>
      <c r="C147" s="24" t="s">
        <v>288</v>
      </c>
      <c r="D147" s="52" t="s">
        <v>123</v>
      </c>
      <c r="E147" s="52" t="s">
        <v>124</v>
      </c>
      <c r="F147" s="52" t="s">
        <v>289</v>
      </c>
      <c r="G147" s="56" t="s">
        <v>290</v>
      </c>
      <c r="H147" s="6"/>
      <c r="I147" s="46"/>
      <c r="J147" s="6"/>
      <c r="K147" s="6"/>
      <c r="L147" s="6"/>
      <c r="M147" s="6"/>
      <c r="N147" s="6"/>
    </row>
    <row x14ac:dyDescent="0.25" r="148" customHeight="1" ht="15.75" customFormat="1" s="1">
      <c r="A148" s="53" t="s">
        <v>291</v>
      </c>
      <c r="B148" s="52" t="s">
        <v>121</v>
      </c>
      <c r="C148" s="24" t="s">
        <v>281</v>
      </c>
      <c r="D148" s="52" t="s">
        <v>135</v>
      </c>
      <c r="E148" s="52" t="s">
        <v>189</v>
      </c>
      <c r="F148" s="52" t="s">
        <v>282</v>
      </c>
      <c r="G148" s="52" t="s">
        <v>283</v>
      </c>
      <c r="H148" s="6"/>
      <c r="I148" s="46"/>
      <c r="J148" s="6"/>
      <c r="K148" s="6"/>
      <c r="L148" s="6"/>
      <c r="M148" s="6"/>
      <c r="N148" s="6"/>
    </row>
    <row x14ac:dyDescent="0.25" r="149" customHeight="1" ht="15.75" customFormat="1" s="1">
      <c r="A149" s="53" t="s">
        <v>293</v>
      </c>
      <c r="B149" s="52" t="s">
        <v>121</v>
      </c>
      <c r="C149" s="24" t="s">
        <v>294</v>
      </c>
      <c r="D149" s="52" t="s">
        <v>135</v>
      </c>
      <c r="E149" s="52" t="s">
        <v>295</v>
      </c>
      <c r="F149" s="52" t="s">
        <v>123</v>
      </c>
      <c r="G149" s="52" t="s">
        <v>124</v>
      </c>
      <c r="H149" s="6"/>
      <c r="I149" s="46"/>
      <c r="J149" s="6"/>
      <c r="K149" s="6"/>
      <c r="L149" s="6"/>
      <c r="M149" s="6"/>
      <c r="N149" s="6"/>
    </row>
    <row x14ac:dyDescent="0.25" r="150" customHeight="1" ht="15.75" customFormat="1" s="1">
      <c r="A150" s="53" t="s">
        <v>150</v>
      </c>
      <c r="B150" s="52" t="s">
        <v>121</v>
      </c>
      <c r="C150" s="24" t="s">
        <v>297</v>
      </c>
      <c r="D150" s="52" t="s">
        <v>123</v>
      </c>
      <c r="E150" s="52" t="s">
        <v>124</v>
      </c>
      <c r="F150" s="52" t="s">
        <v>135</v>
      </c>
      <c r="G150" s="52" t="s">
        <v>298</v>
      </c>
      <c r="H150" s="6"/>
      <c r="I150" s="46"/>
      <c r="J150" s="6"/>
      <c r="K150" s="6"/>
      <c r="L150" s="6"/>
      <c r="M150" s="6"/>
      <c r="N150" s="6"/>
    </row>
    <row x14ac:dyDescent="0.25" r="151" customHeight="1" ht="15.75" customFormat="1" s="1">
      <c r="A151" s="53" t="s">
        <v>300</v>
      </c>
      <c r="B151" s="52" t="s">
        <v>121</v>
      </c>
      <c r="C151" s="24" t="s">
        <v>301</v>
      </c>
      <c r="D151" s="52" t="s">
        <v>123</v>
      </c>
      <c r="E151" s="52" t="s">
        <v>124</v>
      </c>
      <c r="F151" s="52" t="s">
        <v>123</v>
      </c>
      <c r="G151" s="52" t="s">
        <v>124</v>
      </c>
      <c r="H151" s="6"/>
      <c r="I151" s="46"/>
      <c r="J151" s="6"/>
      <c r="K151" s="6"/>
      <c r="L151" s="6"/>
      <c r="M151" s="6"/>
      <c r="N151" s="6"/>
    </row>
    <row x14ac:dyDescent="0.25" r="152" customHeight="1" ht="15.75" customFormat="1" s="1">
      <c r="A152" s="53" t="s">
        <v>305</v>
      </c>
      <c r="B152" s="52" t="s">
        <v>121</v>
      </c>
      <c r="C152" s="24" t="s">
        <v>306</v>
      </c>
      <c r="D152" s="52" t="s">
        <v>123</v>
      </c>
      <c r="E152" s="52" t="s">
        <v>124</v>
      </c>
      <c r="F152" s="52" t="s">
        <v>307</v>
      </c>
      <c r="G152" s="52" t="s">
        <v>139</v>
      </c>
      <c r="H152" s="6"/>
      <c r="I152" s="46"/>
      <c r="J152" s="6"/>
      <c r="K152" s="6"/>
      <c r="L152" s="6"/>
      <c r="M152" s="6"/>
      <c r="N152" s="6"/>
    </row>
    <row x14ac:dyDescent="0.25" r="153" customHeight="1" ht="15.75" customFormat="1" s="1">
      <c r="A153" s="52" t="s">
        <v>308</v>
      </c>
      <c r="B153" s="52" t="s">
        <v>121</v>
      </c>
      <c r="C153" s="24" t="s">
        <v>309</v>
      </c>
      <c r="D153" s="52" t="s">
        <v>135</v>
      </c>
      <c r="E153" s="52" t="s">
        <v>310</v>
      </c>
      <c r="F153" s="52" t="s">
        <v>307</v>
      </c>
      <c r="G153" s="52" t="s">
        <v>311</v>
      </c>
      <c r="H153" s="6"/>
      <c r="I153" s="46"/>
      <c r="J153" s="6"/>
      <c r="K153" s="6"/>
      <c r="L153" s="6"/>
      <c r="M153" s="6"/>
      <c r="N153" s="6"/>
    </row>
    <row x14ac:dyDescent="0.25" r="154" customHeight="1" ht="15.75" customFormat="1" s="1">
      <c r="A154" s="53" t="s">
        <v>312</v>
      </c>
      <c r="B154" s="52" t="s">
        <v>121</v>
      </c>
      <c r="C154" s="24" t="s">
        <v>197</v>
      </c>
      <c r="D154" s="52" t="s">
        <v>135</v>
      </c>
      <c r="E154" s="52" t="s">
        <v>310</v>
      </c>
      <c r="F154" s="52" t="s">
        <v>307</v>
      </c>
      <c r="G154" s="52" t="s">
        <v>311</v>
      </c>
      <c r="H154" s="6"/>
      <c r="I154" s="46"/>
      <c r="J154" s="6"/>
      <c r="K154" s="6"/>
      <c r="L154" s="6"/>
      <c r="M154" s="6"/>
      <c r="N154" s="6"/>
    </row>
    <row x14ac:dyDescent="0.25" r="155" customHeight="1" ht="15.75" customFormat="1" s="1">
      <c r="A155" s="53" t="s">
        <v>313</v>
      </c>
      <c r="B155" s="52" t="s">
        <v>121</v>
      </c>
      <c r="C155" s="24" t="s">
        <v>197</v>
      </c>
      <c r="D155" s="52" t="s">
        <v>135</v>
      </c>
      <c r="E155" s="52" t="s">
        <v>310</v>
      </c>
      <c r="F155" s="52" t="s">
        <v>196</v>
      </c>
      <c r="G155" s="52" t="s">
        <v>197</v>
      </c>
      <c r="H155" s="6"/>
      <c r="I155" s="46"/>
      <c r="J155" s="6"/>
      <c r="K155" s="6"/>
      <c r="L155" s="6"/>
      <c r="M155" s="6"/>
      <c r="N155" s="6"/>
    </row>
    <row x14ac:dyDescent="0.25" r="156" customHeight="1" ht="15.75" customFormat="1" s="1">
      <c r="A156" s="52" t="s">
        <v>314</v>
      </c>
      <c r="B156" s="52" t="s">
        <v>121</v>
      </c>
      <c r="C156" s="24" t="s">
        <v>315</v>
      </c>
      <c r="D156" s="52" t="s">
        <v>123</v>
      </c>
      <c r="E156" s="52" t="s">
        <v>124</v>
      </c>
      <c r="F156" s="52" t="s">
        <v>316</v>
      </c>
      <c r="G156" s="52" t="s">
        <v>315</v>
      </c>
      <c r="H156" s="6"/>
      <c r="I156" s="46"/>
      <c r="J156" s="6"/>
      <c r="K156" s="6"/>
      <c r="L156" s="6"/>
      <c r="M156" s="6"/>
      <c r="N156" s="6"/>
    </row>
    <row x14ac:dyDescent="0.25" r="157" customHeight="1" ht="15.75" customFormat="1" s="1">
      <c r="A157" s="52" t="s">
        <v>317</v>
      </c>
      <c r="B157" s="52" t="s">
        <v>121</v>
      </c>
      <c r="C157" s="24" t="s">
        <v>197</v>
      </c>
      <c r="D157" s="52" t="s">
        <v>135</v>
      </c>
      <c r="E157" s="52" t="s">
        <v>310</v>
      </c>
      <c r="F157" s="52" t="s">
        <v>196</v>
      </c>
      <c r="G157" s="52" t="s">
        <v>197</v>
      </c>
      <c r="H157" s="6"/>
      <c r="I157" s="46"/>
      <c r="J157" s="6"/>
      <c r="K157" s="6"/>
      <c r="L157" s="6"/>
      <c r="M157" s="6"/>
      <c r="N157" s="6"/>
    </row>
    <row x14ac:dyDescent="0.25" r="158" customHeight="1" ht="15.75" customFormat="1" s="1">
      <c r="A158" s="53" t="s">
        <v>318</v>
      </c>
      <c r="B158" s="52" t="s">
        <v>135</v>
      </c>
      <c r="C158" s="24" t="s">
        <v>319</v>
      </c>
      <c r="D158" s="52" t="s">
        <v>123</v>
      </c>
      <c r="E158" s="52" t="s">
        <v>124</v>
      </c>
      <c r="F158" s="52" t="s">
        <v>320</v>
      </c>
      <c r="G158" s="52" t="s">
        <v>319</v>
      </c>
      <c r="H158" s="6"/>
      <c r="I158" s="46"/>
      <c r="J158" s="6"/>
      <c r="K158" s="6"/>
      <c r="L158" s="6"/>
      <c r="M158" s="6"/>
      <c r="N158" s="6"/>
    </row>
    <row x14ac:dyDescent="0.25" r="159" customHeight="1" ht="15.75" customFormat="1" s="1">
      <c r="A159" s="53" t="s">
        <v>321</v>
      </c>
      <c r="B159" s="52" t="s">
        <v>135</v>
      </c>
      <c r="C159" s="24" t="s">
        <v>322</v>
      </c>
      <c r="D159" s="52" t="s">
        <v>123</v>
      </c>
      <c r="E159" s="52" t="s">
        <v>124</v>
      </c>
      <c r="F159" s="52" t="s">
        <v>135</v>
      </c>
      <c r="G159" s="52" t="s">
        <v>322</v>
      </c>
      <c r="H159" s="6"/>
      <c r="I159" s="46"/>
      <c r="J159" s="6"/>
      <c r="K159" s="6"/>
      <c r="L159" s="6"/>
      <c r="M159" s="6"/>
      <c r="N159" s="6"/>
    </row>
    <row x14ac:dyDescent="0.25" r="160" customHeight="1" ht="15.75" customFormat="1" s="1">
      <c r="A160" s="53" t="s">
        <v>323</v>
      </c>
      <c r="B160" s="52" t="s">
        <v>135</v>
      </c>
      <c r="C160" s="24" t="s">
        <v>324</v>
      </c>
      <c r="D160" s="52" t="s">
        <v>135</v>
      </c>
      <c r="E160" s="52" t="s">
        <v>325</v>
      </c>
      <c r="F160" s="52" t="s">
        <v>196</v>
      </c>
      <c r="G160" s="52" t="s">
        <v>324</v>
      </c>
      <c r="H160" s="6"/>
      <c r="I160" s="46"/>
      <c r="J160" s="6"/>
      <c r="K160" s="6"/>
      <c r="L160" s="6"/>
      <c r="M160" s="6"/>
      <c r="N160" s="6"/>
    </row>
    <row x14ac:dyDescent="0.25" r="161" customHeight="1" ht="15.75" customFormat="1" s="1">
      <c r="A161" s="53" t="s">
        <v>326</v>
      </c>
      <c r="B161" s="52" t="s">
        <v>135</v>
      </c>
      <c r="C161" s="24" t="s">
        <v>199</v>
      </c>
      <c r="D161" s="52" t="s">
        <v>123</v>
      </c>
      <c r="E161" s="52" t="s">
        <v>124</v>
      </c>
      <c r="F161" s="52" t="s">
        <v>320</v>
      </c>
      <c r="G161" s="52" t="s">
        <v>327</v>
      </c>
      <c r="H161" s="6"/>
      <c r="I161" s="46"/>
      <c r="J161" s="6"/>
      <c r="K161" s="6"/>
      <c r="L161" s="6"/>
      <c r="M161" s="6"/>
      <c r="N161" s="6"/>
    </row>
    <row x14ac:dyDescent="0.25" r="162" customHeight="1" ht="15.75" customFormat="1" s="1">
      <c r="A162" s="53" t="s">
        <v>328</v>
      </c>
      <c r="B162" s="52" t="s">
        <v>135</v>
      </c>
      <c r="C162" s="24" t="s">
        <v>329</v>
      </c>
      <c r="D162" s="52" t="s">
        <v>123</v>
      </c>
      <c r="E162" s="52" t="s">
        <v>124</v>
      </c>
      <c r="F162" s="52" t="s">
        <v>320</v>
      </c>
      <c r="G162" s="52" t="s">
        <v>330</v>
      </c>
      <c r="H162" s="6"/>
      <c r="I162" s="46"/>
      <c r="J162" s="6"/>
      <c r="K162" s="6"/>
      <c r="L162" s="6"/>
      <c r="M162" s="6"/>
      <c r="N162" s="6"/>
    </row>
    <row x14ac:dyDescent="0.25" r="163" customHeight="1" ht="15.75" customFormat="1" s="1">
      <c r="A163" s="53" t="s">
        <v>331</v>
      </c>
      <c r="B163" s="52" t="s">
        <v>135</v>
      </c>
      <c r="C163" s="24" t="s">
        <v>332</v>
      </c>
      <c r="D163" s="52" t="s">
        <v>135</v>
      </c>
      <c r="E163" s="52" t="s">
        <v>333</v>
      </c>
      <c r="F163" s="52" t="s">
        <v>320</v>
      </c>
      <c r="G163" s="52" t="s">
        <v>332</v>
      </c>
      <c r="H163" s="6"/>
      <c r="I163" s="46"/>
      <c r="J163" s="6"/>
      <c r="K163" s="6"/>
      <c r="L163" s="6"/>
      <c r="M163" s="6"/>
      <c r="N163" s="6"/>
    </row>
    <row x14ac:dyDescent="0.25" r="164" customHeight="1" ht="15.75" customFormat="1" s="1">
      <c r="A164" s="52" t="s">
        <v>31</v>
      </c>
      <c r="B164" s="52" t="s">
        <v>135</v>
      </c>
      <c r="C164" s="24" t="s">
        <v>334</v>
      </c>
      <c r="D164" s="52" t="s">
        <v>123</v>
      </c>
      <c r="E164" s="52" t="s">
        <v>124</v>
      </c>
      <c r="F164" s="52" t="s">
        <v>320</v>
      </c>
      <c r="G164" s="52" t="s">
        <v>334</v>
      </c>
      <c r="H164" s="6"/>
      <c r="I164" s="46"/>
      <c r="J164" s="6"/>
      <c r="K164" s="6"/>
      <c r="L164" s="6"/>
      <c r="M164" s="6"/>
      <c r="N164" s="6"/>
    </row>
    <row x14ac:dyDescent="0.25" r="165" customHeight="1" ht="15.75" customFormat="1" s="1">
      <c r="A165" s="52" t="s">
        <v>335</v>
      </c>
      <c r="B165" s="52" t="s">
        <v>135</v>
      </c>
      <c r="C165" s="24" t="s">
        <v>336</v>
      </c>
      <c r="D165" s="52" t="s">
        <v>135</v>
      </c>
      <c r="E165" s="52" t="s">
        <v>337</v>
      </c>
      <c r="F165" s="52" t="s">
        <v>320</v>
      </c>
      <c r="G165" s="52" t="s">
        <v>336</v>
      </c>
      <c r="H165" s="6"/>
      <c r="I165" s="46"/>
      <c r="J165" s="6"/>
      <c r="K165" s="6"/>
      <c r="L165" s="6"/>
      <c r="M165" s="6"/>
      <c r="N165" s="6"/>
    </row>
    <row x14ac:dyDescent="0.25" r="166" customHeight="1" ht="15.75" customFormat="1" s="1">
      <c r="A166" s="52" t="s">
        <v>338</v>
      </c>
      <c r="B166" s="52" t="s">
        <v>135</v>
      </c>
      <c r="C166" s="24" t="s">
        <v>339</v>
      </c>
      <c r="D166" s="52" t="s">
        <v>123</v>
      </c>
      <c r="E166" s="52" t="s">
        <v>124</v>
      </c>
      <c r="F166" s="52" t="s">
        <v>320</v>
      </c>
      <c r="G166" s="52" t="s">
        <v>339</v>
      </c>
      <c r="H166" s="6"/>
      <c r="I166" s="46"/>
      <c r="J166" s="6"/>
      <c r="K166" s="6"/>
      <c r="L166" s="6"/>
      <c r="M166" s="6"/>
      <c r="N166" s="6"/>
    </row>
    <row x14ac:dyDescent="0.25" r="167" customHeight="1" ht="15.75" customFormat="1" s="1">
      <c r="A167" s="52" t="s">
        <v>340</v>
      </c>
      <c r="B167" s="52" t="s">
        <v>135</v>
      </c>
      <c r="C167" s="24" t="s">
        <v>341</v>
      </c>
      <c r="D167" s="52" t="s">
        <v>135</v>
      </c>
      <c r="E167" s="52" t="s">
        <v>337</v>
      </c>
      <c r="F167" s="52" t="s">
        <v>320</v>
      </c>
      <c r="G167" s="52" t="s">
        <v>341</v>
      </c>
      <c r="H167" s="6"/>
      <c r="I167" s="46"/>
      <c r="J167" s="6"/>
      <c r="K167" s="6"/>
      <c r="L167" s="6"/>
      <c r="M167" s="6"/>
      <c r="N167" s="6"/>
    </row>
    <row x14ac:dyDescent="0.25" r="168" customHeight="1" ht="15.75" customFormat="1" s="1">
      <c r="A168" s="55" t="s">
        <v>342</v>
      </c>
      <c r="B168" s="52" t="s">
        <v>135</v>
      </c>
      <c r="C168" s="24" t="s">
        <v>343</v>
      </c>
      <c r="D168" s="52" t="s">
        <v>135</v>
      </c>
      <c r="E168" s="52" t="s">
        <v>205</v>
      </c>
      <c r="F168" s="52" t="s">
        <v>320</v>
      </c>
      <c r="G168" s="52" t="s">
        <v>343</v>
      </c>
      <c r="H168" s="6"/>
      <c r="I168" s="46"/>
      <c r="J168" s="6"/>
      <c r="K168" s="6"/>
      <c r="L168" s="6"/>
      <c r="M168" s="6"/>
      <c r="N168" s="6"/>
    </row>
    <row x14ac:dyDescent="0.25" r="169" customHeight="1" ht="15.75" customFormat="1" s="1">
      <c r="A169" s="53" t="s">
        <v>80</v>
      </c>
      <c r="B169" s="52" t="s">
        <v>135</v>
      </c>
      <c r="C169" s="24" t="s">
        <v>345</v>
      </c>
      <c r="D169" s="52" t="s">
        <v>135</v>
      </c>
      <c r="E169" s="52" t="s">
        <v>189</v>
      </c>
      <c r="F169" s="52" t="s">
        <v>320</v>
      </c>
      <c r="G169" s="52" t="s">
        <v>345</v>
      </c>
      <c r="H169" s="6"/>
      <c r="I169" s="46"/>
      <c r="J169" s="6"/>
      <c r="K169" s="6"/>
      <c r="L169" s="6"/>
      <c r="M169" s="6"/>
      <c r="N169" s="6"/>
    </row>
    <row x14ac:dyDescent="0.25" r="170" customHeight="1" ht="15.75" customFormat="1" s="1">
      <c r="A170" s="53" t="s">
        <v>346</v>
      </c>
      <c r="B170" s="52" t="s">
        <v>135</v>
      </c>
      <c r="C170" s="24" t="s">
        <v>336</v>
      </c>
      <c r="D170" s="52" t="s">
        <v>135</v>
      </c>
      <c r="E170" s="52" t="s">
        <v>337</v>
      </c>
      <c r="F170" s="52" t="s">
        <v>320</v>
      </c>
      <c r="G170" s="52" t="s">
        <v>336</v>
      </c>
      <c r="H170" s="6"/>
      <c r="I170" s="46"/>
      <c r="J170" s="6"/>
      <c r="K170" s="6"/>
      <c r="L170" s="6"/>
      <c r="M170" s="6"/>
      <c r="N170" s="6"/>
    </row>
    <row x14ac:dyDescent="0.25" r="171" customHeight="1" ht="15.75" customFormat="1" s="1">
      <c r="A171" s="53" t="s">
        <v>347</v>
      </c>
      <c r="B171" s="52" t="s">
        <v>135</v>
      </c>
      <c r="C171" s="24" t="s">
        <v>348</v>
      </c>
      <c r="D171" s="52" t="s">
        <v>123</v>
      </c>
      <c r="E171" s="52" t="s">
        <v>124</v>
      </c>
      <c r="F171" s="52" t="s">
        <v>135</v>
      </c>
      <c r="G171" s="52" t="s">
        <v>348</v>
      </c>
      <c r="H171" s="6"/>
      <c r="I171" s="46"/>
      <c r="J171" s="6"/>
      <c r="K171" s="6"/>
      <c r="L171" s="6"/>
      <c r="M171" s="6"/>
      <c r="N171" s="6"/>
    </row>
    <row x14ac:dyDescent="0.25" r="172" customHeight="1" ht="15.75" customFormat="1" s="1">
      <c r="A172" s="53" t="s">
        <v>349</v>
      </c>
      <c r="B172" s="52" t="s">
        <v>135</v>
      </c>
      <c r="C172" s="24" t="s">
        <v>350</v>
      </c>
      <c r="D172" s="52" t="s">
        <v>121</v>
      </c>
      <c r="E172" s="52" t="s">
        <v>351</v>
      </c>
      <c r="F172" s="52" t="s">
        <v>196</v>
      </c>
      <c r="G172" s="52" t="s">
        <v>350</v>
      </c>
      <c r="H172" s="6"/>
      <c r="I172" s="46"/>
      <c r="J172" s="6"/>
      <c r="K172" s="6"/>
      <c r="L172" s="6"/>
      <c r="M172" s="6"/>
      <c r="N172" s="6"/>
    </row>
    <row x14ac:dyDescent="0.25" r="173" customHeight="1" ht="15.75" customFormat="1" s="1">
      <c r="A173" s="53" t="s">
        <v>352</v>
      </c>
      <c r="B173" s="52" t="s">
        <v>135</v>
      </c>
      <c r="C173" s="24" t="s">
        <v>353</v>
      </c>
      <c r="D173" s="52" t="s">
        <v>123</v>
      </c>
      <c r="E173" s="52" t="s">
        <v>124</v>
      </c>
      <c r="F173" s="52" t="s">
        <v>135</v>
      </c>
      <c r="G173" s="52" t="s">
        <v>353</v>
      </c>
      <c r="H173" s="6"/>
      <c r="I173" s="46"/>
      <c r="J173" s="6"/>
      <c r="K173" s="6"/>
      <c r="L173" s="6"/>
      <c r="M173" s="6"/>
      <c r="N173" s="6"/>
    </row>
    <row x14ac:dyDescent="0.25" r="174" customHeight="1" ht="15.75" customFormat="1" s="1">
      <c r="A174" s="53" t="s">
        <v>355</v>
      </c>
      <c r="B174" s="52" t="s">
        <v>135</v>
      </c>
      <c r="C174" s="24" t="s">
        <v>356</v>
      </c>
      <c r="D174" s="52" t="s">
        <v>135</v>
      </c>
      <c r="E174" s="52" t="s">
        <v>357</v>
      </c>
      <c r="F174" s="52" t="s">
        <v>320</v>
      </c>
      <c r="G174" s="52" t="s">
        <v>356</v>
      </c>
      <c r="H174" s="6"/>
      <c r="I174" s="46"/>
      <c r="J174" s="6"/>
      <c r="K174" s="6"/>
      <c r="L174" s="6"/>
      <c r="M174" s="6"/>
      <c r="N174" s="6"/>
    </row>
    <row x14ac:dyDescent="0.25" r="175" customHeight="1" ht="15.75" customFormat="1" s="1">
      <c r="A175" s="53" t="s">
        <v>358</v>
      </c>
      <c r="B175" s="52" t="s">
        <v>135</v>
      </c>
      <c r="C175" s="24" t="s">
        <v>359</v>
      </c>
      <c r="D175" s="52" t="s">
        <v>135</v>
      </c>
      <c r="E175" s="52" t="s">
        <v>359</v>
      </c>
      <c r="F175" s="52" t="s">
        <v>307</v>
      </c>
      <c r="G175" s="52" t="s">
        <v>360</v>
      </c>
      <c r="H175" s="6"/>
      <c r="I175" s="46"/>
      <c r="J175" s="6"/>
      <c r="K175" s="6"/>
      <c r="L175" s="6"/>
      <c r="M175" s="6"/>
      <c r="N175" s="6"/>
    </row>
    <row x14ac:dyDescent="0.25" r="176" customHeight="1" ht="15.75" customFormat="1" s="1">
      <c r="A176" s="53" t="s">
        <v>362</v>
      </c>
      <c r="B176" s="52" t="s">
        <v>135</v>
      </c>
      <c r="C176" s="24" t="s">
        <v>363</v>
      </c>
      <c r="D176" s="52" t="s">
        <v>123</v>
      </c>
      <c r="E176" s="52" t="s">
        <v>124</v>
      </c>
      <c r="F176" s="52" t="s">
        <v>135</v>
      </c>
      <c r="G176" s="52" t="s">
        <v>363</v>
      </c>
      <c r="H176" s="6"/>
      <c r="I176" s="46"/>
      <c r="J176" s="6"/>
      <c r="K176" s="6"/>
      <c r="L176" s="6"/>
      <c r="M176" s="6"/>
      <c r="N176" s="6"/>
    </row>
    <row x14ac:dyDescent="0.25" r="177" customHeight="1" ht="15.75" customFormat="1" s="1">
      <c r="A177" s="53" t="s">
        <v>365</v>
      </c>
      <c r="B177" s="52" t="s">
        <v>135</v>
      </c>
      <c r="C177" s="32" t="s">
        <v>366</v>
      </c>
      <c r="D177" s="52" t="s">
        <v>135</v>
      </c>
      <c r="E177" s="57" t="s">
        <v>367</v>
      </c>
      <c r="F177" s="52" t="s">
        <v>135</v>
      </c>
      <c r="G177" s="53" t="s">
        <v>368</v>
      </c>
      <c r="H177" s="6"/>
      <c r="I177" s="46"/>
      <c r="J177" s="6"/>
      <c r="K177" s="6"/>
      <c r="L177" s="6"/>
      <c r="M177" s="6"/>
      <c r="N177" s="6"/>
    </row>
    <row x14ac:dyDescent="0.25" r="178" customHeight="1" ht="15.75" customFormat="1" s="1">
      <c r="A178" s="53" t="s">
        <v>216</v>
      </c>
      <c r="B178" s="52" t="s">
        <v>135</v>
      </c>
      <c r="C178" s="24" t="s">
        <v>369</v>
      </c>
      <c r="D178" s="52" t="s">
        <v>123</v>
      </c>
      <c r="E178" s="52" t="s">
        <v>124</v>
      </c>
      <c r="F178" s="52" t="s">
        <v>320</v>
      </c>
      <c r="G178" s="52" t="s">
        <v>369</v>
      </c>
      <c r="H178" s="6"/>
      <c r="I178" s="46"/>
      <c r="J178" s="6"/>
      <c r="K178" s="6"/>
      <c r="L178" s="6"/>
      <c r="M178" s="6"/>
      <c r="N178" s="6"/>
    </row>
    <row x14ac:dyDescent="0.25" r="179" customHeight="1" ht="15.75" customFormat="1" s="1">
      <c r="A179" s="53" t="s">
        <v>370</v>
      </c>
      <c r="B179" s="52" t="s">
        <v>135</v>
      </c>
      <c r="C179" s="24" t="s">
        <v>371</v>
      </c>
      <c r="D179" s="52" t="s">
        <v>123</v>
      </c>
      <c r="E179" s="52" t="s">
        <v>124</v>
      </c>
      <c r="F179" s="52" t="s">
        <v>123</v>
      </c>
      <c r="G179" s="52" t="s">
        <v>124</v>
      </c>
      <c r="H179" s="6"/>
      <c r="I179" s="46"/>
      <c r="J179" s="6"/>
      <c r="K179" s="6"/>
      <c r="L179" s="6"/>
      <c r="M179" s="6"/>
      <c r="N179" s="6"/>
    </row>
    <row x14ac:dyDescent="0.25" r="180" customHeight="1" ht="15.75" customFormat="1" s="1">
      <c r="A180" s="53" t="s">
        <v>372</v>
      </c>
      <c r="B180" s="52" t="s">
        <v>135</v>
      </c>
      <c r="C180" s="24" t="s">
        <v>373</v>
      </c>
      <c r="D180" s="52" t="s">
        <v>123</v>
      </c>
      <c r="E180" s="52" t="s">
        <v>124</v>
      </c>
      <c r="F180" s="52" t="s">
        <v>320</v>
      </c>
      <c r="G180" s="52" t="s">
        <v>373</v>
      </c>
      <c r="H180" s="6"/>
      <c r="I180" s="46"/>
      <c r="J180" s="6"/>
      <c r="K180" s="6"/>
      <c r="L180" s="6"/>
      <c r="M180" s="6"/>
      <c r="N180" s="6"/>
    </row>
    <row x14ac:dyDescent="0.25" r="181" customHeight="1" ht="15.75" customFormat="1" s="1">
      <c r="A181" s="53" t="s">
        <v>374</v>
      </c>
      <c r="B181" s="52" t="s">
        <v>135</v>
      </c>
      <c r="C181" s="24" t="s">
        <v>375</v>
      </c>
      <c r="D181" s="52" t="s">
        <v>123</v>
      </c>
      <c r="E181" s="52" t="s">
        <v>124</v>
      </c>
      <c r="F181" s="52" t="s">
        <v>135</v>
      </c>
      <c r="G181" s="52" t="s">
        <v>375</v>
      </c>
      <c r="H181" s="6"/>
      <c r="I181" s="46"/>
      <c r="J181" s="6"/>
      <c r="K181" s="6"/>
      <c r="L181" s="6"/>
      <c r="M181" s="6"/>
      <c r="N181" s="6"/>
    </row>
    <row x14ac:dyDescent="0.25" r="182" customHeight="1" ht="15.75" customFormat="1" s="1">
      <c r="A182" s="53" t="s">
        <v>378</v>
      </c>
      <c r="B182" s="53" t="s">
        <v>135</v>
      </c>
      <c r="C182" s="32" t="s">
        <v>379</v>
      </c>
      <c r="D182" s="53" t="s">
        <v>123</v>
      </c>
      <c r="E182" s="53" t="s">
        <v>124</v>
      </c>
      <c r="F182" s="53" t="s">
        <v>123</v>
      </c>
      <c r="G182" s="52" t="s">
        <v>124</v>
      </c>
      <c r="H182" s="6"/>
      <c r="I182" s="46"/>
      <c r="J182" s="6"/>
      <c r="K182" s="6"/>
      <c r="L182" s="6"/>
      <c r="M182" s="6"/>
      <c r="N182" s="6"/>
    </row>
    <row x14ac:dyDescent="0.25" r="183" customHeight="1" ht="15.75" customFormat="1" s="1">
      <c r="A183" s="53" t="s">
        <v>383</v>
      </c>
      <c r="B183" s="53" t="s">
        <v>135</v>
      </c>
      <c r="C183" s="32" t="s">
        <v>384</v>
      </c>
      <c r="D183" s="53" t="s">
        <v>123</v>
      </c>
      <c r="E183" s="53" t="s">
        <v>124</v>
      </c>
      <c r="F183" s="53" t="s">
        <v>221</v>
      </c>
      <c r="G183" s="32" t="s">
        <v>384</v>
      </c>
      <c r="H183" s="6"/>
      <c r="I183" s="46"/>
      <c r="J183" s="6"/>
      <c r="K183" s="6"/>
      <c r="L183" s="6"/>
      <c r="M183" s="6"/>
      <c r="N183" s="6"/>
    </row>
    <row x14ac:dyDescent="0.25" r="184" customHeight="1" ht="15.75" customFormat="1" s="1">
      <c r="A184" s="53" t="s">
        <v>385</v>
      </c>
      <c r="B184" s="53" t="s">
        <v>135</v>
      </c>
      <c r="C184" s="32" t="s">
        <v>386</v>
      </c>
      <c r="D184" s="53" t="s">
        <v>123</v>
      </c>
      <c r="E184" s="53" t="s">
        <v>124</v>
      </c>
      <c r="F184" s="53" t="s">
        <v>221</v>
      </c>
      <c r="G184" s="32" t="s">
        <v>386</v>
      </c>
      <c r="H184" s="6"/>
      <c r="I184" s="46"/>
      <c r="J184" s="6"/>
      <c r="K184" s="6"/>
      <c r="L184" s="6"/>
      <c r="M184" s="6"/>
      <c r="N184" s="6"/>
    </row>
    <row x14ac:dyDescent="0.25" r="185" customHeight="1" ht="15.75" customFormat="1" s="1">
      <c r="A185" s="53" t="s">
        <v>388</v>
      </c>
      <c r="B185" s="53" t="s">
        <v>135</v>
      </c>
      <c r="C185" s="32" t="s">
        <v>389</v>
      </c>
      <c r="D185" s="53" t="s">
        <v>123</v>
      </c>
      <c r="E185" s="53" t="s">
        <v>124</v>
      </c>
      <c r="F185" s="53" t="s">
        <v>123</v>
      </c>
      <c r="G185" s="52" t="s">
        <v>124</v>
      </c>
      <c r="H185" s="6"/>
      <c r="I185" s="46"/>
      <c r="J185" s="6"/>
      <c r="K185" s="6"/>
      <c r="L185" s="6"/>
      <c r="M185" s="6"/>
      <c r="N185" s="6"/>
    </row>
    <row x14ac:dyDescent="0.25" r="186" customHeight="1" ht="15.75">
      <c r="A186" s="19"/>
      <c r="B186" s="11"/>
      <c r="C186" s="6"/>
      <c r="D186" s="6"/>
      <c r="E186" s="11"/>
      <c r="F186" s="11"/>
      <c r="G186" s="11"/>
      <c r="H186" s="11"/>
      <c r="I186" s="26"/>
      <c r="J186" s="11"/>
      <c r="K186" s="11"/>
      <c r="L186" s="11"/>
      <c r="M186" s="11"/>
      <c r="N186" s="11"/>
    </row>
    <row x14ac:dyDescent="0.25" r="187" customHeight="1" ht="15.75">
      <c r="A187" s="19"/>
      <c r="B187" s="11"/>
      <c r="C187" s="6"/>
      <c r="D187" s="6"/>
      <c r="E187" s="11"/>
      <c r="F187" s="11"/>
      <c r="G187" s="11"/>
      <c r="H187" s="11"/>
      <c r="I187" s="26"/>
      <c r="J187" s="11"/>
      <c r="K187" s="11"/>
      <c r="L187" s="11"/>
      <c r="M187" s="11"/>
      <c r="N187" s="11"/>
    </row>
    <row x14ac:dyDescent="0.25" r="188" customHeight="1" ht="15.75">
      <c r="A188" s="19"/>
      <c r="B188" s="11"/>
      <c r="C188" s="6"/>
      <c r="D188" s="6"/>
      <c r="E188" s="11"/>
      <c r="F188" s="11"/>
      <c r="G188" s="11"/>
      <c r="H188" s="11"/>
      <c r="I188" s="26"/>
      <c r="J188" s="11"/>
      <c r="K188" s="11"/>
      <c r="L188" s="11"/>
      <c r="M188" s="11"/>
      <c r="N188" s="11"/>
    </row>
    <row x14ac:dyDescent="0.25" r="189" customHeight="1" ht="15.75">
      <c r="A189" s="19"/>
      <c r="B189" s="11"/>
      <c r="C189" s="6"/>
      <c r="D189" s="6"/>
      <c r="E189" s="11"/>
      <c r="F189" s="11"/>
      <c r="G189" s="11"/>
      <c r="H189" s="11"/>
      <c r="I189" s="26"/>
      <c r="J189" s="11"/>
      <c r="K189" s="11"/>
      <c r="L189" s="11"/>
      <c r="M189" s="11"/>
      <c r="N189" s="11"/>
    </row>
    <row x14ac:dyDescent="0.25" r="190" customHeight="1" ht="15.75">
      <c r="A190" s="11"/>
      <c r="B190" s="11"/>
      <c r="C190" s="6"/>
      <c r="D190" s="6"/>
      <c r="E190" s="11"/>
      <c r="F190" s="11"/>
      <c r="G190" s="11"/>
      <c r="H190" s="11"/>
      <c r="I190" s="26"/>
      <c r="J190" s="11"/>
      <c r="K190" s="11"/>
      <c r="L190" s="11"/>
      <c r="M190" s="11"/>
      <c r="N190" s="11"/>
    </row>
    <row x14ac:dyDescent="0.25" r="191" customHeight="1" ht="15.75">
      <c r="A191" s="11"/>
      <c r="B191" s="11"/>
      <c r="C191" s="6"/>
      <c r="D191" s="6"/>
      <c r="E191" s="11"/>
      <c r="F191" s="11"/>
      <c r="G191" s="11"/>
      <c r="H191" s="11"/>
      <c r="I191" s="26"/>
      <c r="J191" s="11"/>
      <c r="K191" s="11"/>
      <c r="L191" s="11"/>
      <c r="M191" s="11"/>
      <c r="N191" s="11"/>
    </row>
    <row x14ac:dyDescent="0.25" r="192" customHeight="1" ht="15.75">
      <c r="A192" s="19"/>
      <c r="B192" s="11"/>
      <c r="C192" s="6"/>
      <c r="D192" s="6"/>
      <c r="E192" s="11"/>
      <c r="F192" s="11"/>
      <c r="G192" s="11"/>
      <c r="H192" s="11"/>
      <c r="I192" s="26"/>
      <c r="J192" s="11"/>
      <c r="K192" s="11"/>
      <c r="L192" s="11"/>
      <c r="M192" s="11"/>
      <c r="N192" s="11"/>
    </row>
    <row x14ac:dyDescent="0.25" r="193" customHeight="1" ht="15.75">
      <c r="A193" s="19"/>
      <c r="B193" s="11"/>
      <c r="C193" s="6"/>
      <c r="D193" s="6"/>
      <c r="E193" s="11"/>
      <c r="F193" s="11"/>
      <c r="G193" s="11"/>
      <c r="H193" s="11"/>
      <c r="I193" s="26"/>
      <c r="J193" s="11"/>
      <c r="K193" s="11"/>
      <c r="L193" s="11"/>
      <c r="M193" s="11"/>
      <c r="N193" s="11"/>
    </row>
    <row x14ac:dyDescent="0.25" r="194" customHeight="1" ht="15.75">
      <c r="A194" s="19"/>
      <c r="B194" s="11"/>
      <c r="C194" s="6"/>
      <c r="D194" s="6"/>
      <c r="E194" s="11"/>
      <c r="F194" s="11"/>
      <c r="G194" s="11"/>
      <c r="H194" s="11"/>
      <c r="I194" s="26"/>
      <c r="J194" s="11"/>
      <c r="K194" s="11"/>
      <c r="L194" s="11"/>
      <c r="M194" s="11"/>
      <c r="N194" s="11"/>
    </row>
    <row x14ac:dyDescent="0.25" r="195" customHeight="1" ht="15.75">
      <c r="A195" s="19"/>
      <c r="B195" s="11"/>
      <c r="C195" s="6"/>
      <c r="D195" s="6"/>
      <c r="E195" s="11"/>
      <c r="F195" s="11"/>
      <c r="G195" s="11"/>
      <c r="H195" s="11"/>
      <c r="I195" s="26"/>
      <c r="J195" s="11"/>
      <c r="K195" s="11"/>
      <c r="L195" s="11"/>
      <c r="M195" s="11"/>
      <c r="N195" s="11"/>
    </row>
    <row x14ac:dyDescent="0.25" r="196" customHeight="1" ht="15.75">
      <c r="A196" s="19"/>
      <c r="B196" s="11"/>
      <c r="C196" s="6"/>
      <c r="D196" s="6"/>
      <c r="E196" s="11"/>
      <c r="F196" s="11"/>
      <c r="G196" s="11"/>
      <c r="H196" s="11"/>
      <c r="I196" s="26"/>
      <c r="J196" s="11"/>
      <c r="K196" s="11"/>
      <c r="L196" s="11"/>
      <c r="M196" s="11"/>
      <c r="N196" s="11"/>
    </row>
    <row x14ac:dyDescent="0.25" r="197" customHeight="1" ht="15.75">
      <c r="A197" s="19"/>
      <c r="B197" s="11"/>
      <c r="C197" s="6"/>
      <c r="D197" s="6"/>
      <c r="E197" s="11"/>
      <c r="F197" s="11"/>
      <c r="G197" s="11"/>
      <c r="H197" s="11"/>
      <c r="I197" s="26"/>
      <c r="J197" s="11"/>
      <c r="K197" s="11"/>
      <c r="L197" s="11"/>
      <c r="M197" s="11"/>
      <c r="N197" s="11"/>
    </row>
    <row x14ac:dyDescent="0.25" r="198" customHeight="1" ht="15.75">
      <c r="A198" s="19"/>
      <c r="B198" s="11"/>
      <c r="C198" s="6"/>
      <c r="D198" s="6"/>
      <c r="E198" s="11"/>
      <c r="F198" s="11"/>
      <c r="G198" s="11"/>
      <c r="H198" s="11"/>
      <c r="I198" s="26"/>
      <c r="J198" s="11"/>
      <c r="K198" s="11"/>
      <c r="L198" s="11"/>
      <c r="M198" s="11"/>
      <c r="N198" s="11"/>
    </row>
    <row x14ac:dyDescent="0.25" r="199" customHeight="1" ht="15.75">
      <c r="A199" s="19"/>
      <c r="B199" s="11"/>
      <c r="C199" s="6"/>
      <c r="D199" s="6"/>
      <c r="E199" s="11"/>
      <c r="F199" s="11"/>
      <c r="G199" s="11"/>
      <c r="H199" s="11"/>
      <c r="I199" s="26"/>
      <c r="J199" s="11"/>
      <c r="K199" s="11"/>
      <c r="L199" s="11"/>
      <c r="M199" s="11"/>
      <c r="N199" s="11"/>
    </row>
    <row x14ac:dyDescent="0.25" r="200" customHeight="1" ht="15.75">
      <c r="A200" s="19"/>
      <c r="B200" s="11"/>
      <c r="C200" s="6"/>
      <c r="D200" s="6"/>
      <c r="E200" s="11"/>
      <c r="F200" s="11"/>
      <c r="G200" s="11"/>
      <c r="H200" s="11"/>
      <c r="I200" s="26"/>
      <c r="J200" s="11"/>
      <c r="K200" s="11"/>
      <c r="L200" s="11"/>
      <c r="M200" s="11"/>
      <c r="N200" s="11"/>
    </row>
    <row x14ac:dyDescent="0.25" r="201" customHeight="1" ht="15.75">
      <c r="A201" s="19"/>
      <c r="B201" s="11"/>
      <c r="C201" s="6"/>
      <c r="D201" s="6"/>
      <c r="E201" s="11"/>
      <c r="F201" s="11"/>
      <c r="G201" s="11"/>
      <c r="H201" s="11"/>
      <c r="I201" s="26"/>
      <c r="J201" s="11"/>
      <c r="K201" s="11"/>
      <c r="L201" s="11"/>
      <c r="M201" s="11"/>
      <c r="N201" s="11"/>
    </row>
    <row x14ac:dyDescent="0.25" r="202" customHeight="1" ht="15.75">
      <c r="A202" s="19"/>
      <c r="B202" s="11"/>
      <c r="C202" s="6"/>
      <c r="D202" s="6"/>
      <c r="E202" s="11"/>
      <c r="F202" s="11"/>
      <c r="G202" s="11"/>
      <c r="H202" s="11"/>
      <c r="I202" s="26"/>
      <c r="J202" s="11"/>
      <c r="K202" s="11"/>
      <c r="L202" s="11"/>
      <c r="M202" s="11"/>
      <c r="N202" s="11"/>
    </row>
    <row x14ac:dyDescent="0.25" r="203" customHeight="1" ht="15.75">
      <c r="A203" s="19"/>
      <c r="B203" s="11"/>
      <c r="C203" s="6"/>
      <c r="D203" s="6"/>
      <c r="E203" s="11"/>
      <c r="F203" s="11"/>
      <c r="G203" s="11"/>
      <c r="H203" s="11"/>
      <c r="I203" s="26"/>
      <c r="J203" s="11"/>
      <c r="K203" s="11"/>
      <c r="L203" s="11"/>
      <c r="M203" s="11"/>
      <c r="N203" s="11"/>
    </row>
    <row x14ac:dyDescent="0.25" r="204" customHeight="1" ht="15.75">
      <c r="A204" s="19"/>
      <c r="B204" s="11"/>
      <c r="C204" s="6"/>
      <c r="D204" s="6"/>
      <c r="E204" s="11"/>
      <c r="F204" s="11"/>
      <c r="G204" s="11"/>
      <c r="H204" s="11"/>
      <c r="I204" s="26"/>
      <c r="J204" s="11"/>
      <c r="K204" s="11"/>
      <c r="L204" s="11"/>
      <c r="M204" s="11"/>
      <c r="N204" s="11"/>
    </row>
    <row x14ac:dyDescent="0.25" r="205" customHeight="1" ht="15.75">
      <c r="A205" s="19"/>
      <c r="B205" s="11"/>
      <c r="C205" s="6"/>
      <c r="D205" s="6"/>
      <c r="E205" s="11"/>
      <c r="F205" s="11"/>
      <c r="G205" s="11"/>
      <c r="H205" s="11"/>
      <c r="I205" s="26"/>
      <c r="J205" s="11"/>
      <c r="K205" s="11"/>
      <c r="L205" s="11"/>
      <c r="M205" s="11"/>
      <c r="N205" s="11"/>
    </row>
    <row x14ac:dyDescent="0.25" r="206" customHeight="1" ht="15.75">
      <c r="A206" s="19"/>
      <c r="B206" s="11"/>
      <c r="C206" s="6"/>
      <c r="D206" s="6"/>
      <c r="E206" s="11"/>
      <c r="F206" s="11"/>
      <c r="G206" s="11"/>
      <c r="H206" s="11"/>
      <c r="I206" s="26"/>
      <c r="J206" s="11"/>
      <c r="K206" s="11"/>
      <c r="L206" s="11"/>
      <c r="M206" s="11"/>
      <c r="N206" s="11"/>
    </row>
    <row x14ac:dyDescent="0.25" r="207" customHeight="1" ht="15.75">
      <c r="A207" s="19"/>
      <c r="B207" s="11"/>
      <c r="C207" s="6"/>
      <c r="D207" s="6"/>
      <c r="E207" s="11"/>
      <c r="F207" s="11"/>
      <c r="G207" s="11"/>
      <c r="H207" s="11"/>
      <c r="I207" s="26"/>
      <c r="J207" s="11"/>
      <c r="K207" s="11"/>
      <c r="L207" s="11"/>
      <c r="M207" s="11"/>
      <c r="N207" s="11"/>
    </row>
    <row x14ac:dyDescent="0.25" r="208" customHeight="1" ht="15.75">
      <c r="A208" s="19"/>
      <c r="B208" s="11"/>
      <c r="C208" s="6"/>
      <c r="D208" s="6"/>
      <c r="E208" s="11"/>
      <c r="F208" s="11"/>
      <c r="G208" s="11"/>
      <c r="H208" s="11"/>
      <c r="I208" s="26"/>
      <c r="J208" s="11"/>
      <c r="K208" s="11"/>
      <c r="L208" s="11"/>
      <c r="M208" s="11"/>
      <c r="N208" s="11"/>
    </row>
    <row x14ac:dyDescent="0.25" r="209" customHeight="1" ht="15.75">
      <c r="A209" s="11"/>
      <c r="B209" s="11"/>
      <c r="C209" s="6"/>
      <c r="D209" s="6"/>
      <c r="E209" s="11"/>
      <c r="F209" s="11"/>
      <c r="G209" s="11"/>
      <c r="H209" s="11"/>
      <c r="I209" s="26"/>
      <c r="J209" s="11"/>
      <c r="K209" s="11"/>
      <c r="L209" s="11"/>
      <c r="M209" s="11"/>
      <c r="N209" s="11"/>
    </row>
    <row x14ac:dyDescent="0.25" r="210" customHeight="1" ht="15.75">
      <c r="A210" s="11"/>
      <c r="B210" s="11"/>
      <c r="C210" s="6"/>
      <c r="D210" s="6"/>
      <c r="E210" s="11"/>
      <c r="F210" s="11"/>
      <c r="G210" s="11"/>
      <c r="H210" s="11"/>
      <c r="I210" s="26"/>
      <c r="J210" s="11"/>
      <c r="K210" s="11"/>
      <c r="L210" s="11"/>
      <c r="M210" s="11"/>
      <c r="N210" s="11"/>
    </row>
    <row x14ac:dyDescent="0.25" r="211" customHeight="1" ht="15.75">
      <c r="A211" s="11"/>
      <c r="B211" s="11"/>
      <c r="C211" s="6"/>
      <c r="D211" s="6"/>
      <c r="E211" s="11"/>
      <c r="F211" s="11"/>
      <c r="G211" s="11"/>
      <c r="H211" s="11"/>
      <c r="I211" s="26"/>
      <c r="J211" s="11"/>
      <c r="K211" s="11"/>
      <c r="L211" s="11"/>
      <c r="M211" s="11"/>
      <c r="N211" s="11"/>
    </row>
    <row x14ac:dyDescent="0.25" r="212" customHeight="1" ht="15.75">
      <c r="A212" s="11"/>
      <c r="B212" s="11"/>
      <c r="C212" s="6"/>
      <c r="D212" s="6"/>
      <c r="E212" s="11"/>
      <c r="F212" s="11"/>
      <c r="G212" s="11"/>
      <c r="H212" s="11"/>
      <c r="I212" s="26"/>
      <c r="J212" s="11"/>
      <c r="K212" s="11"/>
      <c r="L212" s="11"/>
      <c r="M212" s="11"/>
      <c r="N212" s="11"/>
    </row>
    <row x14ac:dyDescent="0.25" r="213" customHeight="1" ht="15.75">
      <c r="A213" s="11"/>
      <c r="B213" s="11"/>
      <c r="C213" s="6"/>
      <c r="D213" s="6"/>
      <c r="E213" s="11"/>
      <c r="F213" s="11"/>
      <c r="G213" s="11"/>
      <c r="H213" s="11"/>
      <c r="I213" s="26"/>
      <c r="J213" s="11"/>
      <c r="K213" s="11"/>
      <c r="L213" s="11"/>
      <c r="M213" s="11"/>
      <c r="N213" s="11"/>
    </row>
    <row x14ac:dyDescent="0.25" r="214" customHeight="1" ht="15.75">
      <c r="A214" s="11"/>
      <c r="B214" s="11"/>
      <c r="C214" s="6"/>
      <c r="D214" s="6"/>
      <c r="E214" s="11"/>
      <c r="F214" s="11"/>
      <c r="G214" s="11"/>
      <c r="H214" s="11"/>
      <c r="I214" s="26"/>
      <c r="J214" s="11"/>
      <c r="K214" s="11"/>
      <c r="L214" s="11"/>
      <c r="M214" s="11"/>
      <c r="N214" s="11"/>
    </row>
    <row x14ac:dyDescent="0.25" r="215" customHeight="1" ht="15.75">
      <c r="A215" s="11"/>
      <c r="B215" s="11"/>
      <c r="C215" s="6"/>
      <c r="D215" s="6"/>
      <c r="E215" s="11"/>
      <c r="F215" s="11"/>
      <c r="G215" s="11"/>
      <c r="H215" s="11"/>
      <c r="I215" s="26"/>
      <c r="J215" s="11"/>
      <c r="K215" s="11"/>
      <c r="L215" s="11"/>
      <c r="M215" s="11"/>
      <c r="N215" s="11"/>
    </row>
    <row x14ac:dyDescent="0.25" r="216" customHeight="1" ht="15.75">
      <c r="A216" s="11"/>
      <c r="B216" s="11"/>
      <c r="C216" s="6"/>
      <c r="D216" s="6"/>
      <c r="E216" s="11"/>
      <c r="F216" s="11"/>
      <c r="G216" s="11"/>
      <c r="H216" s="11"/>
      <c r="I216" s="26"/>
      <c r="J216" s="11"/>
      <c r="K216" s="11"/>
      <c r="L216" s="11"/>
      <c r="M216" s="11"/>
      <c r="N216" s="11"/>
    </row>
    <row x14ac:dyDescent="0.25" r="217" customHeight="1" ht="15.75">
      <c r="A217" s="11"/>
      <c r="B217" s="11"/>
      <c r="C217" s="6"/>
      <c r="D217" s="6"/>
      <c r="E217" s="11"/>
      <c r="F217" s="11"/>
      <c r="G217" s="11"/>
      <c r="H217" s="11"/>
      <c r="I217" s="26"/>
      <c r="J217" s="11"/>
      <c r="K217" s="11"/>
      <c r="L217" s="11"/>
      <c r="M217" s="11"/>
      <c r="N217" s="11"/>
    </row>
    <row x14ac:dyDescent="0.25" r="218" customHeight="1" ht="15.75">
      <c r="A218" s="11"/>
      <c r="B218" s="11"/>
      <c r="C218" s="6"/>
      <c r="D218" s="6"/>
      <c r="E218" s="11"/>
      <c r="F218" s="11"/>
      <c r="G218" s="11"/>
      <c r="H218" s="11"/>
      <c r="I218" s="26"/>
      <c r="J218" s="11"/>
      <c r="K218" s="11"/>
      <c r="L218" s="11"/>
      <c r="M218" s="11"/>
      <c r="N218" s="11"/>
    </row>
    <row x14ac:dyDescent="0.25" r="219" customHeight="1" ht="15.75">
      <c r="A219" s="19"/>
      <c r="B219" s="11"/>
      <c r="C219" s="6"/>
      <c r="D219" s="6"/>
      <c r="E219" s="11"/>
      <c r="F219" s="11"/>
      <c r="G219" s="11"/>
      <c r="H219" s="11"/>
      <c r="I219" s="26"/>
      <c r="J219" s="11"/>
      <c r="K219" s="11"/>
      <c r="L219" s="11"/>
      <c r="M219" s="11"/>
      <c r="N219" s="11"/>
    </row>
    <row x14ac:dyDescent="0.25" r="220" customHeight="1" ht="15.75">
      <c r="A220" s="19"/>
      <c r="B220" s="11"/>
      <c r="C220" s="6"/>
      <c r="D220" s="6"/>
      <c r="E220" s="11"/>
      <c r="F220" s="11"/>
      <c r="G220" s="11"/>
      <c r="H220" s="11"/>
      <c r="I220" s="26"/>
      <c r="J220" s="11"/>
      <c r="K220" s="11"/>
      <c r="L220" s="11"/>
      <c r="M220" s="11"/>
      <c r="N220" s="11"/>
    </row>
    <row x14ac:dyDescent="0.25" r="221" customHeight="1" ht="15.75">
      <c r="A221" s="19"/>
      <c r="B221" s="11"/>
      <c r="C221" s="6"/>
      <c r="D221" s="6"/>
      <c r="E221" s="11"/>
      <c r="F221" s="11"/>
      <c r="G221" s="11"/>
      <c r="H221" s="11"/>
      <c r="I221" s="26"/>
      <c r="J221" s="11"/>
      <c r="K221" s="11"/>
      <c r="L221" s="11"/>
      <c r="M221" s="11"/>
      <c r="N221" s="11"/>
    </row>
    <row x14ac:dyDescent="0.25" r="222" customHeight="1" ht="15.75">
      <c r="A222" s="19"/>
      <c r="B222" s="11"/>
      <c r="C222" s="6"/>
      <c r="D222" s="6"/>
      <c r="E222" s="11"/>
      <c r="F222" s="11"/>
      <c r="G222" s="11"/>
      <c r="H222" s="11"/>
      <c r="I222" s="26"/>
      <c r="J222" s="11"/>
      <c r="K222" s="11"/>
      <c r="L222" s="11"/>
      <c r="M222" s="11"/>
      <c r="N222" s="11"/>
    </row>
    <row x14ac:dyDescent="0.25" r="223" customHeight="1" ht="15.75">
      <c r="A223" s="19"/>
      <c r="B223" s="11"/>
      <c r="C223" s="6"/>
      <c r="D223" s="6"/>
      <c r="E223" s="11"/>
      <c r="F223" s="11"/>
      <c r="G223" s="11"/>
      <c r="H223" s="11"/>
      <c r="I223" s="26"/>
      <c r="J223" s="11"/>
      <c r="K223" s="11"/>
      <c r="L223" s="11"/>
      <c r="M223" s="11"/>
      <c r="N223" s="11"/>
    </row>
    <row x14ac:dyDescent="0.25" r="224" customHeight="1" ht="15.75">
      <c r="A224" s="19"/>
      <c r="B224" s="11"/>
      <c r="C224" s="6"/>
      <c r="D224" s="6"/>
      <c r="E224" s="11"/>
      <c r="F224" s="11"/>
      <c r="G224" s="11"/>
      <c r="H224" s="11"/>
      <c r="I224" s="26"/>
      <c r="J224" s="11"/>
      <c r="K224" s="11"/>
      <c r="L224" s="11"/>
      <c r="M224" s="11"/>
      <c r="N224" s="11"/>
    </row>
    <row x14ac:dyDescent="0.25" r="225" customHeight="1" ht="15.75">
      <c r="A225" s="19"/>
      <c r="B225" s="11"/>
      <c r="C225" s="6"/>
      <c r="D225" s="6"/>
      <c r="E225" s="11"/>
      <c r="F225" s="11"/>
      <c r="G225" s="11"/>
      <c r="H225" s="11"/>
      <c r="I225" s="26"/>
      <c r="J225" s="11"/>
      <c r="K225" s="11"/>
      <c r="L225" s="11"/>
      <c r="M225" s="11"/>
      <c r="N225" s="11"/>
    </row>
    <row x14ac:dyDescent="0.25" r="226" customHeight="1" ht="15.75">
      <c r="A226" s="19"/>
      <c r="B226" s="11"/>
      <c r="C226" s="6"/>
      <c r="D226" s="6"/>
      <c r="E226" s="11"/>
      <c r="F226" s="11"/>
      <c r="G226" s="11"/>
      <c r="H226" s="11"/>
      <c r="I226" s="26"/>
      <c r="J226" s="11"/>
      <c r="K226" s="11"/>
      <c r="L226" s="11"/>
      <c r="M226" s="11"/>
      <c r="N226" s="11"/>
    </row>
    <row x14ac:dyDescent="0.25" r="227" customHeight="1" ht="15.75">
      <c r="A227" s="19"/>
      <c r="B227" s="11"/>
      <c r="C227" s="6"/>
      <c r="D227" s="6"/>
      <c r="E227" s="11"/>
      <c r="F227" s="11"/>
      <c r="G227" s="11"/>
      <c r="H227" s="11"/>
      <c r="I227" s="26"/>
      <c r="J227" s="11"/>
      <c r="K227" s="11"/>
      <c r="L227" s="11"/>
      <c r="M227" s="11"/>
      <c r="N227" s="11"/>
    </row>
    <row x14ac:dyDescent="0.25" r="228" customHeight="1" ht="15.75">
      <c r="A228" s="19"/>
      <c r="B228" s="11"/>
      <c r="C228" s="6"/>
      <c r="D228" s="6"/>
      <c r="E228" s="11"/>
      <c r="F228" s="11"/>
      <c r="G228" s="11"/>
      <c r="H228" s="11"/>
      <c r="I228" s="26"/>
      <c r="J228" s="11"/>
      <c r="K228" s="11"/>
      <c r="L228" s="11"/>
      <c r="M228" s="11"/>
      <c r="N228" s="11"/>
    </row>
    <row x14ac:dyDescent="0.25" r="229" customHeight="1" ht="15.75">
      <c r="A229" s="19"/>
      <c r="B229" s="11"/>
      <c r="C229" s="6"/>
      <c r="D229" s="6"/>
      <c r="E229" s="11"/>
      <c r="F229" s="11"/>
      <c r="G229" s="11"/>
      <c r="H229" s="11"/>
      <c r="I229" s="26"/>
      <c r="J229" s="11"/>
      <c r="K229" s="11"/>
      <c r="L229" s="11"/>
      <c r="M229" s="11"/>
      <c r="N229" s="11"/>
    </row>
    <row x14ac:dyDescent="0.25" r="230" customHeight="1" ht="15.75">
      <c r="A230" s="19"/>
      <c r="B230" s="11"/>
      <c r="C230" s="6"/>
      <c r="D230" s="6"/>
      <c r="E230" s="11"/>
      <c r="F230" s="11"/>
      <c r="G230" s="11"/>
      <c r="H230" s="11"/>
      <c r="I230" s="26"/>
      <c r="J230" s="11"/>
      <c r="K230" s="11"/>
      <c r="L230" s="11"/>
      <c r="M230" s="11"/>
      <c r="N230" s="11"/>
    </row>
    <row x14ac:dyDescent="0.25" r="231" customHeight="1" ht="15.75">
      <c r="A231" s="19"/>
      <c r="B231" s="11"/>
      <c r="C231" s="6"/>
      <c r="D231" s="6"/>
      <c r="E231" s="11"/>
      <c r="F231" s="11"/>
      <c r="G231" s="11"/>
      <c r="H231" s="11"/>
      <c r="I231" s="26"/>
      <c r="J231" s="11"/>
      <c r="K231" s="11"/>
      <c r="L231" s="11"/>
      <c r="M231" s="11"/>
      <c r="N231" s="11"/>
    </row>
    <row x14ac:dyDescent="0.25" r="232" customHeight="1" ht="15.75">
      <c r="A232" s="19"/>
      <c r="B232" s="11"/>
      <c r="C232" s="6"/>
      <c r="D232" s="6"/>
      <c r="E232" s="11"/>
      <c r="F232" s="11"/>
      <c r="G232" s="11"/>
      <c r="H232" s="11"/>
      <c r="I232" s="26"/>
      <c r="J232" s="11"/>
      <c r="K232" s="11"/>
      <c r="L232" s="11"/>
      <c r="M232" s="11"/>
      <c r="N232" s="11"/>
    </row>
    <row x14ac:dyDescent="0.25" r="233" customHeight="1" ht="15.75">
      <c r="A233" s="19"/>
      <c r="B233" s="11"/>
      <c r="C233" s="6"/>
      <c r="D233" s="6"/>
      <c r="E233" s="11"/>
      <c r="F233" s="11"/>
      <c r="G233" s="11"/>
      <c r="H233" s="11"/>
      <c r="I233" s="26"/>
      <c r="J233" s="11"/>
      <c r="K233" s="11"/>
      <c r="L233" s="11"/>
      <c r="M233" s="11"/>
      <c r="N233" s="11"/>
    </row>
    <row x14ac:dyDescent="0.25" r="234" customHeight="1" ht="15.75">
      <c r="A234" s="19"/>
      <c r="B234" s="11"/>
      <c r="C234" s="6"/>
      <c r="D234" s="6"/>
      <c r="E234" s="11"/>
      <c r="F234" s="11"/>
      <c r="G234" s="11"/>
      <c r="H234" s="11"/>
      <c r="I234" s="26"/>
      <c r="J234" s="11"/>
      <c r="K234" s="11"/>
      <c r="L234" s="11"/>
      <c r="M234" s="11"/>
      <c r="N234" s="11"/>
    </row>
    <row x14ac:dyDescent="0.25" r="235" customHeight="1" ht="15.75">
      <c r="A235" s="19"/>
      <c r="B235" s="11"/>
      <c r="C235" s="6"/>
      <c r="D235" s="6"/>
      <c r="E235" s="11"/>
      <c r="F235" s="11"/>
      <c r="G235" s="11"/>
      <c r="H235" s="11"/>
      <c r="I235" s="26"/>
      <c r="J235" s="11"/>
      <c r="K235" s="11"/>
      <c r="L235" s="11"/>
      <c r="M235" s="11"/>
      <c r="N235" s="11"/>
    </row>
    <row x14ac:dyDescent="0.25" r="236" customHeight="1" ht="15.75">
      <c r="A236" s="19"/>
      <c r="B236" s="11"/>
      <c r="C236" s="6"/>
      <c r="D236" s="6"/>
      <c r="E236" s="11"/>
      <c r="F236" s="11"/>
      <c r="G236" s="11"/>
      <c r="H236" s="11"/>
      <c r="I236" s="26"/>
      <c r="J236" s="11"/>
      <c r="K236" s="11"/>
      <c r="L236" s="11"/>
      <c r="M236" s="11"/>
      <c r="N236" s="11"/>
    </row>
    <row x14ac:dyDescent="0.25" r="237" customHeight="1" ht="15.75">
      <c r="A237" s="19"/>
      <c r="B237" s="11"/>
      <c r="C237" s="6"/>
      <c r="D237" s="6"/>
      <c r="E237" s="11"/>
      <c r="F237" s="11"/>
      <c r="G237" s="11"/>
      <c r="H237" s="11"/>
      <c r="I237" s="26"/>
      <c r="J237" s="11"/>
      <c r="K237" s="11"/>
      <c r="L237" s="11"/>
      <c r="M237" s="11"/>
      <c r="N237" s="11"/>
    </row>
    <row x14ac:dyDescent="0.25" r="238" customHeight="1" ht="15.75">
      <c r="A238" s="19"/>
      <c r="B238" s="11"/>
      <c r="C238" s="6"/>
      <c r="D238" s="6"/>
      <c r="E238" s="11"/>
      <c r="F238" s="11"/>
      <c r="G238" s="11"/>
      <c r="H238" s="11"/>
      <c r="I238" s="26"/>
      <c r="J238" s="11"/>
      <c r="K238" s="11"/>
      <c r="L238" s="11"/>
      <c r="M238" s="11"/>
      <c r="N238" s="11"/>
    </row>
    <row x14ac:dyDescent="0.25" r="239" customHeight="1" ht="15.75">
      <c r="A239" s="19"/>
      <c r="B239" s="11"/>
      <c r="C239" s="6"/>
      <c r="D239" s="6"/>
      <c r="E239" s="11"/>
      <c r="F239" s="11"/>
      <c r="G239" s="11"/>
      <c r="H239" s="11"/>
      <c r="I239" s="26"/>
      <c r="J239" s="11"/>
      <c r="K239" s="11"/>
      <c r="L239" s="11"/>
      <c r="M239" s="11"/>
      <c r="N239" s="11"/>
    </row>
    <row x14ac:dyDescent="0.25" r="240" customHeight="1" ht="15.75">
      <c r="A240" s="19"/>
      <c r="B240" s="11"/>
      <c r="C240" s="6"/>
      <c r="D240" s="6"/>
      <c r="E240" s="11"/>
      <c r="F240" s="11"/>
      <c r="G240" s="11"/>
      <c r="H240" s="11"/>
      <c r="I240" s="26"/>
      <c r="J240" s="11"/>
      <c r="K240" s="11"/>
      <c r="L240" s="11"/>
      <c r="M240" s="11"/>
      <c r="N240" s="11"/>
    </row>
    <row x14ac:dyDescent="0.25" r="241" customHeight="1" ht="15.75">
      <c r="A241" s="19"/>
      <c r="B241" s="11"/>
      <c r="C241" s="6"/>
      <c r="D241" s="6"/>
      <c r="E241" s="11"/>
      <c r="F241" s="11"/>
      <c r="G241" s="11"/>
      <c r="H241" s="11"/>
      <c r="I241" s="26"/>
      <c r="J241" s="11"/>
      <c r="K241" s="11"/>
      <c r="L241" s="11"/>
      <c r="M241" s="11"/>
      <c r="N241" s="11"/>
    </row>
    <row x14ac:dyDescent="0.25" r="242" customHeight="1" ht="15.75">
      <c r="A242" s="19"/>
      <c r="B242" s="11"/>
      <c r="C242" s="6"/>
      <c r="D242" s="6"/>
      <c r="E242" s="11"/>
      <c r="F242" s="11"/>
      <c r="G242" s="11"/>
      <c r="H242" s="11"/>
      <c r="I242" s="26"/>
      <c r="J242" s="11"/>
      <c r="K242" s="11"/>
      <c r="L242" s="11"/>
      <c r="M242" s="11"/>
      <c r="N242" s="11"/>
    </row>
    <row x14ac:dyDescent="0.25" r="243" customHeight="1" ht="15.75">
      <c r="A243" s="19"/>
      <c r="B243" s="11"/>
      <c r="C243" s="6"/>
      <c r="D243" s="6"/>
      <c r="E243" s="11"/>
      <c r="F243" s="11"/>
      <c r="G243" s="11"/>
      <c r="H243" s="11"/>
      <c r="I243" s="26"/>
      <c r="J243" s="11"/>
      <c r="K243" s="11"/>
      <c r="L243" s="11"/>
      <c r="M243" s="11"/>
      <c r="N243" s="11"/>
    </row>
    <row x14ac:dyDescent="0.25" r="244" customHeight="1" ht="15.75">
      <c r="A244" s="19"/>
      <c r="B244" s="11"/>
      <c r="C244" s="6"/>
      <c r="D244" s="6"/>
      <c r="E244" s="11"/>
      <c r="F244" s="11"/>
      <c r="G244" s="11"/>
      <c r="H244" s="11"/>
      <c r="I244" s="26"/>
      <c r="J244" s="11"/>
      <c r="K244" s="11"/>
      <c r="L244" s="11"/>
      <c r="M244" s="11"/>
      <c r="N244" s="11"/>
    </row>
    <row x14ac:dyDescent="0.25" r="245" customHeight="1" ht="15.75">
      <c r="A245" s="19"/>
      <c r="B245" s="11"/>
      <c r="C245" s="6"/>
      <c r="D245" s="6"/>
      <c r="E245" s="11"/>
      <c r="F245" s="11"/>
      <c r="G245" s="11"/>
      <c r="H245" s="11"/>
      <c r="I245" s="26"/>
      <c r="J245" s="11"/>
      <c r="K245" s="11"/>
      <c r="L245" s="11"/>
      <c r="M245" s="11"/>
      <c r="N245" s="11"/>
    </row>
    <row x14ac:dyDescent="0.25" r="246" customHeight="1" ht="15.75">
      <c r="A246" s="19"/>
      <c r="B246" s="11"/>
      <c r="C246" s="6"/>
      <c r="D246" s="6"/>
      <c r="E246" s="11"/>
      <c r="F246" s="11"/>
      <c r="G246" s="11"/>
      <c r="H246" s="11"/>
      <c r="I246" s="26"/>
      <c r="J246" s="11"/>
      <c r="K246" s="11"/>
      <c r="L246" s="11"/>
      <c r="M246" s="11"/>
      <c r="N246" s="11"/>
    </row>
    <row x14ac:dyDescent="0.25" r="247" customHeight="1" ht="15.75">
      <c r="A247" s="19"/>
      <c r="B247" s="11"/>
      <c r="C247" s="6"/>
      <c r="D247" s="6"/>
      <c r="E247" s="11"/>
      <c r="F247" s="11"/>
      <c r="G247" s="11"/>
      <c r="H247" s="11"/>
      <c r="I247" s="26"/>
      <c r="J247" s="11"/>
      <c r="K247" s="11"/>
      <c r="L247" s="11"/>
      <c r="M247" s="11"/>
      <c r="N247" s="11"/>
    </row>
    <row x14ac:dyDescent="0.25" r="248" customHeight="1" ht="15.75">
      <c r="A248" s="19"/>
      <c r="B248" s="11"/>
      <c r="C248" s="6"/>
      <c r="D248" s="6"/>
      <c r="E248" s="11"/>
      <c r="F248" s="11"/>
      <c r="G248" s="11"/>
      <c r="H248" s="11"/>
      <c r="I248" s="26"/>
      <c r="J248" s="11"/>
      <c r="K248" s="11"/>
      <c r="L248" s="11"/>
      <c r="M248" s="11"/>
      <c r="N248" s="11"/>
    </row>
    <row x14ac:dyDescent="0.25" r="249" customHeight="1" ht="15.75">
      <c r="A249" s="19"/>
      <c r="B249" s="11"/>
      <c r="C249" s="6"/>
      <c r="D249" s="6"/>
      <c r="E249" s="11"/>
      <c r="F249" s="11"/>
      <c r="G249" s="11"/>
      <c r="H249" s="11"/>
      <c r="I249" s="26"/>
      <c r="J249" s="11"/>
      <c r="K249" s="11"/>
      <c r="L249" s="11"/>
      <c r="M249" s="11"/>
      <c r="N249" s="11"/>
    </row>
    <row x14ac:dyDescent="0.25" r="250" customHeight="1" ht="15.75">
      <c r="A250" s="19"/>
      <c r="B250" s="11"/>
      <c r="C250" s="6"/>
      <c r="D250" s="6"/>
      <c r="E250" s="11"/>
      <c r="F250" s="11"/>
      <c r="G250" s="11"/>
      <c r="H250" s="11"/>
      <c r="I250" s="26"/>
      <c r="J250" s="11"/>
      <c r="K250" s="11"/>
      <c r="L250" s="11"/>
      <c r="M250" s="11"/>
      <c r="N250" s="11"/>
    </row>
    <row x14ac:dyDescent="0.25" r="251" customHeight="1" ht="15.75">
      <c r="A251" s="19"/>
      <c r="B251" s="11"/>
      <c r="C251" s="6"/>
      <c r="D251" s="6"/>
      <c r="E251" s="11"/>
      <c r="F251" s="11"/>
      <c r="G251" s="11"/>
      <c r="H251" s="11"/>
      <c r="I251" s="26"/>
      <c r="J251" s="11"/>
      <c r="K251" s="11"/>
      <c r="L251" s="11"/>
      <c r="M251" s="11"/>
      <c r="N251" s="11"/>
    </row>
    <row x14ac:dyDescent="0.25" r="252" customHeight="1" ht="15.75">
      <c r="A252" s="19"/>
      <c r="B252" s="11"/>
      <c r="C252" s="6"/>
      <c r="D252" s="6"/>
      <c r="E252" s="11"/>
      <c r="F252" s="11"/>
      <c r="G252" s="11"/>
      <c r="H252" s="11"/>
      <c r="I252" s="26"/>
      <c r="J252" s="11"/>
      <c r="K252" s="11"/>
      <c r="L252" s="11"/>
      <c r="M252" s="11"/>
      <c r="N252" s="11"/>
    </row>
    <row x14ac:dyDescent="0.25" r="253" customHeight="1" ht="15.75">
      <c r="A253" s="19"/>
      <c r="B253" s="11"/>
      <c r="C253" s="6"/>
      <c r="D253" s="6"/>
      <c r="E253" s="11"/>
      <c r="F253" s="11"/>
      <c r="G253" s="11"/>
      <c r="H253" s="11"/>
      <c r="I253" s="26"/>
      <c r="J253" s="11"/>
      <c r="K253" s="11"/>
      <c r="L253" s="11"/>
      <c r="M253" s="11"/>
      <c r="N253" s="11"/>
    </row>
    <row x14ac:dyDescent="0.25" r="254" customHeight="1" ht="15.75">
      <c r="A254" s="19"/>
      <c r="B254" s="11"/>
      <c r="C254" s="6"/>
      <c r="D254" s="6"/>
      <c r="E254" s="11"/>
      <c r="F254" s="11"/>
      <c r="G254" s="11"/>
      <c r="H254" s="11"/>
      <c r="I254" s="26"/>
      <c r="J254" s="11"/>
      <c r="K254" s="11"/>
      <c r="L254" s="11"/>
      <c r="M254" s="11"/>
      <c r="N254" s="11"/>
    </row>
    <row x14ac:dyDescent="0.25" r="255" customHeight="1" ht="15.75">
      <c r="A255" s="19"/>
      <c r="B255" s="11"/>
      <c r="C255" s="6"/>
      <c r="D255" s="6"/>
      <c r="E255" s="11"/>
      <c r="F255" s="11"/>
      <c r="G255" s="11"/>
      <c r="H255" s="11"/>
      <c r="I255" s="26"/>
      <c r="J255" s="11"/>
      <c r="K255" s="11"/>
      <c r="L255" s="11"/>
      <c r="M255" s="11"/>
      <c r="N255" s="11"/>
    </row>
    <row x14ac:dyDescent="0.25" r="256" customHeight="1" ht="15.75">
      <c r="A256" s="19"/>
      <c r="B256" s="11"/>
      <c r="C256" s="6"/>
      <c r="D256" s="6"/>
      <c r="E256" s="11"/>
      <c r="F256" s="11"/>
      <c r="G256" s="11"/>
      <c r="H256" s="11"/>
      <c r="I256" s="26"/>
      <c r="J256" s="11"/>
      <c r="K256" s="11"/>
      <c r="L256" s="11"/>
      <c r="M256" s="11"/>
      <c r="N256" s="11"/>
    </row>
    <row x14ac:dyDescent="0.25" r="257" customHeight="1" ht="15.75">
      <c r="A257" s="19"/>
      <c r="B257" s="11"/>
      <c r="C257" s="6"/>
      <c r="D257" s="6"/>
      <c r="E257" s="11"/>
      <c r="F257" s="11"/>
      <c r="G257" s="11"/>
      <c r="H257" s="11"/>
      <c r="I257" s="26"/>
      <c r="J257" s="11"/>
      <c r="K257" s="11"/>
      <c r="L257" s="11"/>
      <c r="M257" s="11"/>
      <c r="N257" s="11"/>
    </row>
    <row x14ac:dyDescent="0.25" r="258" customHeight="1" ht="15.75">
      <c r="A258" s="19"/>
      <c r="B258" s="11"/>
      <c r="C258" s="6"/>
      <c r="D258" s="6"/>
      <c r="E258" s="11"/>
      <c r="F258" s="11"/>
      <c r="G258" s="11"/>
      <c r="H258" s="11"/>
      <c r="I258" s="26"/>
      <c r="J258" s="11"/>
      <c r="K258" s="11"/>
      <c r="L258" s="11"/>
      <c r="M258" s="11"/>
      <c r="N258" s="11"/>
    </row>
    <row x14ac:dyDescent="0.25" r="259" customHeight="1" ht="15.75">
      <c r="A259" s="19"/>
      <c r="B259" s="11"/>
      <c r="C259" s="6"/>
      <c r="D259" s="6"/>
      <c r="E259" s="11"/>
      <c r="F259" s="11"/>
      <c r="G259" s="11"/>
      <c r="H259" s="11"/>
      <c r="I259" s="26"/>
      <c r="J259" s="11"/>
      <c r="K259" s="11"/>
      <c r="L259" s="11"/>
      <c r="M259" s="11"/>
      <c r="N259" s="11"/>
    </row>
    <row x14ac:dyDescent="0.25" r="260" customHeight="1" ht="15.75">
      <c r="A260" s="19"/>
      <c r="B260" s="11"/>
      <c r="C260" s="6"/>
      <c r="D260" s="6"/>
      <c r="E260" s="11"/>
      <c r="F260" s="11"/>
      <c r="G260" s="11"/>
      <c r="H260" s="11"/>
      <c r="I260" s="26"/>
      <c r="J260" s="11"/>
      <c r="K260" s="11"/>
      <c r="L260" s="11"/>
      <c r="M260" s="11"/>
      <c r="N260" s="11"/>
    </row>
    <row x14ac:dyDescent="0.25" r="261" customHeight="1" ht="15.75">
      <c r="A261" s="19"/>
      <c r="B261" s="11"/>
      <c r="C261" s="6"/>
      <c r="D261" s="6"/>
      <c r="E261" s="11"/>
      <c r="F261" s="11"/>
      <c r="G261" s="11"/>
      <c r="H261" s="11"/>
      <c r="I261" s="26"/>
      <c r="J261" s="11"/>
      <c r="K261" s="11"/>
      <c r="L261" s="11"/>
      <c r="M261" s="11"/>
      <c r="N261" s="11"/>
    </row>
    <row x14ac:dyDescent="0.25" r="262" customHeight="1" ht="15.75">
      <c r="A262" s="19"/>
      <c r="B262" s="11"/>
      <c r="C262" s="6"/>
      <c r="D262" s="6"/>
      <c r="E262" s="11"/>
      <c r="F262" s="11"/>
      <c r="G262" s="11"/>
      <c r="H262" s="11"/>
      <c r="I262" s="26"/>
      <c r="J262" s="11"/>
      <c r="K262" s="11"/>
      <c r="L262" s="11"/>
      <c r="M262" s="11"/>
      <c r="N262" s="11"/>
    </row>
    <row x14ac:dyDescent="0.25" r="263" customHeight="1" ht="15.75">
      <c r="A263" s="19"/>
      <c r="B263" s="11"/>
      <c r="C263" s="6"/>
      <c r="D263" s="6"/>
      <c r="E263" s="11"/>
      <c r="F263" s="11"/>
      <c r="G263" s="11"/>
      <c r="H263" s="11"/>
      <c r="I263" s="26"/>
      <c r="J263" s="11"/>
      <c r="K263" s="11"/>
      <c r="L263" s="11"/>
      <c r="M263" s="11"/>
      <c r="N263" s="11"/>
    </row>
    <row x14ac:dyDescent="0.25" r="264" customHeight="1" ht="15.75">
      <c r="A264" s="19"/>
      <c r="B264" s="11"/>
      <c r="C264" s="6"/>
      <c r="D264" s="6"/>
      <c r="E264" s="11"/>
      <c r="F264" s="11"/>
      <c r="G264" s="11"/>
      <c r="H264" s="11"/>
      <c r="I264" s="26"/>
      <c r="J264" s="11"/>
      <c r="K264" s="11"/>
      <c r="L264" s="11"/>
      <c r="M264" s="11"/>
      <c r="N264" s="11"/>
    </row>
    <row x14ac:dyDescent="0.25" r="265" customHeight="1" ht="15.75">
      <c r="A265" s="19"/>
      <c r="B265" s="11"/>
      <c r="C265" s="6"/>
      <c r="D265" s="6"/>
      <c r="E265" s="11"/>
      <c r="F265" s="11"/>
      <c r="G265" s="11"/>
      <c r="H265" s="11"/>
      <c r="I265" s="26"/>
      <c r="J265" s="11"/>
      <c r="K265" s="11"/>
      <c r="L265" s="11"/>
      <c r="M265" s="11"/>
      <c r="N265" s="11"/>
    </row>
    <row x14ac:dyDescent="0.25" r="266" customHeight="1" ht="15.75">
      <c r="A266" s="19"/>
      <c r="B266" s="11"/>
      <c r="C266" s="6"/>
      <c r="D266" s="6"/>
      <c r="E266" s="11"/>
      <c r="F266" s="11"/>
      <c r="G266" s="11"/>
      <c r="H266" s="11"/>
      <c r="I266" s="26"/>
      <c r="J266" s="11"/>
      <c r="K266" s="11"/>
      <c r="L266" s="11"/>
      <c r="M266" s="11"/>
      <c r="N266" s="11"/>
    </row>
    <row x14ac:dyDescent="0.25" r="267" customHeight="1" ht="15.75">
      <c r="A267" s="19"/>
      <c r="B267" s="11"/>
      <c r="C267" s="6"/>
      <c r="D267" s="6"/>
      <c r="E267" s="11"/>
      <c r="F267" s="11"/>
      <c r="G267" s="11"/>
      <c r="H267" s="11"/>
      <c r="I267" s="26"/>
      <c r="J267" s="11"/>
      <c r="K267" s="11"/>
      <c r="L267" s="11"/>
      <c r="M267" s="11"/>
      <c r="N267" s="11"/>
    </row>
    <row x14ac:dyDescent="0.25" r="268" customHeight="1" ht="15.75">
      <c r="A268" s="19"/>
      <c r="B268" s="11"/>
      <c r="C268" s="6"/>
      <c r="D268" s="6"/>
      <c r="E268" s="11"/>
      <c r="F268" s="11"/>
      <c r="G268" s="11"/>
      <c r="H268" s="11"/>
      <c r="I268" s="26"/>
      <c r="J268" s="11"/>
      <c r="K268" s="11"/>
      <c r="L268" s="11"/>
      <c r="M268" s="11"/>
      <c r="N268" s="11"/>
    </row>
    <row x14ac:dyDescent="0.25" r="269" customHeight="1" ht="15.75">
      <c r="A269" s="19"/>
      <c r="B269" s="11"/>
      <c r="C269" s="6"/>
      <c r="D269" s="6"/>
      <c r="E269" s="11"/>
      <c r="F269" s="11"/>
      <c r="G269" s="11"/>
      <c r="H269" s="11"/>
      <c r="I269" s="26"/>
      <c r="J269" s="11"/>
      <c r="K269" s="11"/>
      <c r="L269" s="11"/>
      <c r="M269" s="11"/>
      <c r="N269" s="11"/>
    </row>
    <row x14ac:dyDescent="0.25" r="270" customHeight="1" ht="15.75">
      <c r="A270" s="19"/>
      <c r="B270" s="11"/>
      <c r="C270" s="6"/>
      <c r="D270" s="6"/>
      <c r="E270" s="11"/>
      <c r="F270" s="11"/>
      <c r="G270" s="11"/>
      <c r="H270" s="11"/>
      <c r="I270" s="26"/>
      <c r="J270" s="11"/>
      <c r="K270" s="11"/>
      <c r="L270" s="11"/>
      <c r="M270" s="11"/>
      <c r="N270" s="11"/>
    </row>
    <row x14ac:dyDescent="0.25" r="271" customHeight="1" ht="15.75">
      <c r="A271" s="19"/>
      <c r="B271" s="11"/>
      <c r="C271" s="6"/>
      <c r="D271" s="6"/>
      <c r="E271" s="11"/>
      <c r="F271" s="11"/>
      <c r="G271" s="11"/>
      <c r="H271" s="11"/>
      <c r="I271" s="26"/>
      <c r="J271" s="11"/>
      <c r="K271" s="11"/>
      <c r="L271" s="11"/>
      <c r="M271" s="11"/>
      <c r="N271" s="11"/>
    </row>
    <row x14ac:dyDescent="0.25" r="272" customHeight="1" ht="15.75">
      <c r="A272" s="19"/>
      <c r="B272" s="11"/>
      <c r="C272" s="6"/>
      <c r="D272" s="6"/>
      <c r="E272" s="11"/>
      <c r="F272" s="11"/>
      <c r="G272" s="11"/>
      <c r="H272" s="11"/>
      <c r="I272" s="26"/>
      <c r="J272" s="11"/>
      <c r="K272" s="11"/>
      <c r="L272" s="11"/>
      <c r="M272" s="11"/>
      <c r="N272" s="11"/>
    </row>
    <row x14ac:dyDescent="0.25" r="273" customHeight="1" ht="15.75">
      <c r="A273" s="19"/>
      <c r="B273" s="11"/>
      <c r="C273" s="6"/>
      <c r="D273" s="6"/>
      <c r="E273" s="11"/>
      <c r="F273" s="11"/>
      <c r="G273" s="11"/>
      <c r="H273" s="11"/>
      <c r="I273" s="26"/>
      <c r="J273" s="11"/>
      <c r="K273" s="11"/>
      <c r="L273" s="11"/>
      <c r="M273" s="11"/>
      <c r="N273" s="11"/>
    </row>
    <row x14ac:dyDescent="0.25" r="274" customHeight="1" ht="15.75">
      <c r="A274" s="19"/>
      <c r="B274" s="11"/>
      <c r="C274" s="6"/>
      <c r="D274" s="6"/>
      <c r="E274" s="11"/>
      <c r="F274" s="11"/>
      <c r="G274" s="11"/>
      <c r="H274" s="11"/>
      <c r="I274" s="26"/>
      <c r="J274" s="11"/>
      <c r="K274" s="11"/>
      <c r="L274" s="11"/>
      <c r="M274" s="11"/>
      <c r="N274" s="11"/>
    </row>
    <row x14ac:dyDescent="0.25" r="275" customHeight="1" ht="15.75">
      <c r="A275" s="19"/>
      <c r="B275" s="11"/>
      <c r="C275" s="6"/>
      <c r="D275" s="6"/>
      <c r="E275" s="11"/>
      <c r="F275" s="11"/>
      <c r="G275" s="11"/>
      <c r="H275" s="11"/>
      <c r="I275" s="26"/>
      <c r="J275" s="11"/>
      <c r="K275" s="11"/>
      <c r="L275" s="11"/>
      <c r="M275" s="11"/>
      <c r="N275" s="11"/>
    </row>
    <row x14ac:dyDescent="0.25" r="276" customHeight="1" ht="15.75">
      <c r="A276" s="19"/>
      <c r="B276" s="11"/>
      <c r="C276" s="6"/>
      <c r="D276" s="6"/>
      <c r="E276" s="11"/>
      <c r="F276" s="11"/>
      <c r="G276" s="11"/>
      <c r="H276" s="11"/>
      <c r="I276" s="26"/>
      <c r="J276" s="11"/>
      <c r="K276" s="11"/>
      <c r="L276" s="11"/>
      <c r="M276" s="11"/>
      <c r="N276" s="11"/>
    </row>
    <row x14ac:dyDescent="0.25" r="277" customHeight="1" ht="15.75">
      <c r="A277" s="19"/>
      <c r="B277" s="11"/>
      <c r="C277" s="6"/>
      <c r="D277" s="6"/>
      <c r="E277" s="11"/>
      <c r="F277" s="11"/>
      <c r="G277" s="11"/>
      <c r="H277" s="11"/>
      <c r="I277" s="26"/>
      <c r="J277" s="11"/>
      <c r="K277" s="11"/>
      <c r="L277" s="11"/>
      <c r="M277" s="11"/>
      <c r="N277" s="11"/>
    </row>
    <row x14ac:dyDescent="0.25" r="278" customHeight="1" ht="15.75">
      <c r="A278" s="19"/>
      <c r="B278" s="11"/>
      <c r="C278" s="6"/>
      <c r="D278" s="6"/>
      <c r="E278" s="11"/>
      <c r="F278" s="11"/>
      <c r="G278" s="11"/>
      <c r="H278" s="11"/>
      <c r="I278" s="26"/>
      <c r="J278" s="11"/>
      <c r="K278" s="11"/>
      <c r="L278" s="11"/>
      <c r="M278" s="11"/>
      <c r="N278" s="11"/>
    </row>
    <row x14ac:dyDescent="0.25" r="279" customHeight="1" ht="15.75">
      <c r="A279" s="19"/>
      <c r="B279" s="11"/>
      <c r="C279" s="6"/>
      <c r="D279" s="6"/>
      <c r="E279" s="11"/>
      <c r="F279" s="11"/>
      <c r="G279" s="11"/>
      <c r="H279" s="11"/>
      <c r="I279" s="26"/>
      <c r="J279" s="11"/>
      <c r="K279" s="11"/>
      <c r="L279" s="11"/>
      <c r="M279" s="11"/>
      <c r="N279" s="11"/>
    </row>
    <row x14ac:dyDescent="0.25" r="280" customHeight="1" ht="15.75">
      <c r="A280" s="19"/>
      <c r="B280" s="11"/>
      <c r="C280" s="6"/>
      <c r="D280" s="6"/>
      <c r="E280" s="11"/>
      <c r="F280" s="11"/>
      <c r="G280" s="11"/>
      <c r="H280" s="11"/>
      <c r="I280" s="26"/>
      <c r="J280" s="11"/>
      <c r="K280" s="11"/>
      <c r="L280" s="11"/>
      <c r="M280" s="11"/>
      <c r="N280" s="11"/>
    </row>
    <row x14ac:dyDescent="0.25" r="281" customHeight="1" ht="15.75">
      <c r="A281" s="19"/>
      <c r="B281" s="11"/>
      <c r="C281" s="6"/>
      <c r="D281" s="6"/>
      <c r="E281" s="11"/>
      <c r="F281" s="11"/>
      <c r="G281" s="11"/>
      <c r="H281" s="11"/>
      <c r="I281" s="26"/>
      <c r="J281" s="11"/>
      <c r="K281" s="11"/>
      <c r="L281" s="11"/>
      <c r="M281" s="11"/>
      <c r="N281" s="11"/>
    </row>
    <row x14ac:dyDescent="0.25" r="282" customHeight="1" ht="15.75">
      <c r="A282" s="19"/>
      <c r="B282" s="11"/>
      <c r="C282" s="6"/>
      <c r="D282" s="6"/>
      <c r="E282" s="11"/>
      <c r="F282" s="11"/>
      <c r="G282" s="11"/>
      <c r="H282" s="11"/>
      <c r="I282" s="26"/>
      <c r="J282" s="11"/>
      <c r="K282" s="11"/>
      <c r="L282" s="11"/>
      <c r="M282" s="11"/>
      <c r="N282" s="11"/>
    </row>
    <row x14ac:dyDescent="0.25" r="283" customHeight="1" ht="15.75">
      <c r="A283" s="19"/>
      <c r="B283" s="11"/>
      <c r="C283" s="6"/>
      <c r="D283" s="6"/>
      <c r="E283" s="11"/>
      <c r="F283" s="11"/>
      <c r="G283" s="11"/>
      <c r="H283" s="11"/>
      <c r="I283" s="26"/>
      <c r="J283" s="11"/>
      <c r="K283" s="11"/>
      <c r="L283" s="11"/>
      <c r="M283" s="11"/>
      <c r="N283" s="11"/>
    </row>
    <row x14ac:dyDescent="0.25" r="284" customHeight="1" ht="15.75">
      <c r="A284" s="19"/>
      <c r="B284" s="11"/>
      <c r="C284" s="6"/>
      <c r="D284" s="6"/>
      <c r="E284" s="11"/>
      <c r="F284" s="11"/>
      <c r="G284" s="11"/>
      <c r="H284" s="11"/>
      <c r="I284" s="26"/>
      <c r="J284" s="11"/>
      <c r="K284" s="11"/>
      <c r="L284" s="11"/>
      <c r="M284" s="11"/>
      <c r="N284" s="11"/>
    </row>
    <row x14ac:dyDescent="0.25" r="285" customHeight="1" ht="15.75">
      <c r="A285" s="19"/>
      <c r="B285" s="11"/>
      <c r="C285" s="6"/>
      <c r="D285" s="6"/>
      <c r="E285" s="11"/>
      <c r="F285" s="11"/>
      <c r="G285" s="11"/>
      <c r="H285" s="11"/>
      <c r="I285" s="26"/>
      <c r="J285" s="11"/>
      <c r="K285" s="11"/>
      <c r="L285" s="11"/>
      <c r="M285" s="11"/>
      <c r="N285" s="11"/>
    </row>
    <row x14ac:dyDescent="0.25" r="286" customHeight="1" ht="15.75">
      <c r="A286" s="19"/>
      <c r="B286" s="11"/>
      <c r="C286" s="6"/>
      <c r="D286" s="6"/>
      <c r="E286" s="11"/>
      <c r="F286" s="11"/>
      <c r="G286" s="11"/>
      <c r="H286" s="11"/>
      <c r="I286" s="26"/>
      <c r="J286" s="11"/>
      <c r="K286" s="11"/>
      <c r="L286" s="11"/>
      <c r="M286" s="11"/>
      <c r="N286" s="11"/>
    </row>
    <row x14ac:dyDescent="0.25" r="287" customHeight="1" ht="15.75">
      <c r="A287" s="19"/>
      <c r="B287" s="11"/>
      <c r="C287" s="6"/>
      <c r="D287" s="6"/>
      <c r="E287" s="11"/>
      <c r="F287" s="11"/>
      <c r="G287" s="11"/>
      <c r="H287" s="11"/>
      <c r="I287" s="26"/>
      <c r="J287" s="11"/>
      <c r="K287" s="11"/>
      <c r="L287" s="11"/>
      <c r="M287" s="11"/>
      <c r="N287" s="11"/>
    </row>
    <row x14ac:dyDescent="0.25" r="288" customHeight="1" ht="15.75">
      <c r="A288" s="19"/>
      <c r="B288" s="11"/>
      <c r="C288" s="6"/>
      <c r="D288" s="6"/>
      <c r="E288" s="11"/>
      <c r="F288" s="11"/>
      <c r="G288" s="11"/>
      <c r="H288" s="11"/>
      <c r="I288" s="26"/>
      <c r="J288" s="11"/>
      <c r="K288" s="11"/>
      <c r="L288" s="11"/>
      <c r="M288" s="11"/>
      <c r="N288" s="11"/>
    </row>
    <row x14ac:dyDescent="0.25" r="289" customHeight="1" ht="15.75">
      <c r="A289" s="19"/>
      <c r="B289" s="11"/>
      <c r="C289" s="6"/>
      <c r="D289" s="6"/>
      <c r="E289" s="11"/>
      <c r="F289" s="11"/>
      <c r="G289" s="11"/>
      <c r="H289" s="11"/>
      <c r="I289" s="26"/>
      <c r="J289" s="11"/>
      <c r="K289" s="11"/>
      <c r="L289" s="11"/>
      <c r="M289" s="11"/>
      <c r="N289" s="11"/>
    </row>
    <row x14ac:dyDescent="0.25" r="290" customHeight="1" ht="15.75">
      <c r="A290" s="19"/>
      <c r="B290" s="11"/>
      <c r="C290" s="6"/>
      <c r="D290" s="6"/>
      <c r="E290" s="11"/>
      <c r="F290" s="11"/>
      <c r="G290" s="11"/>
      <c r="H290" s="11"/>
      <c r="I290" s="26"/>
      <c r="J290" s="11"/>
      <c r="K290" s="11"/>
      <c r="L290" s="11"/>
      <c r="M290" s="11"/>
      <c r="N290" s="11"/>
    </row>
    <row x14ac:dyDescent="0.25" r="291" customHeight="1" ht="15.75">
      <c r="A291" s="19"/>
      <c r="B291" s="11"/>
      <c r="C291" s="6"/>
      <c r="D291" s="6"/>
      <c r="E291" s="11"/>
      <c r="F291" s="11"/>
      <c r="G291" s="11"/>
      <c r="H291" s="11"/>
      <c r="I291" s="26"/>
      <c r="J291" s="11"/>
      <c r="K291" s="11"/>
      <c r="L291" s="11"/>
      <c r="M291" s="11"/>
      <c r="N291" s="11"/>
    </row>
    <row x14ac:dyDescent="0.25" r="292" customHeight="1" ht="15.75">
      <c r="A292" s="19"/>
      <c r="B292" s="11"/>
      <c r="C292" s="6"/>
      <c r="D292" s="6"/>
      <c r="E292" s="11"/>
      <c r="F292" s="11"/>
      <c r="G292" s="11"/>
      <c r="H292" s="11"/>
      <c r="I292" s="26"/>
      <c r="J292" s="11"/>
      <c r="K292" s="11"/>
      <c r="L292" s="11"/>
      <c r="M292" s="11"/>
      <c r="N292" s="11"/>
    </row>
    <row x14ac:dyDescent="0.25" r="293" customHeight="1" ht="15.75">
      <c r="A293" s="19"/>
      <c r="B293" s="11"/>
      <c r="C293" s="6"/>
      <c r="D293" s="6"/>
      <c r="E293" s="11"/>
      <c r="F293" s="11"/>
      <c r="G293" s="11"/>
      <c r="H293" s="11"/>
      <c r="I293" s="26"/>
      <c r="J293" s="11"/>
      <c r="K293" s="11"/>
      <c r="L293" s="11"/>
      <c r="M293" s="11"/>
      <c r="N293" s="11"/>
    </row>
    <row x14ac:dyDescent="0.25" r="294" customHeight="1" ht="15.75">
      <c r="A294" s="19"/>
      <c r="B294" s="11"/>
      <c r="C294" s="6"/>
      <c r="D294" s="6"/>
      <c r="E294" s="11"/>
      <c r="F294" s="11"/>
      <c r="G294" s="11"/>
      <c r="H294" s="11"/>
      <c r="I294" s="26"/>
      <c r="J294" s="11"/>
      <c r="K294" s="11"/>
      <c r="L294" s="11"/>
      <c r="M294" s="11"/>
      <c r="N294" s="11"/>
    </row>
    <row x14ac:dyDescent="0.25" r="295" customHeight="1" ht="15.75">
      <c r="A295" s="19"/>
      <c r="B295" s="11"/>
      <c r="C295" s="6"/>
      <c r="D295" s="6"/>
      <c r="E295" s="11"/>
      <c r="F295" s="11"/>
      <c r="G295" s="11"/>
      <c r="H295" s="11"/>
      <c r="I295" s="26"/>
      <c r="J295" s="11"/>
      <c r="K295" s="11"/>
      <c r="L295" s="11"/>
      <c r="M295" s="11"/>
      <c r="N295" s="11"/>
    </row>
    <row x14ac:dyDescent="0.25" r="296" customHeight="1" ht="15.75">
      <c r="A296" s="19"/>
      <c r="B296" s="11"/>
      <c r="C296" s="6"/>
      <c r="D296" s="6"/>
      <c r="E296" s="11"/>
      <c r="F296" s="11"/>
      <c r="G296" s="11"/>
      <c r="H296" s="11"/>
      <c r="I296" s="26"/>
      <c r="J296" s="11"/>
      <c r="K296" s="11"/>
      <c r="L296" s="11"/>
      <c r="M296" s="11"/>
      <c r="N296" s="11"/>
    </row>
    <row x14ac:dyDescent="0.25" r="297" customHeight="1" ht="15.75">
      <c r="A297" s="19"/>
      <c r="B297" s="11"/>
      <c r="C297" s="6"/>
      <c r="D297" s="6"/>
      <c r="E297" s="11"/>
      <c r="F297" s="11"/>
      <c r="G297" s="11"/>
      <c r="H297" s="11"/>
      <c r="I297" s="26"/>
      <c r="J297" s="11"/>
      <c r="K297" s="11"/>
      <c r="L297" s="11"/>
      <c r="M297" s="11"/>
      <c r="N297" s="11"/>
    </row>
    <row x14ac:dyDescent="0.25" r="298" customHeight="1" ht="15.75">
      <c r="A298" s="19"/>
      <c r="B298" s="11"/>
      <c r="C298" s="6"/>
      <c r="D298" s="6"/>
      <c r="E298" s="11"/>
      <c r="F298" s="11"/>
      <c r="G298" s="11"/>
      <c r="H298" s="11"/>
      <c r="I298" s="26"/>
      <c r="J298" s="11"/>
      <c r="K298" s="11"/>
      <c r="L298" s="11"/>
      <c r="M298" s="11"/>
      <c r="N298" s="11"/>
    </row>
    <row x14ac:dyDescent="0.25" r="299" customHeight="1" ht="15.75">
      <c r="A299" s="19"/>
      <c r="B299" s="11"/>
      <c r="C299" s="6"/>
      <c r="D299" s="6"/>
      <c r="E299" s="11"/>
      <c r="F299" s="11"/>
      <c r="G299" s="11"/>
      <c r="H299" s="11"/>
      <c r="I299" s="26"/>
      <c r="J299" s="11"/>
      <c r="K299" s="11"/>
      <c r="L299" s="11"/>
      <c r="M299" s="11"/>
      <c r="N299" s="11"/>
    </row>
    <row x14ac:dyDescent="0.25" r="300" customHeight="1" ht="15.75">
      <c r="A300" s="19"/>
      <c r="B300" s="11"/>
      <c r="C300" s="6"/>
      <c r="D300" s="6"/>
      <c r="E300" s="11"/>
      <c r="F300" s="11"/>
      <c r="G300" s="11"/>
      <c r="H300" s="11"/>
      <c r="I300" s="26"/>
      <c r="J300" s="11"/>
      <c r="K300" s="11"/>
      <c r="L300" s="11"/>
      <c r="M300" s="11"/>
      <c r="N300" s="11"/>
    </row>
    <row x14ac:dyDescent="0.25" r="301" customHeight="1" ht="15.75">
      <c r="A301" s="19"/>
      <c r="B301" s="11"/>
      <c r="C301" s="6"/>
      <c r="D301" s="6"/>
      <c r="E301" s="11"/>
      <c r="F301" s="11"/>
      <c r="G301" s="11"/>
      <c r="H301" s="11"/>
      <c r="I301" s="26"/>
      <c r="J301" s="11"/>
      <c r="K301" s="11"/>
      <c r="L301" s="11"/>
      <c r="M301" s="11"/>
      <c r="N301" s="11"/>
    </row>
    <row x14ac:dyDescent="0.25" r="302" customHeight="1" ht="15.75">
      <c r="A302" s="19"/>
      <c r="B302" s="11"/>
      <c r="C302" s="6"/>
      <c r="D302" s="6"/>
      <c r="E302" s="11"/>
      <c r="F302" s="11"/>
      <c r="G302" s="11"/>
      <c r="H302" s="11"/>
      <c r="I302" s="26"/>
      <c r="J302" s="11"/>
      <c r="K302" s="11"/>
      <c r="L302" s="11"/>
      <c r="M302" s="11"/>
      <c r="N302" s="11"/>
    </row>
    <row x14ac:dyDescent="0.25" r="303" customHeight="1" ht="15.75">
      <c r="A303" s="19"/>
      <c r="B303" s="11"/>
      <c r="C303" s="6"/>
      <c r="D303" s="6"/>
      <c r="E303" s="11"/>
      <c r="F303" s="11"/>
      <c r="G303" s="11"/>
      <c r="H303" s="11"/>
      <c r="I303" s="26"/>
      <c r="J303" s="11"/>
      <c r="K303" s="11"/>
      <c r="L303" s="11"/>
      <c r="M303" s="11"/>
      <c r="N303" s="11"/>
    </row>
    <row x14ac:dyDescent="0.25" r="304" customHeight="1" ht="15.75">
      <c r="A304" s="19"/>
      <c r="B304" s="11"/>
      <c r="C304" s="6"/>
      <c r="D304" s="6"/>
      <c r="E304" s="11"/>
      <c r="F304" s="11"/>
      <c r="G304" s="11"/>
      <c r="H304" s="11"/>
      <c r="I304" s="26"/>
      <c r="J304" s="11"/>
      <c r="K304" s="11"/>
      <c r="L304" s="11"/>
      <c r="M304" s="11"/>
      <c r="N304" s="11"/>
    </row>
    <row x14ac:dyDescent="0.25" r="305" customHeight="1" ht="15.75">
      <c r="A305" s="19"/>
      <c r="B305" s="11"/>
      <c r="C305" s="6"/>
      <c r="D305" s="6"/>
      <c r="E305" s="11"/>
      <c r="F305" s="11"/>
      <c r="G305" s="11"/>
      <c r="H305" s="11"/>
      <c r="I305" s="26"/>
      <c r="J305" s="11"/>
      <c r="K305" s="11"/>
      <c r="L305" s="11"/>
      <c r="M305" s="11"/>
      <c r="N305" s="11"/>
    </row>
    <row x14ac:dyDescent="0.25" r="306" customHeight="1" ht="15.75">
      <c r="A306" s="19"/>
      <c r="B306" s="11"/>
      <c r="C306" s="6"/>
      <c r="D306" s="6"/>
      <c r="E306" s="11"/>
      <c r="F306" s="11"/>
      <c r="G306" s="11"/>
      <c r="H306" s="11"/>
      <c r="I306" s="26"/>
      <c r="J306" s="11"/>
      <c r="K306" s="11"/>
      <c r="L306" s="11"/>
      <c r="M306" s="11"/>
      <c r="N306" s="11"/>
    </row>
    <row x14ac:dyDescent="0.25" r="307" customHeight="1" ht="15.75">
      <c r="A307" s="19"/>
      <c r="B307" s="11"/>
      <c r="C307" s="6"/>
      <c r="D307" s="6"/>
      <c r="E307" s="11"/>
      <c r="F307" s="11"/>
      <c r="G307" s="11"/>
      <c r="H307" s="11"/>
      <c r="I307" s="26"/>
      <c r="J307" s="11"/>
      <c r="K307" s="11"/>
      <c r="L307" s="11"/>
      <c r="M307" s="11"/>
      <c r="N307" s="11"/>
    </row>
    <row x14ac:dyDescent="0.25" r="308" customHeight="1" ht="15.75">
      <c r="A308" s="19"/>
      <c r="B308" s="11"/>
      <c r="C308" s="6"/>
      <c r="D308" s="6"/>
      <c r="E308" s="11"/>
      <c r="F308" s="11"/>
      <c r="G308" s="11"/>
      <c r="H308" s="11"/>
      <c r="I308" s="26"/>
      <c r="J308" s="11"/>
      <c r="K308" s="11"/>
      <c r="L308" s="11"/>
      <c r="M308" s="11"/>
      <c r="N308" s="11"/>
    </row>
    <row x14ac:dyDescent="0.25" r="309" customHeight="1" ht="15.75">
      <c r="A309" s="19"/>
      <c r="B309" s="11"/>
      <c r="C309" s="6"/>
      <c r="D309" s="6"/>
      <c r="E309" s="11"/>
      <c r="F309" s="11"/>
      <c r="G309" s="11"/>
      <c r="H309" s="11"/>
      <c r="I309" s="26"/>
      <c r="J309" s="11"/>
      <c r="K309" s="11"/>
      <c r="L309" s="11"/>
      <c r="M309" s="11"/>
      <c r="N309" s="11"/>
    </row>
    <row x14ac:dyDescent="0.25" r="310" customHeight="1" ht="15.75">
      <c r="A310" s="19"/>
      <c r="B310" s="11"/>
      <c r="C310" s="6"/>
      <c r="D310" s="6"/>
      <c r="E310" s="11"/>
      <c r="F310" s="11"/>
      <c r="G310" s="11"/>
      <c r="H310" s="11"/>
      <c r="I310" s="26"/>
      <c r="J310" s="11"/>
      <c r="K310" s="11"/>
      <c r="L310" s="11"/>
      <c r="M310" s="11"/>
      <c r="N310" s="11"/>
    </row>
    <row x14ac:dyDescent="0.25" r="311" customHeight="1" ht="15.75">
      <c r="A311" s="19"/>
      <c r="B311" s="11"/>
      <c r="C311" s="6"/>
      <c r="D311" s="6"/>
      <c r="E311" s="11"/>
      <c r="F311" s="11"/>
      <c r="G311" s="11"/>
      <c r="H311" s="11"/>
      <c r="I311" s="26"/>
      <c r="J311" s="11"/>
      <c r="K311" s="11"/>
      <c r="L311" s="11"/>
      <c r="M311" s="11"/>
      <c r="N311" s="11"/>
    </row>
    <row x14ac:dyDescent="0.25" r="312" customHeight="1" ht="15.75">
      <c r="A312" s="19"/>
      <c r="B312" s="11"/>
      <c r="C312" s="6"/>
      <c r="D312" s="6"/>
      <c r="E312" s="11"/>
      <c r="F312" s="11"/>
      <c r="G312" s="11"/>
      <c r="H312" s="11"/>
      <c r="I312" s="26"/>
      <c r="J312" s="11"/>
      <c r="K312" s="11"/>
      <c r="L312" s="11"/>
      <c r="M312" s="11"/>
      <c r="N312" s="11"/>
    </row>
    <row x14ac:dyDescent="0.25" r="313" customHeight="1" ht="15.75">
      <c r="A313" s="19"/>
      <c r="B313" s="11"/>
      <c r="C313" s="6"/>
      <c r="D313" s="6"/>
      <c r="E313" s="11"/>
      <c r="F313" s="11"/>
      <c r="G313" s="11"/>
      <c r="H313" s="11"/>
      <c r="I313" s="26"/>
      <c r="J313" s="11"/>
      <c r="K313" s="11"/>
      <c r="L313" s="11"/>
      <c r="M313" s="11"/>
      <c r="N313" s="11"/>
    </row>
    <row x14ac:dyDescent="0.25" r="314" customHeight="1" ht="15.75">
      <c r="A314" s="19"/>
      <c r="B314" s="11"/>
      <c r="C314" s="6"/>
      <c r="D314" s="6"/>
      <c r="E314" s="11"/>
      <c r="F314" s="11"/>
      <c r="G314" s="11"/>
      <c r="H314" s="11"/>
      <c r="I314" s="26"/>
      <c r="J314" s="11"/>
      <c r="K314" s="11"/>
      <c r="L314" s="11"/>
      <c r="M314" s="11"/>
      <c r="N314" s="11"/>
    </row>
    <row x14ac:dyDescent="0.25" r="315" customHeight="1" ht="15.75">
      <c r="A315" s="19"/>
      <c r="B315" s="11"/>
      <c r="C315" s="6"/>
      <c r="D315" s="6"/>
      <c r="E315" s="11"/>
      <c r="F315" s="11"/>
      <c r="G315" s="11"/>
      <c r="H315" s="11"/>
      <c r="I315" s="26"/>
      <c r="J315" s="11"/>
      <c r="K315" s="11"/>
      <c r="L315" s="11"/>
      <c r="M315" s="11"/>
      <c r="N315" s="11"/>
    </row>
    <row x14ac:dyDescent="0.25" r="316" customHeight="1" ht="15.75">
      <c r="A316" s="19"/>
      <c r="B316" s="11"/>
      <c r="C316" s="6"/>
      <c r="D316" s="6"/>
      <c r="E316" s="11"/>
      <c r="F316" s="11"/>
      <c r="G316" s="11"/>
      <c r="H316" s="11"/>
      <c r="I316" s="26"/>
      <c r="J316" s="11"/>
      <c r="K316" s="11"/>
      <c r="L316" s="11"/>
      <c r="M316" s="11"/>
      <c r="N316" s="11"/>
    </row>
    <row x14ac:dyDescent="0.25" r="317" customHeight="1" ht="15.75">
      <c r="A317" s="19"/>
      <c r="B317" s="11"/>
      <c r="C317" s="6"/>
      <c r="D317" s="6"/>
      <c r="E317" s="11"/>
      <c r="F317" s="11"/>
      <c r="G317" s="11"/>
      <c r="H317" s="11"/>
      <c r="I317" s="26"/>
      <c r="J317" s="11"/>
      <c r="K317" s="11"/>
      <c r="L317" s="11"/>
      <c r="M317" s="11"/>
      <c r="N317" s="11"/>
    </row>
    <row x14ac:dyDescent="0.25" r="318" customHeight="1" ht="15.75">
      <c r="A318" s="19"/>
      <c r="B318" s="11"/>
      <c r="C318" s="6"/>
      <c r="D318" s="6"/>
      <c r="E318" s="11"/>
      <c r="F318" s="11"/>
      <c r="G318" s="11"/>
      <c r="H318" s="11"/>
      <c r="I318" s="26"/>
      <c r="J318" s="11"/>
      <c r="K318" s="11"/>
      <c r="L318" s="11"/>
      <c r="M318" s="11"/>
      <c r="N318" s="11"/>
    </row>
    <row x14ac:dyDescent="0.25" r="319" customHeight="1" ht="15.75">
      <c r="A319" s="19"/>
      <c r="B319" s="11"/>
      <c r="C319" s="6"/>
      <c r="D319" s="6"/>
      <c r="E319" s="11"/>
      <c r="F319" s="11"/>
      <c r="G319" s="11"/>
      <c r="H319" s="11"/>
      <c r="I319" s="26"/>
      <c r="J319" s="11"/>
      <c r="K319" s="11"/>
      <c r="L319" s="11"/>
      <c r="M319" s="11"/>
      <c r="N319" s="11"/>
    </row>
    <row x14ac:dyDescent="0.25" r="320" customHeight="1" ht="15.75">
      <c r="A320" s="19"/>
      <c r="B320" s="11"/>
      <c r="C320" s="6"/>
      <c r="D320" s="6"/>
      <c r="E320" s="11"/>
      <c r="F320" s="11"/>
      <c r="G320" s="11"/>
      <c r="H320" s="11"/>
      <c r="I320" s="26"/>
      <c r="J320" s="11"/>
      <c r="K320" s="11"/>
      <c r="L320" s="11"/>
      <c r="M320" s="11"/>
      <c r="N320" s="11"/>
    </row>
    <row x14ac:dyDescent="0.25" r="321" customHeight="1" ht="15.75">
      <c r="A321" s="19"/>
      <c r="B321" s="11"/>
      <c r="C321" s="6"/>
      <c r="D321" s="6"/>
      <c r="E321" s="11"/>
      <c r="F321" s="11"/>
      <c r="G321" s="11"/>
      <c r="H321" s="11"/>
      <c r="I321" s="26"/>
      <c r="J321" s="11"/>
      <c r="K321" s="11"/>
      <c r="L321" s="11"/>
      <c r="M321" s="11"/>
      <c r="N321" s="11"/>
    </row>
    <row x14ac:dyDescent="0.25" r="322" customHeight="1" ht="15.75">
      <c r="A322" s="19"/>
      <c r="B322" s="11"/>
      <c r="C322" s="6"/>
      <c r="D322" s="6"/>
      <c r="E322" s="11"/>
      <c r="F322" s="11"/>
      <c r="G322" s="11"/>
      <c r="H322" s="11"/>
      <c r="I322" s="26"/>
      <c r="J322" s="11"/>
      <c r="K322" s="11"/>
      <c r="L322" s="11"/>
      <c r="M322" s="11"/>
      <c r="N322" s="11"/>
    </row>
    <row x14ac:dyDescent="0.25" r="323" customHeight="1" ht="15.75">
      <c r="A323" s="19"/>
      <c r="B323" s="11"/>
      <c r="C323" s="6"/>
      <c r="D323" s="6"/>
      <c r="E323" s="11"/>
      <c r="F323" s="11"/>
      <c r="G323" s="11"/>
      <c r="H323" s="11"/>
      <c r="I323" s="26"/>
      <c r="J323" s="11"/>
      <c r="K323" s="11"/>
      <c r="L323" s="11"/>
      <c r="M323" s="11"/>
      <c r="N323" s="11"/>
    </row>
    <row x14ac:dyDescent="0.25" r="324" customHeight="1" ht="15.75">
      <c r="A324" s="19"/>
      <c r="B324" s="11"/>
      <c r="C324" s="6"/>
      <c r="D324" s="6"/>
      <c r="E324" s="11"/>
      <c r="F324" s="11"/>
      <c r="G324" s="11"/>
      <c r="H324" s="11"/>
      <c r="I324" s="26"/>
      <c r="J324" s="11"/>
      <c r="K324" s="11"/>
      <c r="L324" s="11"/>
      <c r="M324" s="11"/>
      <c r="N324" s="11"/>
    </row>
    <row x14ac:dyDescent="0.25" r="325" customHeight="1" ht="15.75">
      <c r="A325" s="19"/>
      <c r="B325" s="11"/>
      <c r="C325" s="6"/>
      <c r="D325" s="6"/>
      <c r="E325" s="11"/>
      <c r="F325" s="11"/>
      <c r="G325" s="11"/>
      <c r="H325" s="11"/>
      <c r="I325" s="26"/>
      <c r="J325" s="11"/>
      <c r="K325" s="11"/>
      <c r="L325" s="11"/>
      <c r="M325" s="11"/>
      <c r="N325" s="11"/>
    </row>
    <row x14ac:dyDescent="0.25" r="326" customHeight="1" ht="15.75">
      <c r="A326" s="19"/>
      <c r="B326" s="11"/>
      <c r="C326" s="6"/>
      <c r="D326" s="6"/>
      <c r="E326" s="11"/>
      <c r="F326" s="11"/>
      <c r="G326" s="11"/>
      <c r="H326" s="11"/>
      <c r="I326" s="26"/>
      <c r="J326" s="11"/>
      <c r="K326" s="11"/>
      <c r="L326" s="11"/>
      <c r="M326" s="11"/>
      <c r="N326" s="11"/>
    </row>
    <row x14ac:dyDescent="0.25" r="327" customHeight="1" ht="15.75">
      <c r="A327" s="19"/>
      <c r="B327" s="11"/>
      <c r="C327" s="6"/>
      <c r="D327" s="6"/>
      <c r="E327" s="11"/>
      <c r="F327" s="11"/>
      <c r="G327" s="11"/>
      <c r="H327" s="11"/>
      <c r="I327" s="26"/>
      <c r="J327" s="11"/>
      <c r="K327" s="11"/>
      <c r="L327" s="11"/>
      <c r="M327" s="11"/>
      <c r="N327" s="11"/>
    </row>
    <row x14ac:dyDescent="0.25" r="328" customHeight="1" ht="15.75">
      <c r="A328" s="19"/>
      <c r="B328" s="11"/>
      <c r="C328" s="6"/>
      <c r="D328" s="6"/>
      <c r="E328" s="11"/>
      <c r="F328" s="11"/>
      <c r="G328" s="11"/>
      <c r="H328" s="11"/>
      <c r="I328" s="26"/>
      <c r="J328" s="11"/>
      <c r="K328" s="11"/>
      <c r="L328" s="11"/>
      <c r="M328" s="11"/>
      <c r="N328" s="11"/>
    </row>
    <row x14ac:dyDescent="0.25" r="329" customHeight="1" ht="15.75">
      <c r="A329" s="19"/>
      <c r="B329" s="11"/>
      <c r="C329" s="6"/>
      <c r="D329" s="6"/>
      <c r="E329" s="11"/>
      <c r="F329" s="11"/>
      <c r="G329" s="11"/>
      <c r="H329" s="11"/>
      <c r="I329" s="26"/>
      <c r="J329" s="11"/>
      <c r="K329" s="11"/>
      <c r="L329" s="11"/>
      <c r="M329" s="11"/>
      <c r="N329" s="11"/>
    </row>
    <row x14ac:dyDescent="0.25" r="330" customHeight="1" ht="15.75">
      <c r="A330" s="19"/>
      <c r="B330" s="11"/>
      <c r="C330" s="6"/>
      <c r="D330" s="6"/>
      <c r="E330" s="11"/>
      <c r="F330" s="11"/>
      <c r="G330" s="11"/>
      <c r="H330" s="11"/>
      <c r="I330" s="26"/>
      <c r="J330" s="11"/>
      <c r="K330" s="11"/>
      <c r="L330" s="11"/>
      <c r="M330" s="11"/>
      <c r="N330" s="11"/>
    </row>
    <row x14ac:dyDescent="0.25" r="331" customHeight="1" ht="15.75">
      <c r="A331" s="19"/>
      <c r="B331" s="11"/>
      <c r="C331" s="6"/>
      <c r="D331" s="6"/>
      <c r="E331" s="11"/>
      <c r="F331" s="11"/>
      <c r="G331" s="11"/>
      <c r="H331" s="11"/>
      <c r="I331" s="26"/>
      <c r="J331" s="11"/>
      <c r="K331" s="11"/>
      <c r="L331" s="11"/>
      <c r="M331" s="11"/>
      <c r="N331" s="11"/>
    </row>
    <row x14ac:dyDescent="0.25" r="332" customHeight="1" ht="15.75">
      <c r="A332" s="19"/>
      <c r="B332" s="11"/>
      <c r="C332" s="6"/>
      <c r="D332" s="6"/>
      <c r="E332" s="11"/>
      <c r="F332" s="11"/>
      <c r="G332" s="11"/>
      <c r="H332" s="11"/>
      <c r="I332" s="26"/>
      <c r="J332" s="11"/>
      <c r="K332" s="11"/>
      <c r="L332" s="11"/>
      <c r="M332" s="11"/>
      <c r="N332" s="11"/>
    </row>
    <row x14ac:dyDescent="0.25" r="333" customHeight="1" ht="15.75">
      <c r="A333" s="19"/>
      <c r="B333" s="11"/>
      <c r="C333" s="6"/>
      <c r="D333" s="6"/>
      <c r="E333" s="11"/>
      <c r="F333" s="11"/>
      <c r="G333" s="11"/>
      <c r="H333" s="11"/>
      <c r="I333" s="26"/>
      <c r="J333" s="11"/>
      <c r="K333" s="11"/>
      <c r="L333" s="11"/>
      <c r="M333" s="11"/>
      <c r="N333" s="11"/>
    </row>
    <row x14ac:dyDescent="0.25" r="334" customHeight="1" ht="15.75">
      <c r="A334" s="19"/>
      <c r="B334" s="11"/>
      <c r="C334" s="6"/>
      <c r="D334" s="6"/>
      <c r="E334" s="11"/>
      <c r="F334" s="11"/>
      <c r="G334" s="11"/>
      <c r="H334" s="11"/>
      <c r="I334" s="26"/>
      <c r="J334" s="11"/>
      <c r="K334" s="11"/>
      <c r="L334" s="11"/>
      <c r="M334" s="11"/>
      <c r="N334" s="11"/>
    </row>
    <row x14ac:dyDescent="0.25" r="335" customHeight="1" ht="15.75">
      <c r="A335" s="19"/>
      <c r="B335" s="11"/>
      <c r="C335" s="6"/>
      <c r="D335" s="6"/>
      <c r="E335" s="11"/>
      <c r="F335" s="11"/>
      <c r="G335" s="11"/>
      <c r="H335" s="11"/>
      <c r="I335" s="26"/>
      <c r="J335" s="11"/>
      <c r="K335" s="11"/>
      <c r="L335" s="11"/>
      <c r="M335" s="11"/>
      <c r="N335" s="11"/>
    </row>
    <row x14ac:dyDescent="0.25" r="336" customHeight="1" ht="15.75">
      <c r="A336" s="19"/>
      <c r="B336" s="11"/>
      <c r="C336" s="6"/>
      <c r="D336" s="6"/>
      <c r="E336" s="11"/>
      <c r="F336" s="11"/>
      <c r="G336" s="11"/>
      <c r="H336" s="11"/>
      <c r="I336" s="26"/>
      <c r="J336" s="11"/>
      <c r="K336" s="11"/>
      <c r="L336" s="11"/>
      <c r="M336" s="11"/>
      <c r="N336" s="11"/>
    </row>
    <row x14ac:dyDescent="0.25" r="337" customHeight="1" ht="15.75">
      <c r="A337" s="19"/>
      <c r="B337" s="11"/>
      <c r="C337" s="6"/>
      <c r="D337" s="6"/>
      <c r="E337" s="11"/>
      <c r="F337" s="11"/>
      <c r="G337" s="11"/>
      <c r="H337" s="11"/>
      <c r="I337" s="26"/>
      <c r="J337" s="11"/>
      <c r="K337" s="11"/>
      <c r="L337" s="11"/>
      <c r="M337" s="11"/>
      <c r="N337" s="11"/>
    </row>
    <row x14ac:dyDescent="0.25" r="338" customHeight="1" ht="15.75">
      <c r="A338" s="19"/>
      <c r="B338" s="11"/>
      <c r="C338" s="6"/>
      <c r="D338" s="6"/>
      <c r="E338" s="11"/>
      <c r="F338" s="11"/>
      <c r="G338" s="11"/>
      <c r="H338" s="11"/>
      <c r="I338" s="26"/>
      <c r="J338" s="11"/>
      <c r="K338" s="11"/>
      <c r="L338" s="11"/>
      <c r="M338" s="11"/>
      <c r="N338" s="11"/>
    </row>
    <row x14ac:dyDescent="0.25" r="339" customHeight="1" ht="15.75">
      <c r="A339" s="19"/>
      <c r="B339" s="11"/>
      <c r="C339" s="6"/>
      <c r="D339" s="6"/>
      <c r="E339" s="11"/>
      <c r="F339" s="11"/>
      <c r="G339" s="11"/>
      <c r="H339" s="11"/>
      <c r="I339" s="26"/>
      <c r="J339" s="11"/>
      <c r="K339" s="11"/>
      <c r="L339" s="11"/>
      <c r="M339" s="11"/>
      <c r="N339" s="11"/>
    </row>
    <row x14ac:dyDescent="0.25" r="340" customHeight="1" ht="15.75">
      <c r="A340" s="19"/>
      <c r="B340" s="11"/>
      <c r="C340" s="6"/>
      <c r="D340" s="6"/>
      <c r="E340" s="11"/>
      <c r="F340" s="11"/>
      <c r="G340" s="11"/>
      <c r="H340" s="11"/>
      <c r="I340" s="26"/>
      <c r="J340" s="11"/>
      <c r="K340" s="11"/>
      <c r="L340" s="11"/>
      <c r="M340" s="11"/>
      <c r="N340" s="11"/>
    </row>
    <row x14ac:dyDescent="0.25" r="341" customHeight="1" ht="15.75">
      <c r="A341" s="19"/>
      <c r="B341" s="11"/>
      <c r="C341" s="6"/>
      <c r="D341" s="6"/>
      <c r="E341" s="11"/>
      <c r="F341" s="11"/>
      <c r="G341" s="11"/>
      <c r="H341" s="11"/>
      <c r="I341" s="26"/>
      <c r="J341" s="11"/>
      <c r="K341" s="11"/>
      <c r="L341" s="11"/>
      <c r="M341" s="11"/>
      <c r="N341" s="11"/>
    </row>
    <row x14ac:dyDescent="0.25" r="342" customHeight="1" ht="15.75">
      <c r="A342" s="19"/>
      <c r="B342" s="11"/>
      <c r="C342" s="6"/>
      <c r="D342" s="6"/>
      <c r="E342" s="11"/>
      <c r="F342" s="11"/>
      <c r="G342" s="11"/>
      <c r="H342" s="11"/>
      <c r="I342" s="26"/>
      <c r="J342" s="11"/>
      <c r="K342" s="11"/>
      <c r="L342" s="11"/>
      <c r="M342" s="11"/>
      <c r="N342" s="11"/>
    </row>
    <row x14ac:dyDescent="0.25" r="343" customHeight="1" ht="15.75">
      <c r="A343" s="19"/>
      <c r="B343" s="11"/>
      <c r="C343" s="6"/>
      <c r="D343" s="6"/>
      <c r="E343" s="11"/>
      <c r="F343" s="11"/>
      <c r="G343" s="11"/>
      <c r="H343" s="11"/>
      <c r="I343" s="26"/>
      <c r="J343" s="11"/>
      <c r="K343" s="11"/>
      <c r="L343" s="11"/>
      <c r="M343" s="11"/>
      <c r="N343" s="11"/>
    </row>
    <row x14ac:dyDescent="0.25" r="344" customHeight="1" ht="15.75">
      <c r="A344" s="19"/>
      <c r="B344" s="11"/>
      <c r="C344" s="6"/>
      <c r="D344" s="6"/>
      <c r="E344" s="11"/>
      <c r="F344" s="11"/>
      <c r="G344" s="11"/>
      <c r="H344" s="11"/>
      <c r="I344" s="26"/>
      <c r="J344" s="11"/>
      <c r="K344" s="11"/>
      <c r="L344" s="11"/>
      <c r="M344" s="11"/>
      <c r="N344" s="11"/>
    </row>
    <row x14ac:dyDescent="0.25" r="345" customHeight="1" ht="15.75">
      <c r="A345" s="19"/>
      <c r="B345" s="11"/>
      <c r="C345" s="6"/>
      <c r="D345" s="6"/>
      <c r="E345" s="11"/>
      <c r="F345" s="11"/>
      <c r="G345" s="11"/>
      <c r="H345" s="11"/>
      <c r="I345" s="26"/>
      <c r="J345" s="11"/>
      <c r="K345" s="11"/>
      <c r="L345" s="11"/>
      <c r="M345" s="11"/>
      <c r="N345" s="11"/>
    </row>
    <row x14ac:dyDescent="0.25" r="346" customHeight="1" ht="15.75">
      <c r="A346" s="19"/>
      <c r="B346" s="11"/>
      <c r="C346" s="6"/>
      <c r="D346" s="6"/>
      <c r="E346" s="11"/>
      <c r="F346" s="11"/>
      <c r="G346" s="11"/>
      <c r="H346" s="11"/>
      <c r="I346" s="26"/>
      <c r="J346" s="11"/>
      <c r="K346" s="11"/>
      <c r="L346" s="11"/>
      <c r="M346" s="11"/>
      <c r="N346" s="11"/>
    </row>
    <row x14ac:dyDescent="0.25" r="347" customHeight="1" ht="15.75">
      <c r="A347" s="19"/>
      <c r="B347" s="11"/>
      <c r="C347" s="6"/>
      <c r="D347" s="6"/>
      <c r="E347" s="11"/>
      <c r="F347" s="11"/>
      <c r="G347" s="11"/>
      <c r="H347" s="11"/>
      <c r="I347" s="26"/>
      <c r="J347" s="11"/>
      <c r="K347" s="11"/>
      <c r="L347" s="11"/>
      <c r="M347" s="11"/>
      <c r="N347" s="11"/>
    </row>
    <row x14ac:dyDescent="0.25" r="348" customHeight="1" ht="15.75">
      <c r="A348" s="19"/>
      <c r="B348" s="11"/>
      <c r="C348" s="6"/>
      <c r="D348" s="6"/>
      <c r="E348" s="11"/>
      <c r="F348" s="11"/>
      <c r="G348" s="11"/>
      <c r="H348" s="11"/>
      <c r="I348" s="26"/>
      <c r="J348" s="11"/>
      <c r="K348" s="11"/>
      <c r="L348" s="11"/>
      <c r="M348" s="11"/>
      <c r="N348" s="11"/>
    </row>
    <row x14ac:dyDescent="0.25" r="349" customHeight="1" ht="15.75">
      <c r="A349" s="19"/>
      <c r="B349" s="11"/>
      <c r="C349" s="6"/>
      <c r="D349" s="6"/>
      <c r="E349" s="11"/>
      <c r="F349" s="11"/>
      <c r="G349" s="11"/>
      <c r="H349" s="11"/>
      <c r="I349" s="26"/>
      <c r="J349" s="11"/>
      <c r="K349" s="11"/>
      <c r="L349" s="11"/>
      <c r="M349" s="11"/>
      <c r="N349" s="11"/>
    </row>
    <row x14ac:dyDescent="0.25" r="350" customHeight="1" ht="15.75">
      <c r="A350" s="19"/>
      <c r="B350" s="11"/>
      <c r="C350" s="6"/>
      <c r="D350" s="6"/>
      <c r="E350" s="11"/>
      <c r="F350" s="11"/>
      <c r="G350" s="11"/>
      <c r="H350" s="11"/>
      <c r="I350" s="26"/>
      <c r="J350" s="11"/>
      <c r="K350" s="11"/>
      <c r="L350" s="11"/>
      <c r="M350" s="11"/>
      <c r="N350" s="11"/>
    </row>
    <row x14ac:dyDescent="0.25" r="351" customHeight="1" ht="15.75">
      <c r="A351" s="19"/>
      <c r="B351" s="11"/>
      <c r="C351" s="6"/>
      <c r="D351" s="6"/>
      <c r="E351" s="11"/>
      <c r="F351" s="11"/>
      <c r="G351" s="11"/>
      <c r="H351" s="11"/>
      <c r="I351" s="26"/>
      <c r="J351" s="11"/>
      <c r="K351" s="11"/>
      <c r="L351" s="11"/>
      <c r="M351" s="11"/>
      <c r="N351" s="11"/>
    </row>
    <row x14ac:dyDescent="0.25" r="352" customHeight="1" ht="15.75">
      <c r="A352" s="19"/>
      <c r="B352" s="11"/>
      <c r="C352" s="6"/>
      <c r="D352" s="6"/>
      <c r="E352" s="11"/>
      <c r="F352" s="11"/>
      <c r="G352" s="11"/>
      <c r="H352" s="11"/>
      <c r="I352" s="26"/>
      <c r="J352" s="11"/>
      <c r="K352" s="11"/>
      <c r="L352" s="11"/>
      <c r="M352" s="11"/>
      <c r="N352" s="11"/>
    </row>
    <row x14ac:dyDescent="0.25" r="353" customHeight="1" ht="15.75">
      <c r="A353" s="19"/>
      <c r="B353" s="11"/>
      <c r="C353" s="6"/>
      <c r="D353" s="6"/>
      <c r="E353" s="11"/>
      <c r="F353" s="11"/>
      <c r="G353" s="11"/>
      <c r="H353" s="11"/>
      <c r="I353" s="26"/>
      <c r="J353" s="11"/>
      <c r="K353" s="11"/>
      <c r="L353" s="11"/>
      <c r="M353" s="11"/>
      <c r="N353" s="11"/>
    </row>
    <row x14ac:dyDescent="0.25" r="354" customHeight="1" ht="15.75">
      <c r="A354" s="19"/>
      <c r="B354" s="11"/>
      <c r="C354" s="6"/>
      <c r="D354" s="6"/>
      <c r="E354" s="11"/>
      <c r="F354" s="11"/>
      <c r="G354" s="11"/>
      <c r="H354" s="11"/>
      <c r="I354" s="26"/>
      <c r="J354" s="11"/>
      <c r="K354" s="11"/>
      <c r="L354" s="11"/>
      <c r="M354" s="11"/>
      <c r="N354" s="11"/>
    </row>
    <row x14ac:dyDescent="0.25" r="355" customHeight="1" ht="15.75">
      <c r="A355" s="19"/>
      <c r="B355" s="11"/>
      <c r="C355" s="6"/>
      <c r="D355" s="6"/>
      <c r="E355" s="11"/>
      <c r="F355" s="11"/>
      <c r="G355" s="11"/>
      <c r="H355" s="11"/>
      <c r="I355" s="26"/>
      <c r="J355" s="11"/>
      <c r="K355" s="11"/>
      <c r="L355" s="11"/>
      <c r="M355" s="11"/>
      <c r="N355" s="11"/>
    </row>
    <row x14ac:dyDescent="0.25" r="356" customHeight="1" ht="15.75">
      <c r="A356" s="19"/>
      <c r="B356" s="11"/>
      <c r="C356" s="6"/>
      <c r="D356" s="6"/>
      <c r="E356" s="11"/>
      <c r="F356" s="11"/>
      <c r="G356" s="11"/>
      <c r="H356" s="11"/>
      <c r="I356" s="26"/>
      <c r="J356" s="11"/>
      <c r="K356" s="11"/>
      <c r="L356" s="11"/>
      <c r="M356" s="11"/>
      <c r="N356" s="11"/>
    </row>
    <row x14ac:dyDescent="0.25" r="357" customHeight="1" ht="15.75">
      <c r="A357" s="19"/>
      <c r="B357" s="11"/>
      <c r="C357" s="6"/>
      <c r="D357" s="6"/>
      <c r="E357" s="11"/>
      <c r="F357" s="11"/>
      <c r="G357" s="11"/>
      <c r="H357" s="11"/>
      <c r="I357" s="26"/>
      <c r="J357" s="11"/>
      <c r="K357" s="11"/>
      <c r="L357" s="11"/>
      <c r="M357" s="11"/>
      <c r="N357" s="11"/>
    </row>
    <row x14ac:dyDescent="0.25" r="358" customHeight="1" ht="15.75">
      <c r="A358" s="19"/>
      <c r="B358" s="11"/>
      <c r="C358" s="6"/>
      <c r="D358" s="6"/>
      <c r="E358" s="11"/>
      <c r="F358" s="11"/>
      <c r="G358" s="11"/>
      <c r="H358" s="11"/>
      <c r="I358" s="26"/>
      <c r="J358" s="11"/>
      <c r="K358" s="11"/>
      <c r="L358" s="11"/>
      <c r="M358" s="11"/>
      <c r="N358" s="11"/>
    </row>
    <row x14ac:dyDescent="0.25" r="359" customHeight="1" ht="15.75">
      <c r="A359" s="19"/>
      <c r="B359" s="11"/>
      <c r="C359" s="6"/>
      <c r="D359" s="6"/>
      <c r="E359" s="11"/>
      <c r="F359" s="11"/>
      <c r="G359" s="11"/>
      <c r="H359" s="11"/>
      <c r="I359" s="26"/>
      <c r="J359" s="11"/>
      <c r="K359" s="11"/>
      <c r="L359" s="11"/>
      <c r="M359" s="11"/>
      <c r="N359" s="11"/>
    </row>
    <row x14ac:dyDescent="0.25" r="360" customHeight="1" ht="15.75">
      <c r="A360" s="19"/>
      <c r="B360" s="11"/>
      <c r="C360" s="6"/>
      <c r="D360" s="6"/>
      <c r="E360" s="11"/>
      <c r="F360" s="11"/>
      <c r="G360" s="11"/>
      <c r="H360" s="11"/>
      <c r="I360" s="26"/>
      <c r="J360" s="11"/>
      <c r="K360" s="11"/>
      <c r="L360" s="11"/>
      <c r="M360" s="11"/>
      <c r="N360" s="11"/>
    </row>
    <row x14ac:dyDescent="0.25" r="361" customHeight="1" ht="15.75">
      <c r="A361" s="19"/>
      <c r="B361" s="11"/>
      <c r="C361" s="6"/>
      <c r="D361" s="6"/>
      <c r="E361" s="11"/>
      <c r="F361" s="11"/>
      <c r="G361" s="11"/>
      <c r="H361" s="11"/>
      <c r="I361" s="26"/>
      <c r="J361" s="11"/>
      <c r="K361" s="11"/>
      <c r="L361" s="11"/>
      <c r="M361" s="11"/>
      <c r="N361" s="11"/>
    </row>
    <row x14ac:dyDescent="0.25" r="362" customHeight="1" ht="15.75">
      <c r="A362" s="19"/>
      <c r="B362" s="11"/>
      <c r="C362" s="6"/>
      <c r="D362" s="6"/>
      <c r="E362" s="11"/>
      <c r="F362" s="11"/>
      <c r="G362" s="11"/>
      <c r="H362" s="11"/>
      <c r="I362" s="26"/>
      <c r="J362" s="11"/>
      <c r="K362" s="11"/>
      <c r="L362" s="11"/>
      <c r="M362" s="11"/>
      <c r="N362" s="11"/>
    </row>
    <row x14ac:dyDescent="0.25" r="363" customHeight="1" ht="15.75">
      <c r="A363" s="19"/>
      <c r="B363" s="11"/>
      <c r="C363" s="6"/>
      <c r="D363" s="6"/>
      <c r="E363" s="11"/>
      <c r="F363" s="11"/>
      <c r="G363" s="11"/>
      <c r="H363" s="11"/>
      <c r="I363" s="26"/>
      <c r="J363" s="11"/>
      <c r="K363" s="11"/>
      <c r="L363" s="11"/>
      <c r="M363" s="11"/>
      <c r="N363" s="11"/>
    </row>
    <row x14ac:dyDescent="0.25" r="364" customHeight="1" ht="15.75">
      <c r="A364" s="19"/>
      <c r="B364" s="11"/>
      <c r="C364" s="6"/>
      <c r="D364" s="6"/>
      <c r="E364" s="11"/>
      <c r="F364" s="11"/>
      <c r="G364" s="11"/>
      <c r="H364" s="11"/>
      <c r="I364" s="26"/>
      <c r="J364" s="11"/>
      <c r="K364" s="11"/>
      <c r="L364" s="11"/>
      <c r="M364" s="11"/>
      <c r="N364" s="11"/>
    </row>
    <row x14ac:dyDescent="0.25" r="365" customHeight="1" ht="15.75">
      <c r="A365" s="19"/>
      <c r="B365" s="11"/>
      <c r="C365" s="6"/>
      <c r="D365" s="6"/>
      <c r="E365" s="11"/>
      <c r="F365" s="11"/>
      <c r="G365" s="11"/>
      <c r="H365" s="11"/>
      <c r="I365" s="26"/>
      <c r="J365" s="11"/>
      <c r="K365" s="11"/>
      <c r="L365" s="11"/>
      <c r="M365" s="11"/>
      <c r="N365" s="11"/>
    </row>
    <row x14ac:dyDescent="0.25" r="366" customHeight="1" ht="15.75">
      <c r="A366" s="19"/>
      <c r="B366" s="11"/>
      <c r="C366" s="6"/>
      <c r="D366" s="6"/>
      <c r="E366" s="11"/>
      <c r="F366" s="11"/>
      <c r="G366" s="11"/>
      <c r="H366" s="11"/>
      <c r="I366" s="26"/>
      <c r="J366" s="11"/>
      <c r="K366" s="11"/>
      <c r="L366" s="11"/>
      <c r="M366" s="11"/>
      <c r="N366" s="11"/>
    </row>
    <row x14ac:dyDescent="0.25" r="367" customHeight="1" ht="15.75">
      <c r="A367" s="19"/>
      <c r="B367" s="11"/>
      <c r="C367" s="6"/>
      <c r="D367" s="6"/>
      <c r="E367" s="11"/>
      <c r="F367" s="11"/>
      <c r="G367" s="11"/>
      <c r="H367" s="11"/>
      <c r="I367" s="26"/>
      <c r="J367" s="11"/>
      <c r="K367" s="11"/>
      <c r="L367" s="11"/>
      <c r="M367" s="11"/>
      <c r="N367" s="11"/>
    </row>
    <row x14ac:dyDescent="0.25" r="368" customHeight="1" ht="15.75">
      <c r="A368" s="19"/>
      <c r="B368" s="11"/>
      <c r="C368" s="6"/>
      <c r="D368" s="6"/>
      <c r="E368" s="11"/>
      <c r="F368" s="11"/>
      <c r="G368" s="11"/>
      <c r="H368" s="11"/>
      <c r="I368" s="26"/>
      <c r="J368" s="11"/>
      <c r="K368" s="11"/>
      <c r="L368" s="11"/>
      <c r="M368" s="11"/>
      <c r="N368" s="11"/>
    </row>
    <row x14ac:dyDescent="0.25" r="369" customHeight="1" ht="15.75">
      <c r="A369" s="19"/>
      <c r="B369" s="11"/>
      <c r="C369" s="6"/>
      <c r="D369" s="6"/>
      <c r="E369" s="11"/>
      <c r="F369" s="11"/>
      <c r="G369" s="11"/>
      <c r="H369" s="11"/>
      <c r="I369" s="26"/>
      <c r="J369" s="11"/>
      <c r="K369" s="11"/>
      <c r="L369" s="11"/>
      <c r="M369" s="11"/>
      <c r="N369" s="11"/>
    </row>
    <row x14ac:dyDescent="0.25" r="370" customHeight="1" ht="15.75">
      <c r="A370" s="19"/>
      <c r="B370" s="11"/>
      <c r="C370" s="6"/>
      <c r="D370" s="6"/>
      <c r="E370" s="11"/>
      <c r="F370" s="11"/>
      <c r="G370" s="11"/>
      <c r="H370" s="11"/>
      <c r="I370" s="26"/>
      <c r="J370" s="11"/>
      <c r="K370" s="11"/>
      <c r="L370" s="11"/>
      <c r="M370" s="11"/>
      <c r="N370" s="11"/>
    </row>
    <row x14ac:dyDescent="0.25" r="371" customHeight="1" ht="15.75">
      <c r="A371" s="19"/>
      <c r="B371" s="11"/>
      <c r="C371" s="6"/>
      <c r="D371" s="6"/>
      <c r="E371" s="11"/>
      <c r="F371" s="11"/>
      <c r="G371" s="11"/>
      <c r="H371" s="11"/>
      <c r="I371" s="26"/>
      <c r="J371" s="11"/>
      <c r="K371" s="11"/>
      <c r="L371" s="11"/>
      <c r="M371" s="11"/>
      <c r="N371" s="11"/>
    </row>
    <row x14ac:dyDescent="0.25" r="372" customHeight="1" ht="15.75">
      <c r="A372" s="19"/>
      <c r="B372" s="11"/>
      <c r="C372" s="6"/>
      <c r="D372" s="6"/>
      <c r="E372" s="11"/>
      <c r="F372" s="11"/>
      <c r="G372" s="11"/>
      <c r="H372" s="11"/>
      <c r="I372" s="26"/>
      <c r="J372" s="11"/>
      <c r="K372" s="11"/>
      <c r="L372" s="11"/>
      <c r="M372" s="11"/>
      <c r="N372" s="11"/>
    </row>
    <row x14ac:dyDescent="0.25" r="373" customHeight="1" ht="15.75">
      <c r="A373" s="19"/>
      <c r="B373" s="11"/>
      <c r="C373" s="6"/>
      <c r="D373" s="6"/>
      <c r="E373" s="11"/>
      <c r="F373" s="11"/>
      <c r="G373" s="11"/>
      <c r="H373" s="11"/>
      <c r="I373" s="26"/>
      <c r="J373" s="11"/>
      <c r="K373" s="11"/>
      <c r="L373" s="11"/>
      <c r="M373" s="11"/>
      <c r="N373" s="11"/>
    </row>
    <row x14ac:dyDescent="0.25" r="374" customHeight="1" ht="15.75">
      <c r="A374" s="19"/>
      <c r="B374" s="11"/>
      <c r="C374" s="6"/>
      <c r="D374" s="6"/>
      <c r="E374" s="11"/>
      <c r="F374" s="11"/>
      <c r="G374" s="11"/>
      <c r="H374" s="11"/>
      <c r="I374" s="26"/>
      <c r="J374" s="11"/>
      <c r="K374" s="11"/>
      <c r="L374" s="11"/>
      <c r="M374" s="11"/>
      <c r="N374" s="11"/>
    </row>
    <row x14ac:dyDescent="0.25" r="375" customHeight="1" ht="15.75">
      <c r="A375" s="19"/>
      <c r="B375" s="11"/>
      <c r="C375" s="6"/>
      <c r="D375" s="6"/>
      <c r="E375" s="11"/>
      <c r="F375" s="11"/>
      <c r="G375" s="11"/>
      <c r="H375" s="11"/>
      <c r="I375" s="26"/>
      <c r="J375" s="11"/>
      <c r="K375" s="11"/>
      <c r="L375" s="11"/>
      <c r="M375" s="11"/>
      <c r="N375" s="11"/>
    </row>
    <row x14ac:dyDescent="0.25" r="376" customHeight="1" ht="15.75">
      <c r="A376" s="19"/>
      <c r="B376" s="11"/>
      <c r="C376" s="6"/>
      <c r="D376" s="6"/>
      <c r="E376" s="11"/>
      <c r="F376" s="11"/>
      <c r="G376" s="11"/>
      <c r="H376" s="11"/>
      <c r="I376" s="26"/>
      <c r="J376" s="11"/>
      <c r="K376" s="11"/>
      <c r="L376" s="11"/>
      <c r="M376" s="11"/>
      <c r="N376" s="11"/>
    </row>
    <row x14ac:dyDescent="0.25" r="377" customHeight="1" ht="15.75">
      <c r="A377" s="19"/>
      <c r="B377" s="11"/>
      <c r="C377" s="6"/>
      <c r="D377" s="6"/>
      <c r="E377" s="11"/>
      <c r="F377" s="11"/>
      <c r="G377" s="11"/>
      <c r="H377" s="11"/>
      <c r="I377" s="26"/>
      <c r="J377" s="11"/>
      <c r="K377" s="11"/>
      <c r="L377" s="11"/>
      <c r="M377" s="11"/>
      <c r="N377" s="11"/>
    </row>
    <row x14ac:dyDescent="0.25" r="378" customHeight="1" ht="15.75">
      <c r="A378" s="19"/>
      <c r="B378" s="11"/>
      <c r="C378" s="6"/>
      <c r="D378" s="6"/>
      <c r="E378" s="11"/>
      <c r="F378" s="11"/>
      <c r="G378" s="11"/>
      <c r="H378" s="11"/>
      <c r="I378" s="26"/>
      <c r="J378" s="11"/>
      <c r="K378" s="11"/>
      <c r="L378" s="11"/>
      <c r="M378" s="11"/>
      <c r="N378" s="11"/>
    </row>
    <row x14ac:dyDescent="0.25" r="379" customHeight="1" ht="15.75">
      <c r="A379" s="19"/>
      <c r="B379" s="11"/>
      <c r="C379" s="6"/>
      <c r="D379" s="6"/>
      <c r="E379" s="11"/>
      <c r="F379" s="11"/>
      <c r="G379" s="11"/>
      <c r="H379" s="11"/>
      <c r="I379" s="26"/>
      <c r="J379" s="11"/>
      <c r="K379" s="11"/>
      <c r="L379" s="11"/>
      <c r="M379" s="11"/>
      <c r="N379" s="11"/>
    </row>
    <row x14ac:dyDescent="0.25" r="380" customHeight="1" ht="15.75">
      <c r="A380" s="19"/>
      <c r="B380" s="11"/>
      <c r="C380" s="6"/>
      <c r="D380" s="6"/>
      <c r="E380" s="11"/>
      <c r="F380" s="11"/>
      <c r="G380" s="11"/>
      <c r="H380" s="11"/>
      <c r="I380" s="26"/>
      <c r="J380" s="11"/>
      <c r="K380" s="11"/>
      <c r="L380" s="11"/>
      <c r="M380" s="11"/>
      <c r="N380" s="11"/>
    </row>
    <row x14ac:dyDescent="0.25" r="381" customHeight="1" ht="15.75">
      <c r="A381" s="19"/>
      <c r="B381" s="11"/>
      <c r="C381" s="6"/>
      <c r="D381" s="6"/>
      <c r="E381" s="11"/>
      <c r="F381" s="11"/>
      <c r="G381" s="11"/>
      <c r="H381" s="11"/>
      <c r="I381" s="26"/>
      <c r="J381" s="11"/>
      <c r="K381" s="11"/>
      <c r="L381" s="11"/>
      <c r="M381" s="11"/>
      <c r="N381" s="11"/>
    </row>
    <row x14ac:dyDescent="0.25" r="382" customHeight="1" ht="15.75">
      <c r="A382" s="19"/>
      <c r="B382" s="11"/>
      <c r="C382" s="6"/>
      <c r="D382" s="6"/>
      <c r="E382" s="11"/>
      <c r="F382" s="11"/>
      <c r="G382" s="11"/>
      <c r="H382" s="11"/>
      <c r="I382" s="26"/>
      <c r="J382" s="11"/>
      <c r="K382" s="11"/>
      <c r="L382" s="11"/>
      <c r="M382" s="11"/>
      <c r="N382" s="11"/>
    </row>
    <row x14ac:dyDescent="0.25" r="383" customHeight="1" ht="15.75">
      <c r="A383" s="19"/>
      <c r="B383" s="11"/>
      <c r="C383" s="6"/>
      <c r="D383" s="6"/>
      <c r="E383" s="11"/>
      <c r="F383" s="11"/>
      <c r="G383" s="11"/>
      <c r="H383" s="11"/>
      <c r="I383" s="26"/>
      <c r="J383" s="11"/>
      <c r="K383" s="11"/>
      <c r="L383" s="11"/>
      <c r="M383" s="11"/>
      <c r="N383" s="11"/>
    </row>
    <row x14ac:dyDescent="0.25" r="384" customHeight="1" ht="15.75">
      <c r="A384" s="19"/>
      <c r="B384" s="11"/>
      <c r="C384" s="6"/>
      <c r="D384" s="6"/>
      <c r="E384" s="11"/>
      <c r="F384" s="11"/>
      <c r="G384" s="11"/>
      <c r="H384" s="11"/>
      <c r="I384" s="26"/>
      <c r="J384" s="11"/>
      <c r="K384" s="11"/>
      <c r="L384" s="11"/>
      <c r="M384" s="11"/>
      <c r="N384" s="11"/>
    </row>
    <row x14ac:dyDescent="0.25" r="385" customHeight="1" ht="15.75">
      <c r="A385" s="19"/>
      <c r="B385" s="11"/>
      <c r="C385" s="6"/>
      <c r="D385" s="6"/>
      <c r="E385" s="11"/>
      <c r="F385" s="11"/>
      <c r="G385" s="11"/>
      <c r="H385" s="11"/>
      <c r="I385" s="26"/>
      <c r="J385" s="11"/>
      <c r="K385" s="11"/>
      <c r="L385" s="11"/>
      <c r="M385" s="11"/>
      <c r="N385" s="11"/>
    </row>
    <row x14ac:dyDescent="0.25" r="386" customHeight="1" ht="15.75">
      <c r="A386" s="19"/>
      <c r="B386" s="11"/>
      <c r="C386" s="6"/>
      <c r="D386" s="6"/>
      <c r="E386" s="11"/>
      <c r="F386" s="11"/>
      <c r="G386" s="11"/>
      <c r="H386" s="11"/>
      <c r="I386" s="26"/>
      <c r="J386" s="11"/>
      <c r="K386" s="11"/>
      <c r="L386" s="11"/>
      <c r="M386" s="11"/>
      <c r="N386" s="11"/>
    </row>
    <row x14ac:dyDescent="0.25" r="387" customHeight="1" ht="15.75">
      <c r="A387" s="19"/>
      <c r="B387" s="11"/>
      <c r="C387" s="6"/>
      <c r="D387" s="6"/>
      <c r="E387" s="11"/>
      <c r="F387" s="11"/>
      <c r="G387" s="11"/>
      <c r="H387" s="11"/>
      <c r="I387" s="26"/>
      <c r="J387" s="11"/>
      <c r="K387" s="11"/>
      <c r="L387" s="11"/>
      <c r="M387" s="11"/>
      <c r="N387" s="11"/>
    </row>
    <row x14ac:dyDescent="0.25" r="388" customHeight="1" ht="15.75">
      <c r="A388" s="19"/>
      <c r="B388" s="11"/>
      <c r="C388" s="6"/>
      <c r="D388" s="6"/>
      <c r="E388" s="11"/>
      <c r="F388" s="11"/>
      <c r="G388" s="11"/>
      <c r="H388" s="11"/>
      <c r="I388" s="26"/>
      <c r="J388" s="11"/>
      <c r="K388" s="11"/>
      <c r="L388" s="11"/>
      <c r="M388" s="11"/>
      <c r="N388" s="11"/>
    </row>
    <row x14ac:dyDescent="0.25" r="389" customHeight="1" ht="15.75">
      <c r="A389" s="19"/>
      <c r="B389" s="11"/>
      <c r="C389" s="6"/>
      <c r="D389" s="6"/>
      <c r="E389" s="11"/>
      <c r="F389" s="11"/>
      <c r="G389" s="11"/>
      <c r="H389" s="11"/>
      <c r="I389" s="26"/>
      <c r="J389" s="11"/>
      <c r="K389" s="11"/>
      <c r="L389" s="11"/>
      <c r="M389" s="11"/>
      <c r="N389" s="11"/>
    </row>
    <row x14ac:dyDescent="0.25" r="390" customHeight="1" ht="15.75">
      <c r="A390" s="19"/>
      <c r="B390" s="11"/>
      <c r="C390" s="6"/>
      <c r="D390" s="6"/>
      <c r="E390" s="11"/>
      <c r="F390" s="11"/>
      <c r="G390" s="11"/>
      <c r="H390" s="11"/>
      <c r="I390" s="26"/>
      <c r="J390" s="11"/>
      <c r="K390" s="11"/>
      <c r="L390" s="11"/>
      <c r="M390" s="11"/>
      <c r="N390" s="11"/>
    </row>
    <row x14ac:dyDescent="0.25" r="391" customHeight="1" ht="15.75">
      <c r="A391" s="19"/>
      <c r="B391" s="11"/>
      <c r="C391" s="6"/>
      <c r="D391" s="6"/>
      <c r="E391" s="11"/>
      <c r="F391" s="11"/>
      <c r="G391" s="11"/>
      <c r="H391" s="11"/>
      <c r="I391" s="26"/>
      <c r="J391" s="11"/>
      <c r="K391" s="11"/>
      <c r="L391" s="11"/>
      <c r="M391" s="11"/>
      <c r="N391" s="11"/>
    </row>
    <row x14ac:dyDescent="0.25" r="392" customHeight="1" ht="15.75">
      <c r="A392" s="19"/>
      <c r="B392" s="11"/>
      <c r="C392" s="6"/>
      <c r="D392" s="6"/>
      <c r="E392" s="11"/>
      <c r="F392" s="11"/>
      <c r="G392" s="11"/>
      <c r="H392" s="11"/>
      <c r="I392" s="26"/>
      <c r="J392" s="11"/>
      <c r="K392" s="11"/>
      <c r="L392" s="11"/>
      <c r="M392" s="11"/>
      <c r="N392" s="11"/>
    </row>
    <row x14ac:dyDescent="0.25" r="393" customHeight="1" ht="15.75">
      <c r="A393" s="19"/>
      <c r="B393" s="11"/>
      <c r="C393" s="6"/>
      <c r="D393" s="6"/>
      <c r="E393" s="11"/>
      <c r="F393" s="11"/>
      <c r="G393" s="11"/>
      <c r="H393" s="11"/>
      <c r="I393" s="26"/>
      <c r="J393" s="11"/>
      <c r="K393" s="11"/>
      <c r="L393" s="11"/>
      <c r="M393" s="11"/>
      <c r="N393" s="11"/>
    </row>
    <row x14ac:dyDescent="0.25" r="394" customHeight="1" ht="15.75">
      <c r="A394" s="19"/>
      <c r="B394" s="11"/>
      <c r="C394" s="6"/>
      <c r="D394" s="6"/>
      <c r="E394" s="11"/>
      <c r="F394" s="11"/>
      <c r="G394" s="11"/>
      <c r="H394" s="11"/>
      <c r="I394" s="26"/>
      <c r="J394" s="11"/>
      <c r="K394" s="11"/>
      <c r="L394" s="11"/>
      <c r="M394" s="11"/>
      <c r="N394" s="11"/>
    </row>
    <row x14ac:dyDescent="0.25" r="395" customHeight="1" ht="15.75">
      <c r="A395" s="19"/>
      <c r="B395" s="11"/>
      <c r="C395" s="6"/>
      <c r="D395" s="6"/>
      <c r="E395" s="11"/>
      <c r="F395" s="11"/>
      <c r="G395" s="11"/>
      <c r="H395" s="11"/>
      <c r="I395" s="26"/>
      <c r="J395" s="11"/>
      <c r="K395" s="11"/>
      <c r="L395" s="11"/>
      <c r="M395" s="11"/>
      <c r="N395" s="11"/>
    </row>
    <row x14ac:dyDescent="0.25" r="396" customHeight="1" ht="15.75">
      <c r="A396" s="19"/>
      <c r="B396" s="11"/>
      <c r="C396" s="6"/>
      <c r="D396" s="6"/>
      <c r="E396" s="11"/>
      <c r="F396" s="11"/>
      <c r="G396" s="11"/>
      <c r="H396" s="11"/>
      <c r="I396" s="26"/>
      <c r="J396" s="11"/>
      <c r="K396" s="11"/>
      <c r="L396" s="11"/>
      <c r="M396" s="11"/>
      <c r="N396" s="11"/>
    </row>
    <row x14ac:dyDescent="0.25" r="397" customHeight="1" ht="15.75">
      <c r="A397" s="19"/>
      <c r="B397" s="11"/>
      <c r="C397" s="6"/>
      <c r="D397" s="6"/>
      <c r="E397" s="11"/>
      <c r="F397" s="11"/>
      <c r="G397" s="11"/>
      <c r="H397" s="11"/>
      <c r="I397" s="26"/>
      <c r="J397" s="11"/>
      <c r="K397" s="11"/>
      <c r="L397" s="11"/>
      <c r="M397" s="11"/>
      <c r="N397" s="11"/>
    </row>
    <row x14ac:dyDescent="0.25" r="398" customHeight="1" ht="15.75">
      <c r="A398" s="19"/>
      <c r="B398" s="11"/>
      <c r="C398" s="6"/>
      <c r="D398" s="6"/>
      <c r="E398" s="11"/>
      <c r="F398" s="11"/>
      <c r="G398" s="11"/>
      <c r="H398" s="11"/>
      <c r="I398" s="26"/>
      <c r="J398" s="11"/>
      <c r="K398" s="11"/>
      <c r="L398" s="11"/>
      <c r="M398" s="11"/>
      <c r="N398" s="11"/>
    </row>
    <row x14ac:dyDescent="0.25" r="399" customHeight="1" ht="15.75">
      <c r="A399" s="19"/>
      <c r="B399" s="11"/>
      <c r="C399" s="6"/>
      <c r="D399" s="6"/>
      <c r="E399" s="11"/>
      <c r="F399" s="11"/>
      <c r="G399" s="11"/>
      <c r="H399" s="11"/>
      <c r="I399" s="26"/>
      <c r="J399" s="11"/>
      <c r="K399" s="11"/>
      <c r="L399" s="11"/>
      <c r="M399" s="11"/>
      <c r="N399" s="11"/>
    </row>
    <row x14ac:dyDescent="0.25" r="400" customHeight="1" ht="15.75">
      <c r="A400" s="19"/>
      <c r="B400" s="11"/>
      <c r="C400" s="6"/>
      <c r="D400" s="6"/>
      <c r="E400" s="11"/>
      <c r="F400" s="11"/>
      <c r="G400" s="11"/>
      <c r="H400" s="11"/>
      <c r="I400" s="26"/>
      <c r="J400" s="11"/>
      <c r="K400" s="11"/>
      <c r="L400" s="11"/>
      <c r="M400" s="11"/>
      <c r="N400" s="11"/>
    </row>
    <row x14ac:dyDescent="0.25" r="401" customHeight="1" ht="15.75">
      <c r="A401" s="19"/>
      <c r="B401" s="11"/>
      <c r="C401" s="6"/>
      <c r="D401" s="6"/>
      <c r="E401" s="11"/>
      <c r="F401" s="11"/>
      <c r="G401" s="11"/>
      <c r="H401" s="11"/>
      <c r="I401" s="26"/>
      <c r="J401" s="11"/>
      <c r="K401" s="11"/>
      <c r="L401" s="11"/>
      <c r="M401" s="11"/>
      <c r="N401" s="11"/>
    </row>
    <row x14ac:dyDescent="0.25" r="402" customHeight="1" ht="15.75">
      <c r="A402" s="19"/>
      <c r="B402" s="11"/>
      <c r="C402" s="6"/>
      <c r="D402" s="6"/>
      <c r="E402" s="11"/>
      <c r="F402" s="11"/>
      <c r="G402" s="11"/>
      <c r="H402" s="11"/>
      <c r="I402" s="26"/>
      <c r="J402" s="11"/>
      <c r="K402" s="11"/>
      <c r="L402" s="11"/>
      <c r="M402" s="11"/>
      <c r="N402" s="11"/>
    </row>
    <row x14ac:dyDescent="0.25" r="403" customHeight="1" ht="15.75">
      <c r="A403" s="19"/>
      <c r="B403" s="11"/>
      <c r="C403" s="6"/>
      <c r="D403" s="6"/>
      <c r="E403" s="11"/>
      <c r="F403" s="11"/>
      <c r="G403" s="11"/>
      <c r="H403" s="11"/>
      <c r="I403" s="26"/>
      <c r="J403" s="11"/>
      <c r="K403" s="11"/>
      <c r="L403" s="11"/>
      <c r="M403" s="11"/>
      <c r="N403" s="11"/>
    </row>
    <row x14ac:dyDescent="0.25" r="404" customHeight="1" ht="15.75">
      <c r="A404" s="19"/>
      <c r="B404" s="11"/>
      <c r="C404" s="6"/>
      <c r="D404" s="6"/>
      <c r="E404" s="11"/>
      <c r="F404" s="11"/>
      <c r="G404" s="11"/>
      <c r="H404" s="11"/>
      <c r="I404" s="26"/>
      <c r="J404" s="11"/>
      <c r="K404" s="11"/>
      <c r="L404" s="11"/>
      <c r="M404" s="11"/>
      <c r="N404" s="11"/>
    </row>
    <row x14ac:dyDescent="0.25" r="405" customHeight="1" ht="15.75">
      <c r="A405" s="19"/>
      <c r="B405" s="11"/>
      <c r="C405" s="6"/>
      <c r="D405" s="6"/>
      <c r="E405" s="11"/>
      <c r="F405" s="11"/>
      <c r="G405" s="11"/>
      <c r="H405" s="11"/>
      <c r="I405" s="26"/>
      <c r="J405" s="11"/>
      <c r="K405" s="11"/>
      <c r="L405" s="11"/>
      <c r="M405" s="11"/>
      <c r="N405" s="11"/>
    </row>
    <row x14ac:dyDescent="0.25" r="406" customHeight="1" ht="15.75">
      <c r="A406" s="19"/>
      <c r="B406" s="11"/>
      <c r="C406" s="6"/>
      <c r="D406" s="6"/>
      <c r="E406" s="11"/>
      <c r="F406" s="11"/>
      <c r="G406" s="11"/>
      <c r="H406" s="11"/>
      <c r="I406" s="26"/>
      <c r="J406" s="11"/>
      <c r="K406" s="11"/>
      <c r="L406" s="11"/>
      <c r="M406" s="11"/>
      <c r="N406" s="11"/>
    </row>
    <row x14ac:dyDescent="0.25" r="407" customHeight="1" ht="15.75">
      <c r="A407" s="19"/>
      <c r="B407" s="11"/>
      <c r="C407" s="6"/>
      <c r="D407" s="6"/>
      <c r="E407" s="11"/>
      <c r="F407" s="11"/>
      <c r="G407" s="11"/>
      <c r="H407" s="11"/>
      <c r="I407" s="26"/>
      <c r="J407" s="11"/>
      <c r="K407" s="11"/>
      <c r="L407" s="11"/>
      <c r="M407" s="11"/>
      <c r="N407" s="11"/>
    </row>
    <row x14ac:dyDescent="0.25" r="408" customHeight="1" ht="15.75">
      <c r="A408" s="19"/>
      <c r="B408" s="11"/>
      <c r="C408" s="6"/>
      <c r="D408" s="6"/>
      <c r="E408" s="11"/>
      <c r="F408" s="11"/>
      <c r="G408" s="11"/>
      <c r="H408" s="11"/>
      <c r="I408" s="26"/>
      <c r="J408" s="11"/>
      <c r="K408" s="11"/>
      <c r="L408" s="11"/>
      <c r="M408" s="11"/>
      <c r="N408" s="11"/>
    </row>
    <row x14ac:dyDescent="0.25" r="409" customHeight="1" ht="15.75">
      <c r="A409" s="11"/>
      <c r="B409" s="11"/>
      <c r="C409" s="6"/>
      <c r="D409" s="6"/>
      <c r="E409" s="11"/>
      <c r="F409" s="11"/>
      <c r="G409" s="11"/>
      <c r="H409" s="11"/>
      <c r="I409" s="26"/>
      <c r="J409" s="11"/>
      <c r="K409" s="11"/>
      <c r="L409" s="11"/>
      <c r="M409" s="11"/>
      <c r="N409" s="11"/>
    </row>
    <row x14ac:dyDescent="0.25" r="410" customHeight="1" ht="15.75">
      <c r="A410" s="11"/>
      <c r="B410" s="11"/>
      <c r="C410" s="6"/>
      <c r="D410" s="6"/>
      <c r="E410" s="11"/>
      <c r="F410" s="11"/>
      <c r="G410" s="11"/>
      <c r="H410" s="11"/>
      <c r="I410" s="26"/>
      <c r="J410" s="11"/>
      <c r="K410" s="11"/>
      <c r="L410" s="11"/>
      <c r="M410" s="11"/>
      <c r="N410" s="11"/>
    </row>
    <row x14ac:dyDescent="0.25" r="411" customHeight="1" ht="15.75">
      <c r="A411" s="11"/>
      <c r="B411" s="11"/>
      <c r="C411" s="6"/>
      <c r="D411" s="6"/>
      <c r="E411" s="11"/>
      <c r="F411" s="11"/>
      <c r="G411" s="11"/>
      <c r="H411" s="11"/>
      <c r="I411" s="26"/>
      <c r="J411" s="11"/>
      <c r="K411" s="11"/>
      <c r="L411" s="11"/>
      <c r="M411" s="11"/>
      <c r="N411" s="11"/>
    </row>
    <row x14ac:dyDescent="0.25" r="412" customHeight="1" ht="15.75">
      <c r="A412" s="11"/>
      <c r="B412" s="11"/>
      <c r="C412" s="6"/>
      <c r="D412" s="6"/>
      <c r="E412" s="11"/>
      <c r="F412" s="11"/>
      <c r="G412" s="11"/>
      <c r="H412" s="11"/>
      <c r="I412" s="26"/>
      <c r="J412" s="11"/>
      <c r="K412" s="11"/>
      <c r="L412" s="11"/>
      <c r="M412" s="11"/>
      <c r="N412" s="11"/>
    </row>
    <row x14ac:dyDescent="0.25" r="413" customHeight="1" ht="15.75">
      <c r="A413" s="11"/>
      <c r="B413" s="11"/>
      <c r="C413" s="6"/>
      <c r="D413" s="6"/>
      <c r="E413" s="11"/>
      <c r="F413" s="11"/>
      <c r="G413" s="11"/>
      <c r="H413" s="11"/>
      <c r="I413" s="26"/>
      <c r="J413" s="11"/>
      <c r="K413" s="11"/>
      <c r="L413" s="11"/>
      <c r="M413" s="11"/>
      <c r="N413" s="11"/>
    </row>
    <row x14ac:dyDescent="0.25" r="414" customHeight="1" ht="15.75">
      <c r="A414" s="11"/>
      <c r="B414" s="11"/>
      <c r="C414" s="6"/>
      <c r="D414" s="6"/>
      <c r="E414" s="11"/>
      <c r="F414" s="11"/>
      <c r="G414" s="11"/>
      <c r="H414" s="11"/>
      <c r="I414" s="26"/>
      <c r="J414" s="11"/>
      <c r="K414" s="11"/>
      <c r="L414" s="11"/>
      <c r="M414" s="11"/>
      <c r="N414" s="11"/>
    </row>
    <row x14ac:dyDescent="0.25" r="415" customHeight="1" ht="15.75">
      <c r="A415" s="11"/>
      <c r="B415" s="11"/>
      <c r="C415" s="6"/>
      <c r="D415" s="6"/>
      <c r="E415" s="11"/>
      <c r="F415" s="11"/>
      <c r="G415" s="11"/>
      <c r="H415" s="11"/>
      <c r="I415" s="26"/>
      <c r="J415" s="11"/>
      <c r="K415" s="11"/>
      <c r="L415" s="11"/>
      <c r="M415" s="11"/>
      <c r="N415" s="11"/>
    </row>
    <row x14ac:dyDescent="0.25" r="416" customHeight="1" ht="15.75">
      <c r="A416" s="11"/>
      <c r="B416" s="11"/>
      <c r="C416" s="6"/>
      <c r="D416" s="6"/>
      <c r="E416" s="11"/>
      <c r="F416" s="11"/>
      <c r="G416" s="11"/>
      <c r="H416" s="11"/>
      <c r="I416" s="26"/>
      <c r="J416" s="11"/>
      <c r="K416" s="11"/>
      <c r="L416" s="11"/>
      <c r="M416" s="11"/>
      <c r="N416" s="11"/>
    </row>
    <row x14ac:dyDescent="0.25" r="417" customHeight="1" ht="15.75">
      <c r="A417" s="11"/>
      <c r="B417" s="11"/>
      <c r="C417" s="6"/>
      <c r="D417" s="6"/>
      <c r="E417" s="11"/>
      <c r="F417" s="11"/>
      <c r="G417" s="11"/>
      <c r="H417" s="11"/>
      <c r="I417" s="26"/>
      <c r="J417" s="11"/>
      <c r="K417" s="11"/>
      <c r="L417" s="11"/>
      <c r="M417" s="11"/>
      <c r="N417" s="11"/>
    </row>
    <row x14ac:dyDescent="0.25" r="418" customHeight="1" ht="15.75">
      <c r="A418" s="11"/>
      <c r="B418" s="11"/>
      <c r="C418" s="6"/>
      <c r="D418" s="6"/>
      <c r="E418" s="11"/>
      <c r="F418" s="11"/>
      <c r="G418" s="11"/>
      <c r="H418" s="11"/>
      <c r="I418" s="26"/>
      <c r="J418" s="11"/>
      <c r="K418" s="11"/>
      <c r="L418" s="11"/>
      <c r="M418" s="11"/>
      <c r="N418" s="11"/>
    </row>
    <row x14ac:dyDescent="0.25" r="419" customHeight="1" ht="15.75">
      <c r="A419" s="11"/>
      <c r="B419" s="11"/>
      <c r="C419" s="6"/>
      <c r="D419" s="6"/>
      <c r="E419" s="11"/>
      <c r="F419" s="11"/>
      <c r="G419" s="11"/>
      <c r="H419" s="11"/>
      <c r="I419" s="26"/>
      <c r="J419" s="11"/>
      <c r="K419" s="11"/>
      <c r="L419" s="11"/>
      <c r="M419" s="11"/>
      <c r="N419" s="11"/>
    </row>
    <row x14ac:dyDescent="0.25" r="420" customHeight="1" ht="15.75">
      <c r="A420" s="11"/>
      <c r="B420" s="11"/>
      <c r="C420" s="6"/>
      <c r="D420" s="6"/>
      <c r="E420" s="11"/>
      <c r="F420" s="11"/>
      <c r="G420" s="11"/>
      <c r="H420" s="11"/>
      <c r="I420" s="26"/>
      <c r="J420" s="11"/>
      <c r="K420" s="11"/>
      <c r="L420" s="11"/>
      <c r="M420" s="11"/>
      <c r="N420" s="11"/>
    </row>
    <row x14ac:dyDescent="0.25" r="421" customHeight="1" ht="15.75">
      <c r="A421" s="11"/>
      <c r="B421" s="11"/>
      <c r="C421" s="6"/>
      <c r="D421" s="6"/>
      <c r="E421" s="11"/>
      <c r="F421" s="11"/>
      <c r="G421" s="11"/>
      <c r="H421" s="11"/>
      <c r="I421" s="26"/>
      <c r="J421" s="11"/>
      <c r="K421" s="11"/>
      <c r="L421" s="11"/>
      <c r="M421" s="11"/>
      <c r="N421" s="11"/>
    </row>
    <row x14ac:dyDescent="0.25" r="422" customHeight="1" ht="15.75">
      <c r="A422" s="11"/>
      <c r="B422" s="11"/>
      <c r="C422" s="6"/>
      <c r="D422" s="6"/>
      <c r="E422" s="11"/>
      <c r="F422" s="11"/>
      <c r="G422" s="11"/>
      <c r="H422" s="11"/>
      <c r="I422" s="26"/>
      <c r="J422" s="11"/>
      <c r="K422" s="11"/>
      <c r="L422" s="11"/>
      <c r="M422" s="11"/>
      <c r="N422" s="11"/>
    </row>
    <row x14ac:dyDescent="0.25" r="423" customHeight="1" ht="15.75">
      <c r="A423" s="11"/>
      <c r="B423" s="11"/>
      <c r="C423" s="6"/>
      <c r="D423" s="6"/>
      <c r="E423" s="11"/>
      <c r="F423" s="11"/>
      <c r="G423" s="11"/>
      <c r="H423" s="11"/>
      <c r="I423" s="26"/>
      <c r="J423" s="11"/>
      <c r="K423" s="11"/>
      <c r="L423" s="11"/>
      <c r="M423" s="11"/>
      <c r="N423" s="11"/>
    </row>
    <row x14ac:dyDescent="0.25" r="424" customHeight="1" ht="15.75">
      <c r="A424" s="11"/>
      <c r="B424" s="11"/>
      <c r="C424" s="6"/>
      <c r="D424" s="6"/>
      <c r="E424" s="11"/>
      <c r="F424" s="11"/>
      <c r="G424" s="11"/>
      <c r="H424" s="11"/>
      <c r="I424" s="26"/>
      <c r="J424" s="11"/>
      <c r="K424" s="11"/>
      <c r="L424" s="11"/>
      <c r="M424" s="11"/>
      <c r="N424" s="11"/>
    </row>
    <row x14ac:dyDescent="0.25" r="425" customHeight="1" ht="15.75">
      <c r="A425" s="11"/>
      <c r="B425" s="11"/>
      <c r="C425" s="6"/>
      <c r="D425" s="6"/>
      <c r="E425" s="11"/>
      <c r="F425" s="11"/>
      <c r="G425" s="11"/>
      <c r="H425" s="11"/>
      <c r="I425" s="26"/>
      <c r="J425" s="11"/>
      <c r="K425" s="11"/>
      <c r="L425" s="11"/>
      <c r="M425" s="11"/>
      <c r="N425" s="11"/>
    </row>
    <row x14ac:dyDescent="0.25" r="426" customHeight="1" ht="15.75">
      <c r="A426" s="11"/>
      <c r="B426" s="11"/>
      <c r="C426" s="6"/>
      <c r="D426" s="6"/>
      <c r="E426" s="11"/>
      <c r="F426" s="11"/>
      <c r="G426" s="11"/>
      <c r="H426" s="11"/>
      <c r="I426" s="26"/>
      <c r="J426" s="11"/>
      <c r="K426" s="11"/>
      <c r="L426" s="11"/>
      <c r="M426" s="11"/>
      <c r="N426" s="11"/>
    </row>
    <row x14ac:dyDescent="0.25" r="427" customHeight="1" ht="15.75">
      <c r="A427" s="11"/>
      <c r="B427" s="11"/>
      <c r="C427" s="6"/>
      <c r="D427" s="6"/>
      <c r="E427" s="11"/>
      <c r="F427" s="11"/>
      <c r="G427" s="11"/>
      <c r="H427" s="11"/>
      <c r="I427" s="26"/>
      <c r="J427" s="11"/>
      <c r="K427" s="11"/>
      <c r="L427" s="11"/>
      <c r="M427" s="11"/>
      <c r="N427" s="11"/>
    </row>
    <row x14ac:dyDescent="0.25" r="428" customHeight="1" ht="15.75">
      <c r="A428" s="11"/>
      <c r="B428" s="11"/>
      <c r="C428" s="6"/>
      <c r="D428" s="6"/>
      <c r="E428" s="11"/>
      <c r="F428" s="11"/>
      <c r="G428" s="11"/>
      <c r="H428" s="11"/>
      <c r="I428" s="26"/>
      <c r="J428" s="11"/>
      <c r="K428" s="11"/>
      <c r="L428" s="11"/>
      <c r="M428" s="11"/>
      <c r="N428" s="11"/>
    </row>
    <row x14ac:dyDescent="0.25" r="429" customHeight="1" ht="15.75">
      <c r="A429" s="11"/>
      <c r="B429" s="11"/>
      <c r="C429" s="6"/>
      <c r="D429" s="6"/>
      <c r="E429" s="11"/>
      <c r="F429" s="11"/>
      <c r="G429" s="11"/>
      <c r="H429" s="11"/>
      <c r="I429" s="26"/>
      <c r="J429" s="11"/>
      <c r="K429" s="11"/>
      <c r="L429" s="11"/>
      <c r="M429" s="11"/>
      <c r="N429" s="11"/>
    </row>
    <row x14ac:dyDescent="0.25" r="430" customHeight="1" ht="15.75">
      <c r="A430" s="11"/>
      <c r="B430" s="11"/>
      <c r="C430" s="6"/>
      <c r="D430" s="6"/>
      <c r="E430" s="11"/>
      <c r="F430" s="11"/>
      <c r="G430" s="11"/>
      <c r="H430" s="11"/>
      <c r="I430" s="26"/>
      <c r="J430" s="11"/>
      <c r="K430" s="11"/>
      <c r="L430" s="11"/>
      <c r="M430" s="11"/>
      <c r="N430" s="11"/>
    </row>
    <row x14ac:dyDescent="0.25" r="431" customHeight="1" ht="15.75">
      <c r="A431" s="11"/>
      <c r="B431" s="11"/>
      <c r="C431" s="6"/>
      <c r="D431" s="6"/>
      <c r="E431" s="11"/>
      <c r="F431" s="11"/>
      <c r="G431" s="11"/>
      <c r="H431" s="11"/>
      <c r="I431" s="26"/>
      <c r="J431" s="11"/>
      <c r="K431" s="11"/>
      <c r="L431" s="11"/>
      <c r="M431" s="11"/>
      <c r="N431" s="11"/>
    </row>
    <row x14ac:dyDescent="0.25" r="432" customHeight="1" ht="15.75">
      <c r="A432" s="11"/>
      <c r="B432" s="11"/>
      <c r="C432" s="6"/>
      <c r="D432" s="6"/>
      <c r="E432" s="11"/>
      <c r="F432" s="11"/>
      <c r="G432" s="11"/>
      <c r="H432" s="11"/>
      <c r="I432" s="26"/>
      <c r="J432" s="11"/>
      <c r="K432" s="11"/>
      <c r="L432" s="11"/>
      <c r="M432" s="11"/>
      <c r="N432" s="11"/>
    </row>
    <row x14ac:dyDescent="0.25" r="433" customHeight="1" ht="15.75">
      <c r="A433" s="11"/>
      <c r="B433" s="11"/>
      <c r="C433" s="6"/>
      <c r="D433" s="6"/>
      <c r="E433" s="11"/>
      <c r="F433" s="11"/>
      <c r="G433" s="11"/>
      <c r="H433" s="11"/>
      <c r="I433" s="26"/>
      <c r="J433" s="11"/>
      <c r="K433" s="11"/>
      <c r="L433" s="11"/>
      <c r="M433" s="11"/>
      <c r="N433" s="11"/>
    </row>
    <row x14ac:dyDescent="0.25" r="434" customHeight="1" ht="15.75">
      <c r="A434" s="11"/>
      <c r="B434" s="11"/>
      <c r="C434" s="6"/>
      <c r="D434" s="6"/>
      <c r="E434" s="11"/>
      <c r="F434" s="11"/>
      <c r="G434" s="11"/>
      <c r="H434" s="11"/>
      <c r="I434" s="26"/>
      <c r="J434" s="11"/>
      <c r="K434" s="11"/>
      <c r="L434" s="11"/>
      <c r="M434" s="11"/>
      <c r="N434" s="11"/>
    </row>
    <row x14ac:dyDescent="0.25" r="435" customHeight="1" ht="15.75">
      <c r="A435" s="11"/>
      <c r="B435" s="11"/>
      <c r="C435" s="6"/>
      <c r="D435" s="6"/>
      <c r="E435" s="11"/>
      <c r="F435" s="11"/>
      <c r="G435" s="11"/>
      <c r="H435" s="11"/>
      <c r="I435" s="26"/>
      <c r="J435" s="11"/>
      <c r="K435" s="11"/>
      <c r="L435" s="11"/>
      <c r="M435" s="11"/>
      <c r="N435" s="11"/>
    </row>
    <row x14ac:dyDescent="0.25" r="436" customHeight="1" ht="15.75">
      <c r="A436" s="11"/>
      <c r="B436" s="11"/>
      <c r="C436" s="6"/>
      <c r="D436" s="6"/>
      <c r="E436" s="11"/>
      <c r="F436" s="11"/>
      <c r="G436" s="11"/>
      <c r="H436" s="11"/>
      <c r="I436" s="26"/>
      <c r="J436" s="11"/>
      <c r="K436" s="11"/>
      <c r="L436" s="11"/>
      <c r="M436" s="11"/>
      <c r="N436" s="11"/>
    </row>
    <row x14ac:dyDescent="0.25" r="437" customHeight="1" ht="15.75">
      <c r="A437" s="11"/>
      <c r="B437" s="11"/>
      <c r="C437" s="6"/>
      <c r="D437" s="6"/>
      <c r="E437" s="11"/>
      <c r="F437" s="11"/>
      <c r="G437" s="11"/>
      <c r="H437" s="11"/>
      <c r="I437" s="26"/>
      <c r="J437" s="11"/>
      <c r="K437" s="11"/>
      <c r="L437" s="11"/>
      <c r="M437" s="11"/>
      <c r="N437" s="11"/>
    </row>
    <row x14ac:dyDescent="0.25" r="438" customHeight="1" ht="15.75">
      <c r="A438" s="11"/>
      <c r="B438" s="11"/>
      <c r="C438" s="6"/>
      <c r="D438" s="6"/>
      <c r="E438" s="11"/>
      <c r="F438" s="11"/>
      <c r="G438" s="11"/>
      <c r="H438" s="11"/>
      <c r="I438" s="26"/>
      <c r="J438" s="11"/>
      <c r="K438" s="11"/>
      <c r="L438" s="11"/>
      <c r="M438" s="11"/>
      <c r="N438" s="11"/>
    </row>
    <row x14ac:dyDescent="0.25" r="439" customHeight="1" ht="15.75">
      <c r="A439" s="11"/>
      <c r="B439" s="11"/>
      <c r="C439" s="6"/>
      <c r="D439" s="6"/>
      <c r="E439" s="11"/>
      <c r="F439" s="11"/>
      <c r="G439" s="11"/>
      <c r="H439" s="11"/>
      <c r="I439" s="26"/>
      <c r="J439" s="11"/>
      <c r="K439" s="11"/>
      <c r="L439" s="11"/>
      <c r="M439" s="11"/>
      <c r="N439" s="11"/>
    </row>
    <row x14ac:dyDescent="0.25" r="440" customHeight="1" ht="15.75">
      <c r="A440" s="11"/>
      <c r="B440" s="11"/>
      <c r="C440" s="6"/>
      <c r="D440" s="6"/>
      <c r="E440" s="11"/>
      <c r="F440" s="11"/>
      <c r="G440" s="11"/>
      <c r="H440" s="11"/>
      <c r="I440" s="26"/>
      <c r="J440" s="11"/>
      <c r="K440" s="11"/>
      <c r="L440" s="11"/>
      <c r="M440" s="11"/>
      <c r="N440" s="11"/>
    </row>
    <row x14ac:dyDescent="0.25" r="441" customHeight="1" ht="15.75">
      <c r="A441" s="11"/>
      <c r="B441" s="11"/>
      <c r="C441" s="6"/>
      <c r="D441" s="6"/>
      <c r="E441" s="11"/>
      <c r="F441" s="11"/>
      <c r="G441" s="11"/>
      <c r="H441" s="11"/>
      <c r="I441" s="26"/>
      <c r="J441" s="11"/>
      <c r="K441" s="11"/>
      <c r="L441" s="11"/>
      <c r="M441" s="11"/>
      <c r="N441" s="11"/>
    </row>
    <row x14ac:dyDescent="0.25" r="442" customHeight="1" ht="15.75">
      <c r="A442" s="11"/>
      <c r="B442" s="11"/>
      <c r="C442" s="6"/>
      <c r="D442" s="6"/>
      <c r="E442" s="11"/>
      <c r="F442" s="11"/>
      <c r="G442" s="11"/>
      <c r="H442" s="11"/>
      <c r="I442" s="26"/>
      <c r="J442" s="11"/>
      <c r="K442" s="11"/>
      <c r="L442" s="11"/>
      <c r="M442" s="11"/>
      <c r="N442" s="11"/>
    </row>
    <row x14ac:dyDescent="0.25" r="443" customHeight="1" ht="15.75">
      <c r="A443" s="11"/>
      <c r="B443" s="11"/>
      <c r="C443" s="6"/>
      <c r="D443" s="6"/>
      <c r="E443" s="11"/>
      <c r="F443" s="11"/>
      <c r="G443" s="11"/>
      <c r="H443" s="11"/>
      <c r="I443" s="26"/>
      <c r="J443" s="11"/>
      <c r="K443" s="11"/>
      <c r="L443" s="11"/>
      <c r="M443" s="11"/>
      <c r="N443" s="11"/>
    </row>
    <row x14ac:dyDescent="0.25" r="444" customHeight="1" ht="15.75">
      <c r="A444" s="11"/>
      <c r="B444" s="11"/>
      <c r="C444" s="6"/>
      <c r="D444" s="6"/>
      <c r="E444" s="11"/>
      <c r="F444" s="11"/>
      <c r="G444" s="11"/>
      <c r="H444" s="11"/>
      <c r="I444" s="26"/>
      <c r="J444" s="11"/>
      <c r="K444" s="11"/>
      <c r="L444" s="11"/>
      <c r="M444" s="11"/>
      <c r="N444" s="11"/>
    </row>
    <row x14ac:dyDescent="0.25" r="445" customHeight="1" ht="15.75">
      <c r="A445" s="11"/>
      <c r="B445" s="11"/>
      <c r="C445" s="6"/>
      <c r="D445" s="6"/>
      <c r="E445" s="11"/>
      <c r="F445" s="11"/>
      <c r="G445" s="11"/>
      <c r="H445" s="11"/>
      <c r="I445" s="26"/>
      <c r="J445" s="11"/>
      <c r="K445" s="11"/>
      <c r="L445" s="11"/>
      <c r="M445" s="11"/>
      <c r="N445" s="11"/>
    </row>
    <row x14ac:dyDescent="0.25" r="446" customHeight="1" ht="15.75">
      <c r="A446" s="11"/>
      <c r="B446" s="11"/>
      <c r="C446" s="6"/>
      <c r="D446" s="6"/>
      <c r="E446" s="11"/>
      <c r="F446" s="11"/>
      <c r="G446" s="11"/>
      <c r="H446" s="11"/>
      <c r="I446" s="26"/>
      <c r="J446" s="11"/>
      <c r="K446" s="11"/>
      <c r="L446" s="11"/>
      <c r="M446" s="11"/>
      <c r="N446" s="11"/>
    </row>
    <row x14ac:dyDescent="0.25" r="447" customHeight="1" ht="15.75">
      <c r="A447" s="11"/>
      <c r="B447" s="11"/>
      <c r="C447" s="6"/>
      <c r="D447" s="6"/>
      <c r="E447" s="11"/>
      <c r="F447" s="11"/>
      <c r="G447" s="11"/>
      <c r="H447" s="11"/>
      <c r="I447" s="26"/>
      <c r="J447" s="11"/>
      <c r="K447" s="11"/>
      <c r="L447" s="11"/>
      <c r="M447" s="11"/>
      <c r="N447" s="11"/>
    </row>
    <row x14ac:dyDescent="0.25" r="448" customHeight="1" ht="15.75">
      <c r="A448" s="11"/>
      <c r="B448" s="11"/>
      <c r="C448" s="6"/>
      <c r="D448" s="6"/>
      <c r="E448" s="11"/>
      <c r="F448" s="11"/>
      <c r="G448" s="11"/>
      <c r="H448" s="11"/>
      <c r="I448" s="26"/>
      <c r="J448" s="11"/>
      <c r="K448" s="11"/>
      <c r="L448" s="11"/>
      <c r="M448" s="11"/>
      <c r="N448" s="11"/>
    </row>
    <row x14ac:dyDescent="0.25" r="449" customHeight="1" ht="15.75">
      <c r="A449" s="11"/>
      <c r="B449" s="11"/>
      <c r="C449" s="6"/>
      <c r="D449" s="6"/>
      <c r="E449" s="11"/>
      <c r="F449" s="11"/>
      <c r="G449" s="11"/>
      <c r="H449" s="11"/>
      <c r="I449" s="26"/>
      <c r="J449" s="11"/>
      <c r="K449" s="11"/>
      <c r="L449" s="11"/>
      <c r="M449" s="11"/>
      <c r="N449" s="11"/>
    </row>
    <row x14ac:dyDescent="0.25" r="450" customHeight="1" ht="15.75">
      <c r="A450" s="11"/>
      <c r="B450" s="11"/>
      <c r="C450" s="6"/>
      <c r="D450" s="6"/>
      <c r="E450" s="11"/>
      <c r="F450" s="11"/>
      <c r="G450" s="11"/>
      <c r="H450" s="11"/>
      <c r="I450" s="26"/>
      <c r="J450" s="11"/>
      <c r="K450" s="11"/>
      <c r="L450" s="11"/>
      <c r="M450" s="11"/>
      <c r="N450" s="11"/>
    </row>
    <row x14ac:dyDescent="0.25" r="451" customHeight="1" ht="15.75">
      <c r="A451" s="11"/>
      <c r="B451" s="11"/>
      <c r="C451" s="6"/>
      <c r="D451" s="6"/>
      <c r="E451" s="11"/>
      <c r="F451" s="11"/>
      <c r="G451" s="11"/>
      <c r="H451" s="11"/>
      <c r="I451" s="26"/>
      <c r="J451" s="11"/>
      <c r="K451" s="11"/>
      <c r="L451" s="11"/>
      <c r="M451" s="11"/>
      <c r="N451" s="11"/>
    </row>
    <row x14ac:dyDescent="0.25" r="452" customHeight="1" ht="15.75">
      <c r="A452" s="11"/>
      <c r="B452" s="11"/>
      <c r="C452" s="6"/>
      <c r="D452" s="6"/>
      <c r="E452" s="11"/>
      <c r="F452" s="11"/>
      <c r="G452" s="11"/>
      <c r="H452" s="11"/>
      <c r="I452" s="26"/>
      <c r="J452" s="11"/>
      <c r="K452" s="11"/>
      <c r="L452" s="11"/>
      <c r="M452" s="11"/>
      <c r="N452" s="11"/>
    </row>
    <row x14ac:dyDescent="0.25" r="453" customHeight="1" ht="15.75">
      <c r="A453" s="11"/>
      <c r="B453" s="11"/>
      <c r="C453" s="6"/>
      <c r="D453" s="6"/>
      <c r="E453" s="11"/>
      <c r="F453" s="11"/>
      <c r="G453" s="11"/>
      <c r="H453" s="11"/>
      <c r="I453" s="26"/>
      <c r="J453" s="11"/>
      <c r="K453" s="11"/>
      <c r="L453" s="11"/>
      <c r="M453" s="11"/>
      <c r="N453" s="11"/>
    </row>
    <row x14ac:dyDescent="0.25" r="454" customHeight="1" ht="15.75">
      <c r="A454" s="11"/>
      <c r="B454" s="11"/>
      <c r="C454" s="6"/>
      <c r="D454" s="6"/>
      <c r="E454" s="11"/>
      <c r="F454" s="11"/>
      <c r="G454" s="11"/>
      <c r="H454" s="11"/>
      <c r="I454" s="26"/>
      <c r="J454" s="11"/>
      <c r="K454" s="11"/>
      <c r="L454" s="11"/>
      <c r="M454" s="11"/>
      <c r="N454" s="11"/>
    </row>
    <row x14ac:dyDescent="0.25" r="455" customHeight="1" ht="15.75">
      <c r="A455" s="11"/>
      <c r="B455" s="11"/>
      <c r="C455" s="6"/>
      <c r="D455" s="6"/>
      <c r="E455" s="11"/>
      <c r="F455" s="11"/>
      <c r="G455" s="11"/>
      <c r="H455" s="11"/>
      <c r="I455" s="26"/>
      <c r="J455" s="11"/>
      <c r="K455" s="11"/>
      <c r="L455" s="11"/>
      <c r="M455" s="11"/>
      <c r="N455" s="11"/>
    </row>
    <row x14ac:dyDescent="0.25" r="456" customHeight="1" ht="15.75">
      <c r="A456" s="11"/>
      <c r="B456" s="11"/>
      <c r="C456" s="6"/>
      <c r="D456" s="6"/>
      <c r="E456" s="11"/>
      <c r="F456" s="11"/>
      <c r="G456" s="11"/>
      <c r="H456" s="11"/>
      <c r="I456" s="26"/>
      <c r="J456" s="11"/>
      <c r="K456" s="11"/>
      <c r="L456" s="11"/>
      <c r="M456" s="11"/>
      <c r="N456" s="11"/>
    </row>
    <row x14ac:dyDescent="0.25" r="457" customHeight="1" ht="15.75">
      <c r="A457" s="11"/>
      <c r="B457" s="11"/>
      <c r="C457" s="6"/>
      <c r="D457" s="6"/>
      <c r="E457" s="11"/>
      <c r="F457" s="11"/>
      <c r="G457" s="11"/>
      <c r="H457" s="11"/>
      <c r="I457" s="26"/>
      <c r="J457" s="11"/>
      <c r="K457" s="11"/>
      <c r="L457" s="11"/>
      <c r="M457" s="11"/>
      <c r="N457" s="11"/>
    </row>
    <row x14ac:dyDescent="0.25" r="458" customHeight="1" ht="15.75">
      <c r="A458" s="11"/>
      <c r="B458" s="11"/>
      <c r="C458" s="6"/>
      <c r="D458" s="6"/>
      <c r="E458" s="11"/>
      <c r="F458" s="11"/>
      <c r="G458" s="11"/>
      <c r="H458" s="11"/>
      <c r="I458" s="26"/>
      <c r="J458" s="11"/>
      <c r="K458" s="11"/>
      <c r="L458" s="11"/>
      <c r="M458" s="11"/>
      <c r="N458" s="11"/>
    </row>
    <row x14ac:dyDescent="0.25" r="459" customHeight="1" ht="15.75">
      <c r="A459" s="11"/>
      <c r="B459" s="11"/>
      <c r="C459" s="6"/>
      <c r="D459" s="6"/>
      <c r="E459" s="11"/>
      <c r="F459" s="11"/>
      <c r="G459" s="11"/>
      <c r="H459" s="11"/>
      <c r="I459" s="26"/>
      <c r="J459" s="11"/>
      <c r="K459" s="11"/>
      <c r="L459" s="11"/>
      <c r="M459" s="11"/>
      <c r="N459" s="11"/>
    </row>
    <row x14ac:dyDescent="0.25" r="460" customHeight="1" ht="15.75">
      <c r="A460" s="11"/>
      <c r="B460" s="11"/>
      <c r="C460" s="6"/>
      <c r="D460" s="6"/>
      <c r="E460" s="11"/>
      <c r="F460" s="11"/>
      <c r="G460" s="11"/>
      <c r="H460" s="11"/>
      <c r="I460" s="26"/>
      <c r="J460" s="11"/>
      <c r="K460" s="11"/>
      <c r="L460" s="11"/>
      <c r="M460" s="11"/>
      <c r="N460" s="11"/>
    </row>
    <row x14ac:dyDescent="0.25" r="461" customHeight="1" ht="15.75">
      <c r="A461" s="11"/>
      <c r="B461" s="11"/>
      <c r="C461" s="6"/>
      <c r="D461" s="6"/>
      <c r="E461" s="11"/>
      <c r="F461" s="11"/>
      <c r="G461" s="11"/>
      <c r="H461" s="11"/>
      <c r="I461" s="26"/>
      <c r="J461" s="11"/>
      <c r="K461" s="11"/>
      <c r="L461" s="11"/>
      <c r="M461" s="11"/>
      <c r="N461" s="11"/>
    </row>
    <row x14ac:dyDescent="0.25" r="462" customHeight="1" ht="15.75">
      <c r="A462" s="11"/>
      <c r="B462" s="11"/>
      <c r="C462" s="6"/>
      <c r="D462" s="6"/>
      <c r="E462" s="11"/>
      <c r="F462" s="11"/>
      <c r="G462" s="11"/>
      <c r="H462" s="11"/>
      <c r="I462" s="26"/>
      <c r="J462" s="11"/>
      <c r="K462" s="11"/>
      <c r="L462" s="11"/>
      <c r="M462" s="11"/>
      <c r="N462" s="11"/>
    </row>
    <row x14ac:dyDescent="0.25" r="463" customHeight="1" ht="15.75">
      <c r="A463" s="11"/>
      <c r="B463" s="11"/>
      <c r="C463" s="6"/>
      <c r="D463" s="6"/>
      <c r="E463" s="11"/>
      <c r="F463" s="11"/>
      <c r="G463" s="11"/>
      <c r="H463" s="11"/>
      <c r="I463" s="26"/>
      <c r="J463" s="11"/>
      <c r="K463" s="11"/>
      <c r="L463" s="11"/>
      <c r="M463" s="11"/>
      <c r="N463" s="11"/>
    </row>
    <row x14ac:dyDescent="0.25" r="464" customHeight="1" ht="15.75">
      <c r="A464" s="11"/>
      <c r="B464" s="11"/>
      <c r="C464" s="6"/>
      <c r="D464" s="6"/>
      <c r="E464" s="11"/>
      <c r="F464" s="11"/>
      <c r="G464" s="11"/>
      <c r="H464" s="11"/>
      <c r="I464" s="26"/>
      <c r="J464" s="11"/>
      <c r="K464" s="11"/>
      <c r="L464" s="11"/>
      <c r="M464" s="11"/>
      <c r="N464" s="11"/>
    </row>
    <row x14ac:dyDescent="0.25" r="465" customHeight="1" ht="15.75">
      <c r="A465" s="11"/>
      <c r="B465" s="11"/>
      <c r="C465" s="6"/>
      <c r="D465" s="6"/>
      <c r="E465" s="11"/>
      <c r="F465" s="11"/>
      <c r="G465" s="11"/>
      <c r="H465" s="11"/>
      <c r="I465" s="26"/>
      <c r="J465" s="11"/>
      <c r="K465" s="11"/>
      <c r="L465" s="11"/>
      <c r="M465" s="11"/>
      <c r="N465" s="11"/>
    </row>
    <row x14ac:dyDescent="0.25" r="466" customHeight="1" ht="15.75">
      <c r="A466" s="11"/>
      <c r="B466" s="11"/>
      <c r="C466" s="6"/>
      <c r="D466" s="6"/>
      <c r="E466" s="11"/>
      <c r="F466" s="11"/>
      <c r="G466" s="11"/>
      <c r="H466" s="11"/>
      <c r="I466" s="26"/>
      <c r="J466" s="11"/>
      <c r="K466" s="11"/>
      <c r="L466" s="11"/>
      <c r="M466" s="11"/>
      <c r="N466" s="11"/>
    </row>
    <row x14ac:dyDescent="0.25" r="467" customHeight="1" ht="15.75">
      <c r="A467" s="11"/>
      <c r="B467" s="11"/>
      <c r="C467" s="6"/>
      <c r="D467" s="6"/>
      <c r="E467" s="11"/>
      <c r="F467" s="11"/>
      <c r="G467" s="11"/>
      <c r="H467" s="11"/>
      <c r="I467" s="26"/>
      <c r="J467" s="11"/>
      <c r="K467" s="11"/>
      <c r="L467" s="11"/>
      <c r="M467" s="11"/>
      <c r="N467" s="11"/>
    </row>
    <row x14ac:dyDescent="0.25" r="468" customHeight="1" ht="15.75">
      <c r="A468" s="11"/>
      <c r="B468" s="11"/>
      <c r="C468" s="6"/>
      <c r="D468" s="6"/>
      <c r="E468" s="11"/>
      <c r="F468" s="11"/>
      <c r="G468" s="11"/>
      <c r="H468" s="11"/>
      <c r="I468" s="26"/>
      <c r="J468" s="11"/>
      <c r="K468" s="11"/>
      <c r="L468" s="11"/>
      <c r="M468" s="11"/>
      <c r="N468" s="11"/>
    </row>
    <row x14ac:dyDescent="0.25" r="469" customHeight="1" ht="15.75">
      <c r="A469" s="11"/>
      <c r="B469" s="11"/>
      <c r="C469" s="6"/>
      <c r="D469" s="6"/>
      <c r="E469" s="11"/>
      <c r="F469" s="11"/>
      <c r="G469" s="11"/>
      <c r="H469" s="11"/>
      <c r="I469" s="26"/>
      <c r="J469" s="11"/>
      <c r="K469" s="11"/>
      <c r="L469" s="11"/>
      <c r="M469" s="11"/>
      <c r="N469" s="11"/>
    </row>
    <row x14ac:dyDescent="0.25" r="470" customHeight="1" ht="15.75">
      <c r="A470" s="11"/>
      <c r="B470" s="11"/>
      <c r="C470" s="6"/>
      <c r="D470" s="6"/>
      <c r="E470" s="11"/>
      <c r="F470" s="11"/>
      <c r="G470" s="11"/>
      <c r="H470" s="11"/>
      <c r="I470" s="26"/>
      <c r="J470" s="11"/>
      <c r="K470" s="11"/>
      <c r="L470" s="11"/>
      <c r="M470" s="11"/>
      <c r="N470" s="11"/>
    </row>
    <row x14ac:dyDescent="0.25" r="471" customHeight="1" ht="15.75">
      <c r="A471" s="11"/>
      <c r="B471" s="11"/>
      <c r="C471" s="6"/>
      <c r="D471" s="6"/>
      <c r="E471" s="11"/>
      <c r="F471" s="11"/>
      <c r="G471" s="11"/>
      <c r="H471" s="11"/>
      <c r="I471" s="26"/>
      <c r="J471" s="11"/>
      <c r="K471" s="11"/>
      <c r="L471" s="11"/>
      <c r="M471" s="11"/>
      <c r="N471" s="11"/>
    </row>
    <row x14ac:dyDescent="0.25" r="472" customHeight="1" ht="15.75">
      <c r="A472" s="11"/>
      <c r="B472" s="11"/>
      <c r="C472" s="6"/>
      <c r="D472" s="6"/>
      <c r="E472" s="11"/>
      <c r="F472" s="11"/>
      <c r="G472" s="11"/>
      <c r="H472" s="11"/>
      <c r="I472" s="26"/>
      <c r="J472" s="11"/>
      <c r="K472" s="11"/>
      <c r="L472" s="11"/>
      <c r="M472" s="11"/>
      <c r="N472" s="11"/>
    </row>
    <row x14ac:dyDescent="0.25" r="473" customHeight="1" ht="15.75">
      <c r="A473" s="11"/>
      <c r="B473" s="11"/>
      <c r="C473" s="6"/>
      <c r="D473" s="6"/>
      <c r="E473" s="11"/>
      <c r="F473" s="11"/>
      <c r="G473" s="11"/>
      <c r="H473" s="11"/>
      <c r="I473" s="26"/>
      <c r="J473" s="11"/>
      <c r="K473" s="11"/>
      <c r="L473" s="11"/>
      <c r="M473" s="11"/>
      <c r="N473" s="11"/>
    </row>
    <row x14ac:dyDescent="0.25" r="474" customHeight="1" ht="15.75">
      <c r="A474" s="11"/>
      <c r="B474" s="11"/>
      <c r="C474" s="6"/>
      <c r="D474" s="6"/>
      <c r="E474" s="11"/>
      <c r="F474" s="11"/>
      <c r="G474" s="11"/>
      <c r="H474" s="11"/>
      <c r="I474" s="26"/>
      <c r="J474" s="11"/>
      <c r="K474" s="11"/>
      <c r="L474" s="11"/>
      <c r="M474" s="11"/>
      <c r="N474" s="11"/>
    </row>
    <row x14ac:dyDescent="0.25" r="475" customHeight="1" ht="15.75">
      <c r="A475" s="11"/>
      <c r="B475" s="11"/>
      <c r="C475" s="6"/>
      <c r="D475" s="6"/>
      <c r="E475" s="11"/>
      <c r="F475" s="11"/>
      <c r="G475" s="11"/>
      <c r="H475" s="11"/>
      <c r="I475" s="26"/>
      <c r="J475" s="11"/>
      <c r="K475" s="11"/>
      <c r="L475" s="11"/>
      <c r="M475" s="11"/>
      <c r="N475" s="11"/>
    </row>
    <row x14ac:dyDescent="0.25" r="476" customHeight="1" ht="15.75">
      <c r="A476" s="11"/>
      <c r="B476" s="11"/>
      <c r="C476" s="6"/>
      <c r="D476" s="6"/>
      <c r="E476" s="11"/>
      <c r="F476" s="11"/>
      <c r="G476" s="11"/>
      <c r="H476" s="11"/>
      <c r="I476" s="26"/>
      <c r="J476" s="11"/>
      <c r="K476" s="11"/>
      <c r="L476" s="11"/>
      <c r="M476" s="11"/>
      <c r="N476" s="11"/>
    </row>
    <row x14ac:dyDescent="0.25" r="477" customHeight="1" ht="15.75">
      <c r="A477" s="11"/>
      <c r="B477" s="11"/>
      <c r="C477" s="6"/>
      <c r="D477" s="6"/>
      <c r="E477" s="11"/>
      <c r="F477" s="11"/>
      <c r="G477" s="11"/>
      <c r="H477" s="11"/>
      <c r="I477" s="26"/>
      <c r="J477" s="11"/>
      <c r="K477" s="11"/>
      <c r="L477" s="11"/>
      <c r="M477" s="11"/>
      <c r="N477" s="11"/>
    </row>
    <row x14ac:dyDescent="0.25" r="478" customHeight="1" ht="15.75">
      <c r="A478" s="11"/>
      <c r="B478" s="11"/>
      <c r="C478" s="6"/>
      <c r="D478" s="6"/>
      <c r="E478" s="11"/>
      <c r="F478" s="11"/>
      <c r="G478" s="11"/>
      <c r="H478" s="11"/>
      <c r="I478" s="26"/>
      <c r="J478" s="11"/>
      <c r="K478" s="11"/>
      <c r="L478" s="11"/>
      <c r="M478" s="11"/>
      <c r="N478" s="11"/>
    </row>
    <row x14ac:dyDescent="0.25" r="479" customHeight="1" ht="15.75">
      <c r="A479" s="11"/>
      <c r="B479" s="11"/>
      <c r="C479" s="6"/>
      <c r="D479" s="6"/>
      <c r="E479" s="11"/>
      <c r="F479" s="11"/>
      <c r="G479" s="11"/>
      <c r="H479" s="11"/>
      <c r="I479" s="26"/>
      <c r="J479" s="11"/>
      <c r="K479" s="11"/>
      <c r="L479" s="11"/>
      <c r="M479" s="11"/>
      <c r="N479" s="11"/>
    </row>
    <row x14ac:dyDescent="0.25" r="480" customHeight="1" ht="15.75">
      <c r="A480" s="11"/>
      <c r="B480" s="11"/>
      <c r="C480" s="6"/>
      <c r="D480" s="6"/>
      <c r="E480" s="11"/>
      <c r="F480" s="11"/>
      <c r="G480" s="11"/>
      <c r="H480" s="11"/>
      <c r="I480" s="26"/>
      <c r="J480" s="11"/>
      <c r="K480" s="11"/>
      <c r="L480" s="11"/>
      <c r="M480" s="11"/>
      <c r="N480" s="11"/>
    </row>
    <row x14ac:dyDescent="0.25" r="481" customHeight="1" ht="15.75">
      <c r="A481" s="11"/>
      <c r="B481" s="11"/>
      <c r="C481" s="6"/>
      <c r="D481" s="6"/>
      <c r="E481" s="11"/>
      <c r="F481" s="11"/>
      <c r="G481" s="11"/>
      <c r="H481" s="11"/>
      <c r="I481" s="26"/>
      <c r="J481" s="11"/>
      <c r="K481" s="11"/>
      <c r="L481" s="11"/>
      <c r="M481" s="11"/>
      <c r="N481" s="11"/>
    </row>
    <row x14ac:dyDescent="0.25" r="482" customHeight="1" ht="15.75">
      <c r="A482" s="11"/>
      <c r="B482" s="11"/>
      <c r="C482" s="6"/>
      <c r="D482" s="6"/>
      <c r="E482" s="11"/>
      <c r="F482" s="11"/>
      <c r="G482" s="11"/>
      <c r="H482" s="11"/>
      <c r="I482" s="26"/>
      <c r="J482" s="11"/>
      <c r="K482" s="11"/>
      <c r="L482" s="11"/>
      <c r="M482" s="11"/>
      <c r="N482" s="11"/>
    </row>
    <row x14ac:dyDescent="0.25" r="483" customHeight="1" ht="15.75">
      <c r="A483" s="11"/>
      <c r="B483" s="11"/>
      <c r="C483" s="6"/>
      <c r="D483" s="6"/>
      <c r="E483" s="11"/>
      <c r="F483" s="11"/>
      <c r="G483" s="11"/>
      <c r="H483" s="11"/>
      <c r="I483" s="26"/>
      <c r="J483" s="11"/>
      <c r="K483" s="11"/>
      <c r="L483" s="11"/>
      <c r="M483" s="11"/>
      <c r="N483" s="11"/>
    </row>
    <row x14ac:dyDescent="0.25" r="484" customHeight="1" ht="15.75">
      <c r="A484" s="11"/>
      <c r="B484" s="11"/>
      <c r="C484" s="6"/>
      <c r="D484" s="6"/>
      <c r="E484" s="11"/>
      <c r="F484" s="11"/>
      <c r="G484" s="11"/>
      <c r="H484" s="11"/>
      <c r="I484" s="26"/>
      <c r="J484" s="11"/>
      <c r="K484" s="11"/>
      <c r="L484" s="11"/>
      <c r="M484" s="11"/>
      <c r="N484" s="11"/>
    </row>
    <row x14ac:dyDescent="0.25" r="485" customHeight="1" ht="15.75">
      <c r="A485" s="11"/>
      <c r="B485" s="11"/>
      <c r="C485" s="6"/>
      <c r="D485" s="6"/>
      <c r="E485" s="11"/>
      <c r="F485" s="11"/>
      <c r="G485" s="11"/>
      <c r="H485" s="11"/>
      <c r="I485" s="26"/>
      <c r="J485" s="11"/>
      <c r="K485" s="11"/>
      <c r="L485" s="11"/>
      <c r="M485" s="11"/>
      <c r="N485" s="11"/>
    </row>
    <row x14ac:dyDescent="0.25" r="486" customHeight="1" ht="15.75">
      <c r="A486" s="11"/>
      <c r="B486" s="11"/>
      <c r="C486" s="6"/>
      <c r="D486" s="6"/>
      <c r="E486" s="11"/>
      <c r="F486" s="11"/>
      <c r="G486" s="11"/>
      <c r="H486" s="11"/>
      <c r="I486" s="26"/>
      <c r="J486" s="11"/>
      <c r="K486" s="11"/>
      <c r="L486" s="11"/>
      <c r="M486" s="11"/>
      <c r="N486" s="11"/>
    </row>
    <row x14ac:dyDescent="0.25" r="487" customHeight="1" ht="15.75">
      <c r="A487" s="11"/>
      <c r="B487" s="11"/>
      <c r="C487" s="6"/>
      <c r="D487" s="6"/>
      <c r="E487" s="11"/>
      <c r="F487" s="11"/>
      <c r="G487" s="11"/>
      <c r="H487" s="11"/>
      <c r="I487" s="26"/>
      <c r="J487" s="11"/>
      <c r="K487" s="11"/>
      <c r="L487" s="11"/>
      <c r="M487" s="11"/>
      <c r="N487" s="11"/>
    </row>
    <row x14ac:dyDescent="0.25" r="488" customHeight="1" ht="15.75">
      <c r="A488" s="11"/>
      <c r="B488" s="11"/>
      <c r="C488" s="6"/>
      <c r="D488" s="6"/>
      <c r="E488" s="11"/>
      <c r="F488" s="11"/>
      <c r="G488" s="11"/>
      <c r="H488" s="11"/>
      <c r="I488" s="26"/>
      <c r="J488" s="11"/>
      <c r="K488" s="11"/>
      <c r="L488" s="11"/>
      <c r="M488" s="11"/>
      <c r="N488" s="11"/>
    </row>
    <row x14ac:dyDescent="0.25" r="489" customHeight="1" ht="15.75">
      <c r="A489" s="11"/>
      <c r="B489" s="11"/>
      <c r="C489" s="6"/>
      <c r="D489" s="6"/>
      <c r="E489" s="11"/>
      <c r="F489" s="11"/>
      <c r="G489" s="11"/>
      <c r="H489" s="11"/>
      <c r="I489" s="26"/>
      <c r="J489" s="11"/>
      <c r="K489" s="11"/>
      <c r="L489" s="11"/>
      <c r="M489" s="11"/>
      <c r="N489" s="11"/>
    </row>
    <row x14ac:dyDescent="0.25" r="490" customHeight="1" ht="15.75">
      <c r="A490" s="11"/>
      <c r="B490" s="11"/>
      <c r="C490" s="6"/>
      <c r="D490" s="6"/>
      <c r="E490" s="11"/>
      <c r="F490" s="11"/>
      <c r="G490" s="11"/>
      <c r="H490" s="11"/>
      <c r="I490" s="26"/>
      <c r="J490" s="11"/>
      <c r="K490" s="11"/>
      <c r="L490" s="11"/>
      <c r="M490" s="11"/>
      <c r="N490" s="11"/>
    </row>
    <row x14ac:dyDescent="0.25" r="491" customHeight="1" ht="15.75">
      <c r="A491" s="11"/>
      <c r="B491" s="11"/>
      <c r="C491" s="6"/>
      <c r="D491" s="6"/>
      <c r="E491" s="11"/>
      <c r="F491" s="11"/>
      <c r="G491" s="11"/>
      <c r="H491" s="11"/>
      <c r="I491" s="26"/>
      <c r="J491" s="11"/>
      <c r="K491" s="11"/>
      <c r="L491" s="11"/>
      <c r="M491" s="11"/>
      <c r="N491" s="11"/>
    </row>
    <row x14ac:dyDescent="0.25" r="492" customHeight="1" ht="15.75">
      <c r="A492" s="11"/>
      <c r="B492" s="11"/>
      <c r="C492" s="6"/>
      <c r="D492" s="6"/>
      <c r="E492" s="11"/>
      <c r="F492" s="11"/>
      <c r="G492" s="11"/>
      <c r="H492" s="11"/>
      <c r="I492" s="26"/>
      <c r="J492" s="11"/>
      <c r="K492" s="11"/>
      <c r="L492" s="11"/>
      <c r="M492" s="11"/>
      <c r="N492" s="11"/>
    </row>
    <row x14ac:dyDescent="0.25" r="493" customHeight="1" ht="15.75">
      <c r="A493" s="11"/>
      <c r="B493" s="11"/>
      <c r="C493" s="6"/>
      <c r="D493" s="6"/>
      <c r="E493" s="11"/>
      <c r="F493" s="11"/>
      <c r="G493" s="11"/>
      <c r="H493" s="11"/>
      <c r="I493" s="26"/>
      <c r="J493" s="11"/>
      <c r="K493" s="11"/>
      <c r="L493" s="11"/>
      <c r="M493" s="11"/>
      <c r="N493" s="11"/>
    </row>
    <row x14ac:dyDescent="0.25" r="494" customHeight="1" ht="15.75">
      <c r="A494" s="11"/>
      <c r="B494" s="11"/>
      <c r="C494" s="6"/>
      <c r="D494" s="6"/>
      <c r="E494" s="11"/>
      <c r="F494" s="11"/>
      <c r="G494" s="11"/>
      <c r="H494" s="11"/>
      <c r="I494" s="26"/>
      <c r="J494" s="11"/>
      <c r="K494" s="11"/>
      <c r="L494" s="11"/>
      <c r="M494" s="11"/>
      <c r="N494" s="11"/>
    </row>
    <row x14ac:dyDescent="0.25" r="495" customHeight="1" ht="15.75">
      <c r="A495" s="11"/>
      <c r="B495" s="11"/>
      <c r="C495" s="6"/>
      <c r="D495" s="6"/>
      <c r="E495" s="11"/>
      <c r="F495" s="11"/>
      <c r="G495" s="11"/>
      <c r="H495" s="11"/>
      <c r="I495" s="26"/>
      <c r="J495" s="11"/>
      <c r="K495" s="11"/>
      <c r="L495" s="11"/>
      <c r="M495" s="11"/>
      <c r="N495" s="11"/>
    </row>
    <row x14ac:dyDescent="0.25" r="496" customHeight="1" ht="15.75">
      <c r="A496" s="11"/>
      <c r="B496" s="11"/>
      <c r="C496" s="6"/>
      <c r="D496" s="6"/>
      <c r="E496" s="11"/>
      <c r="F496" s="11"/>
      <c r="G496" s="11"/>
      <c r="H496" s="11"/>
      <c r="I496" s="26"/>
      <c r="J496" s="11"/>
      <c r="K496" s="11"/>
      <c r="L496" s="11"/>
      <c r="M496" s="11"/>
      <c r="N496" s="11"/>
    </row>
    <row x14ac:dyDescent="0.25" r="497" customHeight="1" ht="15.75">
      <c r="A497" s="11"/>
      <c r="B497" s="11"/>
      <c r="C497" s="6"/>
      <c r="D497" s="6"/>
      <c r="E497" s="11"/>
      <c r="F497" s="11"/>
      <c r="G497" s="11"/>
      <c r="H497" s="11"/>
      <c r="I497" s="26"/>
      <c r="J497" s="11"/>
      <c r="K497" s="11"/>
      <c r="L497" s="11"/>
      <c r="M497" s="11"/>
      <c r="N497" s="11"/>
    </row>
    <row x14ac:dyDescent="0.25" r="498" customHeight="1" ht="15.75">
      <c r="A498" s="11"/>
      <c r="B498" s="11"/>
      <c r="C498" s="6"/>
      <c r="D498" s="6"/>
      <c r="E498" s="11"/>
      <c r="F498" s="11"/>
      <c r="G498" s="11"/>
      <c r="H498" s="11"/>
      <c r="I498" s="26"/>
      <c r="J498" s="11"/>
      <c r="K498" s="11"/>
      <c r="L498" s="11"/>
      <c r="M498" s="11"/>
      <c r="N498" s="11"/>
    </row>
    <row x14ac:dyDescent="0.25" r="499" customHeight="1" ht="15.75">
      <c r="A499" s="11"/>
      <c r="B499" s="11"/>
      <c r="C499" s="6"/>
      <c r="D499" s="6"/>
      <c r="E499" s="11"/>
      <c r="F499" s="11"/>
      <c r="G499" s="11"/>
      <c r="H499" s="11"/>
      <c r="I499" s="26"/>
      <c r="J499" s="11"/>
      <c r="K499" s="11"/>
      <c r="L499" s="11"/>
      <c r="M499" s="11"/>
      <c r="N499" s="11"/>
    </row>
    <row x14ac:dyDescent="0.25" r="500" customHeight="1" ht="15.75">
      <c r="A500" s="11"/>
      <c r="B500" s="11"/>
      <c r="C500" s="6"/>
      <c r="D500" s="6"/>
      <c r="E500" s="11"/>
      <c r="F500" s="11"/>
      <c r="G500" s="11"/>
      <c r="H500" s="11"/>
      <c r="I500" s="26"/>
      <c r="J500" s="11"/>
      <c r="K500" s="11"/>
      <c r="L500" s="11"/>
      <c r="M500" s="11"/>
      <c r="N500" s="11"/>
    </row>
    <row x14ac:dyDescent="0.25" r="501" customHeight="1" ht="15.75">
      <c r="A501" s="11"/>
      <c r="B501" s="11"/>
      <c r="C501" s="6"/>
      <c r="D501" s="6"/>
      <c r="E501" s="11"/>
      <c r="F501" s="11"/>
      <c r="G501" s="11"/>
      <c r="H501" s="11"/>
      <c r="I501" s="26"/>
      <c r="J501" s="11"/>
      <c r="K501" s="11"/>
      <c r="L501" s="11"/>
      <c r="M501" s="11"/>
      <c r="N501" s="11"/>
    </row>
    <row x14ac:dyDescent="0.25" r="502" customHeight="1" ht="15.75">
      <c r="A502" s="11"/>
      <c r="B502" s="11"/>
      <c r="C502" s="6"/>
      <c r="D502" s="6"/>
      <c r="E502" s="11"/>
      <c r="F502" s="11"/>
      <c r="G502" s="11"/>
      <c r="H502" s="11"/>
      <c r="I502" s="26"/>
      <c r="J502" s="11"/>
      <c r="K502" s="11"/>
      <c r="L502" s="11"/>
      <c r="M502" s="11"/>
      <c r="N502" s="11"/>
    </row>
    <row x14ac:dyDescent="0.25" r="503" customHeight="1" ht="15.75">
      <c r="A503" s="11"/>
      <c r="B503" s="11"/>
      <c r="C503" s="6"/>
      <c r="D503" s="6"/>
      <c r="E503" s="11"/>
      <c r="F503" s="11"/>
      <c r="G503" s="11"/>
      <c r="H503" s="11"/>
      <c r="I503" s="26"/>
      <c r="J503" s="11"/>
      <c r="K503" s="11"/>
      <c r="L503" s="11"/>
      <c r="M503" s="11"/>
      <c r="N503" s="11"/>
    </row>
    <row x14ac:dyDescent="0.25" r="504" customHeight="1" ht="15.75">
      <c r="A504" s="11"/>
      <c r="B504" s="11"/>
      <c r="C504" s="6"/>
      <c r="D504" s="6"/>
      <c r="E504" s="11"/>
      <c r="F504" s="11"/>
      <c r="G504" s="11"/>
      <c r="H504" s="11"/>
      <c r="I504" s="26"/>
      <c r="J504" s="11"/>
      <c r="K504" s="11"/>
      <c r="L504" s="11"/>
      <c r="M504" s="11"/>
      <c r="N504" s="11"/>
    </row>
    <row x14ac:dyDescent="0.25" r="505" customHeight="1" ht="15.75">
      <c r="A505" s="11"/>
      <c r="B505" s="11"/>
      <c r="C505" s="6"/>
      <c r="D505" s="6"/>
      <c r="E505" s="11"/>
      <c r="F505" s="11"/>
      <c r="G505" s="11"/>
      <c r="H505" s="11"/>
      <c r="I505" s="26"/>
      <c r="J505" s="11"/>
      <c r="K505" s="11"/>
      <c r="L505" s="11"/>
      <c r="M505" s="11"/>
      <c r="N505" s="11"/>
    </row>
    <row x14ac:dyDescent="0.25" r="506" customHeight="1" ht="15.75">
      <c r="A506" s="11"/>
      <c r="B506" s="11"/>
      <c r="C506" s="6"/>
      <c r="D506" s="6"/>
      <c r="E506" s="11"/>
      <c r="F506" s="11"/>
      <c r="G506" s="11"/>
      <c r="H506" s="11"/>
      <c r="I506" s="26"/>
      <c r="J506" s="11"/>
      <c r="K506" s="11"/>
      <c r="L506" s="11"/>
      <c r="M506" s="11"/>
      <c r="N506" s="11"/>
    </row>
    <row x14ac:dyDescent="0.25" r="507" customHeight="1" ht="15.75">
      <c r="A507" s="11"/>
      <c r="B507" s="11"/>
      <c r="C507" s="6"/>
      <c r="D507" s="6"/>
      <c r="E507" s="11"/>
      <c r="F507" s="11"/>
      <c r="G507" s="11"/>
      <c r="H507" s="11"/>
      <c r="I507" s="26"/>
      <c r="J507" s="11"/>
      <c r="K507" s="11"/>
      <c r="L507" s="11"/>
      <c r="M507" s="11"/>
      <c r="N507" s="11"/>
    </row>
    <row x14ac:dyDescent="0.25" r="508" customHeight="1" ht="15.75">
      <c r="A508" s="11"/>
      <c r="B508" s="11"/>
      <c r="C508" s="6"/>
      <c r="D508" s="6"/>
      <c r="E508" s="11"/>
      <c r="F508" s="11"/>
      <c r="G508" s="11"/>
      <c r="H508" s="11"/>
      <c r="I508" s="26"/>
      <c r="J508" s="11"/>
      <c r="K508" s="11"/>
      <c r="L508" s="11"/>
      <c r="M508" s="11"/>
      <c r="N508" s="11"/>
    </row>
    <row x14ac:dyDescent="0.25" r="509" customHeight="1" ht="15.75">
      <c r="A509" s="11"/>
      <c r="B509" s="11"/>
      <c r="C509" s="6"/>
      <c r="D509" s="6"/>
      <c r="E509" s="11"/>
      <c r="F509" s="11"/>
      <c r="G509" s="11"/>
      <c r="H509" s="11"/>
      <c r="I509" s="26"/>
      <c r="J509" s="11"/>
      <c r="K509" s="11"/>
      <c r="L509" s="11"/>
      <c r="M509" s="11"/>
      <c r="N509" s="11"/>
    </row>
    <row x14ac:dyDescent="0.25" r="510" customHeight="1" ht="15.75">
      <c r="A510" s="11"/>
      <c r="B510" s="11"/>
      <c r="C510" s="6"/>
      <c r="D510" s="6"/>
      <c r="E510" s="11"/>
      <c r="F510" s="11"/>
      <c r="G510" s="11"/>
      <c r="H510" s="11"/>
      <c r="I510" s="26"/>
      <c r="J510" s="11"/>
      <c r="K510" s="11"/>
      <c r="L510" s="11"/>
      <c r="M510" s="11"/>
      <c r="N510" s="11"/>
    </row>
    <row x14ac:dyDescent="0.25" r="511" customHeight="1" ht="15.75">
      <c r="A511" s="11"/>
      <c r="B511" s="11"/>
      <c r="C511" s="6"/>
      <c r="D511" s="6"/>
      <c r="E511" s="11"/>
      <c r="F511" s="11"/>
      <c r="G511" s="11"/>
      <c r="H511" s="11"/>
      <c r="I511" s="26"/>
      <c r="J511" s="11"/>
      <c r="K511" s="11"/>
      <c r="L511" s="11"/>
      <c r="M511" s="11"/>
      <c r="N511" s="11"/>
    </row>
    <row x14ac:dyDescent="0.25" r="512" customHeight="1" ht="15.75">
      <c r="A512" s="11"/>
      <c r="B512" s="11"/>
      <c r="C512" s="6"/>
      <c r="D512" s="6"/>
      <c r="E512" s="11"/>
      <c r="F512" s="11"/>
      <c r="G512" s="11"/>
      <c r="H512" s="11"/>
      <c r="I512" s="26"/>
      <c r="J512" s="11"/>
      <c r="K512" s="11"/>
      <c r="L512" s="11"/>
      <c r="M512" s="11"/>
      <c r="N512" s="11"/>
    </row>
    <row x14ac:dyDescent="0.25" r="513" customHeight="1" ht="15.75">
      <c r="A513" s="11"/>
      <c r="B513" s="11"/>
      <c r="C513" s="6"/>
      <c r="D513" s="6"/>
      <c r="E513" s="11"/>
      <c r="F513" s="11"/>
      <c r="G513" s="11"/>
      <c r="H513" s="11"/>
      <c r="I513" s="26"/>
      <c r="J513" s="11"/>
      <c r="K513" s="11"/>
      <c r="L513" s="11"/>
      <c r="M513" s="11"/>
      <c r="N513" s="11"/>
    </row>
    <row x14ac:dyDescent="0.25" r="514" customHeight="1" ht="15.75">
      <c r="A514" s="11"/>
      <c r="B514" s="11"/>
      <c r="C514" s="6"/>
      <c r="D514" s="6"/>
      <c r="E514" s="11"/>
      <c r="F514" s="11"/>
      <c r="G514" s="11"/>
      <c r="H514" s="11"/>
      <c r="I514" s="26"/>
      <c r="J514" s="11"/>
      <c r="K514" s="11"/>
      <c r="L514" s="11"/>
      <c r="M514" s="11"/>
      <c r="N514" s="11"/>
    </row>
    <row x14ac:dyDescent="0.25" r="515" customHeight="1" ht="15.75">
      <c r="A515" s="11"/>
      <c r="B515" s="11"/>
      <c r="C515" s="6"/>
      <c r="D515" s="6"/>
      <c r="E515" s="11"/>
      <c r="F515" s="11"/>
      <c r="G515" s="11"/>
      <c r="H515" s="11"/>
      <c r="I515" s="26"/>
      <c r="J515" s="11"/>
      <c r="K515" s="11"/>
      <c r="L515" s="11"/>
      <c r="M515" s="11"/>
      <c r="N515" s="11"/>
    </row>
    <row x14ac:dyDescent="0.25" r="516" customHeight="1" ht="15.75">
      <c r="A516" s="11"/>
      <c r="B516" s="11"/>
      <c r="C516" s="6"/>
      <c r="D516" s="6"/>
      <c r="E516" s="11"/>
      <c r="F516" s="11"/>
      <c r="G516" s="11"/>
      <c r="H516" s="11"/>
      <c r="I516" s="26"/>
      <c r="J516" s="11"/>
      <c r="K516" s="11"/>
      <c r="L516" s="11"/>
      <c r="M516" s="11"/>
      <c r="N516" s="11"/>
    </row>
    <row x14ac:dyDescent="0.25" r="517" customHeight="1" ht="15.75">
      <c r="A517" s="11"/>
      <c r="B517" s="11"/>
      <c r="C517" s="6"/>
      <c r="D517" s="6"/>
      <c r="E517" s="11"/>
      <c r="F517" s="11"/>
      <c r="G517" s="11"/>
      <c r="H517" s="11"/>
      <c r="I517" s="26"/>
      <c r="J517" s="11"/>
      <c r="K517" s="11"/>
      <c r="L517" s="11"/>
      <c r="M517" s="11"/>
      <c r="N517" s="11"/>
    </row>
    <row x14ac:dyDescent="0.25" r="518" customHeight="1" ht="15.75">
      <c r="A518" s="11"/>
      <c r="B518" s="11"/>
      <c r="C518" s="6"/>
      <c r="D518" s="6"/>
      <c r="E518" s="11"/>
      <c r="F518" s="11"/>
      <c r="G518" s="11"/>
      <c r="H518" s="11"/>
      <c r="I518" s="26"/>
      <c r="J518" s="11"/>
      <c r="K518" s="11"/>
      <c r="L518" s="11"/>
      <c r="M518" s="11"/>
      <c r="N518" s="11"/>
    </row>
    <row x14ac:dyDescent="0.25" r="519" customHeight="1" ht="15.75">
      <c r="A519" s="11"/>
      <c r="B519" s="11"/>
      <c r="C519" s="6"/>
      <c r="D519" s="6"/>
      <c r="E519" s="11"/>
      <c r="F519" s="11"/>
      <c r="G519" s="11"/>
      <c r="H519" s="11"/>
      <c r="I519" s="26"/>
      <c r="J519" s="11"/>
      <c r="K519" s="11"/>
      <c r="L519" s="11"/>
      <c r="M519" s="11"/>
      <c r="N519" s="11"/>
    </row>
    <row x14ac:dyDescent="0.25" r="520" customHeight="1" ht="15.75">
      <c r="A520" s="11"/>
      <c r="B520" s="11"/>
      <c r="C520" s="6"/>
      <c r="D520" s="6"/>
      <c r="E520" s="11"/>
      <c r="F520" s="11"/>
      <c r="G520" s="11"/>
      <c r="H520" s="11"/>
      <c r="I520" s="26"/>
      <c r="J520" s="11"/>
      <c r="K520" s="11"/>
      <c r="L520" s="11"/>
      <c r="M520" s="11"/>
      <c r="N520" s="11"/>
    </row>
    <row x14ac:dyDescent="0.25" r="521" customHeight="1" ht="15.75">
      <c r="A521" s="11"/>
      <c r="B521" s="11"/>
      <c r="C521" s="6"/>
      <c r="D521" s="6"/>
      <c r="E521" s="11"/>
      <c r="F521" s="11"/>
      <c r="G521" s="11"/>
      <c r="H521" s="11"/>
      <c r="I521" s="26"/>
      <c r="J521" s="11"/>
      <c r="K521" s="11"/>
      <c r="L521" s="11"/>
      <c r="M521" s="11"/>
      <c r="N521" s="11"/>
    </row>
    <row x14ac:dyDescent="0.25" r="522" customHeight="1" ht="15.75">
      <c r="A522" s="11"/>
      <c r="B522" s="11"/>
      <c r="C522" s="6"/>
      <c r="D522" s="6"/>
      <c r="E522" s="11"/>
      <c r="F522" s="11"/>
      <c r="G522" s="11"/>
      <c r="H522" s="11"/>
      <c r="I522" s="26"/>
      <c r="J522" s="11"/>
      <c r="K522" s="11"/>
      <c r="L522" s="11"/>
      <c r="M522" s="11"/>
      <c r="N522" s="11"/>
    </row>
    <row x14ac:dyDescent="0.25" r="523" customHeight="1" ht="15.75">
      <c r="A523" s="11"/>
      <c r="B523" s="11"/>
      <c r="C523" s="6"/>
      <c r="D523" s="6"/>
      <c r="E523" s="11"/>
      <c r="F523" s="11"/>
      <c r="G523" s="11"/>
      <c r="H523" s="11"/>
      <c r="I523" s="26"/>
      <c r="J523" s="11"/>
      <c r="K523" s="11"/>
      <c r="L523" s="11"/>
      <c r="M523" s="11"/>
      <c r="N523" s="11"/>
    </row>
    <row x14ac:dyDescent="0.25" r="524" customHeight="1" ht="15.75">
      <c r="A524" s="11"/>
      <c r="B524" s="11"/>
      <c r="C524" s="6"/>
      <c r="D524" s="6"/>
      <c r="E524" s="11"/>
      <c r="F524" s="11"/>
      <c r="G524" s="11"/>
      <c r="H524" s="11"/>
      <c r="I524" s="26"/>
      <c r="J524" s="11"/>
      <c r="K524" s="11"/>
      <c r="L524" s="11"/>
      <c r="M524" s="11"/>
      <c r="N524" s="11"/>
    </row>
    <row x14ac:dyDescent="0.25" r="525" customHeight="1" ht="15.75">
      <c r="A525" s="11"/>
      <c r="B525" s="11"/>
      <c r="C525" s="6"/>
      <c r="D525" s="6"/>
      <c r="E525" s="11"/>
      <c r="F525" s="11"/>
      <c r="G525" s="11"/>
      <c r="H525" s="11"/>
      <c r="I525" s="26"/>
      <c r="J525" s="11"/>
      <c r="K525" s="11"/>
      <c r="L525" s="11"/>
      <c r="M525" s="11"/>
      <c r="N525" s="11"/>
    </row>
    <row x14ac:dyDescent="0.25" r="526" customHeight="1" ht="15.75">
      <c r="A526" s="11"/>
      <c r="B526" s="11"/>
      <c r="C526" s="6"/>
      <c r="D526" s="6"/>
      <c r="E526" s="11"/>
      <c r="F526" s="11"/>
      <c r="G526" s="11"/>
      <c r="H526" s="11"/>
      <c r="I526" s="26"/>
      <c r="J526" s="11"/>
      <c r="K526" s="11"/>
      <c r="L526" s="11"/>
      <c r="M526" s="11"/>
      <c r="N526" s="11"/>
    </row>
    <row x14ac:dyDescent="0.25" r="527" customHeight="1" ht="15.75">
      <c r="A527" s="11"/>
      <c r="B527" s="11"/>
      <c r="C527" s="6"/>
      <c r="D527" s="6"/>
      <c r="E527" s="11"/>
      <c r="F527" s="11"/>
      <c r="G527" s="11"/>
      <c r="H527" s="11"/>
      <c r="I527" s="26"/>
      <c r="J527" s="11"/>
      <c r="K527" s="11"/>
      <c r="L527" s="11"/>
      <c r="M527" s="11"/>
      <c r="N527" s="11"/>
    </row>
    <row x14ac:dyDescent="0.25" r="528" customHeight="1" ht="15.75">
      <c r="A528" s="11"/>
      <c r="B528" s="11"/>
      <c r="C528" s="6"/>
      <c r="D528" s="6"/>
      <c r="E528" s="11"/>
      <c r="F528" s="11"/>
      <c r="G528" s="11"/>
      <c r="H528" s="11"/>
      <c r="I528" s="26"/>
      <c r="J528" s="11"/>
      <c r="K528" s="11"/>
      <c r="L528" s="11"/>
      <c r="M528" s="11"/>
      <c r="N528" s="11"/>
    </row>
    <row x14ac:dyDescent="0.25" r="529" customHeight="1" ht="15.75">
      <c r="A529" s="11"/>
      <c r="B529" s="11"/>
      <c r="C529" s="6"/>
      <c r="D529" s="6"/>
      <c r="E529" s="11"/>
      <c r="F529" s="11"/>
      <c r="G529" s="11"/>
      <c r="H529" s="11"/>
      <c r="I529" s="26"/>
      <c r="J529" s="11"/>
      <c r="K529" s="11"/>
      <c r="L529" s="11"/>
      <c r="M529" s="11"/>
      <c r="N529" s="11"/>
    </row>
    <row x14ac:dyDescent="0.25" r="530" customHeight="1" ht="15.75">
      <c r="A530" s="11"/>
      <c r="B530" s="11"/>
      <c r="C530" s="6"/>
      <c r="D530" s="6"/>
      <c r="E530" s="11"/>
      <c r="F530" s="11"/>
      <c r="G530" s="11"/>
      <c r="H530" s="11"/>
      <c r="I530" s="26"/>
      <c r="J530" s="11"/>
      <c r="K530" s="11"/>
      <c r="L530" s="11"/>
      <c r="M530" s="11"/>
      <c r="N530" s="11"/>
    </row>
    <row x14ac:dyDescent="0.25" r="531" customHeight="1" ht="15.75">
      <c r="A531" s="11"/>
      <c r="B531" s="11"/>
      <c r="C531" s="6"/>
      <c r="D531" s="6"/>
      <c r="E531" s="11"/>
      <c r="F531" s="11"/>
      <c r="G531" s="11"/>
      <c r="H531" s="11"/>
      <c r="I531" s="26"/>
      <c r="J531" s="11"/>
      <c r="K531" s="11"/>
      <c r="L531" s="11"/>
      <c r="M531" s="11"/>
      <c r="N531" s="11"/>
    </row>
    <row x14ac:dyDescent="0.25" r="532" customHeight="1" ht="15.75">
      <c r="A532" s="11"/>
      <c r="B532" s="11"/>
      <c r="C532" s="6"/>
      <c r="D532" s="6"/>
      <c r="E532" s="11"/>
      <c r="F532" s="11"/>
      <c r="G532" s="11"/>
      <c r="H532" s="11"/>
      <c r="I532" s="26"/>
      <c r="J532" s="11"/>
      <c r="K532" s="11"/>
      <c r="L532" s="11"/>
      <c r="M532" s="11"/>
      <c r="N532" s="11"/>
    </row>
    <row x14ac:dyDescent="0.25" r="533" customHeight="1" ht="15.75">
      <c r="A533" s="11"/>
      <c r="B533" s="11"/>
      <c r="C533" s="6"/>
      <c r="D533" s="6"/>
      <c r="E533" s="11"/>
      <c r="F533" s="11"/>
      <c r="G533" s="11"/>
      <c r="H533" s="11"/>
      <c r="I533" s="26"/>
      <c r="J533" s="11"/>
      <c r="K533" s="11"/>
      <c r="L533" s="11"/>
      <c r="M533" s="11"/>
      <c r="N533" s="11"/>
    </row>
    <row x14ac:dyDescent="0.25" r="534" customHeight="1" ht="15.75">
      <c r="A534" s="11"/>
      <c r="B534" s="11"/>
      <c r="C534" s="6"/>
      <c r="D534" s="6"/>
      <c r="E534" s="11"/>
      <c r="F534" s="11"/>
      <c r="G534" s="11"/>
      <c r="H534" s="11"/>
      <c r="I534" s="26"/>
      <c r="J534" s="11"/>
      <c r="K534" s="11"/>
      <c r="L534" s="11"/>
      <c r="M534" s="11"/>
      <c r="N534" s="11"/>
    </row>
    <row x14ac:dyDescent="0.25" r="535" customHeight="1" ht="15.75">
      <c r="A535" s="11"/>
      <c r="B535" s="11"/>
      <c r="C535" s="6"/>
      <c r="D535" s="6"/>
      <c r="E535" s="11"/>
      <c r="F535" s="11"/>
      <c r="G535" s="11"/>
      <c r="H535" s="11"/>
      <c r="I535" s="26"/>
      <c r="J535" s="11"/>
      <c r="K535" s="11"/>
      <c r="L535" s="11"/>
      <c r="M535" s="11"/>
      <c r="N535" s="11"/>
    </row>
    <row x14ac:dyDescent="0.25" r="536" customHeight="1" ht="15.75">
      <c r="A536" s="11"/>
      <c r="B536" s="11"/>
      <c r="C536" s="6"/>
      <c r="D536" s="6"/>
      <c r="E536" s="11"/>
      <c r="F536" s="11"/>
      <c r="G536" s="11"/>
      <c r="H536" s="11"/>
      <c r="I536" s="26"/>
      <c r="J536" s="11"/>
      <c r="K536" s="11"/>
      <c r="L536" s="11"/>
      <c r="M536" s="11"/>
      <c r="N536" s="11"/>
    </row>
    <row x14ac:dyDescent="0.25" r="537" customHeight="1" ht="15.75">
      <c r="A537" s="11"/>
      <c r="B537" s="11"/>
      <c r="C537" s="6"/>
      <c r="D537" s="6"/>
      <c r="E537" s="11"/>
      <c r="F537" s="11"/>
      <c r="G537" s="11"/>
      <c r="H537" s="11"/>
      <c r="I537" s="26"/>
      <c r="J537" s="11"/>
      <c r="K537" s="11"/>
      <c r="L537" s="11"/>
      <c r="M537" s="11"/>
      <c r="N537" s="11"/>
    </row>
    <row x14ac:dyDescent="0.25" r="538" customHeight="1" ht="15.75">
      <c r="A538" s="11"/>
      <c r="B538" s="11"/>
      <c r="C538" s="6"/>
      <c r="D538" s="6"/>
      <c r="E538" s="11"/>
      <c r="F538" s="11"/>
      <c r="G538" s="11"/>
      <c r="H538" s="11"/>
      <c r="I538" s="26"/>
      <c r="J538" s="11"/>
      <c r="K538" s="11"/>
      <c r="L538" s="11"/>
      <c r="M538" s="11"/>
      <c r="N538" s="11"/>
    </row>
    <row x14ac:dyDescent="0.25" r="539" customHeight="1" ht="15.75">
      <c r="A539" s="11"/>
      <c r="B539" s="11"/>
      <c r="C539" s="6"/>
      <c r="D539" s="6"/>
      <c r="E539" s="11"/>
      <c r="F539" s="11"/>
      <c r="G539" s="11"/>
      <c r="H539" s="11"/>
      <c r="I539" s="26"/>
      <c r="J539" s="11"/>
      <c r="K539" s="11"/>
      <c r="L539" s="11"/>
      <c r="M539" s="11"/>
      <c r="N539" s="11"/>
    </row>
    <row x14ac:dyDescent="0.25" r="540" customHeight="1" ht="15.75">
      <c r="A540" s="11"/>
      <c r="B540" s="11"/>
      <c r="C540" s="6"/>
      <c r="D540" s="6"/>
      <c r="E540" s="11"/>
      <c r="F540" s="11"/>
      <c r="G540" s="11"/>
      <c r="H540" s="11"/>
      <c r="I540" s="26"/>
      <c r="J540" s="11"/>
      <c r="K540" s="11"/>
      <c r="L540" s="11"/>
      <c r="M540" s="11"/>
      <c r="N540" s="11"/>
    </row>
    <row x14ac:dyDescent="0.25" r="541" customHeight="1" ht="15.75">
      <c r="A541" s="11"/>
      <c r="B541" s="11"/>
      <c r="C541" s="6"/>
      <c r="D541" s="6"/>
      <c r="E541" s="11"/>
      <c r="F541" s="11"/>
      <c r="G541" s="11"/>
      <c r="H541" s="11"/>
      <c r="I541" s="26"/>
      <c r="J541" s="11"/>
      <c r="K541" s="11"/>
      <c r="L541" s="11"/>
      <c r="M541" s="11"/>
      <c r="N541" s="11"/>
    </row>
    <row x14ac:dyDescent="0.25" r="542" customHeight="1" ht="15.75">
      <c r="A542" s="11"/>
      <c r="B542" s="11"/>
      <c r="C542" s="6"/>
      <c r="D542" s="6"/>
      <c r="E542" s="11"/>
      <c r="F542" s="11"/>
      <c r="G542" s="11"/>
      <c r="H542" s="11"/>
      <c r="I542" s="26"/>
      <c r="J542" s="11"/>
      <c r="K542" s="11"/>
      <c r="L542" s="11"/>
      <c r="M542" s="11"/>
      <c r="N542" s="11"/>
    </row>
    <row x14ac:dyDescent="0.25" r="543" customHeight="1" ht="15.75">
      <c r="A543" s="11"/>
      <c r="B543" s="11"/>
      <c r="C543" s="6"/>
      <c r="D543" s="6"/>
      <c r="E543" s="11"/>
      <c r="F543" s="11"/>
      <c r="G543" s="11"/>
      <c r="H543" s="11"/>
      <c r="I543" s="26"/>
      <c r="J543" s="11"/>
      <c r="K543" s="11"/>
      <c r="L543" s="11"/>
      <c r="M543" s="11"/>
      <c r="N543" s="11"/>
    </row>
    <row x14ac:dyDescent="0.25" r="544" customHeight="1" ht="15.75">
      <c r="A544" s="11"/>
      <c r="B544" s="11"/>
      <c r="C544" s="6"/>
      <c r="D544" s="6"/>
      <c r="E544" s="11"/>
      <c r="F544" s="11"/>
      <c r="G544" s="11"/>
      <c r="H544" s="11"/>
      <c r="I544" s="26"/>
      <c r="J544" s="11"/>
      <c r="K544" s="11"/>
      <c r="L544" s="11"/>
      <c r="M544" s="11"/>
      <c r="N544" s="11"/>
    </row>
    <row x14ac:dyDescent="0.25" r="545" customHeight="1" ht="15.75">
      <c r="A545" s="11"/>
      <c r="B545" s="11"/>
      <c r="C545" s="6"/>
      <c r="D545" s="6"/>
      <c r="E545" s="11"/>
      <c r="F545" s="11"/>
      <c r="G545" s="11"/>
      <c r="H545" s="11"/>
      <c r="I545" s="26"/>
      <c r="J545" s="11"/>
      <c r="K545" s="11"/>
      <c r="L545" s="11"/>
      <c r="M545" s="11"/>
      <c r="N545" s="11"/>
    </row>
    <row x14ac:dyDescent="0.25" r="546" customHeight="1" ht="15.75">
      <c r="A546" s="11"/>
      <c r="B546" s="11"/>
      <c r="C546" s="6"/>
      <c r="D546" s="6"/>
      <c r="E546" s="11"/>
      <c r="F546" s="11"/>
      <c r="G546" s="11"/>
      <c r="H546" s="11"/>
      <c r="I546" s="26"/>
      <c r="J546" s="11"/>
      <c r="K546" s="11"/>
      <c r="L546" s="11"/>
      <c r="M546" s="11"/>
      <c r="N546" s="11"/>
    </row>
    <row x14ac:dyDescent="0.25" r="547" customHeight="1" ht="15.75">
      <c r="A547" s="11"/>
      <c r="B547" s="11"/>
      <c r="C547" s="6"/>
      <c r="D547" s="6"/>
      <c r="E547" s="11"/>
      <c r="F547" s="11"/>
      <c r="G547" s="11"/>
      <c r="H547" s="11"/>
      <c r="I547" s="26"/>
      <c r="J547" s="11"/>
      <c r="K547" s="11"/>
      <c r="L547" s="11"/>
      <c r="M547" s="11"/>
      <c r="N547" s="11"/>
    </row>
    <row x14ac:dyDescent="0.25" r="548" customHeight="1" ht="15.75">
      <c r="A548" s="11"/>
      <c r="B548" s="11"/>
      <c r="C548" s="6"/>
      <c r="D548" s="6"/>
      <c r="E548" s="11"/>
      <c r="F548" s="11"/>
      <c r="G548" s="11"/>
      <c r="H548" s="11"/>
      <c r="I548" s="26"/>
      <c r="J548" s="11"/>
      <c r="K548" s="11"/>
      <c r="L548" s="11"/>
      <c r="M548" s="11"/>
      <c r="N548" s="11"/>
    </row>
    <row x14ac:dyDescent="0.25" r="549" customHeight="1" ht="15.75">
      <c r="A549" s="11"/>
      <c r="B549" s="11"/>
      <c r="C549" s="6"/>
      <c r="D549" s="6"/>
      <c r="E549" s="11"/>
      <c r="F549" s="11"/>
      <c r="G549" s="11"/>
      <c r="H549" s="11"/>
      <c r="I549" s="26"/>
      <c r="J549" s="11"/>
      <c r="K549" s="11"/>
      <c r="L549" s="11"/>
      <c r="M549" s="11"/>
      <c r="N549" s="11"/>
    </row>
    <row x14ac:dyDescent="0.25" r="550" customHeight="1" ht="15.75">
      <c r="A550" s="11"/>
      <c r="B550" s="11"/>
      <c r="C550" s="6"/>
      <c r="D550" s="6"/>
      <c r="E550" s="11"/>
      <c r="F550" s="11"/>
      <c r="G550" s="11"/>
      <c r="H550" s="11"/>
      <c r="I550" s="26"/>
      <c r="J550" s="11"/>
      <c r="K550" s="11"/>
      <c r="L550" s="11"/>
      <c r="M550" s="11"/>
      <c r="N550" s="11"/>
    </row>
    <row x14ac:dyDescent="0.25" r="551" customHeight="1" ht="15.75">
      <c r="A551" s="11"/>
      <c r="B551" s="11"/>
      <c r="C551" s="6"/>
      <c r="D551" s="6"/>
      <c r="E551" s="11"/>
      <c r="F551" s="11"/>
      <c r="G551" s="11"/>
      <c r="H551" s="11"/>
      <c r="I551" s="26"/>
      <c r="J551" s="11"/>
      <c r="K551" s="11"/>
      <c r="L551" s="11"/>
      <c r="M551" s="11"/>
      <c r="N551" s="11"/>
    </row>
    <row x14ac:dyDescent="0.25" r="552" customHeight="1" ht="15.75">
      <c r="A552" s="11"/>
      <c r="B552" s="11"/>
      <c r="C552" s="6"/>
      <c r="D552" s="6"/>
      <c r="E552" s="11"/>
      <c r="F552" s="11"/>
      <c r="G552" s="11"/>
      <c r="H552" s="11"/>
      <c r="I552" s="26"/>
      <c r="J552" s="11"/>
      <c r="K552" s="11"/>
      <c r="L552" s="11"/>
      <c r="M552" s="11"/>
      <c r="N552" s="11"/>
    </row>
    <row x14ac:dyDescent="0.25" r="553" customHeight="1" ht="15.75">
      <c r="A553" s="11"/>
      <c r="B553" s="11"/>
      <c r="C553" s="6"/>
      <c r="D553" s="6"/>
      <c r="E553" s="11"/>
      <c r="F553" s="11"/>
      <c r="G553" s="11"/>
      <c r="H553" s="11"/>
      <c r="I553" s="26"/>
      <c r="J553" s="11"/>
      <c r="K553" s="11"/>
      <c r="L553" s="11"/>
      <c r="M553" s="11"/>
      <c r="N553" s="11"/>
    </row>
    <row x14ac:dyDescent="0.25" r="554" customHeight="1" ht="15.75">
      <c r="A554" s="11"/>
      <c r="B554" s="11"/>
      <c r="C554" s="6"/>
      <c r="D554" s="6"/>
      <c r="E554" s="11"/>
      <c r="F554" s="11"/>
      <c r="G554" s="11"/>
      <c r="H554" s="11"/>
      <c r="I554" s="26"/>
      <c r="J554" s="11"/>
      <c r="K554" s="11"/>
      <c r="L554" s="11"/>
      <c r="M554" s="11"/>
      <c r="N554" s="11"/>
    </row>
    <row x14ac:dyDescent="0.25" r="555" customHeight="1" ht="15.75">
      <c r="A555" s="11"/>
      <c r="B555" s="11"/>
      <c r="C555" s="6"/>
      <c r="D555" s="6"/>
      <c r="E555" s="11"/>
      <c r="F555" s="11"/>
      <c r="G555" s="11"/>
      <c r="H555" s="11"/>
      <c r="I555" s="26"/>
      <c r="J555" s="11"/>
      <c r="K555" s="11"/>
      <c r="L555" s="11"/>
      <c r="M555" s="11"/>
      <c r="N555" s="11"/>
    </row>
    <row x14ac:dyDescent="0.25" r="556" customHeight="1" ht="15.75">
      <c r="A556" s="11"/>
      <c r="B556" s="11"/>
      <c r="C556" s="6"/>
      <c r="D556" s="6"/>
      <c r="E556" s="11"/>
      <c r="F556" s="11"/>
      <c r="G556" s="11"/>
      <c r="H556" s="11"/>
      <c r="I556" s="26"/>
      <c r="J556" s="11"/>
      <c r="K556" s="11"/>
      <c r="L556" s="11"/>
      <c r="M556" s="11"/>
      <c r="N556" s="11"/>
    </row>
    <row x14ac:dyDescent="0.25" r="557" customHeight="1" ht="15.75">
      <c r="A557" s="11"/>
      <c r="B557" s="11"/>
      <c r="C557" s="6"/>
      <c r="D557" s="6"/>
      <c r="E557" s="11"/>
      <c r="F557" s="11"/>
      <c r="G557" s="11"/>
      <c r="H557" s="11"/>
      <c r="I557" s="26"/>
      <c r="J557" s="11"/>
      <c r="K557" s="11"/>
      <c r="L557" s="11"/>
      <c r="M557" s="11"/>
      <c r="N557" s="11"/>
    </row>
    <row x14ac:dyDescent="0.25" r="558" customHeight="1" ht="15.75">
      <c r="A558" s="11"/>
      <c r="B558" s="11"/>
      <c r="C558" s="6"/>
      <c r="D558" s="6"/>
      <c r="E558" s="11"/>
      <c r="F558" s="11"/>
      <c r="G558" s="11"/>
      <c r="H558" s="11"/>
      <c r="I558" s="26"/>
      <c r="J558" s="11"/>
      <c r="K558" s="11"/>
      <c r="L558" s="11"/>
      <c r="M558" s="11"/>
      <c r="N558" s="11"/>
    </row>
    <row x14ac:dyDescent="0.25" r="559" customHeight="1" ht="15.75">
      <c r="A559" s="11"/>
      <c r="B559" s="11"/>
      <c r="C559" s="6"/>
      <c r="D559" s="6"/>
      <c r="E559" s="11"/>
      <c r="F559" s="11"/>
      <c r="G559" s="11"/>
      <c r="H559" s="11"/>
      <c r="I559" s="26"/>
      <c r="J559" s="11"/>
      <c r="K559" s="11"/>
      <c r="L559" s="11"/>
      <c r="M559" s="11"/>
      <c r="N559" s="11"/>
    </row>
    <row x14ac:dyDescent="0.25" r="560" customHeight="1" ht="15.75">
      <c r="A560" s="11"/>
      <c r="B560" s="11"/>
      <c r="C560" s="6"/>
      <c r="D560" s="6"/>
      <c r="E560" s="11"/>
      <c r="F560" s="11"/>
      <c r="G560" s="11"/>
      <c r="H560" s="11"/>
      <c r="I560" s="26"/>
      <c r="J560" s="11"/>
      <c r="K560" s="11"/>
      <c r="L560" s="11"/>
      <c r="M560" s="11"/>
      <c r="N560" s="11"/>
    </row>
    <row x14ac:dyDescent="0.25" r="561" customHeight="1" ht="15.75">
      <c r="A561" s="11"/>
      <c r="B561" s="11"/>
      <c r="C561" s="6"/>
      <c r="D561" s="6"/>
      <c r="E561" s="11"/>
      <c r="F561" s="11"/>
      <c r="G561" s="11"/>
      <c r="H561" s="11"/>
      <c r="I561" s="26"/>
      <c r="J561" s="11"/>
      <c r="K561" s="11"/>
      <c r="L561" s="11"/>
      <c r="M561" s="11"/>
      <c r="N561" s="11"/>
    </row>
    <row x14ac:dyDescent="0.25" r="562" customHeight="1" ht="15.75">
      <c r="A562" s="11"/>
      <c r="B562" s="11"/>
      <c r="C562" s="6"/>
      <c r="D562" s="6"/>
      <c r="E562" s="11"/>
      <c r="F562" s="11"/>
      <c r="G562" s="11"/>
      <c r="H562" s="11"/>
      <c r="I562" s="26"/>
      <c r="J562" s="11"/>
      <c r="K562" s="11"/>
      <c r="L562" s="11"/>
      <c r="M562" s="11"/>
      <c r="N562" s="11"/>
    </row>
    <row x14ac:dyDescent="0.25" r="563" customHeight="1" ht="15.75">
      <c r="A563" s="11"/>
      <c r="B563" s="11"/>
      <c r="C563" s="6"/>
      <c r="D563" s="6"/>
      <c r="E563" s="11"/>
      <c r="F563" s="11"/>
      <c r="G563" s="11"/>
      <c r="H563" s="11"/>
      <c r="I563" s="26"/>
      <c r="J563" s="11"/>
      <c r="K563" s="11"/>
      <c r="L563" s="11"/>
      <c r="M563" s="11"/>
      <c r="N563" s="11"/>
    </row>
    <row x14ac:dyDescent="0.25" r="564" customHeight="1" ht="15.75">
      <c r="A564" s="11"/>
      <c r="B564" s="11"/>
      <c r="C564" s="6"/>
      <c r="D564" s="6"/>
      <c r="E564" s="11"/>
      <c r="F564" s="11"/>
      <c r="G564" s="11"/>
      <c r="H564" s="11"/>
      <c r="I564" s="26"/>
      <c r="J564" s="11"/>
      <c r="K564" s="11"/>
      <c r="L564" s="11"/>
      <c r="M564" s="11"/>
      <c r="N564" s="11"/>
    </row>
    <row x14ac:dyDescent="0.25" r="565" customHeight="1" ht="15.75">
      <c r="A565" s="11"/>
      <c r="B565" s="11"/>
      <c r="C565" s="6"/>
      <c r="D565" s="6"/>
      <c r="E565" s="11"/>
      <c r="F565" s="11"/>
      <c r="G565" s="11"/>
      <c r="H565" s="11"/>
      <c r="I565" s="26"/>
      <c r="J565" s="11"/>
      <c r="K565" s="11"/>
      <c r="L565" s="11"/>
      <c r="M565" s="11"/>
      <c r="N565" s="11"/>
    </row>
    <row x14ac:dyDescent="0.25" r="566" customHeight="1" ht="15.75">
      <c r="A566" s="11"/>
      <c r="B566" s="11"/>
      <c r="C566" s="6"/>
      <c r="D566" s="6"/>
      <c r="E566" s="11"/>
      <c r="F566" s="11"/>
      <c r="G566" s="11"/>
      <c r="H566" s="11"/>
      <c r="I566" s="26"/>
      <c r="J566" s="11"/>
      <c r="K566" s="11"/>
      <c r="L566" s="11"/>
      <c r="M566" s="11"/>
      <c r="N566" s="11"/>
    </row>
    <row x14ac:dyDescent="0.25" r="567" customHeight="1" ht="15.75">
      <c r="A567" s="11"/>
      <c r="B567" s="11"/>
      <c r="C567" s="6"/>
      <c r="D567" s="6"/>
      <c r="E567" s="11"/>
      <c r="F567" s="11"/>
      <c r="G567" s="11"/>
      <c r="H567" s="11"/>
      <c r="I567" s="26"/>
      <c r="J567" s="11"/>
      <c r="K567" s="11"/>
      <c r="L567" s="11"/>
      <c r="M567" s="11"/>
      <c r="N567" s="11"/>
    </row>
    <row x14ac:dyDescent="0.25" r="568" customHeight="1" ht="15.75">
      <c r="A568" s="11"/>
      <c r="B568" s="11"/>
      <c r="C568" s="6"/>
      <c r="D568" s="6"/>
      <c r="E568" s="11"/>
      <c r="F568" s="11"/>
      <c r="G568" s="11"/>
      <c r="H568" s="11"/>
      <c r="I568" s="26"/>
      <c r="J568" s="11"/>
      <c r="K568" s="11"/>
      <c r="L568" s="11"/>
      <c r="M568" s="11"/>
      <c r="N568" s="11"/>
    </row>
    <row x14ac:dyDescent="0.25" r="569" customHeight="1" ht="15.75">
      <c r="A569" s="11"/>
      <c r="B569" s="11"/>
      <c r="C569" s="6"/>
      <c r="D569" s="6"/>
      <c r="E569" s="11"/>
      <c r="F569" s="11"/>
      <c r="G569" s="11"/>
      <c r="H569" s="11"/>
      <c r="I569" s="26"/>
      <c r="J569" s="11"/>
      <c r="K569" s="11"/>
      <c r="L569" s="11"/>
      <c r="M569" s="11"/>
      <c r="N569" s="11"/>
    </row>
    <row x14ac:dyDescent="0.25" r="570" customHeight="1" ht="15.75">
      <c r="A570" s="11"/>
      <c r="B570" s="11"/>
      <c r="C570" s="6"/>
      <c r="D570" s="6"/>
      <c r="E570" s="11"/>
      <c r="F570" s="11"/>
      <c r="G570" s="11"/>
      <c r="H570" s="11"/>
      <c r="I570" s="26"/>
      <c r="J570" s="11"/>
      <c r="K570" s="11"/>
      <c r="L570" s="11"/>
      <c r="M570" s="11"/>
      <c r="N570" s="11"/>
    </row>
    <row x14ac:dyDescent="0.25" r="571" customHeight="1" ht="15.75">
      <c r="A571" s="11"/>
      <c r="B571" s="11"/>
      <c r="C571" s="6"/>
      <c r="D571" s="6"/>
      <c r="E571" s="11"/>
      <c r="F571" s="11"/>
      <c r="G571" s="11"/>
      <c r="H571" s="11"/>
      <c r="I571" s="26"/>
      <c r="J571" s="11"/>
      <c r="K571" s="11"/>
      <c r="L571" s="11"/>
      <c r="M571" s="11"/>
      <c r="N571" s="11"/>
    </row>
    <row x14ac:dyDescent="0.25" r="572" customHeight="1" ht="15.75">
      <c r="A572" s="11"/>
      <c r="B572" s="11"/>
      <c r="C572" s="6"/>
      <c r="D572" s="6"/>
      <c r="E572" s="11"/>
      <c r="F572" s="11"/>
      <c r="G572" s="11"/>
      <c r="H572" s="11"/>
      <c r="I572" s="26"/>
      <c r="J572" s="11"/>
      <c r="K572" s="11"/>
      <c r="L572" s="11"/>
      <c r="M572" s="11"/>
      <c r="N572" s="11"/>
    </row>
    <row x14ac:dyDescent="0.25" r="573" customHeight="1" ht="15.75">
      <c r="A573" s="11"/>
      <c r="B573" s="11"/>
      <c r="C573" s="6"/>
      <c r="D573" s="6"/>
      <c r="E573" s="11"/>
      <c r="F573" s="11"/>
      <c r="G573" s="11"/>
      <c r="H573" s="11"/>
      <c r="I573" s="26"/>
      <c r="J573" s="11"/>
      <c r="K573" s="11"/>
      <c r="L573" s="11"/>
      <c r="M573" s="11"/>
      <c r="N573" s="11"/>
    </row>
    <row x14ac:dyDescent="0.25" r="574" customHeight="1" ht="15.75">
      <c r="A574" s="11"/>
      <c r="B574" s="11"/>
      <c r="C574" s="6"/>
      <c r="D574" s="6"/>
      <c r="E574" s="11"/>
      <c r="F574" s="11"/>
      <c r="G574" s="11"/>
      <c r="H574" s="11"/>
      <c r="I574" s="26"/>
      <c r="J574" s="11"/>
      <c r="K574" s="11"/>
      <c r="L574" s="11"/>
      <c r="M574" s="11"/>
      <c r="N574" s="11"/>
    </row>
    <row x14ac:dyDescent="0.25" r="575" customHeight="1" ht="15.75">
      <c r="A575" s="11"/>
      <c r="B575" s="11"/>
      <c r="C575" s="6"/>
      <c r="D575" s="6"/>
      <c r="E575" s="11"/>
      <c r="F575" s="11"/>
      <c r="G575" s="11"/>
      <c r="H575" s="11"/>
      <c r="I575" s="26"/>
      <c r="J575" s="11"/>
      <c r="K575" s="11"/>
      <c r="L575" s="11"/>
      <c r="M575" s="11"/>
      <c r="N575" s="11"/>
    </row>
    <row x14ac:dyDescent="0.25" r="576" customHeight="1" ht="15.75">
      <c r="A576" s="11"/>
      <c r="B576" s="11"/>
      <c r="C576" s="6"/>
      <c r="D576" s="6"/>
      <c r="E576" s="11"/>
      <c r="F576" s="11"/>
      <c r="G576" s="11"/>
      <c r="H576" s="11"/>
      <c r="I576" s="26"/>
      <c r="J576" s="11"/>
      <c r="K576" s="11"/>
      <c r="L576" s="11"/>
      <c r="M576" s="11"/>
      <c r="N576" s="11"/>
    </row>
    <row x14ac:dyDescent="0.25" r="577" customHeight="1" ht="15.75">
      <c r="A577" s="11"/>
      <c r="B577" s="11"/>
      <c r="C577" s="6"/>
      <c r="D577" s="6"/>
      <c r="E577" s="11"/>
      <c r="F577" s="11"/>
      <c r="G577" s="11"/>
      <c r="H577" s="11"/>
      <c r="I577" s="26"/>
      <c r="J577" s="11"/>
      <c r="K577" s="11"/>
      <c r="L577" s="11"/>
      <c r="M577" s="11"/>
      <c r="N577" s="11"/>
    </row>
    <row x14ac:dyDescent="0.25" r="578" customHeight="1" ht="15.75">
      <c r="A578" s="11"/>
      <c r="B578" s="11"/>
      <c r="C578" s="6"/>
      <c r="D578" s="6"/>
      <c r="E578" s="11"/>
      <c r="F578" s="11"/>
      <c r="G578" s="11"/>
      <c r="H578" s="11"/>
      <c r="I578" s="26"/>
      <c r="J578" s="11"/>
      <c r="K578" s="11"/>
      <c r="L578" s="11"/>
      <c r="M578" s="11"/>
      <c r="N578" s="11"/>
    </row>
    <row x14ac:dyDescent="0.25" r="579" customHeight="1" ht="15.75">
      <c r="A579" s="11"/>
      <c r="B579" s="11"/>
      <c r="C579" s="6"/>
      <c r="D579" s="6"/>
      <c r="E579" s="11"/>
      <c r="F579" s="11"/>
      <c r="G579" s="11"/>
      <c r="H579" s="11"/>
      <c r="I579" s="26"/>
      <c r="J579" s="11"/>
      <c r="K579" s="11"/>
      <c r="L579" s="11"/>
      <c r="M579" s="11"/>
      <c r="N579" s="11"/>
    </row>
    <row x14ac:dyDescent="0.25" r="580" customHeight="1" ht="15.75">
      <c r="A580" s="11"/>
      <c r="B580" s="11"/>
      <c r="C580" s="6"/>
      <c r="D580" s="6"/>
      <c r="E580" s="11"/>
      <c r="F580" s="11"/>
      <c r="G580" s="11"/>
      <c r="H580" s="11"/>
      <c r="I580" s="26"/>
      <c r="J580" s="11"/>
      <c r="K580" s="11"/>
      <c r="L580" s="11"/>
      <c r="M580" s="11"/>
      <c r="N580" s="11"/>
    </row>
    <row x14ac:dyDescent="0.25" r="581" customHeight="1" ht="15.75">
      <c r="A581" s="11"/>
      <c r="B581" s="11"/>
      <c r="C581" s="6"/>
      <c r="D581" s="6"/>
      <c r="E581" s="11"/>
      <c r="F581" s="11"/>
      <c r="G581" s="11"/>
      <c r="H581" s="11"/>
      <c r="I581" s="26"/>
      <c r="J581" s="11"/>
      <c r="K581" s="11"/>
      <c r="L581" s="11"/>
      <c r="M581" s="11"/>
      <c r="N581" s="11"/>
    </row>
    <row x14ac:dyDescent="0.25" r="582" customHeight="1" ht="15.75">
      <c r="A582" s="11"/>
      <c r="B582" s="11"/>
      <c r="C582" s="6"/>
      <c r="D582" s="6"/>
      <c r="E582" s="11"/>
      <c r="F582" s="11"/>
      <c r="G582" s="11"/>
      <c r="H582" s="11"/>
      <c r="I582" s="26"/>
      <c r="J582" s="11"/>
      <c r="K582" s="11"/>
      <c r="L582" s="11"/>
      <c r="M582" s="11"/>
      <c r="N582" s="11"/>
    </row>
    <row x14ac:dyDescent="0.25" r="583" customHeight="1" ht="15.75">
      <c r="A583" s="11"/>
      <c r="B583" s="11"/>
      <c r="C583" s="6"/>
      <c r="D583" s="6"/>
      <c r="E583" s="11"/>
      <c r="F583" s="11"/>
      <c r="G583" s="11"/>
      <c r="H583" s="11"/>
      <c r="I583" s="26"/>
      <c r="J583" s="11"/>
      <c r="K583" s="11"/>
      <c r="L583" s="11"/>
      <c r="M583" s="11"/>
      <c r="N583" s="11"/>
    </row>
    <row x14ac:dyDescent="0.25" r="584" customHeight="1" ht="15.75">
      <c r="A584" s="11"/>
      <c r="B584" s="11"/>
      <c r="C584" s="6"/>
      <c r="D584" s="6"/>
      <c r="E584" s="11"/>
      <c r="F584" s="11"/>
      <c r="G584" s="11"/>
      <c r="H584" s="11"/>
      <c r="I584" s="26"/>
      <c r="J584" s="11"/>
      <c r="K584" s="11"/>
      <c r="L584" s="11"/>
      <c r="M584" s="11"/>
      <c r="N584" s="11"/>
    </row>
    <row x14ac:dyDescent="0.25" r="585" customHeight="1" ht="15.75">
      <c r="A585" s="11"/>
      <c r="B585" s="11"/>
      <c r="C585" s="6"/>
      <c r="D585" s="6"/>
      <c r="E585" s="11"/>
      <c r="F585" s="11"/>
      <c r="G585" s="11"/>
      <c r="H585" s="11"/>
      <c r="I585" s="26"/>
      <c r="J585" s="11"/>
      <c r="K585" s="11"/>
      <c r="L585" s="11"/>
      <c r="M585" s="11"/>
      <c r="N585" s="11"/>
    </row>
    <row x14ac:dyDescent="0.25" r="586" customHeight="1" ht="15.75">
      <c r="A586" s="11"/>
      <c r="B586" s="11"/>
      <c r="C586" s="6"/>
      <c r="D586" s="6"/>
      <c r="E586" s="11"/>
      <c r="F586" s="11"/>
      <c r="G586" s="11"/>
      <c r="H586" s="11"/>
      <c r="I586" s="26"/>
      <c r="J586" s="11"/>
      <c r="K586" s="11"/>
      <c r="L586" s="11"/>
      <c r="M586" s="11"/>
      <c r="N586" s="11"/>
    </row>
    <row x14ac:dyDescent="0.25" r="587" customHeight="1" ht="15.75">
      <c r="A587" s="11"/>
      <c r="B587" s="11"/>
      <c r="C587" s="6"/>
      <c r="D587" s="6"/>
      <c r="E587" s="11"/>
      <c r="F587" s="11"/>
      <c r="G587" s="11"/>
      <c r="H587" s="11"/>
      <c r="I587" s="26"/>
      <c r="J587" s="11"/>
      <c r="K587" s="11"/>
      <c r="L587" s="11"/>
      <c r="M587" s="11"/>
      <c r="N587" s="11"/>
    </row>
    <row x14ac:dyDescent="0.25" r="588" customHeight="1" ht="15.75">
      <c r="A588" s="11"/>
      <c r="B588" s="11"/>
      <c r="C588" s="6"/>
      <c r="D588" s="6"/>
      <c r="E588" s="11"/>
      <c r="F588" s="11"/>
      <c r="G588" s="11"/>
      <c r="H588" s="11"/>
      <c r="I588" s="26"/>
      <c r="J588" s="11"/>
      <c r="K588" s="11"/>
      <c r="L588" s="11"/>
      <c r="M588" s="11"/>
      <c r="N588" s="11"/>
    </row>
    <row x14ac:dyDescent="0.25" r="589" customHeight="1" ht="15.75">
      <c r="A589" s="11"/>
      <c r="B589" s="11"/>
      <c r="C589" s="6"/>
      <c r="D589" s="6"/>
      <c r="E589" s="11"/>
      <c r="F589" s="11"/>
      <c r="G589" s="11"/>
      <c r="H589" s="11"/>
      <c r="I589" s="26"/>
      <c r="J589" s="11"/>
      <c r="K589" s="11"/>
      <c r="L589" s="11"/>
      <c r="M589" s="11"/>
      <c r="N589" s="11"/>
    </row>
    <row x14ac:dyDescent="0.25" r="590" customHeight="1" ht="15.75">
      <c r="A590" s="11"/>
      <c r="B590" s="11"/>
      <c r="C590" s="6"/>
      <c r="D590" s="6"/>
      <c r="E590" s="11"/>
      <c r="F590" s="11"/>
      <c r="G590" s="11"/>
      <c r="H590" s="11"/>
      <c r="I590" s="26"/>
      <c r="J590" s="11"/>
      <c r="K590" s="11"/>
      <c r="L590" s="11"/>
      <c r="M590" s="11"/>
      <c r="N590" s="11"/>
    </row>
    <row x14ac:dyDescent="0.25" r="591" customHeight="1" ht="15.75">
      <c r="A591" s="11"/>
      <c r="B591" s="11"/>
      <c r="C591" s="6"/>
      <c r="D591" s="6"/>
      <c r="E591" s="11"/>
      <c r="F591" s="11"/>
      <c r="G591" s="11"/>
      <c r="H591" s="11"/>
      <c r="I591" s="26"/>
      <c r="J591" s="11"/>
      <c r="K591" s="11"/>
      <c r="L591" s="11"/>
      <c r="M591" s="11"/>
      <c r="N591" s="11"/>
    </row>
    <row x14ac:dyDescent="0.25" r="592" customHeight="1" ht="15.75">
      <c r="A592" s="11"/>
      <c r="B592" s="11"/>
      <c r="C592" s="6"/>
      <c r="D592" s="6"/>
      <c r="E592" s="11"/>
      <c r="F592" s="11"/>
      <c r="G592" s="11"/>
      <c r="H592" s="11"/>
      <c r="I592" s="26"/>
      <c r="J592" s="11"/>
      <c r="K592" s="11"/>
      <c r="L592" s="11"/>
      <c r="M592" s="11"/>
      <c r="N592" s="11"/>
    </row>
    <row x14ac:dyDescent="0.25" r="593" customHeight="1" ht="15.75">
      <c r="A593" s="11"/>
      <c r="B593" s="11"/>
      <c r="C593" s="6"/>
      <c r="D593" s="6"/>
      <c r="E593" s="11"/>
      <c r="F593" s="11"/>
      <c r="G593" s="11"/>
      <c r="H593" s="11"/>
      <c r="I593" s="26"/>
      <c r="J593" s="11"/>
      <c r="K593" s="11"/>
      <c r="L593" s="11"/>
      <c r="M593" s="11"/>
      <c r="N593" s="11"/>
    </row>
    <row x14ac:dyDescent="0.25" r="594" customHeight="1" ht="15.75">
      <c r="A594" s="11"/>
      <c r="B594" s="11"/>
      <c r="C594" s="6"/>
      <c r="D594" s="6"/>
      <c r="E594" s="11"/>
      <c r="F594" s="11"/>
      <c r="G594" s="11"/>
      <c r="H594" s="11"/>
      <c r="I594" s="26"/>
      <c r="J594" s="11"/>
      <c r="K594" s="11"/>
      <c r="L594" s="11"/>
      <c r="M594" s="11"/>
      <c r="N594" s="11"/>
    </row>
    <row x14ac:dyDescent="0.25" r="595" customHeight="1" ht="15.75">
      <c r="A595" s="11"/>
      <c r="B595" s="11"/>
      <c r="C595" s="6"/>
      <c r="D595" s="6"/>
      <c r="E595" s="11"/>
      <c r="F595" s="11"/>
      <c r="G595" s="11"/>
      <c r="H595" s="11"/>
      <c r="I595" s="26"/>
      <c r="J595" s="11"/>
      <c r="K595" s="11"/>
      <c r="L595" s="11"/>
      <c r="M595" s="11"/>
      <c r="N595" s="11"/>
    </row>
    <row x14ac:dyDescent="0.25" r="596" customHeight="1" ht="15.75">
      <c r="A596" s="11"/>
      <c r="B596" s="11"/>
      <c r="C596" s="6"/>
      <c r="D596" s="6"/>
      <c r="E596" s="11"/>
      <c r="F596" s="11"/>
      <c r="G596" s="11"/>
      <c r="H596" s="11"/>
      <c r="I596" s="26"/>
      <c r="J596" s="11"/>
      <c r="K596" s="11"/>
      <c r="L596" s="11"/>
      <c r="M596" s="11"/>
      <c r="N596" s="11"/>
    </row>
    <row x14ac:dyDescent="0.25" r="597" customHeight="1" ht="15.75">
      <c r="A597" s="11"/>
      <c r="B597" s="11"/>
      <c r="C597" s="6"/>
      <c r="D597" s="6"/>
      <c r="E597" s="11"/>
      <c r="F597" s="11"/>
      <c r="G597" s="11"/>
      <c r="H597" s="11"/>
      <c r="I597" s="26"/>
      <c r="J597" s="11"/>
      <c r="K597" s="11"/>
      <c r="L597" s="11"/>
      <c r="M597" s="11"/>
      <c r="N597" s="11"/>
    </row>
    <row x14ac:dyDescent="0.25" r="598" customHeight="1" ht="15.75">
      <c r="A598" s="11"/>
      <c r="B598" s="11"/>
      <c r="C598" s="6"/>
      <c r="D598" s="6"/>
      <c r="E598" s="11"/>
      <c r="F598" s="11"/>
      <c r="G598" s="11"/>
      <c r="H598" s="11"/>
      <c r="I598" s="26"/>
      <c r="J598" s="11"/>
      <c r="K598" s="11"/>
      <c r="L598" s="11"/>
      <c r="M598" s="11"/>
      <c r="N598" s="11"/>
    </row>
    <row x14ac:dyDescent="0.25" r="599" customHeight="1" ht="15.75">
      <c r="A599" s="11"/>
      <c r="B599" s="11"/>
      <c r="C599" s="6"/>
      <c r="D599" s="6"/>
      <c r="E599" s="11"/>
      <c r="F599" s="11"/>
      <c r="G599" s="11"/>
      <c r="H599" s="11"/>
      <c r="I599" s="26"/>
      <c r="J599" s="11"/>
      <c r="K599" s="11"/>
      <c r="L599" s="11"/>
      <c r="M599" s="11"/>
      <c r="N599" s="11"/>
    </row>
    <row x14ac:dyDescent="0.25" r="600" customHeight="1" ht="15.75">
      <c r="A600" s="11"/>
      <c r="B600" s="11"/>
      <c r="C600" s="6"/>
      <c r="D600" s="6"/>
      <c r="E600" s="11"/>
      <c r="F600" s="11"/>
      <c r="G600" s="11"/>
      <c r="H600" s="11"/>
      <c r="I600" s="26"/>
      <c r="J600" s="11"/>
      <c r="K600" s="11"/>
      <c r="L600" s="11"/>
      <c r="M600" s="11"/>
      <c r="N600" s="11"/>
    </row>
    <row x14ac:dyDescent="0.25" r="601" customHeight="1" ht="15.75">
      <c r="A601" s="11"/>
      <c r="B601" s="11"/>
      <c r="C601" s="6"/>
      <c r="D601" s="6"/>
      <c r="E601" s="11"/>
      <c r="F601" s="11"/>
      <c r="G601" s="11"/>
      <c r="H601" s="11"/>
      <c r="I601" s="26"/>
      <c r="J601" s="11"/>
      <c r="K601" s="11"/>
      <c r="L601" s="11"/>
      <c r="M601" s="11"/>
      <c r="N601" s="11"/>
    </row>
    <row x14ac:dyDescent="0.25" r="602" customHeight="1" ht="15.75">
      <c r="A602" s="11"/>
      <c r="B602" s="11"/>
      <c r="C602" s="6"/>
      <c r="D602" s="6"/>
      <c r="E602" s="11"/>
      <c r="F602" s="11"/>
      <c r="G602" s="11"/>
      <c r="H602" s="11"/>
      <c r="I602" s="26"/>
      <c r="J602" s="11"/>
      <c r="K602" s="11"/>
      <c r="L602" s="11"/>
      <c r="M602" s="11"/>
      <c r="N602" s="11"/>
    </row>
    <row x14ac:dyDescent="0.25" r="603" customHeight="1" ht="15.75">
      <c r="A603" s="11"/>
      <c r="B603" s="11"/>
      <c r="C603" s="6"/>
      <c r="D603" s="6"/>
      <c r="E603" s="11"/>
      <c r="F603" s="11"/>
      <c r="G603" s="11"/>
      <c r="H603" s="11"/>
      <c r="I603" s="26"/>
      <c r="J603" s="11"/>
      <c r="K603" s="11"/>
      <c r="L603" s="11"/>
      <c r="M603" s="11"/>
      <c r="N603" s="11"/>
    </row>
    <row x14ac:dyDescent="0.25" r="604" customHeight="1" ht="15.75">
      <c r="A604" s="11"/>
      <c r="B604" s="11"/>
      <c r="C604" s="6"/>
      <c r="D604" s="6"/>
      <c r="E604" s="11"/>
      <c r="F604" s="11"/>
      <c r="G604" s="11"/>
      <c r="H604" s="11"/>
      <c r="I604" s="26"/>
      <c r="J604" s="11"/>
      <c r="K604" s="11"/>
      <c r="L604" s="11"/>
      <c r="M604" s="11"/>
      <c r="N604" s="11"/>
    </row>
    <row x14ac:dyDescent="0.25" r="605" customHeight="1" ht="15.75">
      <c r="A605" s="11"/>
      <c r="B605" s="11"/>
      <c r="C605" s="6"/>
      <c r="D605" s="6"/>
      <c r="E605" s="11"/>
      <c r="F605" s="11"/>
      <c r="G605" s="11"/>
      <c r="H605" s="11"/>
      <c r="I605" s="26"/>
      <c r="J605" s="11"/>
      <c r="K605" s="11"/>
      <c r="L605" s="11"/>
      <c r="M605" s="11"/>
      <c r="N605" s="11"/>
    </row>
    <row x14ac:dyDescent="0.25" r="606" customHeight="1" ht="15.75">
      <c r="A606" s="11"/>
      <c r="B606" s="11"/>
      <c r="C606" s="6"/>
      <c r="D606" s="6"/>
      <c r="E606" s="11"/>
      <c r="F606" s="11"/>
      <c r="G606" s="11"/>
      <c r="H606" s="11"/>
      <c r="I606" s="26"/>
      <c r="J606" s="11"/>
      <c r="K606" s="11"/>
      <c r="L606" s="11"/>
      <c r="M606" s="11"/>
      <c r="N606" s="11"/>
    </row>
    <row x14ac:dyDescent="0.25" r="607" customHeight="1" ht="15.75">
      <c r="A607" s="11"/>
      <c r="B607" s="11"/>
      <c r="C607" s="6"/>
      <c r="D607" s="6"/>
      <c r="E607" s="11"/>
      <c r="F607" s="11"/>
      <c r="G607" s="11"/>
      <c r="H607" s="11"/>
      <c r="I607" s="26"/>
      <c r="J607" s="11"/>
      <c r="K607" s="11"/>
      <c r="L607" s="11"/>
      <c r="M607" s="11"/>
      <c r="N607" s="11"/>
    </row>
    <row x14ac:dyDescent="0.25" r="608" customHeight="1" ht="15.75">
      <c r="A608" s="11"/>
      <c r="B608" s="11"/>
      <c r="C608" s="6"/>
      <c r="D608" s="6"/>
      <c r="E608" s="11"/>
      <c r="F608" s="11"/>
      <c r="G608" s="11"/>
      <c r="H608" s="11"/>
      <c r="I608" s="26"/>
      <c r="J608" s="11"/>
      <c r="K608" s="11"/>
      <c r="L608" s="11"/>
      <c r="M608" s="11"/>
      <c r="N608" s="11"/>
    </row>
    <row x14ac:dyDescent="0.25" r="609" customHeight="1" ht="15.75">
      <c r="A609" s="11"/>
      <c r="B609" s="11"/>
      <c r="C609" s="6"/>
      <c r="D609" s="6"/>
      <c r="E609" s="11"/>
      <c r="F609" s="11"/>
      <c r="G609" s="11"/>
      <c r="H609" s="11"/>
      <c r="I609" s="26"/>
      <c r="J609" s="11"/>
      <c r="K609" s="11"/>
      <c r="L609" s="11"/>
      <c r="M609" s="11"/>
      <c r="N609" s="11"/>
    </row>
    <row x14ac:dyDescent="0.25" r="610" customHeight="1" ht="15.75">
      <c r="A610" s="11"/>
      <c r="B610" s="11"/>
      <c r="C610" s="6"/>
      <c r="D610" s="6"/>
      <c r="E610" s="11"/>
      <c r="F610" s="11"/>
      <c r="G610" s="11"/>
      <c r="H610" s="11"/>
      <c r="I610" s="26"/>
      <c r="J610" s="11"/>
      <c r="K610" s="11"/>
      <c r="L610" s="11"/>
      <c r="M610" s="11"/>
      <c r="N610" s="11"/>
    </row>
    <row x14ac:dyDescent="0.25" r="611" customHeight="1" ht="15.75">
      <c r="A611" s="11"/>
      <c r="B611" s="11"/>
      <c r="C611" s="6"/>
      <c r="D611" s="6"/>
      <c r="E611" s="11"/>
      <c r="F611" s="11"/>
      <c r="G611" s="11"/>
      <c r="H611" s="11"/>
      <c r="I611" s="26"/>
      <c r="J611" s="11"/>
      <c r="K611" s="11"/>
      <c r="L611" s="11"/>
      <c r="M611" s="11"/>
      <c r="N611" s="11"/>
    </row>
    <row x14ac:dyDescent="0.25" r="612" customHeight="1" ht="15.75">
      <c r="A612" s="11"/>
      <c r="B612" s="11"/>
      <c r="C612" s="6"/>
      <c r="D612" s="6"/>
      <c r="E612" s="11"/>
      <c r="F612" s="11"/>
      <c r="G612" s="11"/>
      <c r="H612" s="11"/>
      <c r="I612" s="26"/>
      <c r="J612" s="11"/>
      <c r="K612" s="11"/>
      <c r="L612" s="11"/>
      <c r="M612" s="11"/>
      <c r="N612" s="11"/>
    </row>
    <row x14ac:dyDescent="0.25" r="613" customHeight="1" ht="15.75">
      <c r="A613" s="11"/>
      <c r="B613" s="11"/>
      <c r="C613" s="6"/>
      <c r="D613" s="6"/>
      <c r="E613" s="11"/>
      <c r="F613" s="11"/>
      <c r="G613" s="11"/>
      <c r="H613" s="11"/>
      <c r="I613" s="26"/>
      <c r="J613" s="11"/>
      <c r="K613" s="11"/>
      <c r="L613" s="11"/>
      <c r="M613" s="11"/>
      <c r="N613" s="11"/>
    </row>
    <row x14ac:dyDescent="0.25" r="614" customHeight="1" ht="15.75">
      <c r="A614" s="11"/>
      <c r="B614" s="11"/>
      <c r="C614" s="6"/>
      <c r="D614" s="6"/>
      <c r="E614" s="11"/>
      <c r="F614" s="11"/>
      <c r="G614" s="11"/>
      <c r="H614" s="11"/>
      <c r="I614" s="26"/>
      <c r="J614" s="11"/>
      <c r="K614" s="11"/>
      <c r="L614" s="11"/>
      <c r="M614" s="11"/>
      <c r="N614" s="11"/>
    </row>
    <row x14ac:dyDescent="0.25" r="615" customHeight="1" ht="15.75">
      <c r="A615" s="11"/>
      <c r="B615" s="11"/>
      <c r="C615" s="6"/>
      <c r="D615" s="6"/>
      <c r="E615" s="11"/>
      <c r="F615" s="11"/>
      <c r="G615" s="11"/>
      <c r="H615" s="11"/>
      <c r="I615" s="26"/>
      <c r="J615" s="11"/>
      <c r="K615" s="11"/>
      <c r="L615" s="11"/>
      <c r="M615" s="11"/>
      <c r="N615" s="11"/>
    </row>
    <row x14ac:dyDescent="0.25" r="616" customHeight="1" ht="15.75">
      <c r="A616" s="11"/>
      <c r="B616" s="11"/>
      <c r="C616" s="6"/>
      <c r="D616" s="6"/>
      <c r="E616" s="11"/>
      <c r="F616" s="11"/>
      <c r="G616" s="11"/>
      <c r="H616" s="11"/>
      <c r="I616" s="26"/>
      <c r="J616" s="11"/>
      <c r="K616" s="11"/>
      <c r="L616" s="11"/>
      <c r="M616" s="11"/>
      <c r="N616" s="11"/>
    </row>
    <row x14ac:dyDescent="0.25" r="617" customHeight="1" ht="15.75">
      <c r="A617" s="11"/>
      <c r="B617" s="11"/>
      <c r="C617" s="6"/>
      <c r="D617" s="6"/>
      <c r="E617" s="11"/>
      <c r="F617" s="11"/>
      <c r="G617" s="11"/>
      <c r="H617" s="11"/>
      <c r="I617" s="26"/>
      <c r="J617" s="11"/>
      <c r="K617" s="11"/>
      <c r="L617" s="11"/>
      <c r="M617" s="11"/>
      <c r="N617" s="11"/>
    </row>
    <row x14ac:dyDescent="0.25" r="618" customHeight="1" ht="15.75">
      <c r="A618" s="11"/>
      <c r="B618" s="11"/>
      <c r="C618" s="6"/>
      <c r="D618" s="6"/>
      <c r="E618" s="11"/>
      <c r="F618" s="11"/>
      <c r="G618" s="11"/>
      <c r="H618" s="11"/>
      <c r="I618" s="26"/>
      <c r="J618" s="11"/>
      <c r="K618" s="11"/>
      <c r="L618" s="11"/>
      <c r="M618" s="11"/>
      <c r="N618" s="11"/>
    </row>
    <row x14ac:dyDescent="0.25" r="619" customHeight="1" ht="15.75">
      <c r="A619" s="11"/>
      <c r="B619" s="11"/>
      <c r="C619" s="6"/>
      <c r="D619" s="6"/>
      <c r="E619" s="11"/>
      <c r="F619" s="11"/>
      <c r="G619" s="11"/>
      <c r="H619" s="11"/>
      <c r="I619" s="26"/>
      <c r="J619" s="11"/>
      <c r="K619" s="11"/>
      <c r="L619" s="11"/>
      <c r="M619" s="11"/>
      <c r="N619" s="11"/>
    </row>
    <row x14ac:dyDescent="0.25" r="620" customHeight="1" ht="15.75">
      <c r="A620" s="11"/>
      <c r="B620" s="11"/>
      <c r="C620" s="6"/>
      <c r="D620" s="6"/>
      <c r="E620" s="11"/>
      <c r="F620" s="11"/>
      <c r="G620" s="11"/>
      <c r="H620" s="11"/>
      <c r="I620" s="26"/>
      <c r="J620" s="11"/>
      <c r="K620" s="11"/>
      <c r="L620" s="11"/>
      <c r="M620" s="11"/>
      <c r="N620" s="11"/>
    </row>
    <row x14ac:dyDescent="0.25" r="621" customHeight="1" ht="15.75">
      <c r="A621" s="11"/>
      <c r="B621" s="11"/>
      <c r="C621" s="6"/>
      <c r="D621" s="6"/>
      <c r="E621" s="11"/>
      <c r="F621" s="11"/>
      <c r="G621" s="11"/>
      <c r="H621" s="11"/>
      <c r="I621" s="26"/>
      <c r="J621" s="11"/>
      <c r="K621" s="11"/>
      <c r="L621" s="11"/>
      <c r="M621" s="11"/>
      <c r="N621" s="11"/>
    </row>
    <row x14ac:dyDescent="0.25" r="622" customHeight="1" ht="15.75">
      <c r="A622" s="11"/>
      <c r="B622" s="11"/>
      <c r="C622" s="6"/>
      <c r="D622" s="6"/>
      <c r="E622" s="11"/>
      <c r="F622" s="11"/>
      <c r="G622" s="11"/>
      <c r="H622" s="11"/>
      <c r="I622" s="26"/>
      <c r="J622" s="11"/>
      <c r="K622" s="11"/>
      <c r="L622" s="11"/>
      <c r="M622" s="11"/>
      <c r="N622" s="11"/>
    </row>
    <row x14ac:dyDescent="0.25" r="623" customHeight="1" ht="15.75">
      <c r="A623" s="11"/>
      <c r="B623" s="11"/>
      <c r="C623" s="6"/>
      <c r="D623" s="6"/>
      <c r="E623" s="11"/>
      <c r="F623" s="11"/>
      <c r="G623" s="11"/>
      <c r="H623" s="11"/>
      <c r="I623" s="26"/>
      <c r="J623" s="11"/>
      <c r="K623" s="11"/>
      <c r="L623" s="11"/>
      <c r="M623" s="11"/>
      <c r="N623" s="11"/>
    </row>
    <row x14ac:dyDescent="0.25" r="624" customHeight="1" ht="15.75">
      <c r="A624" s="11"/>
      <c r="B624" s="11"/>
      <c r="C624" s="6"/>
      <c r="D624" s="6"/>
      <c r="E624" s="11"/>
      <c r="F624" s="11"/>
      <c r="G624" s="11"/>
      <c r="H624" s="11"/>
      <c r="I624" s="26"/>
      <c r="J624" s="11"/>
      <c r="K624" s="11"/>
      <c r="L624" s="11"/>
      <c r="M624" s="11"/>
      <c r="N624" s="11"/>
    </row>
    <row x14ac:dyDescent="0.25" r="625" customHeight="1" ht="15.75">
      <c r="A625" s="11"/>
      <c r="B625" s="11"/>
      <c r="C625" s="6"/>
      <c r="D625" s="6"/>
      <c r="E625" s="11"/>
      <c r="F625" s="11"/>
      <c r="G625" s="11"/>
      <c r="H625" s="11"/>
      <c r="I625" s="26"/>
      <c r="J625" s="11"/>
      <c r="K625" s="11"/>
      <c r="L625" s="11"/>
      <c r="M625" s="11"/>
      <c r="N625" s="11"/>
    </row>
    <row x14ac:dyDescent="0.25" r="626" customHeight="1" ht="15.75">
      <c r="A626" s="11"/>
      <c r="B626" s="11"/>
      <c r="C626" s="6"/>
      <c r="D626" s="6"/>
      <c r="E626" s="11"/>
      <c r="F626" s="11"/>
      <c r="G626" s="11"/>
      <c r="H626" s="11"/>
      <c r="I626" s="26"/>
      <c r="J626" s="11"/>
      <c r="K626" s="11"/>
      <c r="L626" s="11"/>
      <c r="M626" s="11"/>
      <c r="N626" s="11"/>
    </row>
    <row x14ac:dyDescent="0.25" r="627" customHeight="1" ht="15.75">
      <c r="A627" s="11"/>
      <c r="B627" s="11"/>
      <c r="C627" s="6"/>
      <c r="D627" s="6"/>
      <c r="E627" s="11"/>
      <c r="F627" s="11"/>
      <c r="G627" s="11"/>
      <c r="H627" s="11"/>
      <c r="I627" s="26"/>
      <c r="J627" s="11"/>
      <c r="K627" s="11"/>
      <c r="L627" s="11"/>
      <c r="M627" s="11"/>
      <c r="N627" s="11"/>
    </row>
    <row x14ac:dyDescent="0.25" r="628" customHeight="1" ht="15.75">
      <c r="A628" s="11"/>
      <c r="B628" s="11"/>
      <c r="C628" s="6"/>
      <c r="D628" s="6"/>
      <c r="E628" s="11"/>
      <c r="F628" s="11"/>
      <c r="G628" s="11"/>
      <c r="H628" s="11"/>
      <c r="I628" s="26"/>
      <c r="J628" s="11"/>
      <c r="K628" s="11"/>
      <c r="L628" s="11"/>
      <c r="M628" s="11"/>
      <c r="N628" s="11"/>
    </row>
    <row x14ac:dyDescent="0.25" r="629" customHeight="1" ht="15.75">
      <c r="A629" s="11"/>
      <c r="B629" s="11"/>
      <c r="C629" s="6"/>
      <c r="D629" s="6"/>
      <c r="E629" s="11"/>
      <c r="F629" s="11"/>
      <c r="G629" s="11"/>
      <c r="H629" s="11"/>
      <c r="I629" s="26"/>
      <c r="J629" s="11"/>
      <c r="K629" s="11"/>
      <c r="L629" s="11"/>
      <c r="M629" s="11"/>
      <c r="N629" s="11"/>
    </row>
    <row x14ac:dyDescent="0.25" r="630" customHeight="1" ht="15.75">
      <c r="A630" s="11"/>
      <c r="B630" s="11"/>
      <c r="C630" s="6"/>
      <c r="D630" s="6"/>
      <c r="E630" s="11"/>
      <c r="F630" s="11"/>
      <c r="G630" s="11"/>
      <c r="H630" s="11"/>
      <c r="I630" s="26"/>
      <c r="J630" s="11"/>
      <c r="K630" s="11"/>
      <c r="L630" s="11"/>
      <c r="M630" s="11"/>
      <c r="N630" s="11"/>
    </row>
    <row x14ac:dyDescent="0.25" r="631" customHeight="1" ht="15.75">
      <c r="A631" s="11"/>
      <c r="B631" s="11"/>
      <c r="C631" s="6"/>
      <c r="D631" s="6"/>
      <c r="E631" s="11"/>
      <c r="F631" s="11"/>
      <c r="G631" s="11"/>
      <c r="H631" s="11"/>
      <c r="I631" s="26"/>
      <c r="J631" s="11"/>
      <c r="K631" s="11"/>
      <c r="L631" s="11"/>
      <c r="M631" s="11"/>
      <c r="N631" s="11"/>
    </row>
    <row x14ac:dyDescent="0.25" r="632" customHeight="1" ht="15.75">
      <c r="A632" s="11"/>
      <c r="B632" s="11"/>
      <c r="C632" s="6"/>
      <c r="D632" s="6"/>
      <c r="E632" s="11"/>
      <c r="F632" s="11"/>
      <c r="G632" s="11"/>
      <c r="H632" s="11"/>
      <c r="I632" s="26"/>
      <c r="J632" s="11"/>
      <c r="K632" s="11"/>
      <c r="L632" s="11"/>
      <c r="M632" s="11"/>
      <c r="N632" s="11"/>
    </row>
    <row x14ac:dyDescent="0.25" r="633" customHeight="1" ht="15.75">
      <c r="A633" s="11"/>
      <c r="B633" s="11"/>
      <c r="C633" s="6"/>
      <c r="D633" s="6"/>
      <c r="E633" s="11"/>
      <c r="F633" s="11"/>
      <c r="G633" s="11"/>
      <c r="H633" s="11"/>
      <c r="I633" s="26"/>
      <c r="J633" s="11"/>
      <c r="K633" s="11"/>
      <c r="L633" s="11"/>
      <c r="M633" s="11"/>
      <c r="N633" s="11"/>
    </row>
    <row x14ac:dyDescent="0.25" r="634" customHeight="1" ht="15.75">
      <c r="A634" s="11"/>
      <c r="B634" s="11"/>
      <c r="C634" s="6"/>
      <c r="D634" s="6"/>
      <c r="E634" s="11"/>
      <c r="F634" s="11"/>
      <c r="G634" s="11"/>
      <c r="H634" s="11"/>
      <c r="I634" s="26"/>
      <c r="J634" s="11"/>
      <c r="K634" s="11"/>
      <c r="L634" s="11"/>
      <c r="M634" s="11"/>
      <c r="N634" s="11"/>
    </row>
    <row x14ac:dyDescent="0.25" r="635" customHeight="1" ht="15.75">
      <c r="A635" s="11"/>
      <c r="B635" s="11"/>
      <c r="C635" s="6"/>
      <c r="D635" s="6"/>
      <c r="E635" s="11"/>
      <c r="F635" s="11"/>
      <c r="G635" s="11"/>
      <c r="H635" s="11"/>
      <c r="I635" s="26"/>
      <c r="J635" s="11"/>
      <c r="K635" s="11"/>
      <c r="L635" s="11"/>
      <c r="M635" s="11"/>
      <c r="N635" s="11"/>
    </row>
    <row x14ac:dyDescent="0.25" r="636" customHeight="1" ht="15.75">
      <c r="A636" s="11"/>
      <c r="B636" s="11"/>
      <c r="C636" s="6"/>
      <c r="D636" s="6"/>
      <c r="E636" s="11"/>
      <c r="F636" s="11"/>
      <c r="G636" s="11"/>
      <c r="H636" s="11"/>
      <c r="I636" s="26"/>
      <c r="J636" s="11"/>
      <c r="K636" s="11"/>
      <c r="L636" s="11"/>
      <c r="M636" s="11"/>
      <c r="N636" s="11"/>
    </row>
    <row x14ac:dyDescent="0.25" r="637" customHeight="1" ht="15.75">
      <c r="A637" s="11"/>
      <c r="B637" s="11"/>
      <c r="C637" s="6"/>
      <c r="D637" s="6"/>
      <c r="E637" s="11"/>
      <c r="F637" s="11"/>
      <c r="G637" s="11"/>
      <c r="H637" s="11"/>
      <c r="I637" s="26"/>
      <c r="J637" s="11"/>
      <c r="K637" s="11"/>
      <c r="L637" s="11"/>
      <c r="M637" s="11"/>
      <c r="N637" s="11"/>
    </row>
    <row x14ac:dyDescent="0.25" r="638" customHeight="1" ht="15.75">
      <c r="A638" s="11"/>
      <c r="B638" s="11"/>
      <c r="C638" s="6"/>
      <c r="D638" s="6"/>
      <c r="E638" s="11"/>
      <c r="F638" s="11"/>
      <c r="G638" s="11"/>
      <c r="H638" s="11"/>
      <c r="I638" s="26"/>
      <c r="J638" s="11"/>
      <c r="K638" s="11"/>
      <c r="L638" s="11"/>
      <c r="M638" s="11"/>
      <c r="N638" s="11"/>
    </row>
    <row x14ac:dyDescent="0.25" r="639" customHeight="1" ht="15.75">
      <c r="A639" s="11"/>
      <c r="B639" s="11"/>
      <c r="C639" s="6"/>
      <c r="D639" s="6"/>
      <c r="E639" s="11"/>
      <c r="F639" s="11"/>
      <c r="G639" s="11"/>
      <c r="H639" s="11"/>
      <c r="I639" s="26"/>
      <c r="J639" s="11"/>
      <c r="K639" s="11"/>
      <c r="L639" s="11"/>
      <c r="M639" s="11"/>
      <c r="N639" s="11"/>
    </row>
    <row x14ac:dyDescent="0.25" r="640" customHeight="1" ht="15.75">
      <c r="A640" s="11"/>
      <c r="B640" s="11"/>
      <c r="C640" s="6"/>
      <c r="D640" s="6"/>
      <c r="E640" s="11"/>
      <c r="F640" s="11"/>
      <c r="G640" s="11"/>
      <c r="H640" s="11"/>
      <c r="I640" s="26"/>
      <c r="J640" s="11"/>
      <c r="K640" s="11"/>
      <c r="L640" s="11"/>
      <c r="M640" s="11"/>
      <c r="N640" s="11"/>
    </row>
    <row x14ac:dyDescent="0.25" r="641" customHeight="1" ht="15.75">
      <c r="A641" s="11"/>
      <c r="B641" s="11"/>
      <c r="C641" s="6"/>
      <c r="D641" s="6"/>
      <c r="E641" s="11"/>
      <c r="F641" s="11"/>
      <c r="G641" s="11"/>
      <c r="H641" s="11"/>
      <c r="I641" s="26"/>
      <c r="J641" s="11"/>
      <c r="K641" s="11"/>
      <c r="L641" s="11"/>
      <c r="M641" s="11"/>
      <c r="N641" s="11"/>
    </row>
    <row x14ac:dyDescent="0.25" r="642" customHeight="1" ht="15.75">
      <c r="A642" s="11"/>
      <c r="B642" s="11"/>
      <c r="C642" s="6"/>
      <c r="D642" s="6"/>
      <c r="E642" s="11"/>
      <c r="F642" s="11"/>
      <c r="G642" s="11"/>
      <c r="H642" s="11"/>
      <c r="I642" s="26"/>
      <c r="J642" s="11"/>
      <c r="K642" s="11"/>
      <c r="L642" s="11"/>
      <c r="M642" s="11"/>
      <c r="N642" s="11"/>
    </row>
    <row x14ac:dyDescent="0.25" r="643" customHeight="1" ht="15.75">
      <c r="A643" s="11"/>
      <c r="B643" s="11"/>
      <c r="C643" s="6"/>
      <c r="D643" s="6"/>
      <c r="E643" s="11"/>
      <c r="F643" s="11"/>
      <c r="G643" s="11"/>
      <c r="H643" s="11"/>
      <c r="I643" s="26"/>
      <c r="J643" s="11"/>
      <c r="K643" s="11"/>
      <c r="L643" s="11"/>
      <c r="M643" s="11"/>
      <c r="N643" s="11"/>
    </row>
    <row x14ac:dyDescent="0.25" r="644" customHeight="1" ht="15.75">
      <c r="A644" s="11"/>
      <c r="B644" s="11"/>
      <c r="C644" s="6"/>
      <c r="D644" s="6"/>
      <c r="E644" s="11"/>
      <c r="F644" s="11"/>
      <c r="G644" s="11"/>
      <c r="H644" s="11"/>
      <c r="I644" s="26"/>
      <c r="J644" s="11"/>
      <c r="K644" s="11"/>
      <c r="L644" s="11"/>
      <c r="M644" s="11"/>
      <c r="N644" s="11"/>
    </row>
    <row x14ac:dyDescent="0.25" r="645" customHeight="1" ht="15.75">
      <c r="A645" s="11"/>
      <c r="B645" s="11"/>
      <c r="C645" s="6"/>
      <c r="D645" s="6"/>
      <c r="E645" s="11"/>
      <c r="F645" s="11"/>
      <c r="G645" s="11"/>
      <c r="H645" s="11"/>
      <c r="I645" s="26"/>
      <c r="J645" s="11"/>
      <c r="K645" s="11"/>
      <c r="L645" s="11"/>
      <c r="M645" s="11"/>
      <c r="N645" s="11"/>
    </row>
    <row x14ac:dyDescent="0.25" r="646" customHeight="1" ht="15.75">
      <c r="A646" s="11"/>
      <c r="B646" s="11"/>
      <c r="C646" s="6"/>
      <c r="D646" s="6"/>
      <c r="E646" s="11"/>
      <c r="F646" s="11"/>
      <c r="G646" s="11"/>
      <c r="H646" s="11"/>
      <c r="I646" s="26"/>
      <c r="J646" s="11"/>
      <c r="K646" s="11"/>
      <c r="L646" s="11"/>
      <c r="M646" s="11"/>
      <c r="N646" s="11"/>
    </row>
    <row x14ac:dyDescent="0.25" r="647" customHeight="1" ht="15.75">
      <c r="A647" s="11"/>
      <c r="B647" s="11"/>
      <c r="C647" s="6"/>
      <c r="D647" s="6"/>
      <c r="E647" s="11"/>
      <c r="F647" s="11"/>
      <c r="G647" s="11"/>
      <c r="H647" s="11"/>
      <c r="I647" s="26"/>
      <c r="J647" s="11"/>
      <c r="K647" s="11"/>
      <c r="L647" s="11"/>
      <c r="M647" s="11"/>
      <c r="N647" s="11"/>
    </row>
    <row x14ac:dyDescent="0.25" r="648" customHeight="1" ht="15.75">
      <c r="A648" s="11"/>
      <c r="B648" s="11"/>
      <c r="C648" s="6"/>
      <c r="D648" s="6"/>
      <c r="E648" s="11"/>
      <c r="F648" s="11"/>
      <c r="G648" s="11"/>
      <c r="H648" s="11"/>
      <c r="I648" s="26"/>
      <c r="J648" s="11"/>
      <c r="K648" s="11"/>
      <c r="L648" s="11"/>
      <c r="M648" s="11"/>
      <c r="N648" s="11"/>
    </row>
    <row x14ac:dyDescent="0.25" r="649" customHeight="1" ht="15.75">
      <c r="A649" s="11"/>
      <c r="B649" s="11"/>
      <c r="C649" s="6"/>
      <c r="D649" s="6"/>
      <c r="E649" s="11"/>
      <c r="F649" s="11"/>
      <c r="G649" s="11"/>
      <c r="H649" s="11"/>
      <c r="I649" s="26"/>
      <c r="J649" s="11"/>
      <c r="K649" s="11"/>
      <c r="L649" s="11"/>
      <c r="M649" s="11"/>
      <c r="N649" s="11"/>
    </row>
    <row x14ac:dyDescent="0.25" r="650" customHeight="1" ht="15.75">
      <c r="A650" s="11"/>
      <c r="B650" s="11"/>
      <c r="C650" s="6"/>
      <c r="D650" s="6"/>
      <c r="E650" s="11"/>
      <c r="F650" s="11"/>
      <c r="G650" s="11"/>
      <c r="H650" s="11"/>
      <c r="I650" s="26"/>
      <c r="J650" s="11"/>
      <c r="K650" s="11"/>
      <c r="L650" s="11"/>
      <c r="M650" s="11"/>
      <c r="N650" s="11"/>
    </row>
    <row x14ac:dyDescent="0.25" r="651" customHeight="1" ht="15.75">
      <c r="A651" s="11"/>
      <c r="B651" s="11"/>
      <c r="C651" s="6"/>
      <c r="D651" s="6"/>
      <c r="E651" s="11"/>
      <c r="F651" s="11"/>
      <c r="G651" s="11"/>
      <c r="H651" s="11"/>
      <c r="I651" s="26"/>
      <c r="J651" s="11"/>
      <c r="K651" s="11"/>
      <c r="L651" s="11"/>
      <c r="M651" s="11"/>
      <c r="N651" s="11"/>
    </row>
    <row x14ac:dyDescent="0.25" r="652" customHeight="1" ht="15.75">
      <c r="A652" s="11"/>
      <c r="B652" s="11"/>
      <c r="C652" s="6"/>
      <c r="D652" s="6"/>
      <c r="E652" s="11"/>
      <c r="F652" s="11"/>
      <c r="G652" s="11"/>
      <c r="H652" s="11"/>
      <c r="I652" s="26"/>
      <c r="J652" s="11"/>
      <c r="K652" s="11"/>
      <c r="L652" s="11"/>
      <c r="M652" s="11"/>
      <c r="N652" s="11"/>
    </row>
    <row x14ac:dyDescent="0.25" r="653" customHeight="1" ht="15.75">
      <c r="A653" s="11"/>
      <c r="B653" s="11"/>
      <c r="C653" s="6"/>
      <c r="D653" s="6"/>
      <c r="E653" s="11"/>
      <c r="F653" s="11"/>
      <c r="G653" s="11"/>
      <c r="H653" s="11"/>
      <c r="I653" s="26"/>
      <c r="J653" s="11"/>
      <c r="K653" s="11"/>
      <c r="L653" s="11"/>
      <c r="M653" s="11"/>
      <c r="N653" s="11"/>
    </row>
    <row x14ac:dyDescent="0.25" r="654" customHeight="1" ht="15.75">
      <c r="A654" s="11"/>
      <c r="B654" s="11"/>
      <c r="C654" s="6"/>
      <c r="D654" s="6"/>
      <c r="E654" s="11"/>
      <c r="F654" s="11"/>
      <c r="G654" s="11"/>
      <c r="H654" s="11"/>
      <c r="I654" s="26"/>
      <c r="J654" s="11"/>
      <c r="K654" s="11"/>
      <c r="L654" s="11"/>
      <c r="M654" s="11"/>
      <c r="N654" s="11"/>
    </row>
    <row x14ac:dyDescent="0.25" r="655" customHeight="1" ht="15.75">
      <c r="A655" s="11"/>
      <c r="B655" s="11"/>
      <c r="C655" s="6"/>
      <c r="D655" s="6"/>
      <c r="E655" s="11"/>
      <c r="F655" s="11"/>
      <c r="G655" s="11"/>
      <c r="H655" s="11"/>
      <c r="I655" s="26"/>
      <c r="J655" s="11"/>
      <c r="K655" s="11"/>
      <c r="L655" s="11"/>
      <c r="M655" s="11"/>
      <c r="N655" s="11"/>
    </row>
    <row x14ac:dyDescent="0.25" r="656" customHeight="1" ht="15.75">
      <c r="A656" s="11"/>
      <c r="B656" s="11"/>
      <c r="C656" s="6"/>
      <c r="D656" s="6"/>
      <c r="E656" s="11"/>
      <c r="F656" s="11"/>
      <c r="G656" s="11"/>
      <c r="H656" s="11"/>
      <c r="I656" s="26"/>
      <c r="J656" s="11"/>
      <c r="K656" s="11"/>
      <c r="L656" s="11"/>
      <c r="M656" s="11"/>
      <c r="N656" s="11"/>
    </row>
    <row x14ac:dyDescent="0.25" r="657" customHeight="1" ht="15.75">
      <c r="A657" s="11"/>
      <c r="B657" s="11"/>
      <c r="C657" s="6"/>
      <c r="D657" s="6"/>
      <c r="E657" s="11"/>
      <c r="F657" s="11"/>
      <c r="G657" s="11"/>
      <c r="H657" s="11"/>
      <c r="I657" s="26"/>
      <c r="J657" s="11"/>
      <c r="K657" s="11"/>
      <c r="L657" s="11"/>
      <c r="M657" s="11"/>
      <c r="N657" s="11"/>
    </row>
    <row x14ac:dyDescent="0.25" r="658" customHeight="1" ht="15.75">
      <c r="A658" s="11"/>
      <c r="B658" s="11"/>
      <c r="C658" s="6"/>
      <c r="D658" s="6"/>
      <c r="E658" s="11"/>
      <c r="F658" s="11"/>
      <c r="G658" s="11"/>
      <c r="H658" s="11"/>
      <c r="I658" s="26"/>
      <c r="J658" s="11"/>
      <c r="K658" s="11"/>
      <c r="L658" s="11"/>
      <c r="M658" s="11"/>
      <c r="N658" s="11"/>
    </row>
    <row x14ac:dyDescent="0.25" r="659" customHeight="1" ht="15.75">
      <c r="A659" s="11"/>
      <c r="B659" s="11"/>
      <c r="C659" s="6"/>
      <c r="D659" s="6"/>
      <c r="E659" s="11"/>
      <c r="F659" s="11"/>
      <c r="G659" s="11"/>
      <c r="H659" s="11"/>
      <c r="I659" s="26"/>
      <c r="J659" s="11"/>
      <c r="K659" s="11"/>
      <c r="L659" s="11"/>
      <c r="M659" s="11"/>
      <c r="N659" s="11"/>
    </row>
    <row x14ac:dyDescent="0.25" r="660" customHeight="1" ht="15.75">
      <c r="A660" s="11"/>
      <c r="B660" s="11"/>
      <c r="C660" s="6"/>
      <c r="D660" s="6"/>
      <c r="E660" s="11"/>
      <c r="F660" s="11"/>
      <c r="G660" s="11"/>
      <c r="H660" s="11"/>
      <c r="I660" s="26"/>
      <c r="J660" s="11"/>
      <c r="K660" s="11"/>
      <c r="L660" s="11"/>
      <c r="M660" s="11"/>
      <c r="N660" s="11"/>
    </row>
    <row x14ac:dyDescent="0.25" r="661" customHeight="1" ht="15.75">
      <c r="A661" s="11"/>
      <c r="B661" s="11"/>
      <c r="C661" s="6"/>
      <c r="D661" s="6"/>
      <c r="E661" s="11"/>
      <c r="F661" s="11"/>
      <c r="G661" s="11"/>
      <c r="H661" s="11"/>
      <c r="I661" s="26"/>
      <c r="J661" s="11"/>
      <c r="K661" s="11"/>
      <c r="L661" s="11"/>
      <c r="M661" s="11"/>
      <c r="N661" s="11"/>
    </row>
    <row x14ac:dyDescent="0.25" r="662" customHeight="1" ht="15.75">
      <c r="A662" s="11"/>
      <c r="B662" s="11"/>
      <c r="C662" s="6"/>
      <c r="D662" s="6"/>
      <c r="E662" s="11"/>
      <c r="F662" s="11"/>
      <c r="G662" s="11"/>
      <c r="H662" s="11"/>
      <c r="I662" s="26"/>
      <c r="J662" s="11"/>
      <c r="K662" s="11"/>
      <c r="L662" s="11"/>
      <c r="M662" s="11"/>
      <c r="N662" s="11"/>
    </row>
    <row x14ac:dyDescent="0.25" r="663" customHeight="1" ht="15.75">
      <c r="A663" s="11"/>
      <c r="B663" s="11"/>
      <c r="C663" s="6"/>
      <c r="D663" s="6"/>
      <c r="E663" s="11"/>
      <c r="F663" s="11"/>
      <c r="G663" s="11"/>
      <c r="H663" s="11"/>
      <c r="I663" s="26"/>
      <c r="J663" s="11"/>
      <c r="K663" s="11"/>
      <c r="L663" s="11"/>
      <c r="M663" s="11"/>
      <c r="N663" s="11"/>
    </row>
    <row x14ac:dyDescent="0.25" r="664" customHeight="1" ht="15.75">
      <c r="A664" s="11"/>
      <c r="B664" s="11"/>
      <c r="C664" s="6"/>
      <c r="D664" s="6"/>
      <c r="E664" s="11"/>
      <c r="F664" s="11"/>
      <c r="G664" s="11"/>
      <c r="H664" s="11"/>
      <c r="I664" s="26"/>
      <c r="J664" s="11"/>
      <c r="K664" s="11"/>
      <c r="L664" s="11"/>
      <c r="M664" s="11"/>
      <c r="N664" s="11"/>
    </row>
    <row x14ac:dyDescent="0.25" r="665" customHeight="1" ht="15.75">
      <c r="A665" s="11"/>
      <c r="B665" s="11"/>
      <c r="C665" s="6"/>
      <c r="D665" s="6"/>
      <c r="E665" s="11"/>
      <c r="F665" s="11"/>
      <c r="G665" s="11"/>
      <c r="H665" s="11"/>
      <c r="I665" s="26"/>
      <c r="J665" s="11"/>
      <c r="K665" s="11"/>
      <c r="L665" s="11"/>
      <c r="M665" s="11"/>
      <c r="N665" s="11"/>
    </row>
    <row x14ac:dyDescent="0.25" r="666" customHeight="1" ht="15.75">
      <c r="A666" s="11"/>
      <c r="B666" s="11"/>
      <c r="C666" s="6"/>
      <c r="D666" s="6"/>
      <c r="E666" s="11"/>
      <c r="F666" s="11"/>
      <c r="G666" s="11"/>
      <c r="H666" s="11"/>
      <c r="I666" s="26"/>
      <c r="J666" s="11"/>
      <c r="K666" s="11"/>
      <c r="L666" s="11"/>
      <c r="M666" s="11"/>
      <c r="N666" s="11"/>
    </row>
    <row x14ac:dyDescent="0.25" r="667" customHeight="1" ht="15.75">
      <c r="A667" s="11"/>
      <c r="B667" s="11"/>
      <c r="C667" s="6"/>
      <c r="D667" s="6"/>
      <c r="E667" s="11"/>
      <c r="F667" s="11"/>
      <c r="G667" s="11"/>
      <c r="H667" s="11"/>
      <c r="I667" s="26"/>
      <c r="J667" s="11"/>
      <c r="K667" s="11"/>
      <c r="L667" s="11"/>
      <c r="M667" s="11"/>
      <c r="N667" s="11"/>
    </row>
    <row x14ac:dyDescent="0.25" r="668" customHeight="1" ht="15.75">
      <c r="A668" s="11"/>
      <c r="B668" s="11"/>
      <c r="C668" s="6"/>
      <c r="D668" s="6"/>
      <c r="E668" s="11"/>
      <c r="F668" s="11"/>
      <c r="G668" s="11"/>
      <c r="H668" s="11"/>
      <c r="I668" s="26"/>
      <c r="J668" s="11"/>
      <c r="K668" s="11"/>
      <c r="L668" s="11"/>
      <c r="M668" s="11"/>
      <c r="N668" s="11"/>
    </row>
    <row x14ac:dyDescent="0.25" r="669" customHeight="1" ht="15.75">
      <c r="A669" s="11"/>
      <c r="B669" s="11"/>
      <c r="C669" s="6"/>
      <c r="D669" s="6"/>
      <c r="E669" s="11"/>
      <c r="F669" s="11"/>
      <c r="G669" s="11"/>
      <c r="H669" s="11"/>
      <c r="I669" s="26"/>
      <c r="J669" s="11"/>
      <c r="K669" s="11"/>
      <c r="L669" s="11"/>
      <c r="M669" s="11"/>
      <c r="N669" s="11"/>
    </row>
    <row x14ac:dyDescent="0.25" r="670" customHeight="1" ht="15.75">
      <c r="A670" s="11"/>
      <c r="B670" s="11"/>
      <c r="C670" s="6"/>
      <c r="D670" s="6"/>
      <c r="E670" s="11"/>
      <c r="F670" s="11"/>
      <c r="G670" s="11"/>
      <c r="H670" s="11"/>
      <c r="I670" s="26"/>
      <c r="J670" s="11"/>
      <c r="K670" s="11"/>
      <c r="L670" s="11"/>
      <c r="M670" s="11"/>
      <c r="N670" s="11"/>
    </row>
    <row x14ac:dyDescent="0.25" r="671" customHeight="1" ht="15.75">
      <c r="A671" s="11"/>
      <c r="B671" s="11"/>
      <c r="C671" s="6"/>
      <c r="D671" s="6"/>
      <c r="E671" s="11"/>
      <c r="F671" s="11"/>
      <c r="G671" s="11"/>
      <c r="H671" s="11"/>
      <c r="I671" s="26"/>
      <c r="J671" s="11"/>
      <c r="K671" s="11"/>
      <c r="L671" s="11"/>
      <c r="M671" s="11"/>
      <c r="N671" s="11"/>
    </row>
    <row x14ac:dyDescent="0.25" r="672" customHeight="1" ht="15.75">
      <c r="A672" s="11"/>
      <c r="B672" s="11"/>
      <c r="C672" s="6"/>
      <c r="D672" s="6"/>
      <c r="E672" s="11"/>
      <c r="F672" s="11"/>
      <c r="G672" s="11"/>
      <c r="H672" s="11"/>
      <c r="I672" s="26"/>
      <c r="J672" s="11"/>
      <c r="K672" s="11"/>
      <c r="L672" s="11"/>
      <c r="M672" s="11"/>
      <c r="N672" s="11"/>
    </row>
    <row x14ac:dyDescent="0.25" r="673" customHeight="1" ht="15.75">
      <c r="A673" s="11"/>
      <c r="B673" s="11"/>
      <c r="C673" s="6"/>
      <c r="D673" s="6"/>
      <c r="E673" s="11"/>
      <c r="F673" s="11"/>
      <c r="G673" s="11"/>
      <c r="H673" s="11"/>
      <c r="I673" s="26"/>
      <c r="J673" s="11"/>
      <c r="K673" s="11"/>
      <c r="L673" s="11"/>
      <c r="M673" s="11"/>
      <c r="N673" s="11"/>
    </row>
    <row x14ac:dyDescent="0.25" r="674" customHeight="1" ht="15.75">
      <c r="A674" s="11"/>
      <c r="B674" s="11"/>
      <c r="C674" s="6"/>
      <c r="D674" s="6"/>
      <c r="E674" s="11"/>
      <c r="F674" s="11"/>
      <c r="G674" s="11"/>
      <c r="H674" s="11"/>
      <c r="I674" s="26"/>
      <c r="J674" s="11"/>
      <c r="K674" s="11"/>
      <c r="L674" s="11"/>
      <c r="M674" s="11"/>
      <c r="N674" s="11"/>
    </row>
    <row x14ac:dyDescent="0.25" r="675" customHeight="1" ht="15.75">
      <c r="A675" s="11"/>
      <c r="B675" s="11"/>
      <c r="C675" s="6"/>
      <c r="D675" s="6"/>
      <c r="E675" s="11"/>
      <c r="F675" s="11"/>
      <c r="G675" s="11"/>
      <c r="H675" s="11"/>
      <c r="I675" s="26"/>
      <c r="J675" s="11"/>
      <c r="K675" s="11"/>
      <c r="L675" s="11"/>
      <c r="M675" s="11"/>
      <c r="N675" s="11"/>
    </row>
    <row x14ac:dyDescent="0.25" r="676" customHeight="1" ht="15.75">
      <c r="A676" s="11"/>
      <c r="B676" s="11"/>
      <c r="C676" s="6"/>
      <c r="D676" s="6"/>
      <c r="E676" s="11"/>
      <c r="F676" s="11"/>
      <c r="G676" s="11"/>
      <c r="H676" s="11"/>
      <c r="I676" s="26"/>
      <c r="J676" s="11"/>
      <c r="K676" s="11"/>
      <c r="L676" s="11"/>
      <c r="M676" s="11"/>
      <c r="N676" s="11"/>
    </row>
    <row x14ac:dyDescent="0.25" r="677" customHeight="1" ht="15.75">
      <c r="A677" s="11"/>
      <c r="B677" s="11"/>
      <c r="C677" s="6"/>
      <c r="D677" s="6"/>
      <c r="E677" s="11"/>
      <c r="F677" s="11"/>
      <c r="G677" s="11"/>
      <c r="H677" s="11"/>
      <c r="I677" s="26"/>
      <c r="J677" s="11"/>
      <c r="K677" s="11"/>
      <c r="L677" s="11"/>
      <c r="M677" s="11"/>
      <c r="N677" s="11"/>
    </row>
    <row x14ac:dyDescent="0.25" r="678" customHeight="1" ht="15.75">
      <c r="A678" s="11"/>
      <c r="B678" s="11"/>
      <c r="C678" s="6"/>
      <c r="D678" s="6"/>
      <c r="E678" s="11"/>
      <c r="F678" s="11"/>
      <c r="G678" s="11"/>
      <c r="H678" s="11"/>
      <c r="I678" s="26"/>
      <c r="J678" s="11"/>
      <c r="K678" s="11"/>
      <c r="L678" s="11"/>
      <c r="M678" s="11"/>
      <c r="N678" s="11"/>
    </row>
    <row x14ac:dyDescent="0.25" r="679" customHeight="1" ht="15.75">
      <c r="A679" s="11"/>
      <c r="B679" s="11"/>
      <c r="C679" s="6"/>
      <c r="D679" s="6"/>
      <c r="E679" s="11"/>
      <c r="F679" s="11"/>
      <c r="G679" s="11"/>
      <c r="H679" s="11"/>
      <c r="I679" s="26"/>
      <c r="J679" s="11"/>
      <c r="K679" s="11"/>
      <c r="L679" s="11"/>
      <c r="M679" s="11"/>
      <c r="N679" s="11"/>
    </row>
    <row x14ac:dyDescent="0.25" r="680" customHeight="1" ht="15.75">
      <c r="A680" s="11"/>
      <c r="B680" s="11"/>
      <c r="C680" s="6"/>
      <c r="D680" s="6"/>
      <c r="E680" s="11"/>
      <c r="F680" s="11"/>
      <c r="G680" s="11"/>
      <c r="H680" s="11"/>
      <c r="I680" s="26"/>
      <c r="J680" s="11"/>
      <c r="K680" s="11"/>
      <c r="L680" s="11"/>
      <c r="M680" s="11"/>
      <c r="N680" s="11"/>
    </row>
    <row x14ac:dyDescent="0.25" r="681" customHeight="1" ht="15.75">
      <c r="A681" s="11"/>
      <c r="B681" s="11"/>
      <c r="C681" s="6"/>
      <c r="D681" s="6"/>
      <c r="E681" s="11"/>
      <c r="F681" s="11"/>
      <c r="G681" s="11"/>
      <c r="H681" s="11"/>
      <c r="I681" s="26"/>
      <c r="J681" s="11"/>
      <c r="K681" s="11"/>
      <c r="L681" s="11"/>
      <c r="M681" s="11"/>
      <c r="N681" s="11"/>
    </row>
    <row x14ac:dyDescent="0.25" r="682" customHeight="1" ht="15.75">
      <c r="A682" s="11"/>
      <c r="B682" s="11"/>
      <c r="C682" s="6"/>
      <c r="D682" s="6"/>
      <c r="E682" s="11"/>
      <c r="F682" s="11"/>
      <c r="G682" s="11"/>
      <c r="H682" s="11"/>
      <c r="I682" s="26"/>
      <c r="J682" s="11"/>
      <c r="K682" s="11"/>
      <c r="L682" s="11"/>
      <c r="M682" s="11"/>
      <c r="N682" s="11"/>
    </row>
    <row x14ac:dyDescent="0.25" r="683" customHeight="1" ht="15.75">
      <c r="A683" s="11"/>
      <c r="B683" s="11"/>
      <c r="C683" s="6"/>
      <c r="D683" s="6"/>
      <c r="E683" s="11"/>
      <c r="F683" s="11"/>
      <c r="G683" s="11"/>
      <c r="H683" s="11"/>
      <c r="I683" s="26"/>
      <c r="J683" s="11"/>
      <c r="K683" s="11"/>
      <c r="L683" s="11"/>
      <c r="M683" s="11"/>
      <c r="N683" s="11"/>
    </row>
    <row x14ac:dyDescent="0.25" r="684" customHeight="1" ht="15.75">
      <c r="A684" s="11"/>
      <c r="B684" s="11"/>
      <c r="C684" s="6"/>
      <c r="D684" s="6"/>
      <c r="E684" s="11"/>
      <c r="F684" s="11"/>
      <c r="G684" s="11"/>
      <c r="H684" s="11"/>
      <c r="I684" s="26"/>
      <c r="J684" s="11"/>
      <c r="K684" s="11"/>
      <c r="L684" s="11"/>
      <c r="M684" s="11"/>
      <c r="N684" s="11"/>
    </row>
    <row x14ac:dyDescent="0.25" r="685" customHeight="1" ht="15.75">
      <c r="A685" s="11"/>
      <c r="B685" s="11"/>
      <c r="C685" s="6"/>
      <c r="D685" s="6"/>
      <c r="E685" s="11"/>
      <c r="F685" s="11"/>
      <c r="G685" s="11"/>
      <c r="H685" s="11"/>
      <c r="I685" s="26"/>
      <c r="J685" s="11"/>
      <c r="K685" s="11"/>
      <c r="L685" s="11"/>
      <c r="M685" s="11"/>
      <c r="N685" s="11"/>
    </row>
    <row x14ac:dyDescent="0.25" r="686" customHeight="1" ht="15.75">
      <c r="A686" s="11"/>
      <c r="B686" s="11"/>
      <c r="C686" s="6"/>
      <c r="D686" s="6"/>
      <c r="E686" s="11"/>
      <c r="F686" s="11"/>
      <c r="G686" s="11"/>
      <c r="H686" s="11"/>
      <c r="I686" s="26"/>
      <c r="J686" s="11"/>
      <c r="K686" s="11"/>
      <c r="L686" s="11"/>
      <c r="M686" s="11"/>
      <c r="N686" s="11"/>
    </row>
    <row x14ac:dyDescent="0.25" r="687" customHeight="1" ht="15.75">
      <c r="A687" s="11"/>
      <c r="B687" s="11"/>
      <c r="C687" s="6"/>
      <c r="D687" s="6"/>
      <c r="E687" s="11"/>
      <c r="F687" s="11"/>
      <c r="G687" s="11"/>
      <c r="H687" s="11"/>
      <c r="I687" s="26"/>
      <c r="J687" s="11"/>
      <c r="K687" s="11"/>
      <c r="L687" s="11"/>
      <c r="M687" s="11"/>
      <c r="N687" s="11"/>
    </row>
    <row x14ac:dyDescent="0.25" r="688" customHeight="1" ht="15.75">
      <c r="A688" s="11"/>
      <c r="B688" s="11"/>
      <c r="C688" s="6"/>
      <c r="D688" s="6"/>
      <c r="E688" s="11"/>
      <c r="F688" s="11"/>
      <c r="G688" s="11"/>
      <c r="H688" s="11"/>
      <c r="I688" s="26"/>
      <c r="J688" s="11"/>
      <c r="K688" s="11"/>
      <c r="L688" s="11"/>
      <c r="M688" s="11"/>
      <c r="N688" s="11"/>
    </row>
    <row x14ac:dyDescent="0.25" r="689" customHeight="1" ht="15.75">
      <c r="A689" s="11"/>
      <c r="B689" s="11"/>
      <c r="C689" s="6"/>
      <c r="D689" s="6"/>
      <c r="E689" s="11"/>
      <c r="F689" s="11"/>
      <c r="G689" s="11"/>
      <c r="H689" s="11"/>
      <c r="I689" s="26"/>
      <c r="J689" s="11"/>
      <c r="K689" s="11"/>
      <c r="L689" s="11"/>
      <c r="M689" s="11"/>
      <c r="N689" s="11"/>
    </row>
    <row x14ac:dyDescent="0.25" r="690" customHeight="1" ht="15.75">
      <c r="A690" s="11"/>
      <c r="B690" s="11"/>
      <c r="C690" s="6"/>
      <c r="D690" s="6"/>
      <c r="E690" s="11"/>
      <c r="F690" s="11"/>
      <c r="G690" s="11"/>
      <c r="H690" s="11"/>
      <c r="I690" s="26"/>
      <c r="J690" s="11"/>
      <c r="K690" s="11"/>
      <c r="L690" s="11"/>
      <c r="M690" s="11"/>
      <c r="N690" s="11"/>
    </row>
    <row x14ac:dyDescent="0.25" r="691" customHeight="1" ht="15.75">
      <c r="A691" s="11"/>
      <c r="B691" s="11"/>
      <c r="C691" s="6"/>
      <c r="D691" s="6"/>
      <c r="E691" s="11"/>
      <c r="F691" s="11"/>
      <c r="G691" s="11"/>
      <c r="H691" s="11"/>
      <c r="I691" s="26"/>
      <c r="J691" s="11"/>
      <c r="K691" s="11"/>
      <c r="L691" s="11"/>
      <c r="M691" s="11"/>
      <c r="N691" s="11"/>
    </row>
    <row x14ac:dyDescent="0.25" r="692" customHeight="1" ht="15.75">
      <c r="A692" s="11"/>
      <c r="B692" s="11"/>
      <c r="C692" s="6"/>
      <c r="D692" s="6"/>
      <c r="E692" s="11"/>
      <c r="F692" s="11"/>
      <c r="G692" s="11"/>
      <c r="H692" s="11"/>
      <c r="I692" s="26"/>
      <c r="J692" s="11"/>
      <c r="K692" s="11"/>
      <c r="L692" s="11"/>
      <c r="M692" s="11"/>
      <c r="N692" s="11"/>
    </row>
    <row x14ac:dyDescent="0.25" r="693" customHeight="1" ht="15.75">
      <c r="A693" s="11"/>
      <c r="B693" s="11"/>
      <c r="C693" s="6"/>
      <c r="D693" s="6"/>
      <c r="E693" s="11"/>
      <c r="F693" s="11"/>
      <c r="G693" s="11"/>
      <c r="H693" s="11"/>
      <c r="I693" s="26"/>
      <c r="J693" s="11"/>
      <c r="K693" s="11"/>
      <c r="L693" s="11"/>
      <c r="M693" s="11"/>
      <c r="N693" s="11"/>
    </row>
    <row x14ac:dyDescent="0.25" r="694" customHeight="1" ht="15.75">
      <c r="A694" s="11"/>
      <c r="B694" s="11"/>
      <c r="C694" s="6"/>
      <c r="D694" s="6"/>
      <c r="E694" s="11"/>
      <c r="F694" s="11"/>
      <c r="G694" s="11"/>
      <c r="H694" s="11"/>
      <c r="I694" s="26"/>
      <c r="J694" s="11"/>
      <c r="K694" s="11"/>
      <c r="L694" s="11"/>
      <c r="M694" s="11"/>
      <c r="N694" s="11"/>
    </row>
    <row x14ac:dyDescent="0.25" r="695" customHeight="1" ht="15.75">
      <c r="A695" s="11"/>
      <c r="B695" s="11"/>
      <c r="C695" s="6"/>
      <c r="D695" s="6"/>
      <c r="E695" s="11"/>
      <c r="F695" s="11"/>
      <c r="G695" s="11"/>
      <c r="H695" s="11"/>
      <c r="I695" s="26"/>
      <c r="J695" s="11"/>
      <c r="K695" s="11"/>
      <c r="L695" s="11"/>
      <c r="M695" s="11"/>
      <c r="N695" s="11"/>
    </row>
    <row x14ac:dyDescent="0.25" r="696" customHeight="1" ht="15.75">
      <c r="A696" s="11"/>
      <c r="B696" s="11"/>
      <c r="C696" s="6"/>
      <c r="D696" s="6"/>
      <c r="E696" s="11"/>
      <c r="F696" s="11"/>
      <c r="G696" s="11"/>
      <c r="H696" s="11"/>
      <c r="I696" s="26"/>
      <c r="J696" s="11"/>
      <c r="K696" s="11"/>
      <c r="L696" s="11"/>
      <c r="M696" s="11"/>
      <c r="N696" s="11"/>
    </row>
    <row x14ac:dyDescent="0.25" r="697" customHeight="1" ht="15.75">
      <c r="A697" s="11"/>
      <c r="B697" s="11"/>
      <c r="C697" s="6"/>
      <c r="D697" s="6"/>
      <c r="E697" s="11"/>
      <c r="F697" s="11"/>
      <c r="G697" s="11"/>
      <c r="H697" s="11"/>
      <c r="I697" s="26"/>
      <c r="J697" s="11"/>
      <c r="K697" s="11"/>
      <c r="L697" s="11"/>
      <c r="M697" s="11"/>
      <c r="N697" s="11"/>
    </row>
    <row x14ac:dyDescent="0.25" r="698" customHeight="1" ht="15.75">
      <c r="A698" s="11"/>
      <c r="B698" s="11"/>
      <c r="C698" s="6"/>
      <c r="D698" s="6"/>
      <c r="E698" s="11"/>
      <c r="F698" s="11"/>
      <c r="G698" s="11"/>
      <c r="H698" s="11"/>
      <c r="I698" s="26"/>
      <c r="J698" s="11"/>
      <c r="K698" s="11"/>
      <c r="L698" s="11"/>
      <c r="M698" s="11"/>
      <c r="N698" s="11"/>
    </row>
    <row x14ac:dyDescent="0.25" r="699" customHeight="1" ht="15.75">
      <c r="A699" s="11"/>
      <c r="B699" s="11"/>
      <c r="C699" s="6"/>
      <c r="D699" s="6"/>
      <c r="E699" s="11"/>
      <c r="F699" s="11"/>
      <c r="G699" s="11"/>
      <c r="H699" s="11"/>
      <c r="I699" s="26"/>
      <c r="J699" s="11"/>
      <c r="K699" s="11"/>
      <c r="L699" s="11"/>
      <c r="M699" s="11"/>
      <c r="N699" s="11"/>
    </row>
    <row x14ac:dyDescent="0.25" r="700" customHeight="1" ht="15.75">
      <c r="A700" s="11"/>
      <c r="B700" s="11"/>
      <c r="C700" s="6"/>
      <c r="D700" s="6"/>
      <c r="E700" s="11"/>
      <c r="F700" s="11"/>
      <c r="G700" s="11"/>
      <c r="H700" s="11"/>
      <c r="I700" s="26"/>
      <c r="J700" s="11"/>
      <c r="K700" s="11"/>
      <c r="L700" s="11"/>
      <c r="M700" s="11"/>
      <c r="N700" s="11"/>
    </row>
    <row x14ac:dyDescent="0.25" r="701" customHeight="1" ht="15.75">
      <c r="A701" s="11"/>
      <c r="B701" s="11"/>
      <c r="C701" s="6"/>
      <c r="D701" s="6"/>
      <c r="E701" s="11"/>
      <c r="F701" s="11"/>
      <c r="G701" s="11"/>
      <c r="H701" s="11"/>
      <c r="I701" s="26"/>
      <c r="J701" s="11"/>
      <c r="K701" s="11"/>
      <c r="L701" s="11"/>
      <c r="M701" s="11"/>
      <c r="N701" s="11"/>
    </row>
    <row x14ac:dyDescent="0.25" r="702" customHeight="1" ht="15.75">
      <c r="A702" s="11"/>
      <c r="B702" s="11"/>
      <c r="C702" s="6"/>
      <c r="D702" s="6"/>
      <c r="E702" s="11"/>
      <c r="F702" s="11"/>
      <c r="G702" s="11"/>
      <c r="H702" s="11"/>
      <c r="I702" s="26"/>
      <c r="J702" s="11"/>
      <c r="K702" s="11"/>
      <c r="L702" s="11"/>
      <c r="M702" s="11"/>
      <c r="N702" s="11"/>
    </row>
    <row x14ac:dyDescent="0.25" r="703" customHeight="1" ht="15.75">
      <c r="A703" s="11"/>
      <c r="B703" s="11"/>
      <c r="C703" s="6"/>
      <c r="D703" s="6"/>
      <c r="E703" s="11"/>
      <c r="F703" s="11"/>
      <c r="G703" s="11"/>
      <c r="H703" s="11"/>
      <c r="I703" s="26"/>
      <c r="J703" s="11"/>
      <c r="K703" s="11"/>
      <c r="L703" s="11"/>
      <c r="M703" s="11"/>
      <c r="N703" s="11"/>
    </row>
    <row x14ac:dyDescent="0.25" r="704" customHeight="1" ht="15.75">
      <c r="A704" s="11"/>
      <c r="B704" s="11"/>
      <c r="C704" s="6"/>
      <c r="D704" s="6"/>
      <c r="E704" s="11"/>
      <c r="F704" s="11"/>
      <c r="G704" s="11"/>
      <c r="H704" s="11"/>
      <c r="I704" s="26"/>
      <c r="J704" s="11"/>
      <c r="K704" s="11"/>
      <c r="L704" s="11"/>
      <c r="M704" s="11"/>
      <c r="N704" s="11"/>
    </row>
    <row x14ac:dyDescent="0.25" r="705" customHeight="1" ht="15.75">
      <c r="A705" s="11"/>
      <c r="B705" s="11"/>
      <c r="C705" s="6"/>
      <c r="D705" s="6"/>
      <c r="E705" s="11"/>
      <c r="F705" s="11"/>
      <c r="G705" s="11"/>
      <c r="H705" s="11"/>
      <c r="I705" s="26"/>
      <c r="J705" s="11"/>
      <c r="K705" s="11"/>
      <c r="L705" s="11"/>
      <c r="M705" s="11"/>
      <c r="N705" s="11"/>
    </row>
    <row x14ac:dyDescent="0.25" r="706" customHeight="1" ht="15.75">
      <c r="A706" s="11"/>
      <c r="B706" s="11"/>
      <c r="C706" s="6"/>
      <c r="D706" s="6"/>
      <c r="E706" s="11"/>
      <c r="F706" s="11"/>
      <c r="G706" s="11"/>
      <c r="H706" s="11"/>
      <c r="I706" s="26"/>
      <c r="J706" s="11"/>
      <c r="K706" s="11"/>
      <c r="L706" s="11"/>
      <c r="M706" s="11"/>
      <c r="N706" s="11"/>
    </row>
    <row x14ac:dyDescent="0.25" r="707" customHeight="1" ht="15.75">
      <c r="A707" s="11"/>
      <c r="B707" s="11"/>
      <c r="C707" s="6"/>
      <c r="D707" s="6"/>
      <c r="E707" s="11"/>
      <c r="F707" s="11"/>
      <c r="G707" s="11"/>
      <c r="H707" s="11"/>
      <c r="I707" s="26"/>
      <c r="J707" s="11"/>
      <c r="K707" s="11"/>
      <c r="L707" s="11"/>
      <c r="M707" s="11"/>
      <c r="N707" s="11"/>
    </row>
    <row x14ac:dyDescent="0.25" r="708" customHeight="1" ht="15.75">
      <c r="A708" s="11"/>
      <c r="B708" s="11"/>
      <c r="C708" s="6"/>
      <c r="D708" s="6"/>
      <c r="E708" s="11"/>
      <c r="F708" s="11"/>
      <c r="G708" s="11"/>
      <c r="H708" s="11"/>
      <c r="I708" s="26"/>
      <c r="J708" s="11"/>
      <c r="K708" s="11"/>
      <c r="L708" s="11"/>
      <c r="M708" s="11"/>
      <c r="N708" s="11"/>
    </row>
    <row x14ac:dyDescent="0.25" r="709" customHeight="1" ht="15.75">
      <c r="A709" s="11"/>
      <c r="B709" s="11"/>
      <c r="C709" s="6"/>
      <c r="D709" s="6"/>
      <c r="E709" s="11"/>
      <c r="F709" s="11"/>
      <c r="G709" s="11"/>
      <c r="H709" s="11"/>
      <c r="I709" s="26"/>
      <c r="J709" s="11"/>
      <c r="K709" s="11"/>
      <c r="L709" s="11"/>
      <c r="M709" s="11"/>
      <c r="N709" s="11"/>
    </row>
    <row x14ac:dyDescent="0.25" r="710" customHeight="1" ht="15.75">
      <c r="A710" s="11"/>
      <c r="B710" s="11"/>
      <c r="C710" s="6"/>
      <c r="D710" s="6"/>
      <c r="E710" s="11"/>
      <c r="F710" s="11"/>
      <c r="G710" s="11"/>
      <c r="H710" s="11"/>
      <c r="I710" s="26"/>
      <c r="J710" s="11"/>
      <c r="K710" s="11"/>
      <c r="L710" s="11"/>
      <c r="M710" s="11"/>
      <c r="N710" s="11"/>
    </row>
    <row x14ac:dyDescent="0.25" r="711" customHeight="1" ht="15.75">
      <c r="A711" s="11"/>
      <c r="B711" s="11"/>
      <c r="C711" s="6"/>
      <c r="D711" s="6"/>
      <c r="E711" s="11"/>
      <c r="F711" s="11"/>
      <c r="G711" s="11"/>
      <c r="H711" s="11"/>
      <c r="I711" s="26"/>
      <c r="J711" s="11"/>
      <c r="K711" s="11"/>
      <c r="L711" s="11"/>
      <c r="M711" s="11"/>
      <c r="N711" s="11"/>
    </row>
    <row x14ac:dyDescent="0.25" r="712" customHeight="1" ht="15.75">
      <c r="A712" s="11"/>
      <c r="B712" s="11"/>
      <c r="C712" s="6"/>
      <c r="D712" s="6"/>
      <c r="E712" s="11"/>
      <c r="F712" s="11"/>
      <c r="G712" s="11"/>
      <c r="H712" s="11"/>
      <c r="I712" s="26"/>
      <c r="J712" s="11"/>
      <c r="K712" s="11"/>
      <c r="L712" s="11"/>
      <c r="M712" s="11"/>
      <c r="N712" s="11"/>
    </row>
    <row x14ac:dyDescent="0.25" r="713" customHeight="1" ht="15.75">
      <c r="A713" s="11"/>
      <c r="B713" s="11"/>
      <c r="C713" s="6"/>
      <c r="D713" s="6"/>
      <c r="E713" s="11"/>
      <c r="F713" s="11"/>
      <c r="G713" s="11"/>
      <c r="H713" s="11"/>
      <c r="I713" s="26"/>
      <c r="J713" s="11"/>
      <c r="K713" s="11"/>
      <c r="L713" s="11"/>
      <c r="M713" s="11"/>
      <c r="N713" s="11"/>
    </row>
    <row x14ac:dyDescent="0.25" r="714" customHeight="1" ht="15.75">
      <c r="A714" s="11"/>
      <c r="B714" s="11"/>
      <c r="C714" s="6"/>
      <c r="D714" s="6"/>
      <c r="E714" s="11"/>
      <c r="F714" s="11"/>
      <c r="G714" s="11"/>
      <c r="H714" s="11"/>
      <c r="I714" s="26"/>
      <c r="J714" s="11"/>
      <c r="K714" s="11"/>
      <c r="L714" s="11"/>
      <c r="M714" s="11"/>
      <c r="N714" s="11"/>
    </row>
    <row x14ac:dyDescent="0.25" r="715" customHeight="1" ht="15.75">
      <c r="A715" s="11"/>
      <c r="B715" s="11"/>
      <c r="C715" s="6"/>
      <c r="D715" s="6"/>
      <c r="E715" s="11"/>
      <c r="F715" s="11"/>
      <c r="G715" s="11"/>
      <c r="H715" s="11"/>
      <c r="I715" s="26"/>
      <c r="J715" s="11"/>
      <c r="K715" s="11"/>
      <c r="L715" s="11"/>
      <c r="M715" s="11"/>
      <c r="N715" s="11"/>
    </row>
    <row x14ac:dyDescent="0.25" r="716" customHeight="1" ht="15.75">
      <c r="A716" s="11"/>
      <c r="B716" s="11"/>
      <c r="C716" s="6"/>
      <c r="D716" s="6"/>
      <c r="E716" s="11"/>
      <c r="F716" s="11"/>
      <c r="G716" s="11"/>
      <c r="H716" s="11"/>
      <c r="I716" s="26"/>
      <c r="J716" s="11"/>
      <c r="K716" s="11"/>
      <c r="L716" s="11"/>
      <c r="M716" s="11"/>
      <c r="N716" s="11"/>
    </row>
    <row x14ac:dyDescent="0.25" r="717" customHeight="1" ht="15.75">
      <c r="A717" s="11"/>
      <c r="B717" s="11"/>
      <c r="C717" s="6"/>
      <c r="D717" s="6"/>
      <c r="E717" s="11"/>
      <c r="F717" s="11"/>
      <c r="G717" s="11"/>
      <c r="H717" s="11"/>
      <c r="I717" s="26"/>
      <c r="J717" s="11"/>
      <c r="K717" s="11"/>
      <c r="L717" s="11"/>
      <c r="M717" s="11"/>
      <c r="N717" s="11"/>
    </row>
    <row x14ac:dyDescent="0.25" r="718" customHeight="1" ht="15.75">
      <c r="A718" s="11"/>
      <c r="B718" s="11"/>
      <c r="C718" s="6"/>
      <c r="D718" s="6"/>
      <c r="E718" s="11"/>
      <c r="F718" s="11"/>
      <c r="G718" s="11"/>
      <c r="H718" s="11"/>
      <c r="I718" s="26"/>
      <c r="J718" s="11"/>
      <c r="K718" s="11"/>
      <c r="L718" s="11"/>
      <c r="M718" s="11"/>
      <c r="N718" s="11"/>
    </row>
    <row x14ac:dyDescent="0.25" r="719" customHeight="1" ht="15.75">
      <c r="A719" s="11"/>
      <c r="B719" s="11"/>
      <c r="C719" s="6"/>
      <c r="D719" s="6"/>
      <c r="E719" s="11"/>
      <c r="F719" s="11"/>
      <c r="G719" s="11"/>
      <c r="H719" s="11"/>
      <c r="I719" s="26"/>
      <c r="J719" s="11"/>
      <c r="K719" s="11"/>
      <c r="L719" s="11"/>
      <c r="M719" s="11"/>
      <c r="N719" s="11"/>
    </row>
    <row x14ac:dyDescent="0.25" r="720" customHeight="1" ht="15.75">
      <c r="A720" s="11"/>
      <c r="B720" s="11"/>
      <c r="C720" s="6"/>
      <c r="D720" s="6"/>
      <c r="E720" s="11"/>
      <c r="F720" s="11"/>
      <c r="G720" s="11"/>
      <c r="H720" s="11"/>
      <c r="I720" s="26"/>
      <c r="J720" s="11"/>
      <c r="K720" s="11"/>
      <c r="L720" s="11"/>
      <c r="M720" s="11"/>
      <c r="N720" s="11"/>
    </row>
    <row x14ac:dyDescent="0.25" r="721" customHeight="1" ht="15.75">
      <c r="A721" s="11"/>
      <c r="B721" s="11"/>
      <c r="C721" s="6"/>
      <c r="D721" s="6"/>
      <c r="E721" s="11"/>
      <c r="F721" s="11"/>
      <c r="G721" s="11"/>
      <c r="H721" s="11"/>
      <c r="I721" s="26"/>
      <c r="J721" s="11"/>
      <c r="K721" s="11"/>
      <c r="L721" s="11"/>
      <c r="M721" s="11"/>
      <c r="N721" s="11"/>
    </row>
    <row x14ac:dyDescent="0.25" r="722" customHeight="1" ht="15.75">
      <c r="A722" s="11"/>
      <c r="B722" s="11"/>
      <c r="C722" s="6"/>
      <c r="D722" s="6"/>
      <c r="E722" s="11"/>
      <c r="F722" s="11"/>
      <c r="G722" s="11"/>
      <c r="H722" s="11"/>
      <c r="I722" s="26"/>
      <c r="J722" s="11"/>
      <c r="K722" s="11"/>
      <c r="L722" s="11"/>
      <c r="M722" s="11"/>
      <c r="N722" s="11"/>
    </row>
    <row x14ac:dyDescent="0.25" r="723" customHeight="1" ht="15.75">
      <c r="A723" s="11"/>
      <c r="B723" s="11"/>
      <c r="C723" s="6"/>
      <c r="D723" s="6"/>
      <c r="E723" s="11"/>
      <c r="F723" s="11"/>
      <c r="G723" s="11"/>
      <c r="H723" s="11"/>
      <c r="I723" s="26"/>
      <c r="J723" s="11"/>
      <c r="K723" s="11"/>
      <c r="L723" s="11"/>
      <c r="M723" s="11"/>
      <c r="N723" s="11"/>
    </row>
    <row x14ac:dyDescent="0.25" r="724" customHeight="1" ht="15.75">
      <c r="A724" s="11"/>
      <c r="B724" s="11"/>
      <c r="C724" s="6"/>
      <c r="D724" s="6"/>
      <c r="E724" s="11"/>
      <c r="F724" s="11"/>
      <c r="G724" s="11"/>
      <c r="H724" s="11"/>
      <c r="I724" s="26"/>
      <c r="J724" s="11"/>
      <c r="K724" s="11"/>
      <c r="L724" s="11"/>
      <c r="M724" s="11"/>
      <c r="N724" s="11"/>
    </row>
    <row x14ac:dyDescent="0.25" r="725" customHeight="1" ht="15.75">
      <c r="A725" s="11"/>
      <c r="B725" s="11"/>
      <c r="C725" s="6"/>
      <c r="D725" s="6"/>
      <c r="E725" s="11"/>
      <c r="F725" s="11"/>
      <c r="G725" s="11"/>
      <c r="H725" s="11"/>
      <c r="I725" s="26"/>
      <c r="J725" s="11"/>
      <c r="K725" s="11"/>
      <c r="L725" s="11"/>
      <c r="M725" s="11"/>
      <c r="N725" s="11"/>
    </row>
    <row x14ac:dyDescent="0.25" r="726" customHeight="1" ht="15.75">
      <c r="A726" s="11"/>
      <c r="B726" s="11"/>
      <c r="C726" s="6"/>
      <c r="D726" s="6"/>
      <c r="E726" s="11"/>
      <c r="F726" s="11"/>
      <c r="G726" s="11"/>
      <c r="H726" s="11"/>
      <c r="I726" s="26"/>
      <c r="J726" s="11"/>
      <c r="K726" s="11"/>
      <c r="L726" s="11"/>
      <c r="M726" s="11"/>
      <c r="N726" s="11"/>
    </row>
    <row x14ac:dyDescent="0.25" r="727" customHeight="1" ht="15.75">
      <c r="A727" s="11"/>
      <c r="B727" s="11"/>
      <c r="C727" s="6"/>
      <c r="D727" s="6"/>
      <c r="E727" s="11"/>
      <c r="F727" s="11"/>
      <c r="G727" s="11"/>
      <c r="H727" s="11"/>
      <c r="I727" s="26"/>
      <c r="J727" s="11"/>
      <c r="K727" s="11"/>
      <c r="L727" s="11"/>
      <c r="M727" s="11"/>
      <c r="N727" s="11"/>
    </row>
    <row x14ac:dyDescent="0.25" r="728" customHeight="1" ht="15.75">
      <c r="A728" s="11"/>
      <c r="B728" s="11"/>
      <c r="C728" s="6"/>
      <c r="D728" s="6"/>
      <c r="E728" s="11"/>
      <c r="F728" s="11"/>
      <c r="G728" s="11"/>
      <c r="H728" s="11"/>
      <c r="I728" s="26"/>
      <c r="J728" s="11"/>
      <c r="K728" s="11"/>
      <c r="L728" s="11"/>
      <c r="M728" s="11"/>
      <c r="N728" s="11"/>
    </row>
    <row x14ac:dyDescent="0.25" r="729" customHeight="1" ht="15.75">
      <c r="A729" s="11"/>
      <c r="B729" s="11"/>
      <c r="C729" s="6"/>
      <c r="D729" s="6"/>
      <c r="E729" s="11"/>
      <c r="F729" s="11"/>
      <c r="G729" s="11"/>
      <c r="H729" s="11"/>
      <c r="I729" s="26"/>
      <c r="J729" s="11"/>
      <c r="K729" s="11"/>
      <c r="L729" s="11"/>
      <c r="M729" s="11"/>
      <c r="N729" s="11"/>
    </row>
    <row x14ac:dyDescent="0.25" r="730" customHeight="1" ht="15.75">
      <c r="A730" s="11"/>
      <c r="B730" s="11"/>
      <c r="C730" s="6"/>
      <c r="D730" s="6"/>
      <c r="E730" s="11"/>
      <c r="F730" s="11"/>
      <c r="G730" s="11"/>
      <c r="H730" s="11"/>
      <c r="I730" s="26"/>
      <c r="J730" s="11"/>
      <c r="K730" s="11"/>
      <c r="L730" s="11"/>
      <c r="M730" s="11"/>
      <c r="N730" s="11"/>
    </row>
    <row x14ac:dyDescent="0.25" r="731" customHeight="1" ht="15.75">
      <c r="A731" s="11"/>
      <c r="B731" s="11"/>
      <c r="C731" s="6"/>
      <c r="D731" s="6"/>
      <c r="E731" s="11"/>
      <c r="F731" s="11"/>
      <c r="G731" s="11"/>
      <c r="H731" s="11"/>
      <c r="I731" s="26"/>
      <c r="J731" s="11"/>
      <c r="K731" s="11"/>
      <c r="L731" s="11"/>
      <c r="M731" s="11"/>
      <c r="N731" s="11"/>
    </row>
    <row x14ac:dyDescent="0.25" r="732" customHeight="1" ht="15.75">
      <c r="A732" s="11"/>
      <c r="B732" s="11"/>
      <c r="C732" s="6"/>
      <c r="D732" s="6"/>
      <c r="E732" s="11"/>
      <c r="F732" s="11"/>
      <c r="G732" s="11"/>
      <c r="H732" s="11"/>
      <c r="I732" s="26"/>
      <c r="J732" s="11"/>
      <c r="K732" s="11"/>
      <c r="L732" s="11"/>
      <c r="M732" s="11"/>
      <c r="N732" s="11"/>
    </row>
    <row x14ac:dyDescent="0.25" r="733" customHeight="1" ht="15.75">
      <c r="A733" s="11"/>
      <c r="B733" s="11"/>
      <c r="C733" s="6"/>
      <c r="D733" s="6"/>
      <c r="E733" s="11"/>
      <c r="F733" s="11"/>
      <c r="G733" s="11"/>
      <c r="H733" s="11"/>
      <c r="I733" s="26"/>
      <c r="J733" s="11"/>
      <c r="K733" s="11"/>
      <c r="L733" s="11"/>
      <c r="M733" s="11"/>
      <c r="N733" s="11"/>
    </row>
    <row x14ac:dyDescent="0.25" r="734" customHeight="1" ht="15.75">
      <c r="A734" s="11"/>
      <c r="B734" s="11"/>
      <c r="C734" s="6"/>
      <c r="D734" s="6"/>
      <c r="E734" s="11"/>
      <c r="F734" s="11"/>
      <c r="G734" s="11"/>
      <c r="H734" s="11"/>
      <c r="I734" s="26"/>
      <c r="J734" s="11"/>
      <c r="K734" s="11"/>
      <c r="L734" s="11"/>
      <c r="M734" s="11"/>
      <c r="N734" s="11"/>
    </row>
    <row x14ac:dyDescent="0.25" r="735" customHeight="1" ht="15.75">
      <c r="A735" s="11"/>
      <c r="B735" s="11"/>
      <c r="C735" s="6"/>
      <c r="D735" s="6"/>
      <c r="E735" s="11"/>
      <c r="F735" s="11"/>
      <c r="G735" s="11"/>
      <c r="H735" s="11"/>
      <c r="I735" s="26"/>
      <c r="J735" s="11"/>
      <c r="K735" s="11"/>
      <c r="L735" s="11"/>
      <c r="M735" s="11"/>
      <c r="N735" s="11"/>
    </row>
    <row x14ac:dyDescent="0.25" r="736" customHeight="1" ht="15.75">
      <c r="A736" s="11"/>
      <c r="B736" s="11"/>
      <c r="C736" s="6"/>
      <c r="D736" s="6"/>
      <c r="E736" s="11"/>
      <c r="F736" s="11"/>
      <c r="G736" s="11"/>
      <c r="H736" s="11"/>
      <c r="I736" s="26"/>
      <c r="J736" s="11"/>
      <c r="K736" s="11"/>
      <c r="L736" s="11"/>
      <c r="M736" s="11"/>
      <c r="N736" s="11"/>
    </row>
    <row x14ac:dyDescent="0.25" r="737" customHeight="1" ht="15.75">
      <c r="A737" s="11"/>
      <c r="B737" s="11"/>
      <c r="C737" s="6"/>
      <c r="D737" s="6"/>
      <c r="E737" s="11"/>
      <c r="F737" s="11"/>
      <c r="G737" s="11"/>
      <c r="H737" s="11"/>
      <c r="I737" s="26"/>
      <c r="J737" s="11"/>
      <c r="K737" s="11"/>
      <c r="L737" s="11"/>
      <c r="M737" s="11"/>
      <c r="N737" s="11"/>
    </row>
    <row x14ac:dyDescent="0.25" r="738" customHeight="1" ht="15.75">
      <c r="A738" s="11"/>
      <c r="B738" s="11"/>
      <c r="C738" s="6"/>
      <c r="D738" s="6"/>
      <c r="E738" s="11"/>
      <c r="F738" s="11"/>
      <c r="G738" s="11"/>
      <c r="H738" s="11"/>
      <c r="I738" s="26"/>
      <c r="J738" s="11"/>
      <c r="K738" s="11"/>
      <c r="L738" s="11"/>
      <c r="M738" s="11"/>
      <c r="N738" s="11"/>
    </row>
    <row x14ac:dyDescent="0.25" r="739" customHeight="1" ht="15.75">
      <c r="A739" s="11"/>
      <c r="B739" s="11"/>
      <c r="C739" s="6"/>
      <c r="D739" s="6"/>
      <c r="E739" s="11"/>
      <c r="F739" s="11"/>
      <c r="G739" s="11"/>
      <c r="H739" s="11"/>
      <c r="I739" s="26"/>
      <c r="J739" s="11"/>
      <c r="K739" s="11"/>
      <c r="L739" s="11"/>
      <c r="M739" s="11"/>
      <c r="N739" s="11"/>
    </row>
    <row x14ac:dyDescent="0.25" r="740" customHeight="1" ht="15.75">
      <c r="A740" s="11"/>
      <c r="B740" s="11"/>
      <c r="C740" s="6"/>
      <c r="D740" s="6"/>
      <c r="E740" s="11"/>
      <c r="F740" s="11"/>
      <c r="G740" s="11"/>
      <c r="H740" s="11"/>
      <c r="I740" s="26"/>
      <c r="J740" s="11"/>
      <c r="K740" s="11"/>
      <c r="L740" s="11"/>
      <c r="M740" s="11"/>
      <c r="N740" s="11"/>
    </row>
    <row x14ac:dyDescent="0.25" r="741" customHeight="1" ht="15.75">
      <c r="A741" s="11"/>
      <c r="B741" s="11"/>
      <c r="C741" s="6"/>
      <c r="D741" s="6"/>
      <c r="E741" s="11"/>
      <c r="F741" s="11"/>
      <c r="G741" s="11"/>
      <c r="H741" s="11"/>
      <c r="I741" s="26"/>
      <c r="J741" s="11"/>
      <c r="K741" s="11"/>
      <c r="L741" s="11"/>
      <c r="M741" s="11"/>
      <c r="N741" s="11"/>
    </row>
    <row x14ac:dyDescent="0.25" r="742" customHeight="1" ht="15.75">
      <c r="A742" s="11"/>
      <c r="B742" s="11"/>
      <c r="C742" s="6"/>
      <c r="D742" s="6"/>
      <c r="E742" s="11"/>
      <c r="F742" s="11"/>
      <c r="G742" s="11"/>
      <c r="H742" s="11"/>
      <c r="I742" s="26"/>
      <c r="J742" s="11"/>
      <c r="K742" s="11"/>
      <c r="L742" s="11"/>
      <c r="M742" s="11"/>
      <c r="N742" s="11"/>
    </row>
    <row x14ac:dyDescent="0.25" r="743" customHeight="1" ht="15.75">
      <c r="A743" s="11"/>
      <c r="B743" s="11"/>
      <c r="C743" s="6"/>
      <c r="D743" s="6"/>
      <c r="E743" s="11"/>
      <c r="F743" s="11"/>
      <c r="G743" s="11"/>
      <c r="H743" s="11"/>
      <c r="I743" s="26"/>
      <c r="J743" s="11"/>
      <c r="K743" s="11"/>
      <c r="L743" s="11"/>
      <c r="M743" s="11"/>
      <c r="N743" s="11"/>
    </row>
    <row x14ac:dyDescent="0.25" r="744" customHeight="1" ht="15.75">
      <c r="A744" s="11"/>
      <c r="B744" s="11"/>
      <c r="C744" s="6"/>
      <c r="D744" s="6"/>
      <c r="E744" s="11"/>
      <c r="F744" s="11"/>
      <c r="G744" s="11"/>
      <c r="H744" s="11"/>
      <c r="I744" s="26"/>
      <c r="J744" s="11"/>
      <c r="K744" s="11"/>
      <c r="L744" s="11"/>
      <c r="M744" s="11"/>
      <c r="N744" s="11"/>
    </row>
    <row x14ac:dyDescent="0.25" r="745" customHeight="1" ht="15.75">
      <c r="A745" s="11"/>
      <c r="B745" s="11"/>
      <c r="C745" s="6"/>
      <c r="D745" s="6"/>
      <c r="E745" s="11"/>
      <c r="F745" s="11"/>
      <c r="G745" s="11"/>
      <c r="H745" s="11"/>
      <c r="I745" s="26"/>
      <c r="J745" s="11"/>
      <c r="K745" s="11"/>
      <c r="L745" s="11"/>
      <c r="M745" s="11"/>
      <c r="N745" s="11"/>
    </row>
    <row x14ac:dyDescent="0.25" r="746" customHeight="1" ht="15.75">
      <c r="A746" s="11"/>
      <c r="B746" s="11"/>
      <c r="C746" s="6"/>
      <c r="D746" s="6"/>
      <c r="E746" s="11"/>
      <c r="F746" s="11"/>
      <c r="G746" s="11"/>
      <c r="H746" s="11"/>
      <c r="I746" s="26"/>
      <c r="J746" s="11"/>
      <c r="K746" s="11"/>
      <c r="L746" s="11"/>
      <c r="M746" s="11"/>
      <c r="N746" s="11"/>
    </row>
    <row x14ac:dyDescent="0.25" r="747" customHeight="1" ht="15.75">
      <c r="A747" s="11"/>
      <c r="B747" s="11"/>
      <c r="C747" s="6"/>
      <c r="D747" s="6"/>
      <c r="E747" s="11"/>
      <c r="F747" s="11"/>
      <c r="G747" s="11"/>
      <c r="H747" s="11"/>
      <c r="I747" s="26"/>
      <c r="J747" s="11"/>
      <c r="K747" s="11"/>
      <c r="L747" s="11"/>
      <c r="M747" s="11"/>
      <c r="N747" s="11"/>
    </row>
    <row x14ac:dyDescent="0.25" r="748" customHeight="1" ht="15.75">
      <c r="A748" s="11"/>
      <c r="B748" s="11"/>
      <c r="C748" s="6"/>
      <c r="D748" s="6"/>
      <c r="E748" s="11"/>
      <c r="F748" s="11"/>
      <c r="G748" s="11"/>
      <c r="H748" s="11"/>
      <c r="I748" s="26"/>
      <c r="J748" s="11"/>
      <c r="K748" s="11"/>
      <c r="L748" s="11"/>
      <c r="M748" s="11"/>
      <c r="N748" s="11"/>
    </row>
    <row x14ac:dyDescent="0.25" r="749" customHeight="1" ht="15.75">
      <c r="A749" s="11"/>
      <c r="B749" s="11"/>
      <c r="C749" s="6"/>
      <c r="D749" s="6"/>
      <c r="E749" s="11"/>
      <c r="F749" s="11"/>
      <c r="G749" s="11"/>
      <c r="H749" s="11"/>
      <c r="I749" s="26"/>
      <c r="J749" s="11"/>
      <c r="K749" s="11"/>
      <c r="L749" s="11"/>
      <c r="M749" s="11"/>
      <c r="N749" s="11"/>
    </row>
    <row x14ac:dyDescent="0.25" r="750" customHeight="1" ht="15.75">
      <c r="A750" s="11"/>
      <c r="B750" s="11"/>
      <c r="C750" s="6"/>
      <c r="D750" s="6"/>
      <c r="E750" s="11"/>
      <c r="F750" s="11"/>
      <c r="G750" s="11"/>
      <c r="H750" s="11"/>
      <c r="I750" s="26"/>
      <c r="J750" s="11"/>
      <c r="K750" s="11"/>
      <c r="L750" s="11"/>
      <c r="M750" s="11"/>
      <c r="N750" s="11"/>
    </row>
    <row x14ac:dyDescent="0.25" r="751" customHeight="1" ht="15.75">
      <c r="A751" s="11"/>
      <c r="B751" s="11"/>
      <c r="C751" s="6"/>
      <c r="D751" s="6"/>
      <c r="E751" s="11"/>
      <c r="F751" s="11"/>
      <c r="G751" s="11"/>
      <c r="H751" s="11"/>
      <c r="I751" s="26"/>
      <c r="J751" s="11"/>
      <c r="K751" s="11"/>
      <c r="L751" s="11"/>
      <c r="M751" s="11"/>
      <c r="N751" s="11"/>
    </row>
    <row x14ac:dyDescent="0.25" r="752" customHeight="1" ht="15.75">
      <c r="A752" s="11"/>
      <c r="B752" s="11"/>
      <c r="C752" s="6"/>
      <c r="D752" s="6"/>
      <c r="E752" s="11"/>
      <c r="F752" s="11"/>
      <c r="G752" s="11"/>
      <c r="H752" s="11"/>
      <c r="I752" s="26"/>
      <c r="J752" s="11"/>
      <c r="K752" s="11"/>
      <c r="L752" s="11"/>
      <c r="M752" s="11"/>
      <c r="N752" s="11"/>
    </row>
    <row x14ac:dyDescent="0.25" r="753" customHeight="1" ht="15.75">
      <c r="A753" s="11"/>
      <c r="B753" s="11"/>
      <c r="C753" s="6"/>
      <c r="D753" s="6"/>
      <c r="E753" s="11"/>
      <c r="F753" s="11"/>
      <c r="G753" s="11"/>
      <c r="H753" s="11"/>
      <c r="I753" s="26"/>
      <c r="J753" s="11"/>
      <c r="K753" s="11"/>
      <c r="L753" s="11"/>
      <c r="M753" s="11"/>
      <c r="N753" s="11"/>
    </row>
    <row x14ac:dyDescent="0.25" r="754" customHeight="1" ht="15.75">
      <c r="A754" s="11"/>
      <c r="B754" s="11"/>
      <c r="C754" s="6"/>
      <c r="D754" s="6"/>
      <c r="E754" s="11"/>
      <c r="F754" s="11"/>
      <c r="G754" s="11"/>
      <c r="H754" s="11"/>
      <c r="I754" s="26"/>
      <c r="J754" s="11"/>
      <c r="K754" s="11"/>
      <c r="L754" s="11"/>
      <c r="M754" s="11"/>
      <c r="N754" s="11"/>
    </row>
    <row x14ac:dyDescent="0.25" r="755" customHeight="1" ht="15.75">
      <c r="A755" s="11"/>
      <c r="B755" s="11"/>
      <c r="C755" s="6"/>
      <c r="D755" s="6"/>
      <c r="E755" s="11"/>
      <c r="F755" s="11"/>
      <c r="G755" s="11"/>
      <c r="H755" s="11"/>
      <c r="I755" s="26"/>
      <c r="J755" s="11"/>
      <c r="K755" s="11"/>
      <c r="L755" s="11"/>
      <c r="M755" s="11"/>
      <c r="N755" s="11"/>
    </row>
    <row x14ac:dyDescent="0.25" r="756" customHeight="1" ht="15.75">
      <c r="A756" s="11"/>
      <c r="B756" s="11"/>
      <c r="C756" s="6"/>
      <c r="D756" s="6"/>
      <c r="E756" s="11"/>
      <c r="F756" s="11"/>
      <c r="G756" s="11"/>
      <c r="H756" s="11"/>
      <c r="I756" s="26"/>
      <c r="J756" s="11"/>
      <c r="K756" s="11"/>
      <c r="L756" s="11"/>
      <c r="M756" s="11"/>
      <c r="N756" s="11"/>
    </row>
    <row x14ac:dyDescent="0.25" r="757" customHeight="1" ht="15.75">
      <c r="A757" s="11"/>
      <c r="B757" s="11"/>
      <c r="C757" s="6"/>
      <c r="D757" s="6"/>
      <c r="E757" s="11"/>
      <c r="F757" s="11"/>
      <c r="G757" s="11"/>
      <c r="H757" s="11"/>
      <c r="I757" s="26"/>
      <c r="J757" s="11"/>
      <c r="K757" s="11"/>
      <c r="L757" s="11"/>
      <c r="M757" s="11"/>
      <c r="N757" s="11"/>
    </row>
    <row x14ac:dyDescent="0.25" r="758" customHeight="1" ht="15.75">
      <c r="A758" s="11"/>
      <c r="B758" s="11"/>
      <c r="C758" s="6"/>
      <c r="D758" s="6"/>
      <c r="E758" s="11"/>
      <c r="F758" s="11"/>
      <c r="G758" s="11"/>
      <c r="H758" s="11"/>
      <c r="I758" s="26"/>
      <c r="J758" s="11"/>
      <c r="K758" s="11"/>
      <c r="L758" s="11"/>
      <c r="M758" s="11"/>
      <c r="N758" s="11"/>
    </row>
    <row x14ac:dyDescent="0.25" r="759" customHeight="1" ht="15.75">
      <c r="A759" s="11"/>
      <c r="B759" s="11"/>
      <c r="C759" s="6"/>
      <c r="D759" s="6"/>
      <c r="E759" s="11"/>
      <c r="F759" s="11"/>
      <c r="G759" s="11"/>
      <c r="H759" s="11"/>
      <c r="I759" s="26"/>
      <c r="J759" s="11"/>
      <c r="K759" s="11"/>
      <c r="L759" s="11"/>
      <c r="M759" s="11"/>
      <c r="N759" s="11"/>
    </row>
    <row x14ac:dyDescent="0.25" r="760" customHeight="1" ht="15.75">
      <c r="A760" s="11"/>
      <c r="B760" s="11"/>
      <c r="C760" s="6"/>
      <c r="D760" s="6"/>
      <c r="E760" s="11"/>
      <c r="F760" s="11"/>
      <c r="G760" s="11"/>
      <c r="H760" s="11"/>
      <c r="I760" s="26"/>
      <c r="J760" s="11"/>
      <c r="K760" s="11"/>
      <c r="L760" s="11"/>
      <c r="M760" s="11"/>
      <c r="N760" s="11"/>
    </row>
    <row x14ac:dyDescent="0.25" r="761" customHeight="1" ht="15.75">
      <c r="A761" s="11"/>
      <c r="B761" s="11"/>
      <c r="C761" s="6"/>
      <c r="D761" s="6"/>
      <c r="E761" s="11"/>
      <c r="F761" s="11"/>
      <c r="G761" s="11"/>
      <c r="H761" s="11"/>
      <c r="I761" s="26"/>
      <c r="J761" s="11"/>
      <c r="K761" s="11"/>
      <c r="L761" s="11"/>
      <c r="M761" s="11"/>
      <c r="N761" s="11"/>
    </row>
    <row x14ac:dyDescent="0.25" r="762" customHeight="1" ht="15.75">
      <c r="A762" s="11"/>
      <c r="B762" s="11"/>
      <c r="C762" s="6"/>
      <c r="D762" s="6"/>
      <c r="E762" s="11"/>
      <c r="F762" s="11"/>
      <c r="G762" s="11"/>
      <c r="H762" s="11"/>
      <c r="I762" s="26"/>
      <c r="J762" s="11"/>
      <c r="K762" s="11"/>
      <c r="L762" s="11"/>
      <c r="M762" s="11"/>
      <c r="N762" s="11"/>
    </row>
    <row x14ac:dyDescent="0.25" r="763" customHeight="1" ht="15.75">
      <c r="A763" s="11"/>
      <c r="B763" s="11"/>
      <c r="C763" s="6"/>
      <c r="D763" s="6"/>
      <c r="E763" s="11"/>
      <c r="F763" s="11"/>
      <c r="G763" s="11"/>
      <c r="H763" s="11"/>
      <c r="I763" s="26"/>
      <c r="J763" s="11"/>
      <c r="K763" s="11"/>
      <c r="L763" s="11"/>
      <c r="M763" s="11"/>
      <c r="N763" s="11"/>
    </row>
    <row x14ac:dyDescent="0.25" r="764" customHeight="1" ht="15.75">
      <c r="A764" s="11"/>
      <c r="B764" s="11"/>
      <c r="C764" s="6"/>
      <c r="D764" s="6"/>
      <c r="E764" s="11"/>
      <c r="F764" s="11"/>
      <c r="G764" s="11"/>
      <c r="H764" s="11"/>
      <c r="I764" s="26"/>
      <c r="J764" s="11"/>
      <c r="K764" s="11"/>
      <c r="L764" s="11"/>
      <c r="M764" s="11"/>
      <c r="N764" s="11"/>
    </row>
    <row x14ac:dyDescent="0.25" r="765" customHeight="1" ht="15.75">
      <c r="A765" s="11"/>
      <c r="B765" s="11"/>
      <c r="C765" s="6"/>
      <c r="D765" s="6"/>
      <c r="E765" s="11"/>
      <c r="F765" s="11"/>
      <c r="G765" s="11"/>
      <c r="H765" s="11"/>
      <c r="I765" s="26"/>
      <c r="J765" s="11"/>
      <c r="K765" s="11"/>
      <c r="L765" s="11"/>
      <c r="M765" s="11"/>
      <c r="N765" s="11"/>
    </row>
    <row x14ac:dyDescent="0.25" r="766" customHeight="1" ht="15.75">
      <c r="A766" s="11"/>
      <c r="B766" s="11"/>
      <c r="C766" s="6"/>
      <c r="D766" s="6"/>
      <c r="E766" s="11"/>
      <c r="F766" s="11"/>
      <c r="G766" s="11"/>
      <c r="H766" s="11"/>
      <c r="I766" s="26"/>
      <c r="J766" s="11"/>
      <c r="K766" s="11"/>
      <c r="L766" s="11"/>
      <c r="M766" s="11"/>
      <c r="N766" s="11"/>
    </row>
    <row x14ac:dyDescent="0.25" r="767" customHeight="1" ht="15.75">
      <c r="A767" s="11"/>
      <c r="B767" s="11"/>
      <c r="C767" s="6"/>
      <c r="D767" s="6"/>
      <c r="E767" s="11"/>
      <c r="F767" s="11"/>
      <c r="G767" s="11"/>
      <c r="H767" s="11"/>
      <c r="I767" s="26"/>
      <c r="J767" s="11"/>
      <c r="K767" s="11"/>
      <c r="L767" s="11"/>
      <c r="M767" s="11"/>
      <c r="N767" s="11"/>
    </row>
    <row x14ac:dyDescent="0.25" r="768" customHeight="1" ht="15.75">
      <c r="A768" s="11"/>
      <c r="B768" s="11"/>
      <c r="C768" s="6"/>
      <c r="D768" s="6"/>
      <c r="E768" s="11"/>
      <c r="F768" s="11"/>
      <c r="G768" s="11"/>
      <c r="H768" s="11"/>
      <c r="I768" s="26"/>
      <c r="J768" s="11"/>
      <c r="K768" s="11"/>
      <c r="L768" s="11"/>
      <c r="M768" s="11"/>
      <c r="N768" s="11"/>
    </row>
    <row x14ac:dyDescent="0.25" r="769" customHeight="1" ht="15.75">
      <c r="A769" s="11"/>
      <c r="B769" s="11"/>
      <c r="C769" s="6"/>
      <c r="D769" s="6"/>
      <c r="E769" s="11"/>
      <c r="F769" s="11"/>
      <c r="G769" s="11"/>
      <c r="H769" s="11"/>
      <c r="I769" s="26"/>
      <c r="J769" s="11"/>
      <c r="K769" s="11"/>
      <c r="L769" s="11"/>
      <c r="M769" s="11"/>
      <c r="N769" s="11"/>
    </row>
    <row x14ac:dyDescent="0.25" r="770" customHeight="1" ht="15.75">
      <c r="A770" s="11"/>
      <c r="B770" s="11"/>
      <c r="C770" s="6"/>
      <c r="D770" s="6"/>
      <c r="E770" s="11"/>
      <c r="F770" s="11"/>
      <c r="G770" s="11"/>
      <c r="H770" s="11"/>
      <c r="I770" s="26"/>
      <c r="J770" s="11"/>
      <c r="K770" s="11"/>
      <c r="L770" s="11"/>
      <c r="M770" s="11"/>
      <c r="N770" s="11"/>
    </row>
    <row x14ac:dyDescent="0.25" r="771" customHeight="1" ht="15.75">
      <c r="A771" s="11"/>
      <c r="B771" s="11"/>
      <c r="C771" s="6"/>
      <c r="D771" s="6"/>
      <c r="E771" s="11"/>
      <c r="F771" s="11"/>
      <c r="G771" s="11"/>
      <c r="H771" s="11"/>
      <c r="I771" s="26"/>
      <c r="J771" s="11"/>
      <c r="K771" s="11"/>
      <c r="L771" s="11"/>
      <c r="M771" s="11"/>
      <c r="N771" s="11"/>
    </row>
    <row x14ac:dyDescent="0.25" r="772" customHeight="1" ht="15.75">
      <c r="A772" s="11"/>
      <c r="B772" s="11"/>
      <c r="C772" s="6"/>
      <c r="D772" s="6"/>
      <c r="E772" s="11"/>
      <c r="F772" s="11"/>
      <c r="G772" s="11"/>
      <c r="H772" s="11"/>
      <c r="I772" s="26"/>
      <c r="J772" s="11"/>
      <c r="K772" s="11"/>
      <c r="L772" s="11"/>
      <c r="M772" s="11"/>
      <c r="N772" s="11"/>
    </row>
    <row x14ac:dyDescent="0.25" r="773" customHeight="1" ht="15.75">
      <c r="A773" s="11"/>
      <c r="B773" s="11"/>
      <c r="C773" s="6"/>
      <c r="D773" s="6"/>
      <c r="E773" s="11"/>
      <c r="F773" s="11"/>
      <c r="G773" s="11"/>
      <c r="H773" s="11"/>
      <c r="I773" s="26"/>
      <c r="J773" s="11"/>
      <c r="K773" s="11"/>
      <c r="L773" s="11"/>
      <c r="M773" s="11"/>
      <c r="N773" s="11"/>
    </row>
    <row x14ac:dyDescent="0.25" r="774" customHeight="1" ht="15.75">
      <c r="A774" s="11"/>
      <c r="B774" s="11"/>
      <c r="C774" s="6"/>
      <c r="D774" s="6"/>
      <c r="E774" s="11"/>
      <c r="F774" s="11"/>
      <c r="G774" s="11"/>
      <c r="H774" s="11"/>
      <c r="I774" s="26"/>
      <c r="J774" s="11"/>
      <c r="K774" s="11"/>
      <c r="L774" s="11"/>
      <c r="M774" s="11"/>
      <c r="N774" s="11"/>
    </row>
    <row x14ac:dyDescent="0.25" r="775" customHeight="1" ht="15.75">
      <c r="A775" s="11"/>
      <c r="B775" s="11"/>
      <c r="C775" s="6"/>
      <c r="D775" s="6"/>
      <c r="E775" s="11"/>
      <c r="F775" s="11"/>
      <c r="G775" s="11"/>
      <c r="H775" s="11"/>
      <c r="I775" s="26"/>
      <c r="J775" s="11"/>
      <c r="K775" s="11"/>
      <c r="L775" s="11"/>
      <c r="M775" s="11"/>
      <c r="N775" s="11"/>
    </row>
    <row x14ac:dyDescent="0.25" r="776" customHeight="1" ht="15.75">
      <c r="A776" s="11"/>
      <c r="B776" s="11"/>
      <c r="C776" s="6"/>
      <c r="D776" s="6"/>
      <c r="E776" s="11"/>
      <c r="F776" s="11"/>
      <c r="G776" s="11"/>
      <c r="H776" s="11"/>
      <c r="I776" s="26"/>
      <c r="J776" s="11"/>
      <c r="K776" s="11"/>
      <c r="L776" s="11"/>
      <c r="M776" s="11"/>
      <c r="N776" s="11"/>
    </row>
    <row x14ac:dyDescent="0.25" r="777" customHeight="1" ht="15.75">
      <c r="A777" s="11"/>
      <c r="B777" s="11"/>
      <c r="C777" s="6"/>
      <c r="D777" s="6"/>
      <c r="E777" s="11"/>
      <c r="F777" s="11"/>
      <c r="G777" s="11"/>
      <c r="H777" s="11"/>
      <c r="I777" s="26"/>
      <c r="J777" s="11"/>
      <c r="K777" s="11"/>
      <c r="L777" s="11"/>
      <c r="M777" s="11"/>
      <c r="N777" s="11"/>
    </row>
    <row x14ac:dyDescent="0.25" r="778" customHeight="1" ht="15.75">
      <c r="A778" s="11"/>
      <c r="B778" s="11"/>
      <c r="C778" s="6"/>
      <c r="D778" s="6"/>
      <c r="E778" s="11"/>
      <c r="F778" s="11"/>
      <c r="G778" s="11"/>
      <c r="H778" s="11"/>
      <c r="I778" s="26"/>
      <c r="J778" s="11"/>
      <c r="K778" s="11"/>
      <c r="L778" s="11"/>
      <c r="M778" s="11"/>
      <c r="N778" s="11"/>
    </row>
    <row x14ac:dyDescent="0.25" r="779" customHeight="1" ht="15.75">
      <c r="A779" s="11"/>
      <c r="B779" s="11"/>
      <c r="C779" s="6"/>
      <c r="D779" s="6"/>
      <c r="E779" s="11"/>
      <c r="F779" s="11"/>
      <c r="G779" s="11"/>
      <c r="H779" s="11"/>
      <c r="I779" s="26"/>
      <c r="J779" s="11"/>
      <c r="K779" s="11"/>
      <c r="L779" s="11"/>
      <c r="M779" s="11"/>
      <c r="N779" s="11"/>
    </row>
    <row x14ac:dyDescent="0.25" r="780" customHeight="1" ht="15.75">
      <c r="A780" s="11"/>
      <c r="B780" s="11"/>
      <c r="C780" s="6"/>
      <c r="D780" s="6"/>
      <c r="E780" s="11"/>
      <c r="F780" s="11"/>
      <c r="G780" s="11"/>
      <c r="H780" s="11"/>
      <c r="I780" s="26"/>
      <c r="J780" s="11"/>
      <c r="K780" s="11"/>
      <c r="L780" s="11"/>
      <c r="M780" s="11"/>
      <c r="N780" s="11"/>
    </row>
    <row x14ac:dyDescent="0.25" r="781" customHeight="1" ht="15.75">
      <c r="A781" s="11"/>
      <c r="B781" s="11"/>
      <c r="C781" s="6"/>
      <c r="D781" s="6"/>
      <c r="E781" s="11"/>
      <c r="F781" s="11"/>
      <c r="G781" s="11"/>
      <c r="H781" s="11"/>
      <c r="I781" s="26"/>
      <c r="J781" s="11"/>
      <c r="K781" s="11"/>
      <c r="L781" s="11"/>
      <c r="M781" s="11"/>
      <c r="N781" s="11"/>
    </row>
    <row x14ac:dyDescent="0.25" r="782" customHeight="1" ht="15.75">
      <c r="A782" s="11"/>
      <c r="B782" s="11"/>
      <c r="C782" s="6"/>
      <c r="D782" s="6"/>
      <c r="E782" s="11"/>
      <c r="F782" s="11"/>
      <c r="G782" s="11"/>
      <c r="H782" s="11"/>
      <c r="I782" s="26"/>
      <c r="J782" s="11"/>
      <c r="K782" s="11"/>
      <c r="L782" s="11"/>
      <c r="M782" s="11"/>
      <c r="N782" s="11"/>
    </row>
    <row x14ac:dyDescent="0.25" r="783" customHeight="1" ht="15.75">
      <c r="A783" s="11"/>
      <c r="B783" s="11"/>
      <c r="C783" s="6"/>
      <c r="D783" s="6"/>
      <c r="E783" s="11"/>
      <c r="F783" s="11"/>
      <c r="G783" s="11"/>
      <c r="H783" s="11"/>
      <c r="I783" s="26"/>
      <c r="J783" s="11"/>
      <c r="K783" s="11"/>
      <c r="L783" s="11"/>
      <c r="M783" s="11"/>
      <c r="N783" s="11"/>
    </row>
    <row x14ac:dyDescent="0.25" r="784" customHeight="1" ht="15.75">
      <c r="A784" s="11"/>
      <c r="B784" s="11"/>
      <c r="C784" s="6"/>
      <c r="D784" s="6"/>
      <c r="E784" s="11"/>
      <c r="F784" s="11"/>
      <c r="G784" s="11"/>
      <c r="H784" s="11"/>
      <c r="I784" s="26"/>
      <c r="J784" s="11"/>
      <c r="K784" s="11"/>
      <c r="L784" s="11"/>
      <c r="M784" s="11"/>
      <c r="N784" s="11"/>
    </row>
    <row x14ac:dyDescent="0.25" r="785" customHeight="1" ht="15.75">
      <c r="A785" s="11"/>
      <c r="B785" s="11"/>
      <c r="C785" s="6"/>
      <c r="D785" s="6"/>
      <c r="E785" s="11"/>
      <c r="F785" s="11"/>
      <c r="G785" s="11"/>
      <c r="H785" s="11"/>
      <c r="I785" s="26"/>
      <c r="J785" s="11"/>
      <c r="K785" s="11"/>
      <c r="L785" s="11"/>
      <c r="M785" s="11"/>
      <c r="N785" s="11"/>
    </row>
    <row x14ac:dyDescent="0.25" r="786" customHeight="1" ht="15.75">
      <c r="A786" s="11"/>
      <c r="B786" s="11"/>
      <c r="C786" s="6"/>
      <c r="D786" s="6"/>
      <c r="E786" s="11"/>
      <c r="F786" s="11"/>
      <c r="G786" s="11"/>
      <c r="H786" s="11"/>
      <c r="I786" s="26"/>
      <c r="J786" s="11"/>
      <c r="K786" s="11"/>
      <c r="L786" s="11"/>
      <c r="M786" s="11"/>
      <c r="N786" s="11"/>
    </row>
    <row x14ac:dyDescent="0.25" r="787" customHeight="1" ht="15.75">
      <c r="A787" s="11"/>
      <c r="B787" s="11"/>
      <c r="C787" s="6"/>
      <c r="D787" s="6"/>
      <c r="E787" s="11"/>
      <c r="F787" s="11"/>
      <c r="G787" s="11"/>
      <c r="H787" s="11"/>
      <c r="I787" s="26"/>
      <c r="J787" s="11"/>
      <c r="K787" s="11"/>
      <c r="L787" s="11"/>
      <c r="M787" s="11"/>
      <c r="N787" s="11"/>
    </row>
    <row x14ac:dyDescent="0.25" r="788" customHeight="1" ht="15.75">
      <c r="A788" s="11"/>
      <c r="B788" s="11"/>
      <c r="C788" s="6"/>
      <c r="D788" s="6"/>
      <c r="E788" s="11"/>
      <c r="F788" s="11"/>
      <c r="G788" s="11"/>
      <c r="H788" s="11"/>
      <c r="I788" s="26"/>
      <c r="J788" s="11"/>
      <c r="K788" s="11"/>
      <c r="L788" s="11"/>
      <c r="M788" s="11"/>
      <c r="N788" s="11"/>
    </row>
    <row x14ac:dyDescent="0.25" r="789" customHeight="1" ht="15.75">
      <c r="A789" s="11"/>
      <c r="B789" s="11"/>
      <c r="C789" s="6"/>
      <c r="D789" s="6"/>
      <c r="E789" s="11"/>
      <c r="F789" s="11"/>
      <c r="G789" s="11"/>
      <c r="H789" s="11"/>
      <c r="I789" s="26"/>
      <c r="J789" s="11"/>
      <c r="K789" s="11"/>
      <c r="L789" s="11"/>
      <c r="M789" s="11"/>
      <c r="N789" s="11"/>
    </row>
    <row x14ac:dyDescent="0.25" r="790" customHeight="1" ht="15.75">
      <c r="A790" s="11"/>
      <c r="B790" s="11"/>
      <c r="C790" s="6"/>
      <c r="D790" s="6"/>
      <c r="E790" s="11"/>
      <c r="F790" s="11"/>
      <c r="G790" s="11"/>
      <c r="H790" s="11"/>
      <c r="I790" s="26"/>
      <c r="J790" s="11"/>
      <c r="K790" s="11"/>
      <c r="L790" s="11"/>
      <c r="M790" s="11"/>
      <c r="N790" s="11"/>
    </row>
    <row x14ac:dyDescent="0.25" r="791" customHeight="1" ht="15.75">
      <c r="A791" s="11"/>
      <c r="B791" s="11"/>
      <c r="C791" s="6"/>
      <c r="D791" s="6"/>
      <c r="E791" s="11"/>
      <c r="F791" s="11"/>
      <c r="G791" s="11"/>
      <c r="H791" s="11"/>
      <c r="I791" s="26"/>
      <c r="J791" s="11"/>
      <c r="K791" s="11"/>
      <c r="L791" s="11"/>
      <c r="M791" s="11"/>
      <c r="N791" s="11"/>
    </row>
    <row x14ac:dyDescent="0.25" r="792" customHeight="1" ht="15.75">
      <c r="A792" s="11"/>
      <c r="B792" s="11"/>
      <c r="C792" s="6"/>
      <c r="D792" s="6"/>
      <c r="E792" s="11"/>
      <c r="F792" s="11"/>
      <c r="G792" s="11"/>
      <c r="H792" s="11"/>
      <c r="I792" s="26"/>
      <c r="J792" s="11"/>
      <c r="K792" s="11"/>
      <c r="L792" s="11"/>
      <c r="M792" s="11"/>
      <c r="N792" s="11"/>
    </row>
    <row x14ac:dyDescent="0.25" r="793" customHeight="1" ht="15.75">
      <c r="A793" s="11"/>
      <c r="B793" s="11"/>
      <c r="C793" s="6"/>
      <c r="D793" s="6"/>
      <c r="E793" s="11"/>
      <c r="F793" s="11"/>
      <c r="G793" s="11"/>
      <c r="H793" s="11"/>
      <c r="I793" s="26"/>
      <c r="J793" s="11"/>
      <c r="K793" s="11"/>
      <c r="L793" s="11"/>
      <c r="M793" s="11"/>
      <c r="N793" s="11"/>
    </row>
    <row x14ac:dyDescent="0.25" r="794" customHeight="1" ht="15.75">
      <c r="A794" s="11"/>
      <c r="B794" s="11"/>
      <c r="C794" s="6"/>
      <c r="D794" s="6"/>
      <c r="E794" s="11"/>
      <c r="F794" s="11"/>
      <c r="G794" s="11"/>
      <c r="H794" s="11"/>
      <c r="I794" s="26"/>
      <c r="J794" s="11"/>
      <c r="K794" s="11"/>
      <c r="L794" s="11"/>
      <c r="M794" s="11"/>
      <c r="N794" s="11"/>
    </row>
    <row x14ac:dyDescent="0.25" r="795" customHeight="1" ht="15.75">
      <c r="A795" s="11"/>
      <c r="B795" s="11"/>
      <c r="C795" s="6"/>
      <c r="D795" s="6"/>
      <c r="E795" s="11"/>
      <c r="F795" s="11"/>
      <c r="G795" s="11"/>
      <c r="H795" s="11"/>
      <c r="I795" s="26"/>
      <c r="J795" s="11"/>
      <c r="K795" s="11"/>
      <c r="L795" s="11"/>
      <c r="M795" s="11"/>
      <c r="N795" s="11"/>
    </row>
    <row x14ac:dyDescent="0.25" r="796" customHeight="1" ht="15.75">
      <c r="A796" s="11"/>
      <c r="B796" s="11"/>
      <c r="C796" s="6"/>
      <c r="D796" s="6"/>
      <c r="E796" s="11"/>
      <c r="F796" s="11"/>
      <c r="G796" s="11"/>
      <c r="H796" s="11"/>
      <c r="I796" s="26"/>
      <c r="J796" s="11"/>
      <c r="K796" s="11"/>
      <c r="L796" s="11"/>
      <c r="M796" s="11"/>
      <c r="N796" s="11"/>
    </row>
    <row x14ac:dyDescent="0.25" r="797" customHeight="1" ht="15.75">
      <c r="A797" s="11"/>
      <c r="B797" s="11"/>
      <c r="C797" s="6"/>
      <c r="D797" s="6"/>
      <c r="E797" s="11"/>
      <c r="F797" s="11"/>
      <c r="G797" s="11"/>
      <c r="H797" s="11"/>
      <c r="I797" s="26"/>
      <c r="J797" s="11"/>
      <c r="K797" s="11"/>
      <c r="L797" s="11"/>
      <c r="M797" s="11"/>
      <c r="N797" s="11"/>
    </row>
    <row x14ac:dyDescent="0.25" r="798" customHeight="1" ht="15.75">
      <c r="A798" s="11"/>
      <c r="B798" s="11"/>
      <c r="C798" s="6"/>
      <c r="D798" s="6"/>
      <c r="E798" s="11"/>
      <c r="F798" s="11"/>
      <c r="G798" s="11"/>
      <c r="H798" s="11"/>
      <c r="I798" s="26"/>
      <c r="J798" s="11"/>
      <c r="K798" s="11"/>
      <c r="L798" s="11"/>
      <c r="M798" s="11"/>
      <c r="N798" s="11"/>
    </row>
    <row x14ac:dyDescent="0.25" r="799" customHeight="1" ht="15.75">
      <c r="A799" s="11"/>
      <c r="B799" s="11"/>
      <c r="C799" s="6"/>
      <c r="D799" s="6"/>
      <c r="E799" s="11"/>
      <c r="F799" s="11"/>
      <c r="G799" s="11"/>
      <c r="H799" s="11"/>
      <c r="I799" s="26"/>
      <c r="J799" s="11"/>
      <c r="K799" s="11"/>
      <c r="L799" s="11"/>
      <c r="M799" s="11"/>
      <c r="N799" s="11"/>
    </row>
    <row x14ac:dyDescent="0.25" r="800" customHeight="1" ht="15.75">
      <c r="A800" s="11"/>
      <c r="B800" s="11"/>
      <c r="C800" s="6"/>
      <c r="D800" s="6"/>
      <c r="E800" s="11"/>
      <c r="F800" s="11"/>
      <c r="G800" s="11"/>
      <c r="H800" s="11"/>
      <c r="I800" s="26"/>
      <c r="J800" s="11"/>
      <c r="K800" s="11"/>
      <c r="L800" s="11"/>
      <c r="M800" s="11"/>
      <c r="N800" s="11"/>
    </row>
    <row x14ac:dyDescent="0.25" r="801" customHeight="1" ht="15.75">
      <c r="A801" s="11"/>
      <c r="B801" s="11"/>
      <c r="C801" s="6"/>
      <c r="D801" s="6"/>
      <c r="E801" s="11"/>
      <c r="F801" s="11"/>
      <c r="G801" s="11"/>
      <c r="H801" s="11"/>
      <c r="I801" s="26"/>
      <c r="J801" s="11"/>
      <c r="K801" s="11"/>
      <c r="L801" s="11"/>
      <c r="M801" s="11"/>
      <c r="N801" s="11"/>
    </row>
    <row x14ac:dyDescent="0.25" r="802" customHeight="1" ht="15.75">
      <c r="A802" s="11"/>
      <c r="B802" s="11"/>
      <c r="C802" s="6"/>
      <c r="D802" s="6"/>
      <c r="E802" s="11"/>
      <c r="F802" s="11"/>
      <c r="G802" s="11"/>
      <c r="H802" s="11"/>
      <c r="I802" s="26"/>
      <c r="J802" s="11"/>
      <c r="K802" s="11"/>
      <c r="L802" s="11"/>
      <c r="M802" s="11"/>
      <c r="N802" s="11"/>
    </row>
    <row x14ac:dyDescent="0.25" r="803" customHeight="1" ht="15.75">
      <c r="A803" s="11"/>
      <c r="B803" s="11"/>
      <c r="C803" s="6"/>
      <c r="D803" s="6"/>
      <c r="E803" s="11"/>
      <c r="F803" s="11"/>
      <c r="G803" s="11"/>
      <c r="H803" s="11"/>
      <c r="I803" s="26"/>
      <c r="J803" s="11"/>
      <c r="K803" s="11"/>
      <c r="L803" s="11"/>
      <c r="M803" s="11"/>
      <c r="N803" s="11"/>
    </row>
    <row x14ac:dyDescent="0.25" r="804" customHeight="1" ht="15.75">
      <c r="A804" s="11"/>
      <c r="B804" s="11"/>
      <c r="C804" s="6"/>
      <c r="D804" s="6"/>
      <c r="E804" s="11"/>
      <c r="F804" s="11"/>
      <c r="G804" s="11"/>
      <c r="H804" s="11"/>
      <c r="I804" s="26"/>
      <c r="J804" s="11"/>
      <c r="K804" s="11"/>
      <c r="L804" s="11"/>
      <c r="M804" s="11"/>
      <c r="N804" s="11"/>
    </row>
    <row x14ac:dyDescent="0.25" r="805" customHeight="1" ht="15.75">
      <c r="A805" s="11"/>
      <c r="B805" s="11"/>
      <c r="C805" s="6"/>
      <c r="D805" s="6"/>
      <c r="E805" s="11"/>
      <c r="F805" s="11"/>
      <c r="G805" s="11"/>
      <c r="H805" s="11"/>
      <c r="I805" s="26"/>
      <c r="J805" s="11"/>
      <c r="K805" s="11"/>
      <c r="L805" s="11"/>
      <c r="M805" s="11"/>
      <c r="N805" s="11"/>
    </row>
    <row x14ac:dyDescent="0.25" r="806" customHeight="1" ht="15.75">
      <c r="A806" s="11"/>
      <c r="B806" s="11"/>
      <c r="C806" s="6"/>
      <c r="D806" s="6"/>
      <c r="E806" s="11"/>
      <c r="F806" s="11"/>
      <c r="G806" s="11"/>
      <c r="H806" s="11"/>
      <c r="I806" s="26"/>
      <c r="J806" s="11"/>
      <c r="K806" s="11"/>
      <c r="L806" s="11"/>
      <c r="M806" s="11"/>
      <c r="N806" s="11"/>
    </row>
    <row x14ac:dyDescent="0.25" r="807" customHeight="1" ht="15.75">
      <c r="A807" s="11"/>
      <c r="B807" s="11"/>
      <c r="C807" s="6"/>
      <c r="D807" s="6"/>
      <c r="E807" s="11"/>
      <c r="F807" s="11"/>
      <c r="G807" s="11"/>
      <c r="H807" s="11"/>
      <c r="I807" s="26"/>
      <c r="J807" s="11"/>
      <c r="K807" s="11"/>
      <c r="L807" s="11"/>
      <c r="M807" s="11"/>
      <c r="N807" s="11"/>
    </row>
    <row x14ac:dyDescent="0.25" r="808" customHeight="1" ht="15.75">
      <c r="A808" s="11"/>
      <c r="B808" s="11"/>
      <c r="C808" s="6"/>
      <c r="D808" s="6"/>
      <c r="E808" s="11"/>
      <c r="F808" s="11"/>
      <c r="G808" s="11"/>
      <c r="H808" s="11"/>
      <c r="I808" s="26"/>
      <c r="J808" s="11"/>
      <c r="K808" s="11"/>
      <c r="L808" s="11"/>
      <c r="M808" s="11"/>
      <c r="N808" s="11"/>
    </row>
    <row x14ac:dyDescent="0.25" r="809" customHeight="1" ht="15.75">
      <c r="A809" s="11"/>
      <c r="B809" s="11"/>
      <c r="C809" s="6"/>
      <c r="D809" s="6"/>
      <c r="E809" s="11"/>
      <c r="F809" s="11"/>
      <c r="G809" s="11"/>
      <c r="H809" s="11"/>
      <c r="I809" s="26"/>
      <c r="J809" s="11"/>
      <c r="K809" s="11"/>
      <c r="L809" s="11"/>
      <c r="M809" s="11"/>
      <c r="N809" s="11"/>
    </row>
    <row x14ac:dyDescent="0.25" r="810" customHeight="1" ht="15.75">
      <c r="A810" s="11"/>
      <c r="B810" s="11"/>
      <c r="C810" s="6"/>
      <c r="D810" s="6"/>
      <c r="E810" s="11"/>
      <c r="F810" s="11"/>
      <c r="G810" s="11"/>
      <c r="H810" s="11"/>
      <c r="I810" s="26"/>
      <c r="J810" s="11"/>
      <c r="K810" s="11"/>
      <c r="L810" s="11"/>
      <c r="M810" s="11"/>
      <c r="N810" s="11"/>
    </row>
    <row x14ac:dyDescent="0.25" r="811" customHeight="1" ht="15.75">
      <c r="A811" s="11"/>
      <c r="B811" s="11"/>
      <c r="C811" s="6"/>
      <c r="D811" s="6"/>
      <c r="E811" s="11"/>
      <c r="F811" s="11"/>
      <c r="G811" s="11"/>
      <c r="H811" s="11"/>
      <c r="I811" s="26"/>
      <c r="J811" s="11"/>
      <c r="K811" s="11"/>
      <c r="L811" s="11"/>
      <c r="M811" s="11"/>
      <c r="N811" s="11"/>
    </row>
    <row x14ac:dyDescent="0.25" r="812" customHeight="1" ht="15.75">
      <c r="A812" s="11"/>
      <c r="B812" s="11"/>
      <c r="C812" s="6"/>
      <c r="D812" s="6"/>
      <c r="E812" s="11"/>
      <c r="F812" s="11"/>
      <c r="G812" s="11"/>
      <c r="H812" s="11"/>
      <c r="I812" s="26"/>
      <c r="J812" s="11"/>
      <c r="K812" s="11"/>
      <c r="L812" s="11"/>
      <c r="M812" s="11"/>
      <c r="N812" s="11"/>
    </row>
    <row x14ac:dyDescent="0.25" r="813" customHeight="1" ht="15.75">
      <c r="A813" s="11"/>
      <c r="B813" s="11"/>
      <c r="C813" s="6"/>
      <c r="D813" s="6"/>
      <c r="E813" s="11"/>
      <c r="F813" s="11"/>
      <c r="G813" s="11"/>
      <c r="H813" s="11"/>
      <c r="I813" s="26"/>
      <c r="J813" s="11"/>
      <c r="K813" s="11"/>
      <c r="L813" s="11"/>
      <c r="M813" s="11"/>
      <c r="N813" s="11"/>
    </row>
    <row x14ac:dyDescent="0.25" r="814" customHeight="1" ht="15.75">
      <c r="A814" s="11"/>
      <c r="B814" s="11"/>
      <c r="C814" s="6"/>
      <c r="D814" s="6"/>
      <c r="E814" s="11"/>
      <c r="F814" s="11"/>
      <c r="G814" s="11"/>
      <c r="H814" s="11"/>
      <c r="I814" s="26"/>
      <c r="J814" s="11"/>
      <c r="K814" s="11"/>
      <c r="L814" s="11"/>
      <c r="M814" s="11"/>
      <c r="N814" s="11"/>
    </row>
    <row x14ac:dyDescent="0.25" r="815" customHeight="1" ht="15.75">
      <c r="A815" s="11"/>
      <c r="B815" s="11"/>
      <c r="C815" s="6"/>
      <c r="D815" s="6"/>
      <c r="E815" s="11"/>
      <c r="F815" s="11"/>
      <c r="G815" s="11"/>
      <c r="H815" s="11"/>
      <c r="I815" s="26"/>
      <c r="J815" s="11"/>
      <c r="K815" s="11"/>
      <c r="L815" s="11"/>
      <c r="M815" s="11"/>
      <c r="N815" s="11"/>
    </row>
    <row x14ac:dyDescent="0.25" r="816" customHeight="1" ht="15.75">
      <c r="A816" s="11"/>
      <c r="B816" s="11"/>
      <c r="C816" s="6"/>
      <c r="D816" s="6"/>
      <c r="E816" s="11"/>
      <c r="F816" s="11"/>
      <c r="G816" s="11"/>
      <c r="H816" s="11"/>
      <c r="I816" s="26"/>
      <c r="J816" s="11"/>
      <c r="K816" s="11"/>
      <c r="L816" s="11"/>
      <c r="M816" s="11"/>
      <c r="N816" s="11"/>
    </row>
    <row x14ac:dyDescent="0.25" r="817" customHeight="1" ht="15.75">
      <c r="A817" s="11"/>
      <c r="B817" s="11"/>
      <c r="C817" s="6"/>
      <c r="D817" s="6"/>
      <c r="E817" s="11"/>
      <c r="F817" s="11"/>
      <c r="G817" s="11"/>
      <c r="H817" s="11"/>
      <c r="I817" s="26"/>
      <c r="J817" s="11"/>
      <c r="K817" s="11"/>
      <c r="L817" s="11"/>
      <c r="M817" s="11"/>
      <c r="N817" s="11"/>
    </row>
    <row x14ac:dyDescent="0.25" r="818" customHeight="1" ht="15.75">
      <c r="A818" s="11"/>
      <c r="B818" s="11"/>
      <c r="C818" s="6"/>
      <c r="D818" s="6"/>
      <c r="E818" s="11"/>
      <c r="F818" s="11"/>
      <c r="G818" s="11"/>
      <c r="H818" s="11"/>
      <c r="I818" s="26"/>
      <c r="J818" s="11"/>
      <c r="K818" s="11"/>
      <c r="L818" s="11"/>
      <c r="M818" s="11"/>
      <c r="N818" s="11"/>
    </row>
    <row x14ac:dyDescent="0.25" r="819" customHeight="1" ht="15.75">
      <c r="A819" s="11"/>
      <c r="B819" s="11"/>
      <c r="C819" s="6"/>
      <c r="D819" s="6"/>
      <c r="E819" s="11"/>
      <c r="F819" s="11"/>
      <c r="G819" s="11"/>
      <c r="H819" s="11"/>
      <c r="I819" s="26"/>
      <c r="J819" s="11"/>
      <c r="K819" s="11"/>
      <c r="L819" s="11"/>
      <c r="M819" s="11"/>
      <c r="N819" s="11"/>
    </row>
    <row x14ac:dyDescent="0.25" r="820" customHeight="1" ht="15.75">
      <c r="A820" s="11"/>
      <c r="B820" s="11"/>
      <c r="C820" s="6"/>
      <c r="D820" s="6"/>
      <c r="E820" s="11"/>
      <c r="F820" s="11"/>
      <c r="G820" s="11"/>
      <c r="H820" s="11"/>
      <c r="I820" s="26"/>
      <c r="J820" s="11"/>
      <c r="K820" s="11"/>
      <c r="L820" s="11"/>
      <c r="M820" s="11"/>
      <c r="N820" s="11"/>
    </row>
    <row x14ac:dyDescent="0.25" r="821" customHeight="1" ht="15.75">
      <c r="A821" s="11"/>
      <c r="B821" s="11"/>
      <c r="C821" s="6"/>
      <c r="D821" s="6"/>
      <c r="E821" s="11"/>
      <c r="F821" s="11"/>
      <c r="G821" s="11"/>
      <c r="H821" s="11"/>
      <c r="I821" s="26"/>
      <c r="J821" s="11"/>
      <c r="K821" s="11"/>
      <c r="L821" s="11"/>
      <c r="M821" s="11"/>
      <c r="N821" s="11"/>
    </row>
    <row x14ac:dyDescent="0.25" r="822" customHeight="1" ht="15.75">
      <c r="A822" s="11"/>
      <c r="B822" s="11"/>
      <c r="C822" s="6"/>
      <c r="D822" s="6"/>
      <c r="E822" s="11"/>
      <c r="F822" s="11"/>
      <c r="G822" s="11"/>
      <c r="H822" s="11"/>
      <c r="I822" s="26"/>
      <c r="J822" s="11"/>
      <c r="K822" s="11"/>
      <c r="L822" s="11"/>
      <c r="M822" s="11"/>
      <c r="N822" s="11"/>
    </row>
    <row x14ac:dyDescent="0.25" r="823" customHeight="1" ht="15.75">
      <c r="A823" s="11"/>
      <c r="B823" s="11"/>
      <c r="C823" s="6"/>
      <c r="D823" s="6"/>
      <c r="E823" s="11"/>
      <c r="F823" s="11"/>
      <c r="G823" s="11"/>
      <c r="H823" s="11"/>
      <c r="I823" s="26"/>
      <c r="J823" s="11"/>
      <c r="K823" s="11"/>
      <c r="L823" s="11"/>
      <c r="M823" s="11"/>
      <c r="N823" s="11"/>
    </row>
    <row x14ac:dyDescent="0.25" r="824" customHeight="1" ht="15.75">
      <c r="A824" s="11"/>
      <c r="B824" s="11"/>
      <c r="C824" s="6"/>
      <c r="D824" s="6"/>
      <c r="E824" s="11"/>
      <c r="F824" s="11"/>
      <c r="G824" s="11"/>
      <c r="H824" s="11"/>
      <c r="I824" s="26"/>
      <c r="J824" s="11"/>
      <c r="K824" s="11"/>
      <c r="L824" s="11"/>
      <c r="M824" s="11"/>
      <c r="N824" s="11"/>
    </row>
    <row x14ac:dyDescent="0.25" r="825" customHeight="1" ht="15.75">
      <c r="A825" s="11"/>
      <c r="B825" s="11"/>
      <c r="C825" s="6"/>
      <c r="D825" s="6"/>
      <c r="E825" s="11"/>
      <c r="F825" s="11"/>
      <c r="G825" s="11"/>
      <c r="H825" s="11"/>
      <c r="I825" s="26"/>
      <c r="J825" s="11"/>
      <c r="K825" s="11"/>
      <c r="L825" s="11"/>
      <c r="M825" s="11"/>
      <c r="N825" s="11"/>
    </row>
    <row x14ac:dyDescent="0.25" r="826" customHeight="1" ht="15.75">
      <c r="A826" s="11"/>
      <c r="B826" s="11"/>
      <c r="C826" s="6"/>
      <c r="D826" s="6"/>
      <c r="E826" s="11"/>
      <c r="F826" s="11"/>
      <c r="G826" s="11"/>
      <c r="H826" s="11"/>
      <c r="I826" s="26"/>
      <c r="J826" s="11"/>
      <c r="K826" s="11"/>
      <c r="L826" s="11"/>
      <c r="M826" s="11"/>
      <c r="N826" s="11"/>
    </row>
    <row x14ac:dyDescent="0.25" r="827" customHeight="1" ht="15.75">
      <c r="A827" s="11"/>
      <c r="B827" s="11"/>
      <c r="C827" s="6"/>
      <c r="D827" s="6"/>
      <c r="E827" s="11"/>
      <c r="F827" s="11"/>
      <c r="G827" s="11"/>
      <c r="H827" s="11"/>
      <c r="I827" s="26"/>
      <c r="J827" s="11"/>
      <c r="K827" s="11"/>
      <c r="L827" s="11"/>
      <c r="M827" s="11"/>
      <c r="N827" s="11"/>
    </row>
    <row x14ac:dyDescent="0.25" r="828" customHeight="1" ht="15.75">
      <c r="A828" s="11"/>
      <c r="B828" s="11"/>
      <c r="C828" s="6"/>
      <c r="D828" s="6"/>
      <c r="E828" s="11"/>
      <c r="F828" s="11"/>
      <c r="G828" s="11"/>
      <c r="H828" s="11"/>
      <c r="I828" s="26"/>
      <c r="J828" s="11"/>
      <c r="K828" s="11"/>
      <c r="L828" s="11"/>
      <c r="M828" s="11"/>
      <c r="N828" s="11"/>
    </row>
    <row x14ac:dyDescent="0.25" r="829" customHeight="1" ht="15.75">
      <c r="A829" s="11"/>
      <c r="B829" s="11"/>
      <c r="C829" s="6"/>
      <c r="D829" s="6"/>
      <c r="E829" s="11"/>
      <c r="F829" s="11"/>
      <c r="G829" s="11"/>
      <c r="H829" s="11"/>
      <c r="I829" s="26"/>
      <c r="J829" s="11"/>
      <c r="K829" s="11"/>
      <c r="L829" s="11"/>
      <c r="M829" s="11"/>
      <c r="N829" s="11"/>
    </row>
    <row x14ac:dyDescent="0.25" r="830" customHeight="1" ht="15.75">
      <c r="A830" s="11"/>
      <c r="B830" s="11"/>
      <c r="C830" s="6"/>
      <c r="D830" s="6"/>
      <c r="E830" s="11"/>
      <c r="F830" s="11"/>
      <c r="G830" s="11"/>
      <c r="H830" s="11"/>
      <c r="I830" s="26"/>
      <c r="J830" s="11"/>
      <c r="K830" s="11"/>
      <c r="L830" s="11"/>
      <c r="M830" s="11"/>
      <c r="N830" s="11"/>
    </row>
    <row x14ac:dyDescent="0.25" r="831" customHeight="1" ht="15.75">
      <c r="A831" s="11"/>
      <c r="B831" s="11"/>
      <c r="C831" s="6"/>
      <c r="D831" s="6"/>
      <c r="E831" s="11"/>
      <c r="F831" s="11"/>
      <c r="G831" s="11"/>
      <c r="H831" s="11"/>
      <c r="I831" s="26"/>
      <c r="J831" s="11"/>
      <c r="K831" s="11"/>
      <c r="L831" s="11"/>
      <c r="M831" s="11"/>
      <c r="N831" s="11"/>
    </row>
    <row x14ac:dyDescent="0.25" r="832" customHeight="1" ht="15.75">
      <c r="A832" s="11"/>
      <c r="B832" s="11"/>
      <c r="C832" s="6"/>
      <c r="D832" s="6"/>
      <c r="E832" s="11"/>
      <c r="F832" s="11"/>
      <c r="G832" s="11"/>
      <c r="H832" s="11"/>
      <c r="I832" s="26"/>
      <c r="J832" s="11"/>
      <c r="K832" s="11"/>
      <c r="L832" s="11"/>
      <c r="M832" s="11"/>
      <c r="N832" s="11"/>
    </row>
    <row x14ac:dyDescent="0.25" r="833" customHeight="1" ht="15.75">
      <c r="A833" s="11"/>
      <c r="B833" s="11"/>
      <c r="C833" s="6"/>
      <c r="D833" s="6"/>
      <c r="E833" s="11"/>
      <c r="F833" s="11"/>
      <c r="G833" s="11"/>
      <c r="H833" s="11"/>
      <c r="I833" s="26"/>
      <c r="J833" s="11"/>
      <c r="K833" s="11"/>
      <c r="L833" s="11"/>
      <c r="M833" s="11"/>
      <c r="N833" s="11"/>
    </row>
    <row x14ac:dyDescent="0.25" r="834" customHeight="1" ht="15.75">
      <c r="A834" s="11"/>
      <c r="B834" s="11"/>
      <c r="C834" s="6"/>
      <c r="D834" s="6"/>
      <c r="E834" s="11"/>
      <c r="F834" s="11"/>
      <c r="G834" s="11"/>
      <c r="H834" s="11"/>
      <c r="I834" s="26"/>
      <c r="J834" s="11"/>
      <c r="K834" s="11"/>
      <c r="L834" s="11"/>
      <c r="M834" s="11"/>
      <c r="N834" s="11"/>
    </row>
    <row x14ac:dyDescent="0.25" r="835" customHeight="1" ht="15.75">
      <c r="A835" s="11"/>
      <c r="B835" s="11"/>
      <c r="C835" s="6"/>
      <c r="D835" s="6"/>
      <c r="E835" s="11"/>
      <c r="F835" s="11"/>
      <c r="G835" s="11"/>
      <c r="H835" s="11"/>
      <c r="I835" s="26"/>
      <c r="J835" s="11"/>
      <c r="K835" s="11"/>
      <c r="L835" s="11"/>
      <c r="M835" s="11"/>
      <c r="N835" s="11"/>
    </row>
    <row x14ac:dyDescent="0.25" r="836" customHeight="1" ht="15.75">
      <c r="A836" s="11"/>
      <c r="B836" s="11"/>
      <c r="C836" s="6"/>
      <c r="D836" s="6"/>
      <c r="E836" s="11"/>
      <c r="F836" s="11"/>
      <c r="G836" s="11"/>
      <c r="H836" s="11"/>
      <c r="I836" s="26"/>
      <c r="J836" s="11"/>
      <c r="K836" s="11"/>
      <c r="L836" s="11"/>
      <c r="M836" s="11"/>
      <c r="N836" s="11"/>
    </row>
    <row x14ac:dyDescent="0.25" r="837" customHeight="1" ht="15.75">
      <c r="A837" s="11"/>
      <c r="B837" s="11"/>
      <c r="C837" s="6"/>
      <c r="D837" s="6"/>
      <c r="E837" s="11"/>
      <c r="F837" s="11"/>
      <c r="G837" s="11"/>
      <c r="H837" s="11"/>
      <c r="I837" s="26"/>
      <c r="J837" s="11"/>
      <c r="K837" s="11"/>
      <c r="L837" s="11"/>
      <c r="M837" s="11"/>
      <c r="N837" s="11"/>
    </row>
    <row x14ac:dyDescent="0.25" r="838" customHeight="1" ht="15.75">
      <c r="A838" s="11"/>
      <c r="B838" s="11"/>
      <c r="C838" s="6"/>
      <c r="D838" s="6"/>
      <c r="E838" s="11"/>
      <c r="F838" s="11"/>
      <c r="G838" s="11"/>
      <c r="H838" s="11"/>
      <c r="I838" s="26"/>
      <c r="J838" s="11"/>
      <c r="K838" s="11"/>
      <c r="L838" s="11"/>
      <c r="M838" s="11"/>
      <c r="N838" s="11"/>
    </row>
    <row x14ac:dyDescent="0.25" r="839" customHeight="1" ht="15.75">
      <c r="A839" s="11"/>
      <c r="B839" s="11"/>
      <c r="C839" s="6"/>
      <c r="D839" s="6"/>
      <c r="E839" s="11"/>
      <c r="F839" s="11"/>
      <c r="G839" s="11"/>
      <c r="H839" s="11"/>
      <c r="I839" s="26"/>
      <c r="J839" s="11"/>
      <c r="K839" s="11"/>
      <c r="L839" s="11"/>
      <c r="M839" s="11"/>
      <c r="N839" s="11"/>
    </row>
    <row x14ac:dyDescent="0.25" r="840" customHeight="1" ht="15.75">
      <c r="A840" s="11"/>
      <c r="B840" s="11"/>
      <c r="C840" s="6"/>
      <c r="D840" s="6"/>
      <c r="E840" s="11"/>
      <c r="F840" s="11"/>
      <c r="G840" s="11"/>
      <c r="H840" s="11"/>
      <c r="I840" s="26"/>
      <c r="J840" s="11"/>
      <c r="K840" s="11"/>
      <c r="L840" s="11"/>
      <c r="M840" s="11"/>
      <c r="N840" s="11"/>
    </row>
    <row x14ac:dyDescent="0.25" r="841" customHeight="1" ht="15.75">
      <c r="A841" s="11"/>
      <c r="B841" s="11"/>
      <c r="C841" s="6"/>
      <c r="D841" s="6"/>
      <c r="E841" s="11"/>
      <c r="F841" s="11"/>
      <c r="G841" s="11"/>
      <c r="H841" s="11"/>
      <c r="I841" s="26"/>
      <c r="J841" s="11"/>
      <c r="K841" s="11"/>
      <c r="L841" s="11"/>
      <c r="M841" s="11"/>
      <c r="N841" s="11"/>
    </row>
    <row x14ac:dyDescent="0.25" r="842" customHeight="1" ht="15.75">
      <c r="A842" s="11"/>
      <c r="B842" s="11"/>
      <c r="C842" s="6"/>
      <c r="D842" s="6"/>
      <c r="E842" s="11"/>
      <c r="F842" s="11"/>
      <c r="G842" s="11"/>
      <c r="H842" s="11"/>
      <c r="I842" s="26"/>
      <c r="J842" s="11"/>
      <c r="K842" s="11"/>
      <c r="L842" s="11"/>
      <c r="M842" s="11"/>
      <c r="N842" s="11"/>
    </row>
    <row x14ac:dyDescent="0.25" r="843" customHeight="1" ht="15.75">
      <c r="A843" s="11"/>
      <c r="B843" s="11"/>
      <c r="C843" s="6"/>
      <c r="D843" s="6"/>
      <c r="E843" s="11"/>
      <c r="F843" s="11"/>
      <c r="G843" s="11"/>
      <c r="H843" s="11"/>
      <c r="I843" s="26"/>
      <c r="J843" s="11"/>
      <c r="K843" s="11"/>
      <c r="L843" s="11"/>
      <c r="M843" s="11"/>
      <c r="N843" s="11"/>
    </row>
    <row x14ac:dyDescent="0.25" r="844" customHeight="1" ht="15.75">
      <c r="A844" s="11"/>
      <c r="B844" s="11"/>
      <c r="C844" s="6"/>
      <c r="D844" s="6"/>
      <c r="E844" s="11"/>
      <c r="F844" s="11"/>
      <c r="G844" s="11"/>
      <c r="H844" s="11"/>
      <c r="I844" s="26"/>
      <c r="J844" s="11"/>
      <c r="K844" s="11"/>
      <c r="L844" s="11"/>
      <c r="M844" s="11"/>
      <c r="N844" s="11"/>
    </row>
    <row x14ac:dyDescent="0.25" r="845" customHeight="1" ht="15.75">
      <c r="A845" s="11"/>
      <c r="B845" s="11"/>
      <c r="C845" s="6"/>
      <c r="D845" s="6"/>
      <c r="E845" s="11"/>
      <c r="F845" s="11"/>
      <c r="G845" s="11"/>
      <c r="H845" s="11"/>
      <c r="I845" s="26"/>
      <c r="J845" s="11"/>
      <c r="K845" s="11"/>
      <c r="L845" s="11"/>
      <c r="M845" s="11"/>
      <c r="N845" s="11"/>
    </row>
    <row x14ac:dyDescent="0.25" r="846" customHeight="1" ht="15.75">
      <c r="A846" s="11"/>
      <c r="B846" s="11"/>
      <c r="C846" s="6"/>
      <c r="D846" s="6"/>
      <c r="E846" s="11"/>
      <c r="F846" s="11"/>
      <c r="G846" s="11"/>
      <c r="H846" s="11"/>
      <c r="I846" s="26"/>
      <c r="J846" s="11"/>
      <c r="K846" s="11"/>
      <c r="L846" s="11"/>
      <c r="M846" s="11"/>
      <c r="N846" s="11"/>
    </row>
    <row x14ac:dyDescent="0.25" r="847" customHeight="1" ht="15.75">
      <c r="A847" s="11"/>
      <c r="B847" s="11"/>
      <c r="C847" s="6"/>
      <c r="D847" s="6"/>
      <c r="E847" s="11"/>
      <c r="F847" s="11"/>
      <c r="G847" s="11"/>
      <c r="H847" s="11"/>
      <c r="I847" s="26"/>
      <c r="J847" s="11"/>
      <c r="K847" s="11"/>
      <c r="L847" s="11"/>
      <c r="M847" s="11"/>
      <c r="N847" s="11"/>
    </row>
    <row x14ac:dyDescent="0.25" r="848" customHeight="1" ht="15.75">
      <c r="A848" s="11"/>
      <c r="B848" s="11"/>
      <c r="C848" s="6"/>
      <c r="D848" s="6"/>
      <c r="E848" s="11"/>
      <c r="F848" s="11"/>
      <c r="G848" s="11"/>
      <c r="H848" s="11"/>
      <c r="I848" s="26"/>
      <c r="J848" s="11"/>
      <c r="K848" s="11"/>
      <c r="L848" s="11"/>
      <c r="M848" s="11"/>
      <c r="N848" s="11"/>
    </row>
    <row x14ac:dyDescent="0.25" r="849" customHeight="1" ht="15.75">
      <c r="A849" s="11"/>
      <c r="B849" s="11"/>
      <c r="C849" s="6"/>
      <c r="D849" s="6"/>
      <c r="E849" s="11"/>
      <c r="F849" s="11"/>
      <c r="G849" s="11"/>
      <c r="H849" s="11"/>
      <c r="I849" s="26"/>
      <c r="J849" s="11"/>
      <c r="K849" s="11"/>
      <c r="L849" s="11"/>
      <c r="M849" s="11"/>
      <c r="N849" s="11"/>
    </row>
    <row x14ac:dyDescent="0.25" r="850" customHeight="1" ht="15.75">
      <c r="A850" s="11"/>
      <c r="B850" s="11"/>
      <c r="C850" s="6"/>
      <c r="D850" s="6"/>
      <c r="E850" s="11"/>
      <c r="F850" s="11"/>
      <c r="G850" s="11"/>
      <c r="H850" s="11"/>
      <c r="I850" s="26"/>
      <c r="J850" s="11"/>
      <c r="K850" s="11"/>
      <c r="L850" s="11"/>
      <c r="M850" s="11"/>
      <c r="N850" s="11"/>
    </row>
    <row x14ac:dyDescent="0.25" r="851" customHeight="1" ht="15.75">
      <c r="A851" s="11"/>
      <c r="B851" s="11"/>
      <c r="C851" s="6"/>
      <c r="D851" s="6"/>
      <c r="E851" s="11"/>
      <c r="F851" s="11"/>
      <c r="G851" s="11"/>
      <c r="H851" s="11"/>
      <c r="I851" s="26"/>
      <c r="J851" s="11"/>
      <c r="K851" s="11"/>
      <c r="L851" s="11"/>
      <c r="M851" s="11"/>
      <c r="N851" s="11"/>
    </row>
    <row x14ac:dyDescent="0.25" r="852" customHeight="1" ht="15.75">
      <c r="A852" s="11"/>
      <c r="B852" s="11"/>
      <c r="C852" s="6"/>
      <c r="D852" s="6"/>
      <c r="E852" s="11"/>
      <c r="F852" s="11"/>
      <c r="G852" s="11"/>
      <c r="H852" s="11"/>
      <c r="I852" s="26"/>
      <c r="J852" s="11"/>
      <c r="K852" s="11"/>
      <c r="L852" s="11"/>
      <c r="M852" s="11"/>
      <c r="N852" s="11"/>
    </row>
    <row x14ac:dyDescent="0.25" r="853" customHeight="1" ht="15.75">
      <c r="A853" s="11"/>
      <c r="B853" s="11"/>
      <c r="C853" s="6"/>
      <c r="D853" s="6"/>
      <c r="E853" s="11"/>
      <c r="F853" s="11"/>
      <c r="G853" s="11"/>
      <c r="H853" s="11"/>
      <c r="I853" s="26"/>
      <c r="J853" s="11"/>
      <c r="K853" s="11"/>
      <c r="L853" s="11"/>
      <c r="M853" s="11"/>
      <c r="N853" s="11"/>
    </row>
    <row x14ac:dyDescent="0.25" r="854" customHeight="1" ht="15.75">
      <c r="A854" s="11"/>
      <c r="B854" s="11"/>
      <c r="C854" s="6"/>
      <c r="D854" s="6"/>
      <c r="E854" s="11"/>
      <c r="F854" s="11"/>
      <c r="G854" s="11"/>
      <c r="H854" s="11"/>
      <c r="I854" s="26"/>
      <c r="J854" s="11"/>
      <c r="K854" s="11"/>
      <c r="L854" s="11"/>
      <c r="M854" s="11"/>
      <c r="N854" s="11"/>
    </row>
    <row x14ac:dyDescent="0.25" r="855" customHeight="1" ht="15.75">
      <c r="A855" s="11"/>
      <c r="B855" s="11"/>
      <c r="C855" s="6"/>
      <c r="D855" s="6"/>
      <c r="E855" s="11"/>
      <c r="F855" s="11"/>
      <c r="G855" s="11"/>
      <c r="H855" s="11"/>
      <c r="I855" s="26"/>
      <c r="J855" s="11"/>
      <c r="K855" s="11"/>
      <c r="L855" s="11"/>
      <c r="M855" s="11"/>
      <c r="N855" s="11"/>
    </row>
    <row x14ac:dyDescent="0.25" r="856" customHeight="1" ht="15.75">
      <c r="A856" s="11"/>
      <c r="B856" s="11"/>
      <c r="C856" s="6"/>
      <c r="D856" s="6"/>
      <c r="E856" s="11"/>
      <c r="F856" s="11"/>
      <c r="G856" s="11"/>
      <c r="H856" s="11"/>
      <c r="I856" s="26"/>
      <c r="J856" s="11"/>
      <c r="K856" s="11"/>
      <c r="L856" s="11"/>
      <c r="M856" s="11"/>
      <c r="N856" s="11"/>
    </row>
    <row x14ac:dyDescent="0.25" r="857" customHeight="1" ht="15.75">
      <c r="A857" s="11"/>
      <c r="B857" s="11"/>
      <c r="C857" s="6"/>
      <c r="D857" s="6"/>
      <c r="E857" s="11"/>
      <c r="F857" s="11"/>
      <c r="G857" s="11"/>
      <c r="H857" s="11"/>
      <c r="I857" s="26"/>
      <c r="J857" s="11"/>
      <c r="K857" s="11"/>
      <c r="L857" s="11"/>
      <c r="M857" s="11"/>
      <c r="N857" s="11"/>
    </row>
    <row x14ac:dyDescent="0.25" r="858" customHeight="1" ht="15.75">
      <c r="A858" s="11"/>
      <c r="B858" s="11"/>
      <c r="C858" s="6"/>
      <c r="D858" s="6"/>
      <c r="E858" s="11"/>
      <c r="F858" s="11"/>
      <c r="G858" s="11"/>
      <c r="H858" s="11"/>
      <c r="I858" s="26"/>
      <c r="J858" s="11"/>
      <c r="K858" s="11"/>
      <c r="L858" s="11"/>
      <c r="M858" s="11"/>
      <c r="N858" s="11"/>
    </row>
    <row x14ac:dyDescent="0.25" r="859" customHeight="1" ht="15.75">
      <c r="A859" s="11"/>
      <c r="B859" s="11"/>
      <c r="C859" s="6"/>
      <c r="D859" s="6"/>
      <c r="E859" s="11"/>
      <c r="F859" s="11"/>
      <c r="G859" s="11"/>
      <c r="H859" s="11"/>
      <c r="I859" s="26"/>
      <c r="J859" s="11"/>
      <c r="K859" s="11"/>
      <c r="L859" s="11"/>
      <c r="M859" s="11"/>
      <c r="N859" s="11"/>
    </row>
    <row x14ac:dyDescent="0.25" r="860" customHeight="1" ht="15.75">
      <c r="A860" s="11"/>
      <c r="B860" s="11"/>
      <c r="C860" s="6"/>
      <c r="D860" s="6"/>
      <c r="E860" s="11"/>
      <c r="F860" s="11"/>
      <c r="G860" s="11"/>
      <c r="H860" s="11"/>
      <c r="I860" s="26"/>
      <c r="J860" s="11"/>
      <c r="K860" s="11"/>
      <c r="L860" s="11"/>
      <c r="M860" s="11"/>
      <c r="N860" s="11"/>
    </row>
    <row x14ac:dyDescent="0.25" r="861" customHeight="1" ht="15.75">
      <c r="A861" s="11"/>
      <c r="B861" s="11"/>
      <c r="C861" s="6"/>
      <c r="D861" s="6"/>
      <c r="E861" s="11"/>
      <c r="F861" s="11"/>
      <c r="G861" s="11"/>
      <c r="H861" s="11"/>
      <c r="I861" s="26"/>
      <c r="J861" s="11"/>
      <c r="K861" s="11"/>
      <c r="L861" s="11"/>
      <c r="M861" s="11"/>
      <c r="N861" s="11"/>
    </row>
    <row x14ac:dyDescent="0.25" r="862" customHeight="1" ht="15.75">
      <c r="A862" s="11"/>
      <c r="B862" s="11"/>
      <c r="C862" s="6"/>
      <c r="D862" s="6"/>
      <c r="E862" s="11"/>
      <c r="F862" s="11"/>
      <c r="G862" s="11"/>
      <c r="H862" s="11"/>
      <c r="I862" s="26"/>
      <c r="J862" s="11"/>
      <c r="K862" s="11"/>
      <c r="L862" s="11"/>
      <c r="M862" s="11"/>
      <c r="N862" s="11"/>
    </row>
    <row x14ac:dyDescent="0.25" r="863" customHeight="1" ht="15.75">
      <c r="A863" s="11"/>
      <c r="B863" s="11"/>
      <c r="C863" s="6"/>
      <c r="D863" s="6"/>
      <c r="E863" s="11"/>
      <c r="F863" s="11"/>
      <c r="G863" s="11"/>
      <c r="H863" s="11"/>
      <c r="I863" s="26"/>
      <c r="J863" s="11"/>
      <c r="K863" s="11"/>
      <c r="L863" s="11"/>
      <c r="M863" s="11"/>
      <c r="N863" s="11"/>
    </row>
    <row x14ac:dyDescent="0.25" r="864" customHeight="1" ht="15.75">
      <c r="A864" s="11"/>
      <c r="B864" s="11"/>
      <c r="C864" s="6"/>
      <c r="D864" s="6"/>
      <c r="E864" s="11"/>
      <c r="F864" s="11"/>
      <c r="G864" s="11"/>
      <c r="H864" s="11"/>
      <c r="I864" s="26"/>
      <c r="J864" s="11"/>
      <c r="K864" s="11"/>
      <c r="L864" s="11"/>
      <c r="M864" s="11"/>
      <c r="N864" s="11"/>
    </row>
    <row x14ac:dyDescent="0.25" r="865" customHeight="1" ht="15.75">
      <c r="A865" s="11"/>
      <c r="B865" s="11"/>
      <c r="C865" s="6"/>
      <c r="D865" s="6"/>
      <c r="E865" s="11"/>
      <c r="F865" s="11"/>
      <c r="G865" s="11"/>
      <c r="H865" s="11"/>
      <c r="I865" s="26"/>
      <c r="J865" s="11"/>
      <c r="K865" s="11"/>
      <c r="L865" s="11"/>
      <c r="M865" s="11"/>
      <c r="N865" s="11"/>
    </row>
    <row x14ac:dyDescent="0.25" r="866" customHeight="1" ht="15.75">
      <c r="A866" s="11"/>
      <c r="B866" s="11"/>
      <c r="C866" s="6"/>
      <c r="D866" s="6"/>
      <c r="E866" s="11"/>
      <c r="F866" s="11"/>
      <c r="G866" s="11"/>
      <c r="H866" s="11"/>
      <c r="I866" s="26"/>
      <c r="J866" s="11"/>
      <c r="K866" s="11"/>
      <c r="L866" s="11"/>
      <c r="M866" s="11"/>
      <c r="N866" s="11"/>
    </row>
    <row x14ac:dyDescent="0.25" r="867" customHeight="1" ht="15.75">
      <c r="A867" s="11"/>
      <c r="B867" s="11"/>
      <c r="C867" s="6"/>
      <c r="D867" s="6"/>
      <c r="E867" s="11"/>
      <c r="F867" s="11"/>
      <c r="G867" s="11"/>
      <c r="H867" s="11"/>
      <c r="I867" s="26"/>
      <c r="J867" s="11"/>
      <c r="K867" s="11"/>
      <c r="L867" s="11"/>
      <c r="M867" s="11"/>
      <c r="N867" s="11"/>
    </row>
    <row x14ac:dyDescent="0.25" r="868" customHeight="1" ht="15.75">
      <c r="A868" s="11"/>
      <c r="B868" s="11"/>
      <c r="C868" s="6"/>
      <c r="D868" s="6"/>
      <c r="E868" s="11"/>
      <c r="F868" s="11"/>
      <c r="G868" s="11"/>
      <c r="H868" s="11"/>
      <c r="I868" s="26"/>
      <c r="J868" s="11"/>
      <c r="K868" s="11"/>
      <c r="L868" s="11"/>
      <c r="M868" s="11"/>
      <c r="N868" s="11"/>
    </row>
    <row x14ac:dyDescent="0.25" r="869" customHeight="1" ht="15.75">
      <c r="A869" s="11"/>
      <c r="B869" s="11"/>
      <c r="C869" s="6"/>
      <c r="D869" s="6"/>
      <c r="E869" s="11"/>
      <c r="F869" s="11"/>
      <c r="G869" s="11"/>
      <c r="H869" s="11"/>
      <c r="I869" s="26"/>
      <c r="J869" s="11"/>
      <c r="K869" s="11"/>
      <c r="L869" s="11"/>
      <c r="M869" s="11"/>
      <c r="N869" s="11"/>
    </row>
    <row x14ac:dyDescent="0.25" r="870" customHeight="1" ht="15.75">
      <c r="A870" s="11"/>
      <c r="B870" s="11"/>
      <c r="C870" s="6"/>
      <c r="D870" s="6"/>
      <c r="E870" s="11"/>
      <c r="F870" s="11"/>
      <c r="G870" s="11"/>
      <c r="H870" s="11"/>
      <c r="I870" s="26"/>
      <c r="J870" s="11"/>
      <c r="K870" s="11"/>
      <c r="L870" s="11"/>
      <c r="M870" s="11"/>
      <c r="N870" s="11"/>
    </row>
    <row x14ac:dyDescent="0.25" r="871" customHeight="1" ht="15.75">
      <c r="A871" s="11"/>
      <c r="B871" s="11"/>
      <c r="C871" s="6"/>
      <c r="D871" s="6"/>
      <c r="E871" s="11"/>
      <c r="F871" s="11"/>
      <c r="G871" s="11"/>
      <c r="H871" s="11"/>
      <c r="I871" s="26"/>
      <c r="J871" s="11"/>
      <c r="K871" s="11"/>
      <c r="L871" s="11"/>
      <c r="M871" s="11"/>
      <c r="N871" s="11"/>
    </row>
    <row x14ac:dyDescent="0.25" r="872" customHeight="1" ht="15.75">
      <c r="A872" s="11"/>
      <c r="B872" s="11"/>
      <c r="C872" s="6"/>
      <c r="D872" s="6"/>
      <c r="E872" s="11"/>
      <c r="F872" s="11"/>
      <c r="G872" s="11"/>
      <c r="H872" s="11"/>
      <c r="I872" s="26"/>
      <c r="J872" s="11"/>
      <c r="K872" s="11"/>
      <c r="L872" s="11"/>
      <c r="M872" s="11"/>
      <c r="N872" s="11"/>
    </row>
    <row x14ac:dyDescent="0.25" r="873" customHeight="1" ht="15.75">
      <c r="A873" s="11"/>
      <c r="B873" s="11"/>
      <c r="C873" s="6"/>
      <c r="D873" s="6"/>
      <c r="E873" s="11"/>
      <c r="F873" s="11"/>
      <c r="G873" s="11"/>
      <c r="H873" s="11"/>
      <c r="I873" s="26"/>
      <c r="J873" s="11"/>
      <c r="K873" s="11"/>
      <c r="L873" s="11"/>
      <c r="M873" s="11"/>
      <c r="N873" s="11"/>
    </row>
    <row x14ac:dyDescent="0.25" r="874" customHeight="1" ht="15.75">
      <c r="A874" s="11"/>
      <c r="B874" s="11"/>
      <c r="C874" s="6"/>
      <c r="D874" s="6"/>
      <c r="E874" s="11"/>
      <c r="F874" s="11"/>
      <c r="G874" s="11"/>
      <c r="H874" s="11"/>
      <c r="I874" s="26"/>
      <c r="J874" s="11"/>
      <c r="K874" s="11"/>
      <c r="L874" s="11"/>
      <c r="M874" s="11"/>
      <c r="N874" s="11"/>
    </row>
    <row x14ac:dyDescent="0.25" r="875" customHeight="1" ht="15.75">
      <c r="A875" s="11"/>
      <c r="B875" s="11"/>
      <c r="C875" s="6"/>
      <c r="D875" s="6"/>
      <c r="E875" s="11"/>
      <c r="F875" s="11"/>
      <c r="G875" s="11"/>
      <c r="H875" s="11"/>
      <c r="I875" s="26"/>
      <c r="J875" s="11"/>
      <c r="K875" s="11"/>
      <c r="L875" s="11"/>
      <c r="M875" s="11"/>
      <c r="N875" s="11"/>
    </row>
    <row x14ac:dyDescent="0.25" r="876" customHeight="1" ht="15.75">
      <c r="A876" s="11"/>
      <c r="B876" s="11"/>
      <c r="C876" s="6"/>
      <c r="D876" s="6"/>
      <c r="E876" s="11"/>
      <c r="F876" s="11"/>
      <c r="G876" s="11"/>
      <c r="H876" s="11"/>
      <c r="I876" s="26"/>
      <c r="J876" s="11"/>
      <c r="K876" s="11"/>
      <c r="L876" s="11"/>
      <c r="M876" s="11"/>
      <c r="N876" s="11"/>
    </row>
    <row x14ac:dyDescent="0.25" r="877" customHeight="1" ht="15.75">
      <c r="A877" s="11"/>
      <c r="B877" s="11"/>
      <c r="C877" s="6"/>
      <c r="D877" s="6"/>
      <c r="E877" s="11"/>
      <c r="F877" s="11"/>
      <c r="G877" s="11"/>
      <c r="H877" s="11"/>
      <c r="I877" s="26"/>
      <c r="J877" s="11"/>
      <c r="K877" s="11"/>
      <c r="L877" s="11"/>
      <c r="M877" s="11"/>
      <c r="N877" s="11"/>
    </row>
    <row x14ac:dyDescent="0.25" r="878" customHeight="1" ht="15.75">
      <c r="A878" s="11"/>
      <c r="B878" s="11"/>
      <c r="C878" s="6"/>
      <c r="D878" s="6"/>
      <c r="E878" s="11"/>
      <c r="F878" s="11"/>
      <c r="G878" s="11"/>
      <c r="H878" s="11"/>
      <c r="I878" s="26"/>
      <c r="J878" s="11"/>
      <c r="K878" s="11"/>
      <c r="L878" s="11"/>
      <c r="M878" s="11"/>
      <c r="N878" s="11"/>
    </row>
    <row x14ac:dyDescent="0.25" r="879" customHeight="1" ht="15.75">
      <c r="A879" s="11"/>
      <c r="B879" s="11"/>
      <c r="C879" s="6"/>
      <c r="D879" s="6"/>
      <c r="E879" s="11"/>
      <c r="F879" s="11"/>
      <c r="G879" s="11"/>
      <c r="H879" s="11"/>
      <c r="I879" s="26"/>
      <c r="J879" s="11"/>
      <c r="K879" s="11"/>
      <c r="L879" s="11"/>
      <c r="M879" s="11"/>
      <c r="N879" s="11"/>
    </row>
    <row x14ac:dyDescent="0.25" r="880" customHeight="1" ht="15.75">
      <c r="A880" s="11"/>
      <c r="B880" s="11"/>
      <c r="C880" s="6"/>
      <c r="D880" s="6"/>
      <c r="E880" s="11"/>
      <c r="F880" s="11"/>
      <c r="G880" s="11"/>
      <c r="H880" s="11"/>
      <c r="I880" s="26"/>
      <c r="J880" s="11"/>
      <c r="K880" s="11"/>
      <c r="L880" s="11"/>
      <c r="M880" s="11"/>
      <c r="N880" s="11"/>
    </row>
    <row x14ac:dyDescent="0.25" r="881" customHeight="1" ht="15.75">
      <c r="A881" s="11"/>
      <c r="B881" s="11"/>
      <c r="C881" s="6"/>
      <c r="D881" s="6"/>
      <c r="E881" s="11"/>
      <c r="F881" s="11"/>
      <c r="G881" s="11"/>
      <c r="H881" s="11"/>
      <c r="I881" s="26"/>
      <c r="J881" s="11"/>
      <c r="K881" s="11"/>
      <c r="L881" s="11"/>
      <c r="M881" s="11"/>
      <c r="N881" s="11"/>
    </row>
    <row x14ac:dyDescent="0.25" r="882" customHeight="1" ht="15.75">
      <c r="A882" s="11"/>
      <c r="B882" s="11"/>
      <c r="C882" s="6"/>
      <c r="D882" s="6"/>
      <c r="E882" s="11"/>
      <c r="F882" s="11"/>
      <c r="G882" s="11"/>
      <c r="H882" s="11"/>
      <c r="I882" s="26"/>
      <c r="J882" s="11"/>
      <c r="K882" s="11"/>
      <c r="L882" s="11"/>
      <c r="M882" s="11"/>
      <c r="N882" s="11"/>
    </row>
    <row x14ac:dyDescent="0.25" r="883" customHeight="1" ht="15.75">
      <c r="A883" s="11"/>
      <c r="B883" s="11"/>
      <c r="C883" s="6"/>
      <c r="D883" s="6"/>
      <c r="E883" s="11"/>
      <c r="F883" s="11"/>
      <c r="G883" s="11"/>
      <c r="H883" s="11"/>
      <c r="I883" s="26"/>
      <c r="J883" s="11"/>
      <c r="K883" s="11"/>
      <c r="L883" s="11"/>
      <c r="M883" s="11"/>
      <c r="N883" s="11"/>
    </row>
    <row x14ac:dyDescent="0.25" r="884" customHeight="1" ht="15.75">
      <c r="A884" s="11"/>
      <c r="B884" s="11"/>
      <c r="C884" s="6"/>
      <c r="D884" s="6"/>
      <c r="E884" s="11"/>
      <c r="F884" s="11"/>
      <c r="G884" s="11"/>
      <c r="H884" s="11"/>
      <c r="I884" s="26"/>
      <c r="J884" s="11"/>
      <c r="K884" s="11"/>
      <c r="L884" s="11"/>
      <c r="M884" s="11"/>
      <c r="N884" s="11"/>
    </row>
    <row x14ac:dyDescent="0.25" r="885" customHeight="1" ht="15.75">
      <c r="A885" s="11"/>
      <c r="B885" s="11"/>
      <c r="C885" s="6"/>
      <c r="D885" s="6"/>
      <c r="E885" s="11"/>
      <c r="F885" s="11"/>
      <c r="G885" s="11"/>
      <c r="H885" s="11"/>
      <c r="I885" s="26"/>
      <c r="J885" s="11"/>
      <c r="K885" s="11"/>
      <c r="L885" s="11"/>
      <c r="M885" s="11"/>
      <c r="N885" s="11"/>
    </row>
    <row x14ac:dyDescent="0.25" r="886" customHeight="1" ht="15.75">
      <c r="A886" s="11"/>
      <c r="B886" s="11"/>
      <c r="C886" s="6"/>
      <c r="D886" s="6"/>
      <c r="E886" s="11"/>
      <c r="F886" s="11"/>
      <c r="G886" s="11"/>
      <c r="H886" s="11"/>
      <c r="I886" s="26"/>
      <c r="J886" s="11"/>
      <c r="K886" s="11"/>
      <c r="L886" s="11"/>
      <c r="M886" s="11"/>
      <c r="N886" s="11"/>
    </row>
    <row x14ac:dyDescent="0.25" r="887" customHeight="1" ht="15.75">
      <c r="A887" s="11"/>
      <c r="B887" s="11"/>
      <c r="C887" s="6"/>
      <c r="D887" s="6"/>
      <c r="E887" s="11"/>
      <c r="F887" s="11"/>
      <c r="G887" s="11"/>
      <c r="H887" s="11"/>
      <c r="I887" s="26"/>
      <c r="J887" s="11"/>
      <c r="K887" s="11"/>
      <c r="L887" s="11"/>
      <c r="M887" s="11"/>
      <c r="N887" s="11"/>
    </row>
    <row x14ac:dyDescent="0.25" r="888" customHeight="1" ht="15.75">
      <c r="A888" s="11"/>
      <c r="B888" s="11"/>
      <c r="C888" s="6"/>
      <c r="D888" s="6"/>
      <c r="E888" s="11"/>
      <c r="F888" s="11"/>
      <c r="G888" s="11"/>
      <c r="H888" s="11"/>
      <c r="I888" s="26"/>
      <c r="J888" s="11"/>
      <c r="K888" s="11"/>
      <c r="L888" s="11"/>
      <c r="M888" s="11"/>
      <c r="N888" s="11"/>
    </row>
    <row x14ac:dyDescent="0.25" r="889" customHeight="1" ht="15.75">
      <c r="A889" s="11"/>
      <c r="B889" s="11"/>
      <c r="C889" s="6"/>
      <c r="D889" s="6"/>
      <c r="E889" s="11"/>
      <c r="F889" s="11"/>
      <c r="G889" s="11"/>
      <c r="H889" s="11"/>
      <c r="I889" s="26"/>
      <c r="J889" s="11"/>
      <c r="K889" s="11"/>
      <c r="L889" s="11"/>
      <c r="M889" s="11"/>
      <c r="N889" s="11"/>
    </row>
    <row x14ac:dyDescent="0.25" r="890" customHeight="1" ht="15.75">
      <c r="A890" s="11"/>
      <c r="B890" s="11"/>
      <c r="C890" s="6"/>
      <c r="D890" s="6"/>
      <c r="E890" s="11"/>
      <c r="F890" s="11"/>
      <c r="G890" s="11"/>
      <c r="H890" s="11"/>
      <c r="I890" s="26"/>
      <c r="J890" s="11"/>
      <c r="K890" s="11"/>
      <c r="L890" s="11"/>
      <c r="M890" s="11"/>
      <c r="N890" s="11"/>
    </row>
    <row x14ac:dyDescent="0.25" r="891" customHeight="1" ht="15.75">
      <c r="A891" s="11"/>
      <c r="B891" s="11"/>
      <c r="C891" s="6"/>
      <c r="D891" s="6"/>
      <c r="E891" s="11"/>
      <c r="F891" s="11"/>
      <c r="G891" s="11"/>
      <c r="H891" s="11"/>
      <c r="I891" s="26"/>
      <c r="J891" s="11"/>
      <c r="K891" s="11"/>
      <c r="L891" s="11"/>
      <c r="M891" s="11"/>
      <c r="N891" s="11"/>
    </row>
    <row x14ac:dyDescent="0.25" r="892" customHeight="1" ht="15.75">
      <c r="A892" s="11"/>
      <c r="B892" s="11"/>
      <c r="C892" s="6"/>
      <c r="D892" s="6"/>
      <c r="E892" s="11"/>
      <c r="F892" s="11"/>
      <c r="G892" s="11"/>
      <c r="H892" s="11"/>
      <c r="I892" s="26"/>
      <c r="J892" s="11"/>
      <c r="K892" s="11"/>
      <c r="L892" s="11"/>
      <c r="M892" s="11"/>
      <c r="N892" s="11"/>
    </row>
    <row x14ac:dyDescent="0.25" r="893" customHeight="1" ht="15.75">
      <c r="A893" s="11"/>
      <c r="B893" s="11"/>
      <c r="C893" s="6"/>
      <c r="D893" s="6"/>
      <c r="E893" s="11"/>
      <c r="F893" s="11"/>
      <c r="G893" s="11"/>
      <c r="H893" s="11"/>
      <c r="I893" s="26"/>
      <c r="J893" s="11"/>
      <c r="K893" s="11"/>
      <c r="L893" s="11"/>
      <c r="M893" s="11"/>
      <c r="N893" s="11"/>
    </row>
    <row x14ac:dyDescent="0.25" r="894" customHeight="1" ht="15.75">
      <c r="A894" s="11"/>
      <c r="B894" s="11"/>
      <c r="C894" s="6"/>
      <c r="D894" s="6"/>
      <c r="E894" s="11"/>
      <c r="F894" s="11"/>
      <c r="G894" s="11"/>
      <c r="H894" s="11"/>
      <c r="I894" s="26"/>
      <c r="J894" s="11"/>
      <c r="K894" s="11"/>
      <c r="L894" s="11"/>
      <c r="M894" s="11"/>
      <c r="N894" s="11"/>
    </row>
    <row x14ac:dyDescent="0.25" r="895" customHeight="1" ht="15.75">
      <c r="A895" s="11"/>
      <c r="B895" s="11"/>
      <c r="C895" s="6"/>
      <c r="D895" s="6"/>
      <c r="E895" s="11"/>
      <c r="F895" s="11"/>
      <c r="G895" s="11"/>
      <c r="H895" s="11"/>
      <c r="I895" s="26"/>
      <c r="J895" s="11"/>
      <c r="K895" s="11"/>
      <c r="L895" s="11"/>
      <c r="M895" s="11"/>
      <c r="N895" s="11"/>
    </row>
    <row x14ac:dyDescent="0.25" r="896" customHeight="1" ht="15.75">
      <c r="A896" s="11"/>
      <c r="B896" s="11"/>
      <c r="C896" s="6"/>
      <c r="D896" s="6"/>
      <c r="E896" s="11"/>
      <c r="F896" s="11"/>
      <c r="G896" s="11"/>
      <c r="H896" s="11"/>
      <c r="I896" s="26"/>
      <c r="J896" s="11"/>
      <c r="K896" s="11"/>
      <c r="L896" s="11"/>
      <c r="M896" s="11"/>
      <c r="N896" s="11"/>
    </row>
    <row x14ac:dyDescent="0.25" r="897" customHeight="1" ht="15.75">
      <c r="A897" s="11"/>
      <c r="B897" s="11"/>
      <c r="C897" s="6"/>
      <c r="D897" s="6"/>
      <c r="E897" s="11"/>
      <c r="F897" s="11"/>
      <c r="G897" s="11"/>
      <c r="H897" s="11"/>
      <c r="I897" s="26"/>
      <c r="J897" s="11"/>
      <c r="K897" s="11"/>
      <c r="L897" s="11"/>
      <c r="M897" s="11"/>
      <c r="N897" s="11"/>
    </row>
    <row x14ac:dyDescent="0.25" r="898" customHeight="1" ht="15.75">
      <c r="A898" s="11"/>
      <c r="B898" s="11"/>
      <c r="C898" s="6"/>
      <c r="D898" s="6"/>
      <c r="E898" s="11"/>
      <c r="F898" s="11"/>
      <c r="G898" s="11"/>
      <c r="H898" s="11"/>
      <c r="I898" s="26"/>
      <c r="J898" s="11"/>
      <c r="K898" s="11"/>
      <c r="L898" s="11"/>
      <c r="M898" s="11"/>
      <c r="N898" s="11"/>
    </row>
    <row x14ac:dyDescent="0.25" r="899" customHeight="1" ht="15.75">
      <c r="A899" s="11"/>
      <c r="B899" s="11"/>
      <c r="C899" s="6"/>
      <c r="D899" s="6"/>
      <c r="E899" s="11"/>
      <c r="F899" s="11"/>
      <c r="G899" s="11"/>
      <c r="H899" s="11"/>
      <c r="I899" s="26"/>
      <c r="J899" s="11"/>
      <c r="K899" s="11"/>
      <c r="L899" s="11"/>
      <c r="M899" s="11"/>
      <c r="N899" s="11"/>
    </row>
    <row x14ac:dyDescent="0.25" r="900" customHeight="1" ht="15.75">
      <c r="A900" s="11"/>
      <c r="B900" s="11"/>
      <c r="C900" s="6"/>
      <c r="D900" s="6"/>
      <c r="E900" s="11"/>
      <c r="F900" s="11"/>
      <c r="G900" s="11"/>
      <c r="H900" s="11"/>
      <c r="I900" s="26"/>
      <c r="J900" s="11"/>
      <c r="K900" s="11"/>
      <c r="L900" s="11"/>
      <c r="M900" s="11"/>
      <c r="N900" s="11"/>
    </row>
    <row x14ac:dyDescent="0.25" r="901" customHeight="1" ht="15.75">
      <c r="A901" s="11"/>
      <c r="B901" s="11"/>
      <c r="C901" s="6"/>
      <c r="D901" s="6"/>
      <c r="E901" s="11"/>
      <c r="F901" s="11"/>
      <c r="G901" s="11"/>
      <c r="H901" s="11"/>
      <c r="I901" s="26"/>
      <c r="J901" s="11"/>
      <c r="K901" s="11"/>
      <c r="L901" s="11"/>
      <c r="M901" s="11"/>
      <c r="N901" s="11"/>
    </row>
    <row x14ac:dyDescent="0.25" r="902" customHeight="1" ht="15.75">
      <c r="A902" s="11"/>
      <c r="B902" s="11"/>
      <c r="C902" s="6"/>
      <c r="D902" s="6"/>
      <c r="E902" s="11"/>
      <c r="F902" s="11"/>
      <c r="G902" s="11"/>
      <c r="H902" s="11"/>
      <c r="I902" s="26"/>
      <c r="J902" s="11"/>
      <c r="K902" s="11"/>
      <c r="L902" s="11"/>
      <c r="M902" s="11"/>
      <c r="N902" s="11"/>
    </row>
    <row x14ac:dyDescent="0.25" r="903" customHeight="1" ht="15.75">
      <c r="A903" s="11"/>
      <c r="B903" s="11"/>
      <c r="C903" s="6"/>
      <c r="D903" s="6"/>
      <c r="E903" s="11"/>
      <c r="F903" s="11"/>
      <c r="G903" s="11"/>
      <c r="H903" s="11"/>
      <c r="I903" s="26"/>
      <c r="J903" s="11"/>
      <c r="K903" s="11"/>
      <c r="L903" s="11"/>
      <c r="M903" s="11"/>
      <c r="N903" s="11"/>
    </row>
    <row x14ac:dyDescent="0.25" r="904" customHeight="1" ht="15.75">
      <c r="A904" s="11"/>
      <c r="B904" s="11"/>
      <c r="C904" s="6"/>
      <c r="D904" s="6"/>
      <c r="E904" s="11"/>
      <c r="F904" s="11"/>
      <c r="G904" s="11"/>
      <c r="H904" s="11"/>
      <c r="I904" s="26"/>
      <c r="J904" s="11"/>
      <c r="K904" s="11"/>
      <c r="L904" s="11"/>
      <c r="M904" s="11"/>
      <c r="N904" s="11"/>
    </row>
    <row x14ac:dyDescent="0.25" r="905" customHeight="1" ht="15.75">
      <c r="A905" s="11"/>
      <c r="B905" s="11"/>
      <c r="C905" s="6"/>
      <c r="D905" s="6"/>
      <c r="E905" s="11"/>
      <c r="F905" s="11"/>
      <c r="G905" s="11"/>
      <c r="H905" s="11"/>
      <c r="I905" s="26"/>
      <c r="J905" s="11"/>
      <c r="K905" s="11"/>
      <c r="L905" s="11"/>
      <c r="M905" s="11"/>
      <c r="N905" s="11"/>
    </row>
    <row x14ac:dyDescent="0.25" r="906" customHeight="1" ht="15.75">
      <c r="A906" s="11"/>
      <c r="B906" s="11"/>
      <c r="C906" s="6"/>
      <c r="D906" s="6"/>
      <c r="E906" s="11"/>
      <c r="F906" s="11"/>
      <c r="G906" s="11"/>
      <c r="H906" s="11"/>
      <c r="I906" s="26"/>
      <c r="J906" s="11"/>
      <c r="K906" s="11"/>
      <c r="L906" s="11"/>
      <c r="M906" s="11"/>
      <c r="N906" s="11"/>
    </row>
    <row x14ac:dyDescent="0.25" r="907" customHeight="1" ht="15.75">
      <c r="A907" s="11"/>
      <c r="B907" s="11"/>
      <c r="C907" s="6"/>
      <c r="D907" s="6"/>
      <c r="E907" s="11"/>
      <c r="F907" s="11"/>
      <c r="G907" s="11"/>
      <c r="H907" s="11"/>
      <c r="I907" s="26"/>
      <c r="J907" s="11"/>
      <c r="K907" s="11"/>
      <c r="L907" s="11"/>
      <c r="M907" s="11"/>
      <c r="N907" s="11"/>
    </row>
    <row x14ac:dyDescent="0.25" r="908" customHeight="1" ht="15.75">
      <c r="A908" s="11"/>
      <c r="B908" s="11"/>
      <c r="C908" s="6"/>
      <c r="D908" s="6"/>
      <c r="E908" s="11"/>
      <c r="F908" s="11"/>
      <c r="G908" s="11"/>
      <c r="H908" s="11"/>
      <c r="I908" s="26"/>
      <c r="J908" s="11"/>
      <c r="K908" s="11"/>
      <c r="L908" s="11"/>
      <c r="M908" s="11"/>
      <c r="N908" s="11"/>
    </row>
    <row x14ac:dyDescent="0.25" r="909" customHeight="1" ht="15.75">
      <c r="A909" s="11"/>
      <c r="B909" s="11"/>
      <c r="C909" s="6"/>
      <c r="D909" s="6"/>
      <c r="E909" s="11"/>
      <c r="F909" s="11"/>
      <c r="G909" s="11"/>
      <c r="H909" s="11"/>
      <c r="I909" s="26"/>
      <c r="J909" s="11"/>
      <c r="K909" s="11"/>
      <c r="L909" s="11"/>
      <c r="M909" s="11"/>
      <c r="N909" s="11"/>
    </row>
    <row x14ac:dyDescent="0.25" r="910" customHeight="1" ht="15.75">
      <c r="A910" s="11"/>
      <c r="B910" s="11"/>
      <c r="C910" s="6"/>
      <c r="D910" s="6"/>
      <c r="E910" s="11"/>
      <c r="F910" s="11"/>
      <c r="G910" s="11"/>
      <c r="H910" s="11"/>
      <c r="I910" s="26"/>
      <c r="J910" s="11"/>
      <c r="K910" s="11"/>
      <c r="L910" s="11"/>
      <c r="M910" s="11"/>
      <c r="N910" s="11"/>
    </row>
    <row x14ac:dyDescent="0.25" r="911" customHeight="1" ht="15.75">
      <c r="A911" s="11"/>
      <c r="B911" s="11"/>
      <c r="C911" s="6"/>
      <c r="D911" s="6"/>
      <c r="E911" s="11"/>
      <c r="F911" s="11"/>
      <c r="G911" s="11"/>
      <c r="H911" s="11"/>
      <c r="I911" s="26"/>
      <c r="J911" s="11"/>
      <c r="K911" s="11"/>
      <c r="L911" s="11"/>
      <c r="M911" s="11"/>
      <c r="N911" s="11"/>
    </row>
    <row x14ac:dyDescent="0.25" r="912" customHeight="1" ht="15.75">
      <c r="A912" s="11"/>
      <c r="B912" s="11"/>
      <c r="C912" s="6"/>
      <c r="D912" s="6"/>
      <c r="E912" s="11"/>
      <c r="F912" s="11"/>
      <c r="G912" s="11"/>
      <c r="H912" s="11"/>
      <c r="I912" s="26"/>
      <c r="J912" s="11"/>
      <c r="K912" s="11"/>
      <c r="L912" s="11"/>
      <c r="M912" s="11"/>
      <c r="N912" s="11"/>
    </row>
    <row x14ac:dyDescent="0.25" r="913" customHeight="1" ht="15.75">
      <c r="A913" s="11"/>
      <c r="B913" s="11"/>
      <c r="C913" s="6"/>
      <c r="D913" s="6"/>
      <c r="E913" s="11"/>
      <c r="F913" s="11"/>
      <c r="G913" s="11"/>
      <c r="H913" s="11"/>
      <c r="I913" s="26"/>
      <c r="J913" s="11"/>
      <c r="K913" s="11"/>
      <c r="L913" s="11"/>
      <c r="M913" s="11"/>
      <c r="N913" s="11"/>
    </row>
    <row x14ac:dyDescent="0.25" r="914" customHeight="1" ht="15.75">
      <c r="A914" s="11"/>
      <c r="B914" s="11"/>
      <c r="C914" s="6"/>
      <c r="D914" s="6"/>
      <c r="E914" s="11"/>
      <c r="F914" s="11"/>
      <c r="G914" s="11"/>
      <c r="H914" s="11"/>
      <c r="I914" s="26"/>
      <c r="J914" s="11"/>
      <c r="K914" s="11"/>
      <c r="L914" s="11"/>
      <c r="M914" s="11"/>
      <c r="N914" s="11"/>
    </row>
    <row x14ac:dyDescent="0.25" r="915" customHeight="1" ht="15.75">
      <c r="A915" s="11"/>
      <c r="B915" s="11"/>
      <c r="C915" s="6"/>
      <c r="D915" s="6"/>
      <c r="E915" s="11"/>
      <c r="F915" s="11"/>
      <c r="G915" s="11"/>
      <c r="H915" s="11"/>
      <c r="I915" s="26"/>
      <c r="J915" s="11"/>
      <c r="K915" s="11"/>
      <c r="L915" s="11"/>
      <c r="M915" s="11"/>
      <c r="N915" s="11"/>
    </row>
    <row x14ac:dyDescent="0.25" r="916" customHeight="1" ht="15.75">
      <c r="A916" s="11"/>
      <c r="B916" s="11"/>
      <c r="C916" s="6"/>
      <c r="D916" s="6"/>
      <c r="E916" s="11"/>
      <c r="F916" s="11"/>
      <c r="G916" s="11"/>
      <c r="H916" s="11"/>
      <c r="I916" s="26"/>
      <c r="J916" s="11"/>
      <c r="K916" s="11"/>
      <c r="L916" s="11"/>
      <c r="M916" s="11"/>
      <c r="N916" s="11"/>
    </row>
    <row x14ac:dyDescent="0.25" r="917" customHeight="1" ht="15.75">
      <c r="A917" s="11"/>
      <c r="B917" s="11"/>
      <c r="C917" s="6"/>
      <c r="D917" s="6"/>
      <c r="E917" s="11"/>
      <c r="F917" s="11"/>
      <c r="G917" s="11"/>
      <c r="H917" s="11"/>
      <c r="I917" s="26"/>
      <c r="J917" s="11"/>
      <c r="K917" s="11"/>
      <c r="L917" s="11"/>
      <c r="M917" s="11"/>
      <c r="N917" s="11"/>
    </row>
    <row x14ac:dyDescent="0.25" r="918" customHeight="1" ht="15.75">
      <c r="A918" s="11"/>
      <c r="B918" s="11"/>
      <c r="C918" s="6"/>
      <c r="D918" s="6"/>
      <c r="E918" s="11"/>
      <c r="F918" s="11"/>
      <c r="G918" s="11"/>
      <c r="H918" s="11"/>
      <c r="I918" s="26"/>
      <c r="J918" s="11"/>
      <c r="K918" s="11"/>
      <c r="L918" s="11"/>
      <c r="M918" s="11"/>
      <c r="N918" s="11"/>
    </row>
    <row x14ac:dyDescent="0.25" r="919" customHeight="1" ht="15.75">
      <c r="A919" s="11"/>
      <c r="B919" s="11"/>
      <c r="C919" s="6"/>
      <c r="D919" s="6"/>
      <c r="E919" s="11"/>
      <c r="F919" s="11"/>
      <c r="G919" s="11"/>
      <c r="H919" s="11"/>
      <c r="I919" s="26"/>
      <c r="J919" s="11"/>
      <c r="K919" s="11"/>
      <c r="L919" s="11"/>
      <c r="M919" s="11"/>
      <c r="N919" s="11"/>
    </row>
    <row x14ac:dyDescent="0.25" r="920" customHeight="1" ht="15.75">
      <c r="A920" s="11"/>
      <c r="B920" s="11"/>
      <c r="C920" s="6"/>
      <c r="D920" s="6"/>
      <c r="E920" s="11"/>
      <c r="F920" s="11"/>
      <c r="G920" s="11"/>
      <c r="H920" s="11"/>
      <c r="I920" s="26"/>
      <c r="J920" s="11"/>
      <c r="K920" s="11"/>
      <c r="L920" s="11"/>
      <c r="M920" s="11"/>
      <c r="N920" s="11"/>
    </row>
    <row x14ac:dyDescent="0.25" r="921" customHeight="1" ht="15.75">
      <c r="A921" s="11"/>
      <c r="B921" s="11"/>
      <c r="C921" s="6"/>
      <c r="D921" s="6"/>
      <c r="E921" s="11"/>
      <c r="F921" s="11"/>
      <c r="G921" s="11"/>
      <c r="H921" s="11"/>
      <c r="I921" s="26"/>
      <c r="J921" s="11"/>
      <c r="K921" s="11"/>
      <c r="L921" s="11"/>
      <c r="M921" s="11"/>
      <c r="N921" s="11"/>
    </row>
    <row x14ac:dyDescent="0.25" r="922" customHeight="1" ht="15.75">
      <c r="A922" s="11"/>
      <c r="B922" s="11"/>
      <c r="C922" s="6"/>
      <c r="D922" s="6"/>
      <c r="E922" s="11"/>
      <c r="F922" s="11"/>
      <c r="G922" s="11"/>
      <c r="H922" s="11"/>
      <c r="I922" s="26"/>
      <c r="J922" s="11"/>
      <c r="K922" s="11"/>
      <c r="L922" s="11"/>
      <c r="M922" s="11"/>
      <c r="N922" s="11"/>
    </row>
    <row x14ac:dyDescent="0.25" r="923" customHeight="1" ht="15.75">
      <c r="A923" s="11"/>
      <c r="B923" s="11"/>
      <c r="C923" s="6"/>
      <c r="D923" s="6"/>
      <c r="E923" s="11"/>
      <c r="F923" s="11"/>
      <c r="G923" s="11"/>
      <c r="H923" s="11"/>
      <c r="I923" s="26"/>
      <c r="J923" s="11"/>
      <c r="K923" s="11"/>
      <c r="L923" s="11"/>
      <c r="M923" s="11"/>
      <c r="N923" s="11"/>
    </row>
    <row x14ac:dyDescent="0.25" r="924" customHeight="1" ht="15.75">
      <c r="A924" s="11"/>
      <c r="B924" s="11"/>
      <c r="C924" s="6"/>
      <c r="D924" s="6"/>
      <c r="E924" s="11"/>
      <c r="F924" s="11"/>
      <c r="G924" s="11"/>
      <c r="H924" s="11"/>
      <c r="I924" s="26"/>
      <c r="J924" s="11"/>
      <c r="K924" s="11"/>
      <c r="L924" s="11"/>
      <c r="M924" s="11"/>
      <c r="N924" s="11"/>
    </row>
    <row x14ac:dyDescent="0.25" r="925" customHeight="1" ht="15.75">
      <c r="A925" s="11"/>
      <c r="B925" s="11"/>
      <c r="C925" s="6"/>
      <c r="D925" s="6"/>
      <c r="E925" s="11"/>
      <c r="F925" s="11"/>
      <c r="G925" s="11"/>
      <c r="H925" s="11"/>
      <c r="I925" s="26"/>
      <c r="J925" s="11"/>
      <c r="K925" s="11"/>
      <c r="L925" s="11"/>
      <c r="M925" s="11"/>
      <c r="N925" s="11"/>
    </row>
    <row x14ac:dyDescent="0.25" r="926" customHeight="1" ht="15.75">
      <c r="A926" s="11"/>
      <c r="B926" s="11"/>
      <c r="C926" s="6"/>
      <c r="D926" s="6"/>
      <c r="E926" s="11"/>
      <c r="F926" s="11"/>
      <c r="G926" s="11"/>
      <c r="H926" s="11"/>
      <c r="I926" s="26"/>
      <c r="J926" s="11"/>
      <c r="K926" s="11"/>
      <c r="L926" s="11"/>
      <c r="M926" s="11"/>
      <c r="N926" s="11"/>
    </row>
    <row x14ac:dyDescent="0.25" r="927" customHeight="1" ht="15.75">
      <c r="A927" s="11"/>
      <c r="B927" s="11"/>
      <c r="C927" s="6"/>
      <c r="D927" s="6"/>
      <c r="E927" s="11"/>
      <c r="F927" s="11"/>
      <c r="G927" s="11"/>
      <c r="H927" s="11"/>
      <c r="I927" s="26"/>
      <c r="J927" s="11"/>
      <c r="K927" s="11"/>
      <c r="L927" s="11"/>
      <c r="M927" s="11"/>
      <c r="N927" s="11"/>
    </row>
    <row x14ac:dyDescent="0.25" r="928" customHeight="1" ht="15.75">
      <c r="A928" s="11"/>
      <c r="B928" s="11"/>
      <c r="C928" s="6"/>
      <c r="D928" s="6"/>
      <c r="E928" s="11"/>
      <c r="F928" s="11"/>
      <c r="G928" s="11"/>
      <c r="H928" s="11"/>
      <c r="I928" s="26"/>
      <c r="J928" s="11"/>
      <c r="K928" s="11"/>
      <c r="L928" s="11"/>
      <c r="M928" s="11"/>
      <c r="N928" s="11"/>
    </row>
    <row x14ac:dyDescent="0.25" r="929" customHeight="1" ht="15.75">
      <c r="A929" s="11"/>
      <c r="B929" s="11"/>
      <c r="C929" s="6"/>
      <c r="D929" s="6"/>
      <c r="E929" s="11"/>
      <c r="F929" s="11"/>
      <c r="G929" s="11"/>
      <c r="H929" s="11"/>
      <c r="I929" s="26"/>
      <c r="J929" s="11"/>
      <c r="K929" s="11"/>
      <c r="L929" s="11"/>
      <c r="M929" s="11"/>
      <c r="N929" s="11"/>
    </row>
    <row x14ac:dyDescent="0.25" r="930" customHeight="1" ht="15.75">
      <c r="A930" s="11"/>
      <c r="B930" s="11"/>
      <c r="C930" s="6"/>
      <c r="D930" s="6"/>
      <c r="E930" s="11"/>
      <c r="F930" s="11"/>
      <c r="G930" s="11"/>
      <c r="H930" s="11"/>
      <c r="I930" s="26"/>
      <c r="J930" s="11"/>
      <c r="K930" s="11"/>
      <c r="L930" s="11"/>
      <c r="M930" s="11"/>
      <c r="N930" s="11"/>
    </row>
    <row x14ac:dyDescent="0.25" r="931" customHeight="1" ht="15.75">
      <c r="A931" s="11"/>
      <c r="B931" s="11"/>
      <c r="C931" s="6"/>
      <c r="D931" s="6"/>
      <c r="E931" s="11"/>
      <c r="F931" s="11"/>
      <c r="G931" s="11"/>
      <c r="H931" s="11"/>
      <c r="I931" s="26"/>
      <c r="J931" s="11"/>
      <c r="K931" s="11"/>
      <c r="L931" s="11"/>
      <c r="M931" s="11"/>
      <c r="N931" s="11"/>
    </row>
    <row x14ac:dyDescent="0.25" r="932" customHeight="1" ht="15.75">
      <c r="A932" s="11"/>
      <c r="B932" s="11"/>
      <c r="C932" s="6"/>
      <c r="D932" s="6"/>
      <c r="E932" s="11"/>
      <c r="F932" s="11"/>
      <c r="G932" s="11"/>
      <c r="H932" s="11"/>
      <c r="I932" s="26"/>
      <c r="J932" s="11"/>
      <c r="K932" s="11"/>
      <c r="L932" s="11"/>
      <c r="M932" s="11"/>
      <c r="N932" s="11"/>
    </row>
    <row x14ac:dyDescent="0.25" r="933" customHeight="1" ht="15.75">
      <c r="A933" s="11"/>
      <c r="B933" s="11"/>
      <c r="C933" s="6"/>
      <c r="D933" s="6"/>
      <c r="E933" s="11"/>
      <c r="F933" s="11"/>
      <c r="G933" s="11"/>
      <c r="H933" s="11"/>
      <c r="I933" s="26"/>
      <c r="J933" s="11"/>
      <c r="K933" s="11"/>
      <c r="L933" s="11"/>
      <c r="M933" s="11"/>
      <c r="N933" s="11"/>
    </row>
    <row x14ac:dyDescent="0.25" r="934" customHeight="1" ht="15.75">
      <c r="A934" s="11"/>
      <c r="B934" s="11"/>
      <c r="C934" s="6"/>
      <c r="D934" s="6"/>
      <c r="E934" s="11"/>
      <c r="F934" s="11"/>
      <c r="G934" s="11"/>
      <c r="H934" s="11"/>
      <c r="I934" s="26"/>
      <c r="J934" s="11"/>
      <c r="K934" s="11"/>
      <c r="L934" s="11"/>
      <c r="M934" s="11"/>
      <c r="N934" s="11"/>
    </row>
    <row x14ac:dyDescent="0.25" r="935" customHeight="1" ht="15.75">
      <c r="A935" s="11"/>
      <c r="B935" s="11"/>
      <c r="C935" s="6"/>
      <c r="D935" s="6"/>
      <c r="E935" s="11"/>
      <c r="F935" s="11"/>
      <c r="G935" s="11"/>
      <c r="H935" s="11"/>
      <c r="I935" s="26"/>
      <c r="J935" s="11"/>
      <c r="K935" s="11"/>
      <c r="L935" s="11"/>
      <c r="M935" s="11"/>
      <c r="N935" s="11"/>
    </row>
    <row x14ac:dyDescent="0.25" r="936" customHeight="1" ht="15.75">
      <c r="A936" s="11"/>
      <c r="B936" s="11"/>
      <c r="C936" s="6"/>
      <c r="D936" s="6"/>
      <c r="E936" s="11"/>
      <c r="F936" s="11"/>
      <c r="G936" s="11"/>
      <c r="H936" s="11"/>
      <c r="I936" s="26"/>
      <c r="J936" s="11"/>
      <c r="K936" s="11"/>
      <c r="L936" s="11"/>
      <c r="M936" s="11"/>
      <c r="N936" s="11"/>
    </row>
    <row x14ac:dyDescent="0.25" r="937" customHeight="1" ht="15.75">
      <c r="A937" s="11"/>
      <c r="B937" s="11"/>
      <c r="C937" s="6"/>
      <c r="D937" s="6"/>
      <c r="E937" s="11"/>
      <c r="F937" s="11"/>
      <c r="G937" s="11"/>
      <c r="H937" s="11"/>
      <c r="I937" s="26"/>
      <c r="J937" s="11"/>
      <c r="K937" s="11"/>
      <c r="L937" s="11"/>
      <c r="M937" s="11"/>
      <c r="N937" s="11"/>
    </row>
    <row x14ac:dyDescent="0.25" r="938" customHeight="1" ht="15.75">
      <c r="A938" s="11"/>
      <c r="B938" s="11"/>
      <c r="C938" s="6"/>
      <c r="D938" s="6"/>
      <c r="E938" s="11"/>
      <c r="F938" s="11"/>
      <c r="G938" s="11"/>
      <c r="H938" s="11"/>
      <c r="I938" s="26"/>
      <c r="J938" s="11"/>
      <c r="K938" s="11"/>
      <c r="L938" s="11"/>
      <c r="M938" s="11"/>
      <c r="N938" s="11"/>
    </row>
    <row x14ac:dyDescent="0.25" r="939" customHeight="1" ht="15.75">
      <c r="A939" s="11"/>
      <c r="B939" s="11"/>
      <c r="C939" s="6"/>
      <c r="D939" s="6"/>
      <c r="E939" s="11"/>
      <c r="F939" s="11"/>
      <c r="G939" s="11"/>
      <c r="H939" s="11"/>
      <c r="I939" s="26"/>
      <c r="J939" s="11"/>
      <c r="K939" s="11"/>
      <c r="L939" s="11"/>
      <c r="M939" s="11"/>
      <c r="N939" s="11"/>
    </row>
    <row x14ac:dyDescent="0.25" r="940" customHeight="1" ht="15.75">
      <c r="A940" s="11"/>
      <c r="B940" s="11"/>
      <c r="C940" s="6"/>
      <c r="D940" s="6"/>
      <c r="E940" s="11"/>
      <c r="F940" s="11"/>
      <c r="G940" s="11"/>
      <c r="H940" s="11"/>
      <c r="I940" s="26"/>
      <c r="J940" s="11"/>
      <c r="K940" s="11"/>
      <c r="L940" s="11"/>
      <c r="M940" s="11"/>
      <c r="N940" s="11"/>
    </row>
    <row x14ac:dyDescent="0.25" r="941" customHeight="1" ht="15.75">
      <c r="A941" s="11"/>
      <c r="B941" s="11"/>
      <c r="C941" s="6"/>
      <c r="D941" s="6"/>
      <c r="E941" s="11"/>
      <c r="F941" s="11"/>
      <c r="G941" s="11"/>
      <c r="H941" s="11"/>
      <c r="I941" s="26"/>
      <c r="J941" s="11"/>
      <c r="K941" s="11"/>
      <c r="L941" s="11"/>
      <c r="M941" s="11"/>
      <c r="N941" s="11"/>
    </row>
    <row x14ac:dyDescent="0.25" r="942" customHeight="1" ht="15.75">
      <c r="A942" s="11"/>
      <c r="B942" s="11"/>
      <c r="C942" s="6"/>
      <c r="D942" s="6"/>
      <c r="E942" s="11"/>
      <c r="F942" s="11"/>
      <c r="G942" s="11"/>
      <c r="H942" s="11"/>
      <c r="I942" s="26"/>
      <c r="J942" s="11"/>
      <c r="K942" s="11"/>
      <c r="L942" s="11"/>
      <c r="M942" s="11"/>
      <c r="N942" s="11"/>
    </row>
    <row x14ac:dyDescent="0.25" r="943" customHeight="1" ht="15.75">
      <c r="A943" s="11"/>
      <c r="B943" s="11"/>
      <c r="C943" s="6"/>
      <c r="D943" s="6"/>
      <c r="E943" s="11"/>
      <c r="F943" s="11"/>
      <c r="G943" s="11"/>
      <c r="H943" s="11"/>
      <c r="I943" s="26"/>
      <c r="J943" s="11"/>
      <c r="K943" s="11"/>
      <c r="L943" s="11"/>
      <c r="M943" s="11"/>
      <c r="N943" s="11"/>
    </row>
    <row x14ac:dyDescent="0.25" r="944" customHeight="1" ht="15.75">
      <c r="A944" s="11"/>
      <c r="B944" s="11"/>
      <c r="C944" s="6"/>
      <c r="D944" s="6"/>
      <c r="E944" s="11"/>
      <c r="F944" s="11"/>
      <c r="G944" s="11"/>
      <c r="H944" s="11"/>
      <c r="I944" s="26"/>
      <c r="J944" s="11"/>
      <c r="K944" s="11"/>
      <c r="L944" s="11"/>
      <c r="M944" s="11"/>
      <c r="N944" s="11"/>
    </row>
    <row x14ac:dyDescent="0.25" r="945" customHeight="1" ht="15.75">
      <c r="A945" s="11"/>
      <c r="B945" s="11"/>
      <c r="C945" s="6"/>
      <c r="D945" s="6"/>
      <c r="E945" s="11"/>
      <c r="F945" s="11"/>
      <c r="G945" s="11"/>
      <c r="H945" s="11"/>
      <c r="I945" s="26"/>
      <c r="J945" s="11"/>
      <c r="K945" s="11"/>
      <c r="L945" s="11"/>
      <c r="M945" s="11"/>
      <c r="N945" s="11"/>
    </row>
    <row x14ac:dyDescent="0.25" r="946" customHeight="1" ht="15.75">
      <c r="A946" s="11"/>
      <c r="B946" s="11"/>
      <c r="C946" s="6"/>
      <c r="D946" s="6"/>
      <c r="E946" s="11"/>
      <c r="F946" s="11"/>
      <c r="G946" s="11"/>
      <c r="H946" s="11"/>
      <c r="I946" s="26"/>
      <c r="J946" s="11"/>
      <c r="K946" s="11"/>
      <c r="L946" s="11"/>
      <c r="M946" s="11"/>
      <c r="N946" s="11"/>
    </row>
    <row x14ac:dyDescent="0.25" r="947" customHeight="1" ht="15.75">
      <c r="A947" s="11"/>
      <c r="B947" s="11"/>
      <c r="C947" s="6"/>
      <c r="D947" s="6"/>
      <c r="E947" s="11"/>
      <c r="F947" s="11"/>
      <c r="G947" s="11"/>
      <c r="H947" s="11"/>
      <c r="I947" s="26"/>
      <c r="J947" s="11"/>
      <c r="K947" s="11"/>
      <c r="L947" s="11"/>
      <c r="M947" s="11"/>
      <c r="N947" s="11"/>
    </row>
    <row x14ac:dyDescent="0.25" r="948" customHeight="1" ht="15.75">
      <c r="A948" s="11"/>
      <c r="B948" s="11"/>
      <c r="C948" s="6"/>
      <c r="D948" s="6"/>
      <c r="E948" s="11"/>
      <c r="F948" s="11"/>
      <c r="G948" s="11"/>
      <c r="H948" s="11"/>
      <c r="I948" s="26"/>
      <c r="J948" s="11"/>
      <c r="K948" s="11"/>
      <c r="L948" s="11"/>
      <c r="M948" s="11"/>
      <c r="N948" s="11"/>
    </row>
    <row x14ac:dyDescent="0.25" r="949" customHeight="1" ht="15.75">
      <c r="A949" s="11"/>
      <c r="B949" s="11"/>
      <c r="C949" s="6"/>
      <c r="D949" s="6"/>
      <c r="E949" s="11"/>
      <c r="F949" s="11"/>
      <c r="G949" s="11"/>
      <c r="H949" s="11"/>
      <c r="I949" s="26"/>
      <c r="J949" s="11"/>
      <c r="K949" s="11"/>
      <c r="L949" s="11"/>
      <c r="M949" s="11"/>
      <c r="N949" s="11"/>
    </row>
    <row x14ac:dyDescent="0.25" r="950" customHeight="1" ht="15.75">
      <c r="A950" s="11"/>
      <c r="B950" s="11"/>
      <c r="C950" s="6"/>
      <c r="D950" s="6"/>
      <c r="E950" s="11"/>
      <c r="F950" s="11"/>
      <c r="G950" s="11"/>
      <c r="H950" s="11"/>
      <c r="I950" s="26"/>
      <c r="J950" s="11"/>
      <c r="K950" s="11"/>
      <c r="L950" s="11"/>
      <c r="M950" s="11"/>
      <c r="N950" s="11"/>
    </row>
    <row x14ac:dyDescent="0.25" r="951" customHeight="1" ht="15.75">
      <c r="A951" s="11"/>
      <c r="B951" s="11"/>
      <c r="C951" s="6"/>
      <c r="D951" s="6"/>
      <c r="E951" s="11"/>
      <c r="F951" s="11"/>
      <c r="G951" s="11"/>
      <c r="H951" s="11"/>
      <c r="I951" s="26"/>
      <c r="J951" s="11"/>
      <c r="K951" s="11"/>
      <c r="L951" s="11"/>
      <c r="M951" s="11"/>
      <c r="N951" s="11"/>
    </row>
    <row x14ac:dyDescent="0.25" r="952" customHeight="1" ht="15.75">
      <c r="A952" s="11"/>
      <c r="B952" s="11"/>
      <c r="C952" s="6"/>
      <c r="D952" s="6"/>
      <c r="E952" s="11"/>
      <c r="F952" s="11"/>
      <c r="G952" s="11"/>
      <c r="H952" s="11"/>
      <c r="I952" s="26"/>
      <c r="J952" s="11"/>
      <c r="K952" s="11"/>
      <c r="L952" s="11"/>
      <c r="M952" s="11"/>
      <c r="N952" s="11"/>
    </row>
    <row x14ac:dyDescent="0.25" r="953" customHeight="1" ht="15.75">
      <c r="A953" s="11"/>
      <c r="B953" s="11"/>
      <c r="C953" s="6"/>
      <c r="D953" s="6"/>
      <c r="E953" s="11"/>
      <c r="F953" s="11"/>
      <c r="G953" s="11"/>
      <c r="H953" s="11"/>
      <c r="I953" s="26"/>
      <c r="J953" s="11"/>
      <c r="K953" s="11"/>
      <c r="L953" s="11"/>
      <c r="M953" s="11"/>
      <c r="N953" s="11"/>
    </row>
    <row x14ac:dyDescent="0.25" r="954" customHeight="1" ht="15.75">
      <c r="A954" s="11"/>
      <c r="B954" s="11"/>
      <c r="C954" s="6"/>
      <c r="D954" s="6"/>
      <c r="E954" s="11"/>
      <c r="F954" s="11"/>
      <c r="G954" s="11"/>
      <c r="H954" s="11"/>
      <c r="I954" s="26"/>
      <c r="J954" s="11"/>
      <c r="K954" s="11"/>
      <c r="L954" s="11"/>
      <c r="M954" s="11"/>
      <c r="N954" s="11"/>
    </row>
    <row x14ac:dyDescent="0.25" r="955" customHeight="1" ht="15.75">
      <c r="A955" s="11"/>
      <c r="B955" s="11"/>
      <c r="C955" s="6"/>
      <c r="D955" s="6"/>
      <c r="E955" s="11"/>
      <c r="F955" s="11"/>
      <c r="G955" s="11"/>
      <c r="H955" s="11"/>
      <c r="I955" s="26"/>
      <c r="J955" s="11"/>
      <c r="K955" s="11"/>
      <c r="L955" s="11"/>
      <c r="M955" s="11"/>
      <c r="N955" s="11"/>
    </row>
    <row x14ac:dyDescent="0.25" r="956" customHeight="1" ht="15.75">
      <c r="A956" s="11"/>
      <c r="B956" s="11"/>
      <c r="C956" s="6"/>
      <c r="D956" s="6"/>
      <c r="E956" s="11"/>
      <c r="F956" s="11"/>
      <c r="G956" s="11"/>
      <c r="H956" s="11"/>
      <c r="I956" s="26"/>
      <c r="J956" s="11"/>
      <c r="K956" s="11"/>
      <c r="L956" s="11"/>
      <c r="M956" s="11"/>
      <c r="N956" s="11"/>
    </row>
    <row x14ac:dyDescent="0.25" r="957" customHeight="1" ht="15.75">
      <c r="A957" s="11"/>
      <c r="B957" s="11"/>
      <c r="C957" s="6"/>
      <c r="D957" s="6"/>
      <c r="E957" s="11"/>
      <c r="F957" s="11"/>
      <c r="G957" s="11"/>
      <c r="H957" s="11"/>
      <c r="I957" s="26"/>
      <c r="J957" s="11"/>
      <c r="K957" s="11"/>
      <c r="L957" s="11"/>
      <c r="M957" s="11"/>
      <c r="N957" s="11"/>
    </row>
    <row x14ac:dyDescent="0.25" r="958" customHeight="1" ht="15.75">
      <c r="A958" s="11"/>
      <c r="B958" s="11"/>
      <c r="C958" s="6"/>
      <c r="D958" s="6"/>
      <c r="E958" s="11"/>
      <c r="F958" s="11"/>
      <c r="G958" s="11"/>
      <c r="H958" s="11"/>
      <c r="I958" s="26"/>
      <c r="J958" s="11"/>
      <c r="K958" s="11"/>
      <c r="L958" s="11"/>
      <c r="M958" s="11"/>
      <c r="N958" s="11"/>
    </row>
    <row x14ac:dyDescent="0.25" r="959" customHeight="1" ht="15.75">
      <c r="A959" s="11"/>
      <c r="B959" s="11"/>
      <c r="C959" s="6"/>
      <c r="D959" s="6"/>
      <c r="E959" s="11"/>
      <c r="F959" s="11"/>
      <c r="G959" s="11"/>
      <c r="H959" s="11"/>
      <c r="I959" s="26"/>
      <c r="J959" s="11"/>
      <c r="K959" s="11"/>
      <c r="L959" s="11"/>
      <c r="M959" s="11"/>
      <c r="N959" s="11"/>
    </row>
    <row x14ac:dyDescent="0.25" r="960" customHeight="1" ht="15.75">
      <c r="A960" s="11"/>
      <c r="B960" s="11"/>
      <c r="C960" s="6"/>
      <c r="D960" s="6"/>
      <c r="E960" s="11"/>
      <c r="F960" s="11"/>
      <c r="G960" s="11"/>
      <c r="H960" s="11"/>
      <c r="I960" s="26"/>
      <c r="J960" s="11"/>
      <c r="K960" s="11"/>
      <c r="L960" s="11"/>
      <c r="M960" s="11"/>
      <c r="N960" s="11"/>
    </row>
    <row x14ac:dyDescent="0.25" r="961" customHeight="1" ht="15.75">
      <c r="A961" s="11"/>
      <c r="B961" s="11"/>
      <c r="C961" s="6"/>
      <c r="D961" s="6"/>
      <c r="E961" s="11"/>
      <c r="F961" s="11"/>
      <c r="G961" s="11"/>
      <c r="H961" s="11"/>
      <c r="I961" s="26"/>
      <c r="J961" s="11"/>
      <c r="K961" s="11"/>
      <c r="L961" s="11"/>
      <c r="M961" s="11"/>
      <c r="N961" s="11"/>
    </row>
    <row x14ac:dyDescent="0.25" r="962" customHeight="1" ht="15.75">
      <c r="A962" s="11"/>
      <c r="B962" s="11"/>
      <c r="C962" s="6"/>
      <c r="D962" s="6"/>
      <c r="E962" s="11"/>
      <c r="F962" s="11"/>
      <c r="G962" s="11"/>
      <c r="H962" s="11"/>
      <c r="I962" s="26"/>
      <c r="J962" s="11"/>
      <c r="K962" s="11"/>
      <c r="L962" s="11"/>
      <c r="M962" s="11"/>
      <c r="N962" s="11"/>
    </row>
    <row x14ac:dyDescent="0.25" r="963" customHeight="1" ht="15.75">
      <c r="A963" s="11"/>
      <c r="B963" s="11"/>
      <c r="C963" s="6"/>
      <c r="D963" s="6"/>
      <c r="E963" s="11"/>
      <c r="F963" s="11"/>
      <c r="G963" s="11"/>
      <c r="H963" s="11"/>
      <c r="I963" s="26"/>
      <c r="J963" s="11"/>
      <c r="K963" s="11"/>
      <c r="L963" s="11"/>
      <c r="M963" s="11"/>
      <c r="N963" s="11"/>
    </row>
    <row x14ac:dyDescent="0.25" r="964" customHeight="1" ht="15.75">
      <c r="A964" s="11"/>
      <c r="B964" s="11"/>
      <c r="C964" s="6"/>
      <c r="D964" s="6"/>
      <c r="E964" s="11"/>
      <c r="F964" s="11"/>
      <c r="G964" s="11"/>
      <c r="H964" s="11"/>
      <c r="I964" s="26"/>
      <c r="J964" s="11"/>
      <c r="K964" s="11"/>
      <c r="L964" s="11"/>
      <c r="M964" s="11"/>
      <c r="N964" s="11"/>
    </row>
    <row x14ac:dyDescent="0.25" r="965" customHeight="1" ht="15.75">
      <c r="A965" s="11"/>
      <c r="B965" s="11"/>
      <c r="C965" s="6"/>
      <c r="D965" s="6"/>
      <c r="E965" s="11"/>
      <c r="F965" s="11"/>
      <c r="G965" s="11"/>
      <c r="H965" s="11"/>
      <c r="I965" s="26"/>
      <c r="J965" s="11"/>
      <c r="K965" s="11"/>
      <c r="L965" s="11"/>
      <c r="M965" s="11"/>
      <c r="N965" s="11"/>
    </row>
    <row x14ac:dyDescent="0.25" r="966" customHeight="1" ht="15.75">
      <c r="A966" s="11"/>
      <c r="B966" s="11"/>
      <c r="C966" s="6"/>
      <c r="D966" s="6"/>
      <c r="E966" s="11"/>
      <c r="F966" s="11"/>
      <c r="G966" s="11"/>
      <c r="H966" s="11"/>
      <c r="I966" s="26"/>
      <c r="J966" s="11"/>
      <c r="K966" s="11"/>
      <c r="L966" s="11"/>
      <c r="M966" s="11"/>
      <c r="N966" s="11"/>
    </row>
    <row x14ac:dyDescent="0.25" r="967" customHeight="1" ht="15.75">
      <c r="A967" s="11"/>
      <c r="B967" s="11"/>
      <c r="C967" s="6"/>
      <c r="D967" s="6"/>
      <c r="E967" s="11"/>
      <c r="F967" s="11"/>
      <c r="G967" s="11"/>
      <c r="H967" s="11"/>
      <c r="I967" s="26"/>
      <c r="J967" s="11"/>
      <c r="K967" s="11"/>
      <c r="L967" s="11"/>
      <c r="M967" s="11"/>
      <c r="N967" s="11"/>
    </row>
    <row x14ac:dyDescent="0.25" r="968" customHeight="1" ht="15.75">
      <c r="A968" s="11"/>
      <c r="B968" s="11"/>
      <c r="C968" s="6"/>
      <c r="D968" s="6"/>
      <c r="E968" s="11"/>
      <c r="F968" s="11"/>
      <c r="G968" s="11"/>
      <c r="H968" s="11"/>
      <c r="I968" s="26"/>
      <c r="J968" s="11"/>
      <c r="K968" s="11"/>
      <c r="L968" s="11"/>
      <c r="M968" s="11"/>
      <c r="N968" s="11"/>
    </row>
    <row x14ac:dyDescent="0.25" r="969" customHeight="1" ht="15.75">
      <c r="A969" s="11"/>
      <c r="B969" s="11"/>
      <c r="C969" s="6"/>
      <c r="D969" s="6"/>
      <c r="E969" s="11"/>
      <c r="F969" s="11"/>
      <c r="G969" s="11"/>
      <c r="H969" s="11"/>
      <c r="I969" s="26"/>
      <c r="J969" s="11"/>
      <c r="K969" s="11"/>
      <c r="L969" s="11"/>
      <c r="M969" s="11"/>
      <c r="N969" s="11"/>
    </row>
    <row x14ac:dyDescent="0.25" r="970" customHeight="1" ht="15.75">
      <c r="A970" s="11"/>
      <c r="B970" s="11"/>
      <c r="C970" s="6"/>
      <c r="D970" s="6"/>
      <c r="E970" s="11"/>
      <c r="F970" s="11"/>
      <c r="G970" s="11"/>
      <c r="H970" s="11"/>
      <c r="I970" s="26"/>
      <c r="J970" s="11"/>
      <c r="K970" s="11"/>
      <c r="L970" s="11"/>
      <c r="M970" s="11"/>
      <c r="N970" s="11"/>
    </row>
    <row x14ac:dyDescent="0.25" r="971" customHeight="1" ht="15.75">
      <c r="A971" s="11"/>
      <c r="B971" s="11"/>
      <c r="C971" s="6"/>
      <c r="D971" s="6"/>
      <c r="E971" s="11"/>
      <c r="F971" s="11"/>
      <c r="G971" s="11"/>
      <c r="H971" s="11"/>
      <c r="I971" s="26"/>
      <c r="J971" s="11"/>
      <c r="K971" s="11"/>
      <c r="L971" s="11"/>
      <c r="M971" s="11"/>
      <c r="N971" s="11"/>
    </row>
    <row x14ac:dyDescent="0.25" r="972" customHeight="1" ht="15.75">
      <c r="A972" s="11"/>
      <c r="B972" s="11"/>
      <c r="C972" s="6"/>
      <c r="D972" s="6"/>
      <c r="E972" s="11"/>
      <c r="F972" s="11"/>
      <c r="G972" s="11"/>
      <c r="H972" s="11"/>
      <c r="I972" s="26"/>
      <c r="J972" s="11"/>
      <c r="K972" s="11"/>
      <c r="L972" s="11"/>
      <c r="M972" s="11"/>
      <c r="N972" s="11"/>
    </row>
    <row x14ac:dyDescent="0.25" r="973" customHeight="1" ht="15.75">
      <c r="A973" s="11"/>
      <c r="B973" s="11"/>
      <c r="C973" s="6"/>
      <c r="D973" s="6"/>
      <c r="E973" s="11"/>
      <c r="F973" s="11"/>
      <c r="G973" s="11"/>
      <c r="H973" s="11"/>
      <c r="I973" s="26"/>
      <c r="J973" s="11"/>
      <c r="K973" s="11"/>
      <c r="L973" s="11"/>
      <c r="M973" s="11"/>
      <c r="N973" s="11"/>
    </row>
    <row x14ac:dyDescent="0.25" r="974" customHeight="1" ht="15.75">
      <c r="A974" s="11"/>
      <c r="B974" s="11"/>
      <c r="C974" s="6"/>
      <c r="D974" s="6"/>
      <c r="E974" s="11"/>
      <c r="F974" s="11"/>
      <c r="G974" s="11"/>
      <c r="H974" s="11"/>
      <c r="I974" s="26"/>
      <c r="J974" s="11"/>
      <c r="K974" s="11"/>
      <c r="L974" s="11"/>
      <c r="M974" s="11"/>
      <c r="N974" s="11"/>
    </row>
    <row x14ac:dyDescent="0.25" r="975" customHeight="1" ht="15.75">
      <c r="A975" s="11"/>
      <c r="B975" s="11"/>
      <c r="C975" s="6"/>
      <c r="D975" s="6"/>
      <c r="E975" s="11"/>
      <c r="F975" s="11"/>
      <c r="G975" s="11"/>
      <c r="H975" s="11"/>
      <c r="I975" s="26"/>
      <c r="J975" s="11"/>
      <c r="K975" s="11"/>
      <c r="L975" s="11"/>
      <c r="M975" s="11"/>
      <c r="N975" s="11"/>
    </row>
    <row x14ac:dyDescent="0.25" r="976" customHeight="1" ht="15.75">
      <c r="A976" s="11"/>
      <c r="B976" s="11"/>
      <c r="C976" s="6"/>
      <c r="D976" s="6"/>
      <c r="E976" s="11"/>
      <c r="F976" s="11"/>
      <c r="G976" s="11"/>
      <c r="H976" s="11"/>
      <c r="I976" s="26"/>
      <c r="J976" s="11"/>
      <c r="K976" s="11"/>
      <c r="L976" s="11"/>
      <c r="M976" s="11"/>
      <c r="N976" s="11"/>
    </row>
    <row x14ac:dyDescent="0.25" r="977" customHeight="1" ht="15.75">
      <c r="A977" s="11"/>
      <c r="B977" s="11"/>
      <c r="C977" s="6"/>
      <c r="D977" s="6"/>
      <c r="E977" s="11"/>
      <c r="F977" s="11"/>
      <c r="G977" s="11"/>
      <c r="H977" s="11"/>
      <c r="I977" s="26"/>
      <c r="J977" s="11"/>
      <c r="K977" s="11"/>
      <c r="L977" s="11"/>
      <c r="M977" s="11"/>
      <c r="N977" s="11"/>
    </row>
    <row x14ac:dyDescent="0.25" r="978" customHeight="1" ht="15.75">
      <c r="A978" s="11"/>
      <c r="B978" s="11"/>
      <c r="C978" s="6"/>
      <c r="D978" s="6"/>
      <c r="E978" s="11"/>
      <c r="F978" s="11"/>
      <c r="G978" s="11"/>
      <c r="H978" s="11"/>
      <c r="I978" s="26"/>
      <c r="J978" s="11"/>
      <c r="K978" s="11"/>
      <c r="L978" s="11"/>
      <c r="M978" s="11"/>
      <c r="N978" s="11"/>
    </row>
    <row x14ac:dyDescent="0.25" r="979" customHeight="1" ht="15.75">
      <c r="A979" s="11"/>
      <c r="B979" s="11"/>
      <c r="C979" s="6"/>
      <c r="D979" s="6"/>
      <c r="E979" s="11"/>
      <c r="F979" s="11"/>
      <c r="G979" s="11"/>
      <c r="H979" s="11"/>
      <c r="I979" s="26"/>
      <c r="J979" s="11"/>
      <c r="K979" s="11"/>
      <c r="L979" s="11"/>
      <c r="M979" s="11"/>
      <c r="N979" s="11"/>
    </row>
    <row x14ac:dyDescent="0.25" r="980" customHeight="1" ht="15.75">
      <c r="A980" s="11"/>
      <c r="B980" s="11"/>
      <c r="C980" s="6"/>
      <c r="D980" s="6"/>
      <c r="E980" s="11"/>
      <c r="F980" s="11"/>
      <c r="G980" s="11"/>
      <c r="H980" s="11"/>
      <c r="I980" s="26"/>
      <c r="J980" s="11"/>
      <c r="K980" s="11"/>
      <c r="L980" s="11"/>
      <c r="M980" s="11"/>
      <c r="N980" s="11"/>
    </row>
    <row x14ac:dyDescent="0.25" r="981" customHeight="1" ht="15.75">
      <c r="A981" s="11"/>
      <c r="B981" s="11"/>
      <c r="C981" s="6"/>
      <c r="D981" s="6"/>
      <c r="E981" s="11"/>
      <c r="F981" s="11"/>
      <c r="G981" s="11"/>
      <c r="H981" s="11"/>
      <c r="I981" s="26"/>
      <c r="J981" s="11"/>
      <c r="K981" s="11"/>
      <c r="L981" s="11"/>
      <c r="M981" s="11"/>
      <c r="N981" s="11"/>
    </row>
    <row x14ac:dyDescent="0.25" r="982" customHeight="1" ht="15.75">
      <c r="A982" s="11"/>
      <c r="B982" s="11"/>
      <c r="C982" s="6"/>
      <c r="D982" s="6"/>
      <c r="E982" s="11"/>
      <c r="F982" s="11"/>
      <c r="G982" s="11"/>
      <c r="H982" s="11"/>
      <c r="I982" s="26"/>
      <c r="J982" s="11"/>
      <c r="K982" s="11"/>
      <c r="L982" s="11"/>
      <c r="M982" s="11"/>
      <c r="N982" s="11"/>
    </row>
    <row x14ac:dyDescent="0.25" r="983" customHeight="1" ht="15.75">
      <c r="A983" s="11"/>
      <c r="B983" s="11"/>
      <c r="C983" s="6"/>
      <c r="D983" s="6"/>
      <c r="E983" s="11"/>
      <c r="F983" s="11"/>
      <c r="G983" s="11"/>
      <c r="H983" s="11"/>
      <c r="I983" s="26"/>
      <c r="J983" s="11"/>
      <c r="K983" s="11"/>
      <c r="L983" s="11"/>
      <c r="M983" s="11"/>
      <c r="N983" s="11"/>
    </row>
    <row x14ac:dyDescent="0.25" r="984" customHeight="1" ht="15.75">
      <c r="A984" s="11"/>
      <c r="B984" s="11"/>
      <c r="C984" s="6"/>
      <c r="D984" s="6"/>
      <c r="E984" s="11"/>
      <c r="F984" s="11"/>
      <c r="G984" s="11"/>
      <c r="H984" s="11"/>
      <c r="I984" s="26"/>
      <c r="J984" s="11"/>
      <c r="K984" s="11"/>
      <c r="L984" s="11"/>
      <c r="M984" s="11"/>
      <c r="N984" s="11"/>
    </row>
    <row x14ac:dyDescent="0.25" r="985" customHeight="1" ht="15.75">
      <c r="A985" s="11"/>
      <c r="B985" s="11"/>
      <c r="C985" s="6"/>
      <c r="D985" s="6"/>
      <c r="E985" s="11"/>
      <c r="F985" s="11"/>
      <c r="G985" s="11"/>
      <c r="H985" s="11"/>
      <c r="I985" s="26"/>
      <c r="J985" s="11"/>
      <c r="K985" s="11"/>
      <c r="L985" s="11"/>
      <c r="M985" s="11"/>
      <c r="N985" s="11"/>
    </row>
    <row x14ac:dyDescent="0.25" r="986" customHeight="1" ht="15.75">
      <c r="A986" s="11"/>
      <c r="B986" s="11"/>
      <c r="C986" s="6"/>
      <c r="D986" s="6"/>
      <c r="E986" s="11"/>
      <c r="F986" s="11"/>
      <c r="G986" s="11"/>
      <c r="H986" s="11"/>
      <c r="I986" s="26"/>
      <c r="J986" s="11"/>
      <c r="K986" s="11"/>
      <c r="L986" s="11"/>
      <c r="M986" s="11"/>
      <c r="N986" s="11"/>
    </row>
    <row x14ac:dyDescent="0.25" r="987" customHeight="1" ht="15.75">
      <c r="A987" s="11"/>
      <c r="B987" s="11"/>
      <c r="C987" s="6"/>
      <c r="D987" s="6"/>
      <c r="E987" s="11"/>
      <c r="F987" s="11"/>
      <c r="G987" s="11"/>
      <c r="H987" s="11"/>
      <c r="I987" s="26"/>
      <c r="J987" s="11"/>
      <c r="K987" s="11"/>
      <c r="L987" s="11"/>
      <c r="M987" s="11"/>
      <c r="N987" s="11"/>
    </row>
    <row x14ac:dyDescent="0.25" r="988" customHeight="1" ht="15.75">
      <c r="A988" s="11"/>
      <c r="B988" s="11"/>
      <c r="C988" s="6"/>
      <c r="D988" s="6"/>
      <c r="E988" s="11"/>
      <c r="F988" s="11"/>
      <c r="G988" s="11"/>
      <c r="H988" s="11"/>
      <c r="I988" s="26"/>
      <c r="J988" s="11"/>
      <c r="K988" s="11"/>
      <c r="L988" s="11"/>
      <c r="M988" s="11"/>
      <c r="N988" s="11"/>
    </row>
    <row x14ac:dyDescent="0.25" r="989" customHeight="1" ht="15.75">
      <c r="A989" s="11"/>
      <c r="B989" s="11"/>
      <c r="C989" s="6"/>
      <c r="D989" s="6"/>
      <c r="E989" s="11"/>
      <c r="F989" s="11"/>
      <c r="G989" s="11"/>
      <c r="H989" s="11"/>
      <c r="I989" s="26"/>
      <c r="J989" s="11"/>
      <c r="K989" s="11"/>
      <c r="L989" s="11"/>
      <c r="M989" s="11"/>
      <c r="N989" s="11"/>
    </row>
    <row x14ac:dyDescent="0.25" r="990" customHeight="1" ht="15.75">
      <c r="A990" s="11"/>
      <c r="B990" s="11"/>
      <c r="C990" s="6"/>
      <c r="D990" s="6"/>
      <c r="E990" s="11"/>
      <c r="F990" s="11"/>
      <c r="G990" s="11"/>
      <c r="H990" s="11"/>
      <c r="I990" s="26"/>
      <c r="J990" s="11"/>
      <c r="K990" s="11"/>
      <c r="L990" s="11"/>
      <c r="M990" s="11"/>
      <c r="N990" s="11"/>
    </row>
    <row x14ac:dyDescent="0.25" r="991" customHeight="1" ht="15.75">
      <c r="A991" s="11"/>
      <c r="B991" s="11"/>
      <c r="C991" s="6"/>
      <c r="D991" s="6"/>
      <c r="E991" s="11"/>
      <c r="F991" s="11"/>
      <c r="G991" s="11"/>
      <c r="H991" s="11"/>
      <c r="I991" s="26"/>
      <c r="J991" s="11"/>
      <c r="K991" s="11"/>
      <c r="L991" s="11"/>
      <c r="M991" s="11"/>
      <c r="N991" s="11"/>
    </row>
    <row x14ac:dyDescent="0.25" r="992" customHeight="1" ht="15.75">
      <c r="A992" s="11"/>
      <c r="B992" s="11"/>
      <c r="C992" s="6"/>
      <c r="D992" s="6"/>
      <c r="E992" s="11"/>
      <c r="F992" s="11"/>
      <c r="G992" s="11"/>
      <c r="H992" s="11"/>
      <c r="I992" s="26"/>
      <c r="J992" s="11"/>
      <c r="K992" s="11"/>
      <c r="L992" s="11"/>
      <c r="M992" s="11"/>
      <c r="N992" s="11"/>
    </row>
    <row x14ac:dyDescent="0.25" r="993" customHeight="1" ht="15.75">
      <c r="A993" s="11"/>
      <c r="B993" s="11"/>
      <c r="C993" s="6"/>
      <c r="D993" s="6"/>
      <c r="E993" s="11"/>
      <c r="F993" s="11"/>
      <c r="G993" s="11"/>
      <c r="H993" s="11"/>
      <c r="I993" s="26"/>
      <c r="J993" s="11"/>
      <c r="K993" s="11"/>
      <c r="L993" s="11"/>
      <c r="M993" s="11"/>
      <c r="N993" s="11"/>
    </row>
    <row x14ac:dyDescent="0.25" r="994" customHeight="1" ht="15.75">
      <c r="A994" s="11"/>
      <c r="B994" s="11"/>
      <c r="C994" s="6"/>
      <c r="D994" s="6"/>
      <c r="E994" s="11"/>
      <c r="F994" s="11"/>
      <c r="G994" s="11"/>
      <c r="H994" s="11"/>
      <c r="I994" s="26"/>
      <c r="J994" s="11"/>
      <c r="K994" s="11"/>
      <c r="L994" s="11"/>
      <c r="M994" s="11"/>
      <c r="N994" s="11"/>
    </row>
    <row x14ac:dyDescent="0.25" r="995" customHeight="1" ht="15.75">
      <c r="A995" s="11"/>
      <c r="B995" s="11"/>
      <c r="C995" s="6"/>
      <c r="D995" s="6"/>
      <c r="E995" s="11"/>
      <c r="F995" s="11"/>
      <c r="G995" s="11"/>
      <c r="H995" s="11"/>
      <c r="I995" s="26"/>
      <c r="J995" s="11"/>
      <c r="K995" s="11"/>
      <c r="L995" s="11"/>
      <c r="M995" s="11"/>
      <c r="N995" s="11"/>
    </row>
    <row x14ac:dyDescent="0.25" r="996" customHeight="1" ht="15.75">
      <c r="A996" s="11"/>
      <c r="B996" s="11"/>
      <c r="C996" s="6"/>
      <c r="D996" s="6"/>
      <c r="E996" s="11"/>
      <c r="F996" s="11"/>
      <c r="G996" s="11"/>
      <c r="H996" s="11"/>
      <c r="I996" s="26"/>
      <c r="J996" s="11"/>
      <c r="K996" s="11"/>
      <c r="L996" s="11"/>
      <c r="M996" s="11"/>
      <c r="N996" s="11"/>
    </row>
    <row x14ac:dyDescent="0.25" r="997" customHeight="1" ht="15.75">
      <c r="A997" s="11"/>
      <c r="B997" s="11"/>
      <c r="C997" s="6"/>
      <c r="D997" s="6"/>
      <c r="E997" s="11"/>
      <c r="F997" s="11"/>
      <c r="G997" s="11"/>
      <c r="H997" s="11"/>
      <c r="I997" s="26"/>
      <c r="J997" s="11"/>
      <c r="K997" s="11"/>
      <c r="L997" s="11"/>
      <c r="M997" s="11"/>
      <c r="N997" s="11"/>
    </row>
    <row x14ac:dyDescent="0.25" r="998" customHeight="1" ht="15.75">
      <c r="A998" s="11"/>
      <c r="B998" s="11"/>
      <c r="C998" s="6"/>
      <c r="D998" s="6"/>
      <c r="E998" s="11"/>
      <c r="F998" s="11"/>
      <c r="G998" s="11"/>
      <c r="H998" s="11"/>
      <c r="I998" s="26"/>
      <c r="J998" s="11"/>
      <c r="K998" s="11"/>
      <c r="L998" s="11"/>
      <c r="M998" s="11"/>
      <c r="N998" s="11"/>
    </row>
    <row x14ac:dyDescent="0.25" r="999" customHeight="1" ht="15.75">
      <c r="A999" s="11"/>
      <c r="B999" s="11"/>
      <c r="C999" s="6"/>
      <c r="D999" s="6"/>
      <c r="E999" s="11"/>
      <c r="F999" s="11"/>
      <c r="G999" s="11"/>
      <c r="H999" s="11"/>
      <c r="I999" s="26"/>
      <c r="J999" s="11"/>
      <c r="K999" s="11"/>
      <c r="L999" s="11"/>
      <c r="M999" s="11"/>
      <c r="N999" s="11"/>
    </row>
    <row x14ac:dyDescent="0.25" r="1000" customHeight="1" ht="15.75">
      <c r="A1000" s="11"/>
      <c r="B1000" s="11"/>
      <c r="C1000" s="6"/>
      <c r="D1000" s="6"/>
      <c r="E1000" s="11"/>
      <c r="F1000" s="11"/>
      <c r="G1000" s="11"/>
      <c r="H1000" s="11"/>
      <c r="I1000" s="26"/>
      <c r="J1000" s="11"/>
      <c r="K1000" s="11"/>
      <c r="L1000" s="11"/>
      <c r="M1000" s="11"/>
      <c r="N1000" s="1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000"/>
  <sheetViews>
    <sheetView workbookViewId="0"/>
  </sheetViews>
  <sheetFormatPr defaultRowHeight="15" x14ac:dyDescent="0.25"/>
  <cols>
    <col min="1" max="1" style="12" width="19.290714285714284" customWidth="1" bestFit="1"/>
    <col min="2" max="2" style="12" width="19.433571428571426" customWidth="1" bestFit="1"/>
    <col min="3" max="3" style="12" width="17.719285714285714" customWidth="1" bestFit="1"/>
    <col min="4" max="4" style="12" width="30.576428571428572" customWidth="1" bestFit="1"/>
    <col min="5" max="5" style="12" width="22.290714285714284" customWidth="1" bestFit="1"/>
    <col min="6" max="6" style="12" width="30.719285714285714" customWidth="1" bestFit="1"/>
    <col min="7" max="7" style="12" width="35.005" customWidth="1" bestFit="1"/>
    <col min="8" max="8" style="12" width="24.719285714285714" customWidth="1" bestFit="1"/>
    <col min="9" max="9" style="12" width="24.290714285714284" customWidth="1" bestFit="1"/>
    <col min="10" max="10" style="12" width="30.719285714285714" customWidth="1" bestFit="1"/>
    <col min="11" max="11" style="13" width="36.86214285714286" customWidth="1" bestFit="1"/>
    <col min="12" max="12" style="27" width="14.147857142857141" customWidth="1" bestFit="1"/>
  </cols>
  <sheetData>
    <row x14ac:dyDescent="0.25" r="1" customHeight="1" ht="14.25" customFormat="1" s="1">
      <c r="A1" s="50" t="s">
        <v>107</v>
      </c>
      <c r="B1" s="50" t="s">
        <v>108</v>
      </c>
      <c r="C1" s="50" t="s">
        <v>109</v>
      </c>
      <c r="D1" s="50" t="s">
        <v>110</v>
      </c>
      <c r="E1" s="51" t="s">
        <v>111</v>
      </c>
      <c r="F1" s="51" t="s">
        <v>112</v>
      </c>
      <c r="G1" s="51" t="s">
        <v>113</v>
      </c>
      <c r="H1" s="51" t="s">
        <v>114</v>
      </c>
      <c r="I1" s="51" t="s">
        <v>115</v>
      </c>
      <c r="J1" s="51" t="s">
        <v>116</v>
      </c>
      <c r="K1" s="6"/>
      <c r="L1" s="46"/>
    </row>
    <row x14ac:dyDescent="0.25" r="2" customHeight="1" ht="14.25" customFormat="1" s="1">
      <c r="A2" s="52" t="s">
        <v>117</v>
      </c>
      <c r="B2" s="53" t="s">
        <v>118</v>
      </c>
      <c r="C2" s="53" t="s">
        <v>119</v>
      </c>
      <c r="D2" s="53" t="s">
        <v>120</v>
      </c>
      <c r="E2" s="53" t="s">
        <v>121</v>
      </c>
      <c r="F2" s="32" t="s">
        <v>122</v>
      </c>
      <c r="G2" s="52" t="s">
        <v>123</v>
      </c>
      <c r="H2" s="52" t="s">
        <v>124</v>
      </c>
      <c r="I2" s="52" t="s">
        <v>123</v>
      </c>
      <c r="J2" s="52" t="s">
        <v>124</v>
      </c>
      <c r="K2" s="6"/>
      <c r="L2" s="46"/>
    </row>
    <row x14ac:dyDescent="0.25" r="3" customHeight="1" ht="14.25" customFormat="1" s="1">
      <c r="A3" s="52" t="s">
        <v>117</v>
      </c>
      <c r="B3" s="53" t="s">
        <v>118</v>
      </c>
      <c r="C3" s="53" t="s">
        <v>119</v>
      </c>
      <c r="D3" s="53" t="s">
        <v>125</v>
      </c>
      <c r="E3" s="53" t="s">
        <v>121</v>
      </c>
      <c r="F3" s="32" t="s">
        <v>126</v>
      </c>
      <c r="G3" s="52" t="s">
        <v>123</v>
      </c>
      <c r="H3" s="52" t="s">
        <v>124</v>
      </c>
      <c r="I3" s="52" t="s">
        <v>123</v>
      </c>
      <c r="J3" s="52" t="s">
        <v>124</v>
      </c>
      <c r="K3" s="6"/>
      <c r="L3" s="46"/>
    </row>
    <row x14ac:dyDescent="0.25" r="4" customHeight="1" ht="14.25">
      <c r="A4" s="52" t="s">
        <v>117</v>
      </c>
      <c r="B4" s="53" t="s">
        <v>118</v>
      </c>
      <c r="C4" s="53" t="s">
        <v>127</v>
      </c>
      <c r="D4" s="52" t="s">
        <v>128</v>
      </c>
      <c r="E4" s="53" t="s">
        <v>121</v>
      </c>
      <c r="F4" s="32" t="s">
        <v>129</v>
      </c>
      <c r="G4" s="52" t="s">
        <v>123</v>
      </c>
      <c r="H4" s="52" t="s">
        <v>124</v>
      </c>
      <c r="I4" s="52" t="s">
        <v>123</v>
      </c>
      <c r="J4" s="52" t="s">
        <v>124</v>
      </c>
      <c r="K4" s="29" t="s">
        <v>130</v>
      </c>
      <c r="L4" s="54">
        <v>24</v>
      </c>
    </row>
    <row x14ac:dyDescent="0.25" r="5" customHeight="1" ht="14.25">
      <c r="A5" s="52" t="s">
        <v>117</v>
      </c>
      <c r="B5" s="53" t="s">
        <v>118</v>
      </c>
      <c r="C5" s="53" t="s">
        <v>127</v>
      </c>
      <c r="D5" s="52" t="s">
        <v>131</v>
      </c>
      <c r="E5" s="53" t="s">
        <v>121</v>
      </c>
      <c r="F5" s="32" t="s">
        <v>129</v>
      </c>
      <c r="G5" s="52" t="s">
        <v>123</v>
      </c>
      <c r="H5" s="52" t="s">
        <v>124</v>
      </c>
      <c r="I5" s="52" t="s">
        <v>123</v>
      </c>
      <c r="J5" s="52" t="s">
        <v>124</v>
      </c>
      <c r="K5" s="29" t="s">
        <v>132</v>
      </c>
      <c r="L5" s="54">
        <v>53</v>
      </c>
    </row>
    <row x14ac:dyDescent="0.25" r="6" customHeight="1" ht="14.25">
      <c r="A6" s="52" t="s">
        <v>117</v>
      </c>
      <c r="B6" s="53" t="s">
        <v>118</v>
      </c>
      <c r="C6" s="53" t="s">
        <v>127</v>
      </c>
      <c r="D6" s="53" t="s">
        <v>133</v>
      </c>
      <c r="E6" s="53" t="s">
        <v>121</v>
      </c>
      <c r="F6" s="32" t="s">
        <v>134</v>
      </c>
      <c r="G6" s="52" t="s">
        <v>123</v>
      </c>
      <c r="H6" s="52" t="s">
        <v>124</v>
      </c>
      <c r="I6" s="52" t="s">
        <v>135</v>
      </c>
      <c r="J6" s="52" t="s">
        <v>136</v>
      </c>
      <c r="K6" s="29" t="s">
        <v>137</v>
      </c>
      <c r="L6" s="54">
        <v>33</v>
      </c>
    </row>
    <row x14ac:dyDescent="0.25" r="7" customHeight="1" ht="14.25" customFormat="1" s="1">
      <c r="A7" s="52" t="s">
        <v>117</v>
      </c>
      <c r="B7" s="53" t="s">
        <v>118</v>
      </c>
      <c r="C7" s="53" t="s">
        <v>127</v>
      </c>
      <c r="D7" s="53" t="s">
        <v>138</v>
      </c>
      <c r="E7" s="53" t="s">
        <v>135</v>
      </c>
      <c r="F7" s="32" t="s">
        <v>139</v>
      </c>
      <c r="G7" s="52" t="s">
        <v>123</v>
      </c>
      <c r="H7" s="52" t="s">
        <v>124</v>
      </c>
      <c r="I7" s="52" t="s">
        <v>135</v>
      </c>
      <c r="J7" s="52" t="s">
        <v>139</v>
      </c>
      <c r="K7" s="6"/>
      <c r="L7" s="46"/>
    </row>
    <row x14ac:dyDescent="0.25" r="8" customHeight="1" ht="14.25" customFormat="1" s="1">
      <c r="A8" s="52" t="s">
        <v>117</v>
      </c>
      <c r="B8" s="53" t="s">
        <v>118</v>
      </c>
      <c r="C8" s="53" t="s">
        <v>127</v>
      </c>
      <c r="D8" s="52" t="s">
        <v>140</v>
      </c>
      <c r="E8" s="53" t="s">
        <v>123</v>
      </c>
      <c r="F8" s="32" t="s">
        <v>124</v>
      </c>
      <c r="G8" s="53" t="s">
        <v>123</v>
      </c>
      <c r="H8" s="53" t="s">
        <v>124</v>
      </c>
      <c r="I8" s="53" t="s">
        <v>124</v>
      </c>
      <c r="J8" s="53" t="s">
        <v>124</v>
      </c>
      <c r="K8" s="6"/>
      <c r="L8" s="46"/>
    </row>
    <row x14ac:dyDescent="0.25" r="9" customHeight="1" ht="14.25" customFormat="1" s="1">
      <c r="A9" s="52" t="s">
        <v>117</v>
      </c>
      <c r="B9" s="53" t="s">
        <v>118</v>
      </c>
      <c r="C9" s="53" t="s">
        <v>127</v>
      </c>
      <c r="D9" s="53" t="s">
        <v>141</v>
      </c>
      <c r="E9" s="53" t="s">
        <v>135</v>
      </c>
      <c r="F9" s="32" t="s">
        <v>142</v>
      </c>
      <c r="G9" s="52" t="s">
        <v>123</v>
      </c>
      <c r="H9" s="52" t="s">
        <v>124</v>
      </c>
      <c r="I9" s="52" t="s">
        <v>135</v>
      </c>
      <c r="J9" s="32" t="s">
        <v>142</v>
      </c>
      <c r="K9" s="6"/>
      <c r="L9" s="46"/>
    </row>
    <row x14ac:dyDescent="0.25" r="10" customHeight="1" ht="14.25" customFormat="1" s="1">
      <c r="A10" s="52" t="s">
        <v>117</v>
      </c>
      <c r="B10" s="53" t="s">
        <v>118</v>
      </c>
      <c r="C10" s="53" t="s">
        <v>127</v>
      </c>
      <c r="D10" s="53" t="s">
        <v>143</v>
      </c>
      <c r="E10" s="53" t="s">
        <v>135</v>
      </c>
      <c r="F10" s="32" t="s">
        <v>144</v>
      </c>
      <c r="G10" s="52" t="s">
        <v>123</v>
      </c>
      <c r="H10" s="52" t="s">
        <v>124</v>
      </c>
      <c r="I10" s="52" t="s">
        <v>123</v>
      </c>
      <c r="J10" s="52" t="s">
        <v>124</v>
      </c>
      <c r="K10" s="6"/>
      <c r="L10" s="46"/>
    </row>
    <row x14ac:dyDescent="0.25" r="11" customHeight="1" ht="14.25" customFormat="1" s="1">
      <c r="A11" s="52" t="s">
        <v>117</v>
      </c>
      <c r="B11" s="53" t="s">
        <v>118</v>
      </c>
      <c r="C11" s="53" t="s">
        <v>127</v>
      </c>
      <c r="D11" s="53" t="s">
        <v>145</v>
      </c>
      <c r="E11" s="53" t="s">
        <v>135</v>
      </c>
      <c r="F11" s="32" t="s">
        <v>146</v>
      </c>
      <c r="G11" s="52" t="s">
        <v>123</v>
      </c>
      <c r="H11" s="52" t="s">
        <v>124</v>
      </c>
      <c r="I11" s="52" t="s">
        <v>123</v>
      </c>
      <c r="J11" s="52" t="s">
        <v>124</v>
      </c>
      <c r="K11" s="6"/>
      <c r="L11" s="46"/>
    </row>
    <row x14ac:dyDescent="0.25" r="12" customHeight="1" ht="14.25" customFormat="1" s="1">
      <c r="A12" s="52" t="s">
        <v>117</v>
      </c>
      <c r="B12" s="53" t="s">
        <v>118</v>
      </c>
      <c r="C12" s="53" t="s">
        <v>127</v>
      </c>
      <c r="D12" s="53" t="s">
        <v>147</v>
      </c>
      <c r="E12" s="53" t="s">
        <v>135</v>
      </c>
      <c r="F12" s="32" t="s">
        <v>148</v>
      </c>
      <c r="G12" s="52" t="s">
        <v>123</v>
      </c>
      <c r="H12" s="52" t="s">
        <v>124</v>
      </c>
      <c r="I12" s="52" t="s">
        <v>135</v>
      </c>
      <c r="J12" s="32" t="s">
        <v>148</v>
      </c>
      <c r="K12" s="6"/>
      <c r="L12" s="46"/>
    </row>
    <row x14ac:dyDescent="0.25" r="13" customHeight="1" ht="14.25" customFormat="1" s="1">
      <c r="A13" s="52" t="s">
        <v>117</v>
      </c>
      <c r="B13" s="53" t="s">
        <v>118</v>
      </c>
      <c r="C13" s="52" t="s">
        <v>149</v>
      </c>
      <c r="D13" s="53" t="s">
        <v>150</v>
      </c>
      <c r="E13" s="53" t="s">
        <v>135</v>
      </c>
      <c r="F13" s="32" t="s">
        <v>151</v>
      </c>
      <c r="G13" s="52" t="s">
        <v>135</v>
      </c>
      <c r="H13" s="52" t="s">
        <v>152</v>
      </c>
      <c r="I13" s="52" t="s">
        <v>135</v>
      </c>
      <c r="J13" s="32" t="s">
        <v>151</v>
      </c>
      <c r="K13" s="6"/>
      <c r="L13" s="46"/>
    </row>
    <row x14ac:dyDescent="0.25" r="14" customHeight="1" ht="14.25" customFormat="1" s="1">
      <c r="A14" s="52" t="s">
        <v>153</v>
      </c>
      <c r="B14" s="53" t="s">
        <v>154</v>
      </c>
      <c r="C14" s="52" t="s">
        <v>16</v>
      </c>
      <c r="D14" s="53" t="s">
        <v>155</v>
      </c>
      <c r="E14" s="53" t="s">
        <v>121</v>
      </c>
      <c r="F14" s="32" t="s">
        <v>156</v>
      </c>
      <c r="G14" s="52" t="s">
        <v>123</v>
      </c>
      <c r="H14" s="52" t="s">
        <v>124</v>
      </c>
      <c r="I14" s="52" t="s">
        <v>123</v>
      </c>
      <c r="J14" s="52" t="s">
        <v>124</v>
      </c>
      <c r="K14" s="6"/>
      <c r="L14" s="46"/>
    </row>
    <row x14ac:dyDescent="0.25" r="15" customHeight="1" ht="14.25" customFormat="1" s="1">
      <c r="A15" s="52" t="s">
        <v>153</v>
      </c>
      <c r="B15" s="53" t="s">
        <v>154</v>
      </c>
      <c r="C15" s="52" t="s">
        <v>16</v>
      </c>
      <c r="D15" s="53" t="s">
        <v>157</v>
      </c>
      <c r="E15" s="53" t="s">
        <v>121</v>
      </c>
      <c r="F15" s="32" t="s">
        <v>158</v>
      </c>
      <c r="G15" s="52" t="s">
        <v>123</v>
      </c>
      <c r="H15" s="52" t="s">
        <v>124</v>
      </c>
      <c r="I15" s="52" t="s">
        <v>123</v>
      </c>
      <c r="J15" s="52" t="s">
        <v>124</v>
      </c>
      <c r="K15" s="6"/>
      <c r="L15" s="46"/>
    </row>
    <row x14ac:dyDescent="0.25" r="16" customHeight="1" ht="14.25" customFormat="1" s="1">
      <c r="A16" s="52" t="s">
        <v>153</v>
      </c>
      <c r="B16" s="53" t="s">
        <v>154</v>
      </c>
      <c r="C16" s="52" t="s">
        <v>16</v>
      </c>
      <c r="D16" s="53" t="s">
        <v>159</v>
      </c>
      <c r="E16" s="53" t="s">
        <v>121</v>
      </c>
      <c r="F16" s="32" t="s">
        <v>160</v>
      </c>
      <c r="G16" s="52" t="s">
        <v>123</v>
      </c>
      <c r="H16" s="52" t="s">
        <v>124</v>
      </c>
      <c r="I16" s="52" t="s">
        <v>123</v>
      </c>
      <c r="J16" s="52" t="s">
        <v>124</v>
      </c>
      <c r="K16" s="6"/>
      <c r="L16" s="46"/>
    </row>
    <row x14ac:dyDescent="0.25" r="17" customHeight="1" ht="14.25" customFormat="1" s="1">
      <c r="A17" s="52" t="s">
        <v>153</v>
      </c>
      <c r="B17" s="53" t="s">
        <v>154</v>
      </c>
      <c r="C17" s="52" t="s">
        <v>16</v>
      </c>
      <c r="D17" s="53" t="s">
        <v>161</v>
      </c>
      <c r="E17" s="53" t="s">
        <v>121</v>
      </c>
      <c r="F17" s="32" t="s">
        <v>162</v>
      </c>
      <c r="G17" s="52" t="s">
        <v>123</v>
      </c>
      <c r="H17" s="52" t="s">
        <v>124</v>
      </c>
      <c r="I17" s="52" t="s">
        <v>123</v>
      </c>
      <c r="J17" s="52" t="s">
        <v>124</v>
      </c>
      <c r="K17" s="6"/>
      <c r="L17" s="46"/>
    </row>
    <row x14ac:dyDescent="0.25" r="18" customHeight="1" ht="14.25" customFormat="1" s="1">
      <c r="A18" s="52" t="s">
        <v>163</v>
      </c>
      <c r="B18" s="53" t="s">
        <v>164</v>
      </c>
      <c r="C18" s="52" t="s">
        <v>165</v>
      </c>
      <c r="D18" s="53" t="s">
        <v>166</v>
      </c>
      <c r="E18" s="53" t="s">
        <v>123</v>
      </c>
      <c r="F18" s="32" t="s">
        <v>124</v>
      </c>
      <c r="G18" s="52" t="s">
        <v>123</v>
      </c>
      <c r="H18" s="52" t="s">
        <v>124</v>
      </c>
      <c r="I18" s="52" t="s">
        <v>123</v>
      </c>
      <c r="J18" s="52" t="s">
        <v>124</v>
      </c>
      <c r="K18" s="6"/>
      <c r="L18" s="46"/>
    </row>
    <row x14ac:dyDescent="0.25" r="19" customHeight="1" ht="14.25" customFormat="1" s="1">
      <c r="A19" s="52" t="s">
        <v>163</v>
      </c>
      <c r="B19" s="53" t="s">
        <v>164</v>
      </c>
      <c r="C19" s="52" t="s">
        <v>167</v>
      </c>
      <c r="D19" s="53" t="s">
        <v>168</v>
      </c>
      <c r="E19" s="53" t="s">
        <v>121</v>
      </c>
      <c r="F19" s="32" t="s">
        <v>169</v>
      </c>
      <c r="G19" s="52" t="s">
        <v>123</v>
      </c>
      <c r="H19" s="52" t="s">
        <v>124</v>
      </c>
      <c r="I19" s="52" t="s">
        <v>123</v>
      </c>
      <c r="J19" s="52" t="s">
        <v>124</v>
      </c>
      <c r="K19" s="6"/>
      <c r="L19" s="46"/>
    </row>
    <row x14ac:dyDescent="0.25" r="20" customHeight="1" ht="14.25" customFormat="1" s="1">
      <c r="A20" s="53" t="s">
        <v>163</v>
      </c>
      <c r="B20" s="53" t="s">
        <v>164</v>
      </c>
      <c r="C20" s="53" t="s">
        <v>149</v>
      </c>
      <c r="D20" s="55" t="s">
        <v>170</v>
      </c>
      <c r="E20" s="53" t="s">
        <v>135</v>
      </c>
      <c r="F20" s="32" t="s">
        <v>171</v>
      </c>
      <c r="G20" s="52" t="s">
        <v>123</v>
      </c>
      <c r="H20" s="52" t="s">
        <v>124</v>
      </c>
      <c r="I20" s="52" t="s">
        <v>123</v>
      </c>
      <c r="J20" s="52" t="s">
        <v>124</v>
      </c>
      <c r="K20" s="6"/>
      <c r="L20" s="46"/>
    </row>
    <row x14ac:dyDescent="0.25" r="21" customHeight="1" ht="14.25" customFormat="1" s="1">
      <c r="A21" s="52" t="s">
        <v>163</v>
      </c>
      <c r="B21" s="53" t="s">
        <v>164</v>
      </c>
      <c r="C21" s="52" t="s">
        <v>172</v>
      </c>
      <c r="D21" s="52" t="s">
        <v>173</v>
      </c>
      <c r="E21" s="53" t="s">
        <v>121</v>
      </c>
      <c r="F21" s="32" t="s">
        <v>174</v>
      </c>
      <c r="G21" s="52" t="s">
        <v>123</v>
      </c>
      <c r="H21" s="52" t="s">
        <v>124</v>
      </c>
      <c r="I21" s="52" t="s">
        <v>123</v>
      </c>
      <c r="J21" s="52" t="s">
        <v>124</v>
      </c>
      <c r="K21" s="6"/>
      <c r="L21" s="46"/>
    </row>
    <row x14ac:dyDescent="0.25" r="22" customHeight="1" ht="14.25" customFormat="1" s="1">
      <c r="A22" s="52" t="s">
        <v>30</v>
      </c>
      <c r="B22" s="53" t="s">
        <v>175</v>
      </c>
      <c r="C22" s="52" t="s">
        <v>176</v>
      </c>
      <c r="D22" s="53" t="s">
        <v>177</v>
      </c>
      <c r="E22" s="53" t="s">
        <v>121</v>
      </c>
      <c r="F22" s="32" t="s">
        <v>178</v>
      </c>
      <c r="G22" s="52" t="s">
        <v>123</v>
      </c>
      <c r="H22" s="52" t="s">
        <v>124</v>
      </c>
      <c r="I22" s="52" t="s">
        <v>123</v>
      </c>
      <c r="J22" s="52" t="s">
        <v>124</v>
      </c>
      <c r="K22" s="6"/>
      <c r="L22" s="46"/>
    </row>
    <row x14ac:dyDescent="0.25" r="23" customHeight="1" ht="14.25" customFormat="1" s="1">
      <c r="A23" s="52" t="s">
        <v>30</v>
      </c>
      <c r="B23" s="53" t="s">
        <v>175</v>
      </c>
      <c r="C23" s="52" t="s">
        <v>179</v>
      </c>
      <c r="D23" s="53" t="s">
        <v>180</v>
      </c>
      <c r="E23" s="53" t="s">
        <v>121</v>
      </c>
      <c r="F23" s="32" t="s">
        <v>181</v>
      </c>
      <c r="G23" s="52" t="s">
        <v>123</v>
      </c>
      <c r="H23" s="52" t="s">
        <v>124</v>
      </c>
      <c r="I23" s="52" t="s">
        <v>123</v>
      </c>
      <c r="J23" s="52" t="s">
        <v>124</v>
      </c>
      <c r="K23" s="6"/>
      <c r="L23" s="46"/>
    </row>
    <row x14ac:dyDescent="0.25" r="24" customHeight="1" ht="14.25" customFormat="1" s="1">
      <c r="A24" s="52" t="s">
        <v>30</v>
      </c>
      <c r="B24" s="53" t="s">
        <v>175</v>
      </c>
      <c r="C24" s="52" t="s">
        <v>182</v>
      </c>
      <c r="D24" s="53" t="s">
        <v>183</v>
      </c>
      <c r="E24" s="53" t="s">
        <v>121</v>
      </c>
      <c r="F24" s="32" t="s">
        <v>184</v>
      </c>
      <c r="G24" s="52" t="s">
        <v>123</v>
      </c>
      <c r="H24" s="52" t="s">
        <v>124</v>
      </c>
      <c r="I24" s="52" t="s">
        <v>123</v>
      </c>
      <c r="J24" s="52" t="s">
        <v>124</v>
      </c>
      <c r="K24" s="6"/>
      <c r="L24" s="46"/>
    </row>
    <row x14ac:dyDescent="0.25" r="25" customHeight="1" ht="14.25" customFormat="1" s="1">
      <c r="A25" s="52" t="s">
        <v>44</v>
      </c>
      <c r="B25" s="53" t="s">
        <v>185</v>
      </c>
      <c r="C25" s="53" t="s">
        <v>186</v>
      </c>
      <c r="D25" s="53" t="s">
        <v>187</v>
      </c>
      <c r="E25" s="53" t="s">
        <v>121</v>
      </c>
      <c r="F25" s="32" t="s">
        <v>188</v>
      </c>
      <c r="G25" s="52" t="s">
        <v>135</v>
      </c>
      <c r="H25" s="52" t="s">
        <v>189</v>
      </c>
      <c r="I25" s="52" t="s">
        <v>135</v>
      </c>
      <c r="J25" s="52" t="s">
        <v>190</v>
      </c>
      <c r="K25" s="6"/>
      <c r="L25" s="46"/>
    </row>
    <row x14ac:dyDescent="0.25" r="26" customHeight="1" ht="14.25" customFormat="1" s="1">
      <c r="A26" s="52" t="s">
        <v>44</v>
      </c>
      <c r="B26" s="53" t="s">
        <v>185</v>
      </c>
      <c r="C26" s="53" t="s">
        <v>186</v>
      </c>
      <c r="D26" s="53" t="s">
        <v>191</v>
      </c>
      <c r="E26" s="53" t="s">
        <v>121</v>
      </c>
      <c r="F26" s="32" t="s">
        <v>192</v>
      </c>
      <c r="G26" s="52" t="s">
        <v>135</v>
      </c>
      <c r="H26" s="52" t="s">
        <v>189</v>
      </c>
      <c r="I26" s="52" t="s">
        <v>135</v>
      </c>
      <c r="J26" s="32" t="s">
        <v>192</v>
      </c>
      <c r="K26" s="6"/>
      <c r="L26" s="46"/>
    </row>
    <row x14ac:dyDescent="0.25" r="27" customHeight="1" ht="14.25" customFormat="1" s="1">
      <c r="A27" s="52" t="s">
        <v>44</v>
      </c>
      <c r="B27" s="53" t="s">
        <v>185</v>
      </c>
      <c r="C27" s="53" t="s">
        <v>186</v>
      </c>
      <c r="D27" s="53" t="s">
        <v>193</v>
      </c>
      <c r="E27" s="53" t="s">
        <v>121</v>
      </c>
      <c r="F27" s="32" t="s">
        <v>194</v>
      </c>
      <c r="G27" s="52" t="s">
        <v>135</v>
      </c>
      <c r="H27" s="52" t="s">
        <v>195</v>
      </c>
      <c r="I27" s="52" t="s">
        <v>196</v>
      </c>
      <c r="J27" s="52" t="s">
        <v>197</v>
      </c>
      <c r="K27" s="6"/>
      <c r="L27" s="46"/>
    </row>
    <row x14ac:dyDescent="0.25" r="28" customHeight="1" ht="14.25" customFormat="1" s="1">
      <c r="A28" s="52" t="s">
        <v>44</v>
      </c>
      <c r="B28" s="53" t="s">
        <v>185</v>
      </c>
      <c r="C28" s="53" t="s">
        <v>186</v>
      </c>
      <c r="D28" s="53" t="s">
        <v>198</v>
      </c>
      <c r="E28" s="53" t="s">
        <v>121</v>
      </c>
      <c r="F28" s="32" t="s">
        <v>199</v>
      </c>
      <c r="G28" s="52" t="s">
        <v>123</v>
      </c>
      <c r="H28" s="52" t="s">
        <v>124</v>
      </c>
      <c r="I28" s="52" t="s">
        <v>200</v>
      </c>
      <c r="J28" s="32" t="s">
        <v>199</v>
      </c>
      <c r="K28" s="6"/>
      <c r="L28" s="46"/>
    </row>
    <row x14ac:dyDescent="0.25" r="29" customHeight="1" ht="14.25" customFormat="1" s="1">
      <c r="A29" s="52" t="s">
        <v>18</v>
      </c>
      <c r="B29" s="53" t="s">
        <v>201</v>
      </c>
      <c r="C29" s="53" t="s">
        <v>202</v>
      </c>
      <c r="D29" s="53" t="s">
        <v>203</v>
      </c>
      <c r="E29" s="53" t="s">
        <v>121</v>
      </c>
      <c r="F29" s="32" t="s">
        <v>204</v>
      </c>
      <c r="G29" s="52" t="s">
        <v>135</v>
      </c>
      <c r="H29" s="52" t="s">
        <v>205</v>
      </c>
      <c r="I29" s="52" t="s">
        <v>123</v>
      </c>
      <c r="J29" s="52" t="s">
        <v>124</v>
      </c>
      <c r="K29" s="6"/>
      <c r="L29" s="46"/>
    </row>
    <row x14ac:dyDescent="0.25" r="30" customHeight="1" ht="14.25" customFormat="1" s="1">
      <c r="A30" s="52" t="s">
        <v>18</v>
      </c>
      <c r="B30" s="53" t="s">
        <v>201</v>
      </c>
      <c r="C30" s="53" t="s">
        <v>206</v>
      </c>
      <c r="D30" s="53" t="s">
        <v>207</v>
      </c>
      <c r="E30" s="53" t="s">
        <v>121</v>
      </c>
      <c r="F30" s="32" t="s">
        <v>208</v>
      </c>
      <c r="G30" s="52" t="s">
        <v>123</v>
      </c>
      <c r="H30" s="52" t="s">
        <v>124</v>
      </c>
      <c r="I30" s="52" t="s">
        <v>123</v>
      </c>
      <c r="J30" s="52" t="s">
        <v>124</v>
      </c>
      <c r="K30" s="6"/>
      <c r="L30" s="46"/>
    </row>
    <row x14ac:dyDescent="0.25" r="31" customHeight="1" ht="14.25" customFormat="1" s="1">
      <c r="A31" s="52" t="s">
        <v>18</v>
      </c>
      <c r="B31" s="53" t="s">
        <v>201</v>
      </c>
      <c r="C31" s="53" t="s">
        <v>209</v>
      </c>
      <c r="D31" s="53" t="s">
        <v>210</v>
      </c>
      <c r="E31" s="53" t="s">
        <v>121</v>
      </c>
      <c r="F31" s="32" t="s">
        <v>208</v>
      </c>
      <c r="G31" s="52" t="s">
        <v>123</v>
      </c>
      <c r="H31" s="52" t="s">
        <v>124</v>
      </c>
      <c r="I31" s="52" t="s">
        <v>123</v>
      </c>
      <c r="J31" s="52" t="s">
        <v>124</v>
      </c>
      <c r="K31" s="6"/>
      <c r="L31" s="46"/>
    </row>
    <row x14ac:dyDescent="0.25" r="32" customHeight="1" ht="14.25" customFormat="1" s="1">
      <c r="A32" s="52" t="s">
        <v>18</v>
      </c>
      <c r="B32" s="53" t="s">
        <v>201</v>
      </c>
      <c r="C32" s="53" t="s">
        <v>211</v>
      </c>
      <c r="D32" s="53" t="s">
        <v>212</v>
      </c>
      <c r="E32" s="53" t="s">
        <v>121</v>
      </c>
      <c r="F32" s="32" t="s">
        <v>208</v>
      </c>
      <c r="G32" s="52" t="s">
        <v>123</v>
      </c>
      <c r="H32" s="52" t="s">
        <v>124</v>
      </c>
      <c r="I32" s="52" t="s">
        <v>123</v>
      </c>
      <c r="J32" s="52" t="s">
        <v>124</v>
      </c>
      <c r="K32" s="6"/>
      <c r="L32" s="46"/>
    </row>
    <row x14ac:dyDescent="0.25" r="33" customHeight="1" ht="14.25" customFormat="1" s="1">
      <c r="A33" s="52" t="s">
        <v>18</v>
      </c>
      <c r="B33" s="53" t="s">
        <v>201</v>
      </c>
      <c r="C33" s="53" t="s">
        <v>213</v>
      </c>
      <c r="D33" s="53" t="s">
        <v>214</v>
      </c>
      <c r="E33" s="53" t="s">
        <v>121</v>
      </c>
      <c r="F33" s="32" t="s">
        <v>215</v>
      </c>
      <c r="G33" s="52" t="s">
        <v>123</v>
      </c>
      <c r="H33" s="52" t="s">
        <v>124</v>
      </c>
      <c r="I33" s="52" t="s">
        <v>123</v>
      </c>
      <c r="J33" s="52" t="s">
        <v>124</v>
      </c>
      <c r="K33" s="6"/>
      <c r="L33" s="46"/>
    </row>
    <row x14ac:dyDescent="0.25" r="34" customHeight="1" ht="14.25" customFormat="1" s="1">
      <c r="A34" s="52" t="s">
        <v>216</v>
      </c>
      <c r="B34" s="53" t="s">
        <v>217</v>
      </c>
      <c r="C34" s="52" t="s">
        <v>218</v>
      </c>
      <c r="D34" s="52" t="s">
        <v>219</v>
      </c>
      <c r="E34" s="52" t="s">
        <v>121</v>
      </c>
      <c r="F34" s="24" t="s">
        <v>220</v>
      </c>
      <c r="G34" s="52" t="s">
        <v>123</v>
      </c>
      <c r="H34" s="52" t="s">
        <v>124</v>
      </c>
      <c r="I34" s="52" t="s">
        <v>221</v>
      </c>
      <c r="J34" s="24" t="s">
        <v>222</v>
      </c>
      <c r="K34" s="6"/>
      <c r="L34" s="46"/>
    </row>
    <row x14ac:dyDescent="0.25" r="35" customHeight="1" ht="14.25" customFormat="1" s="1">
      <c r="A35" s="52" t="s">
        <v>216</v>
      </c>
      <c r="B35" s="53" t="s">
        <v>217</v>
      </c>
      <c r="C35" s="52" t="s">
        <v>223</v>
      </c>
      <c r="D35" s="52" t="s">
        <v>223</v>
      </c>
      <c r="E35" s="52" t="s">
        <v>121</v>
      </c>
      <c r="F35" s="24" t="s">
        <v>224</v>
      </c>
      <c r="G35" s="52" t="s">
        <v>123</v>
      </c>
      <c r="H35" s="52" t="s">
        <v>124</v>
      </c>
      <c r="I35" s="52" t="s">
        <v>221</v>
      </c>
      <c r="J35" s="24" t="s">
        <v>225</v>
      </c>
      <c r="K35" s="6"/>
      <c r="L35" s="46"/>
    </row>
    <row x14ac:dyDescent="0.25" r="36" customHeight="1" ht="14.25" customFormat="1" s="1">
      <c r="A36" s="52" t="s">
        <v>216</v>
      </c>
      <c r="B36" s="53" t="s">
        <v>217</v>
      </c>
      <c r="C36" s="52" t="s">
        <v>226</v>
      </c>
      <c r="D36" s="52" t="s">
        <v>226</v>
      </c>
      <c r="E36" s="52" t="s">
        <v>121</v>
      </c>
      <c r="F36" s="24" t="s">
        <v>227</v>
      </c>
      <c r="G36" s="52" t="s">
        <v>123</v>
      </c>
      <c r="H36" s="52" t="s">
        <v>124</v>
      </c>
      <c r="I36" s="52" t="s">
        <v>228</v>
      </c>
      <c r="J36" s="52" t="s">
        <v>124</v>
      </c>
      <c r="K36" s="6"/>
      <c r="L36" s="46"/>
    </row>
    <row x14ac:dyDescent="0.25" r="37" customHeight="1" ht="14.25" customFormat="1" s="1">
      <c r="A37" s="52" t="s">
        <v>24</v>
      </c>
      <c r="B37" s="53" t="s">
        <v>229</v>
      </c>
      <c r="C37" s="52" t="s">
        <v>230</v>
      </c>
      <c r="D37" s="52" t="s">
        <v>231</v>
      </c>
      <c r="E37" s="52" t="s">
        <v>121</v>
      </c>
      <c r="F37" s="24" t="s">
        <v>232</v>
      </c>
      <c r="G37" s="52" t="s">
        <v>135</v>
      </c>
      <c r="H37" s="52" t="s">
        <v>233</v>
      </c>
      <c r="I37" s="52" t="s">
        <v>123</v>
      </c>
      <c r="J37" s="52" t="s">
        <v>124</v>
      </c>
      <c r="K37" s="6"/>
      <c r="L37" s="46"/>
    </row>
    <row x14ac:dyDescent="0.25" r="38" customHeight="1" ht="14.25" customFormat="1" s="1">
      <c r="A38" s="52" t="s">
        <v>24</v>
      </c>
      <c r="B38" s="53" t="s">
        <v>229</v>
      </c>
      <c r="C38" s="52" t="s">
        <v>234</v>
      </c>
      <c r="D38" s="52" t="s">
        <v>235</v>
      </c>
      <c r="E38" s="52" t="s">
        <v>121</v>
      </c>
      <c r="F38" s="24" t="s">
        <v>236</v>
      </c>
      <c r="G38" s="52" t="s">
        <v>123</v>
      </c>
      <c r="H38" s="52" t="s">
        <v>124</v>
      </c>
      <c r="I38" s="52" t="s">
        <v>221</v>
      </c>
      <c r="J38" s="24" t="s">
        <v>236</v>
      </c>
      <c r="K38" s="6"/>
      <c r="L38" s="46"/>
    </row>
    <row x14ac:dyDescent="0.25" r="39" customHeight="1" ht="14.25" customFormat="1" s="1">
      <c r="A39" s="52" t="s">
        <v>24</v>
      </c>
      <c r="B39" s="53" t="s">
        <v>229</v>
      </c>
      <c r="C39" s="53" t="s">
        <v>237</v>
      </c>
      <c r="D39" s="53" t="s">
        <v>237</v>
      </c>
      <c r="E39" s="52" t="s">
        <v>121</v>
      </c>
      <c r="F39" s="24" t="s">
        <v>238</v>
      </c>
      <c r="G39" s="52" t="s">
        <v>123</v>
      </c>
      <c r="H39" s="52" t="s">
        <v>124</v>
      </c>
      <c r="I39" s="52" t="s">
        <v>123</v>
      </c>
      <c r="J39" s="52" t="s">
        <v>124</v>
      </c>
      <c r="K39" s="6"/>
      <c r="L39" s="46"/>
    </row>
    <row x14ac:dyDescent="0.25" r="40" customHeight="1" ht="14.25" customFormat="1" s="1">
      <c r="A40" s="52" t="s">
        <v>239</v>
      </c>
      <c r="B40" s="53" t="s">
        <v>240</v>
      </c>
      <c r="C40" s="52" t="s">
        <v>241</v>
      </c>
      <c r="D40" s="53" t="s">
        <v>242</v>
      </c>
      <c r="E40" s="52" t="s">
        <v>121</v>
      </c>
      <c r="F40" s="24" t="s">
        <v>243</v>
      </c>
      <c r="G40" s="52" t="s">
        <v>244</v>
      </c>
      <c r="H40" s="52" t="s">
        <v>124</v>
      </c>
      <c r="I40" s="52" t="s">
        <v>123</v>
      </c>
      <c r="J40" s="52" t="s">
        <v>124</v>
      </c>
      <c r="K40" s="6"/>
      <c r="L40" s="46"/>
    </row>
    <row x14ac:dyDescent="0.25" r="41" customHeight="1" ht="14.25" customFormat="1" s="1">
      <c r="A41" s="52" t="s">
        <v>239</v>
      </c>
      <c r="B41" s="53" t="s">
        <v>240</v>
      </c>
      <c r="C41" s="52" t="s">
        <v>245</v>
      </c>
      <c r="D41" s="53" t="s">
        <v>246</v>
      </c>
      <c r="E41" s="52" t="s">
        <v>121</v>
      </c>
      <c r="F41" s="24" t="s">
        <v>247</v>
      </c>
      <c r="G41" s="52" t="s">
        <v>244</v>
      </c>
      <c r="H41" s="52" t="s">
        <v>124</v>
      </c>
      <c r="I41" s="52" t="s">
        <v>221</v>
      </c>
      <c r="J41" s="24" t="s">
        <v>247</v>
      </c>
      <c r="K41" s="6"/>
      <c r="L41" s="46"/>
    </row>
    <row x14ac:dyDescent="0.25" r="42" customHeight="1" ht="14.25" customFormat="1" s="1">
      <c r="A42" s="52" t="s">
        <v>239</v>
      </c>
      <c r="B42" s="53" t="s">
        <v>240</v>
      </c>
      <c r="C42" s="52" t="s">
        <v>245</v>
      </c>
      <c r="D42" s="53" t="s">
        <v>248</v>
      </c>
      <c r="E42" s="52" t="s">
        <v>121</v>
      </c>
      <c r="F42" s="24" t="s">
        <v>249</v>
      </c>
      <c r="G42" s="52" t="s">
        <v>244</v>
      </c>
      <c r="H42" s="52" t="s">
        <v>124</v>
      </c>
      <c r="I42" s="52" t="s">
        <v>244</v>
      </c>
      <c r="J42" s="52" t="s">
        <v>124</v>
      </c>
      <c r="K42" s="6"/>
      <c r="L42" s="46"/>
    </row>
    <row x14ac:dyDescent="0.25" r="43" customHeight="1" ht="14.25" customFormat="1" s="1">
      <c r="A43" s="52" t="s">
        <v>250</v>
      </c>
      <c r="B43" s="53" t="s">
        <v>251</v>
      </c>
      <c r="C43" s="52" t="s">
        <v>252</v>
      </c>
      <c r="D43" s="53" t="s">
        <v>253</v>
      </c>
      <c r="E43" s="52" t="s">
        <v>121</v>
      </c>
      <c r="F43" s="32" t="s">
        <v>254</v>
      </c>
      <c r="G43" s="52" t="s">
        <v>244</v>
      </c>
      <c r="H43" s="52" t="s">
        <v>124</v>
      </c>
      <c r="I43" s="52" t="s">
        <v>244</v>
      </c>
      <c r="J43" s="52" t="s">
        <v>124</v>
      </c>
      <c r="K43" s="6"/>
      <c r="L43" s="46"/>
    </row>
    <row x14ac:dyDescent="0.25" r="44" customHeight="1" ht="14.25" customFormat="1" s="1">
      <c r="A44" s="52" t="s">
        <v>255</v>
      </c>
      <c r="B44" s="53" t="s">
        <v>256</v>
      </c>
      <c r="C44" s="52" t="s">
        <v>257</v>
      </c>
      <c r="D44" s="52" t="s">
        <v>258</v>
      </c>
      <c r="E44" s="52" t="s">
        <v>121</v>
      </c>
      <c r="F44" s="24" t="s">
        <v>259</v>
      </c>
      <c r="G44" s="52" t="s">
        <v>244</v>
      </c>
      <c r="H44" s="52" t="s">
        <v>124</v>
      </c>
      <c r="I44" s="52" t="s">
        <v>244</v>
      </c>
      <c r="J44" s="52" t="s">
        <v>124</v>
      </c>
      <c r="K44" s="6"/>
      <c r="L44" s="46"/>
    </row>
    <row x14ac:dyDescent="0.25" r="45" customHeight="1" ht="14.25" customFormat="1" s="1">
      <c r="A45" s="52" t="s">
        <v>255</v>
      </c>
      <c r="B45" s="53" t="s">
        <v>256</v>
      </c>
      <c r="C45" s="52" t="s">
        <v>260</v>
      </c>
      <c r="D45" s="53" t="s">
        <v>261</v>
      </c>
      <c r="E45" s="52" t="s">
        <v>121</v>
      </c>
      <c r="F45" s="24" t="s">
        <v>262</v>
      </c>
      <c r="G45" s="52" t="s">
        <v>244</v>
      </c>
      <c r="H45" s="52" t="s">
        <v>124</v>
      </c>
      <c r="I45" s="52" t="s">
        <v>221</v>
      </c>
      <c r="J45" s="52" t="s">
        <v>262</v>
      </c>
      <c r="K45" s="6"/>
      <c r="L45" s="46"/>
    </row>
    <row x14ac:dyDescent="0.25" r="46" customHeight="1" ht="14.25" customFormat="1" s="1">
      <c r="A46" s="52" t="s">
        <v>255</v>
      </c>
      <c r="B46" s="53" t="s">
        <v>256</v>
      </c>
      <c r="C46" s="52" t="s">
        <v>260</v>
      </c>
      <c r="D46" s="53" t="s">
        <v>263</v>
      </c>
      <c r="E46" s="52" t="s">
        <v>121</v>
      </c>
      <c r="F46" s="24" t="s">
        <v>264</v>
      </c>
      <c r="G46" s="52" t="s">
        <v>244</v>
      </c>
      <c r="H46" s="52" t="s">
        <v>124</v>
      </c>
      <c r="I46" s="52" t="s">
        <v>123</v>
      </c>
      <c r="J46" s="52" t="s">
        <v>124</v>
      </c>
      <c r="K46" s="6"/>
      <c r="L46" s="46"/>
    </row>
    <row x14ac:dyDescent="0.25" r="47" customHeight="1" ht="14.25" customFormat="1" s="1">
      <c r="A47" s="52" t="s">
        <v>255</v>
      </c>
      <c r="B47" s="53" t="s">
        <v>256</v>
      </c>
      <c r="C47" s="52" t="s">
        <v>260</v>
      </c>
      <c r="D47" s="53" t="s">
        <v>265</v>
      </c>
      <c r="E47" s="52" t="s">
        <v>121</v>
      </c>
      <c r="F47" s="24" t="s">
        <v>264</v>
      </c>
      <c r="G47" s="52" t="s">
        <v>244</v>
      </c>
      <c r="H47" s="52" t="s">
        <v>124</v>
      </c>
      <c r="I47" s="52" t="s">
        <v>135</v>
      </c>
      <c r="J47" s="52" t="s">
        <v>264</v>
      </c>
      <c r="K47" s="6"/>
      <c r="L47" s="46"/>
    </row>
    <row x14ac:dyDescent="0.25" r="48" customHeight="1" ht="14.25" customFormat="1" s="1">
      <c r="A48" s="52" t="s">
        <v>27</v>
      </c>
      <c r="B48" s="53" t="s">
        <v>266</v>
      </c>
      <c r="C48" s="52" t="s">
        <v>267</v>
      </c>
      <c r="D48" s="53" t="s">
        <v>268</v>
      </c>
      <c r="E48" s="52" t="s">
        <v>121</v>
      </c>
      <c r="F48" s="24" t="s">
        <v>269</v>
      </c>
      <c r="G48" s="52" t="s">
        <v>244</v>
      </c>
      <c r="H48" s="52" t="s">
        <v>124</v>
      </c>
      <c r="I48" s="52" t="s">
        <v>123</v>
      </c>
      <c r="J48" s="52" t="s">
        <v>124</v>
      </c>
      <c r="K48" s="6"/>
      <c r="L48" s="46"/>
    </row>
    <row x14ac:dyDescent="0.25" r="49" customHeight="1" ht="14.25" customFormat="1" s="1">
      <c r="A49" s="52" t="s">
        <v>27</v>
      </c>
      <c r="B49" s="53" t="s">
        <v>266</v>
      </c>
      <c r="C49" s="52" t="s">
        <v>267</v>
      </c>
      <c r="D49" s="53" t="s">
        <v>150</v>
      </c>
      <c r="E49" s="52" t="s">
        <v>121</v>
      </c>
      <c r="F49" s="24" t="s">
        <v>270</v>
      </c>
      <c r="G49" s="52" t="s">
        <v>244</v>
      </c>
      <c r="H49" s="52" t="s">
        <v>124</v>
      </c>
      <c r="I49" s="52" t="s">
        <v>135</v>
      </c>
      <c r="J49" s="52" t="s">
        <v>271</v>
      </c>
      <c r="K49" s="6"/>
      <c r="L49" s="46"/>
    </row>
    <row x14ac:dyDescent="0.25" r="50" customHeight="1" ht="14.25" customFormat="1" s="1">
      <c r="A50" s="52" t="s">
        <v>27</v>
      </c>
      <c r="B50" s="53" t="s">
        <v>266</v>
      </c>
      <c r="C50" s="52" t="s">
        <v>267</v>
      </c>
      <c r="D50" s="53" t="s">
        <v>272</v>
      </c>
      <c r="E50" s="52" t="s">
        <v>121</v>
      </c>
      <c r="F50" s="24" t="s">
        <v>273</v>
      </c>
      <c r="G50" s="52" t="s">
        <v>244</v>
      </c>
      <c r="H50" s="52" t="s">
        <v>124</v>
      </c>
      <c r="I50" s="52" t="s">
        <v>123</v>
      </c>
      <c r="J50" s="52" t="s">
        <v>124</v>
      </c>
      <c r="K50" s="6"/>
      <c r="L50" s="46"/>
    </row>
    <row x14ac:dyDescent="0.25" r="51" customHeight="1" ht="14.25" customFormat="1" s="1">
      <c r="A51" s="52" t="s">
        <v>27</v>
      </c>
      <c r="B51" s="53" t="s">
        <v>266</v>
      </c>
      <c r="C51" s="52" t="s">
        <v>274</v>
      </c>
      <c r="D51" s="53" t="s">
        <v>275</v>
      </c>
      <c r="E51" s="52" t="s">
        <v>121</v>
      </c>
      <c r="F51" s="24" t="s">
        <v>276</v>
      </c>
      <c r="G51" s="52" t="s">
        <v>244</v>
      </c>
      <c r="H51" s="52" t="s">
        <v>124</v>
      </c>
      <c r="I51" s="52" t="s">
        <v>221</v>
      </c>
      <c r="J51" s="24" t="s">
        <v>276</v>
      </c>
      <c r="K51" s="6"/>
      <c r="L51" s="46"/>
    </row>
    <row x14ac:dyDescent="0.25" r="52" customHeight="1" ht="14.25" customFormat="1" s="1">
      <c r="A52" s="52" t="s">
        <v>277</v>
      </c>
      <c r="B52" s="53" t="s">
        <v>278</v>
      </c>
      <c r="C52" s="52" t="s">
        <v>279</v>
      </c>
      <c r="D52" s="53" t="s">
        <v>280</v>
      </c>
      <c r="E52" s="52" t="s">
        <v>121</v>
      </c>
      <c r="F52" s="24" t="s">
        <v>281</v>
      </c>
      <c r="G52" s="52" t="s">
        <v>135</v>
      </c>
      <c r="H52" s="52" t="s">
        <v>189</v>
      </c>
      <c r="I52" s="52" t="s">
        <v>282</v>
      </c>
      <c r="J52" s="52" t="s">
        <v>283</v>
      </c>
      <c r="K52" s="6"/>
      <c r="L52" s="46"/>
    </row>
    <row x14ac:dyDescent="0.25" r="53" customHeight="1" ht="14.25" customFormat="1" s="1">
      <c r="A53" s="52" t="s">
        <v>277</v>
      </c>
      <c r="B53" s="53" t="s">
        <v>278</v>
      </c>
      <c r="C53" s="52" t="s">
        <v>279</v>
      </c>
      <c r="D53" s="53" t="s">
        <v>284</v>
      </c>
      <c r="E53" s="52" t="s">
        <v>121</v>
      </c>
      <c r="F53" s="24" t="s">
        <v>285</v>
      </c>
      <c r="G53" s="52" t="s">
        <v>123</v>
      </c>
      <c r="H53" s="52" t="s">
        <v>124</v>
      </c>
      <c r="I53" s="52" t="s">
        <v>135</v>
      </c>
      <c r="J53" s="52" t="s">
        <v>286</v>
      </c>
      <c r="K53" s="6"/>
      <c r="L53" s="46"/>
    </row>
    <row x14ac:dyDescent="0.25" r="54" customHeight="1" ht="14.25" customFormat="1" s="1">
      <c r="A54" s="52" t="s">
        <v>277</v>
      </c>
      <c r="B54" s="53" t="s">
        <v>278</v>
      </c>
      <c r="C54" s="53" t="s">
        <v>287</v>
      </c>
      <c r="D54" s="53" t="s">
        <v>287</v>
      </c>
      <c r="E54" s="52" t="s">
        <v>121</v>
      </c>
      <c r="F54" s="24" t="s">
        <v>288</v>
      </c>
      <c r="G54" s="52" t="s">
        <v>123</v>
      </c>
      <c r="H54" s="52" t="s">
        <v>124</v>
      </c>
      <c r="I54" s="52" t="s">
        <v>289</v>
      </c>
      <c r="J54" s="56" t="s">
        <v>290</v>
      </c>
      <c r="K54" s="6"/>
      <c r="L54" s="46"/>
    </row>
    <row x14ac:dyDescent="0.25" r="55" customHeight="1" ht="14.25" customFormat="1" s="1">
      <c r="A55" s="52" t="s">
        <v>277</v>
      </c>
      <c r="B55" s="53" t="s">
        <v>278</v>
      </c>
      <c r="C55" s="53" t="s">
        <v>291</v>
      </c>
      <c r="D55" s="53" t="s">
        <v>291</v>
      </c>
      <c r="E55" s="52" t="s">
        <v>121</v>
      </c>
      <c r="F55" s="24" t="s">
        <v>281</v>
      </c>
      <c r="G55" s="52" t="s">
        <v>135</v>
      </c>
      <c r="H55" s="52" t="s">
        <v>189</v>
      </c>
      <c r="I55" s="52" t="s">
        <v>282</v>
      </c>
      <c r="J55" s="52" t="s">
        <v>283</v>
      </c>
      <c r="K55" s="6"/>
      <c r="L55" s="46"/>
    </row>
    <row x14ac:dyDescent="0.25" r="56" customHeight="1" ht="14.25" customFormat="1" s="1">
      <c r="A56" s="52" t="s">
        <v>277</v>
      </c>
      <c r="B56" s="53" t="s">
        <v>278</v>
      </c>
      <c r="C56" s="52" t="s">
        <v>292</v>
      </c>
      <c r="D56" s="53" t="s">
        <v>293</v>
      </c>
      <c r="E56" s="52" t="s">
        <v>121</v>
      </c>
      <c r="F56" s="24" t="s">
        <v>294</v>
      </c>
      <c r="G56" s="52" t="s">
        <v>135</v>
      </c>
      <c r="H56" s="52" t="s">
        <v>295</v>
      </c>
      <c r="I56" s="52" t="s">
        <v>123</v>
      </c>
      <c r="J56" s="52" t="s">
        <v>124</v>
      </c>
      <c r="K56" s="6"/>
      <c r="L56" s="46"/>
    </row>
    <row x14ac:dyDescent="0.25" r="57" customHeight="1" ht="14.25" customFormat="1" s="1">
      <c r="A57" s="52" t="s">
        <v>277</v>
      </c>
      <c r="B57" s="53" t="s">
        <v>278</v>
      </c>
      <c r="C57" s="52" t="s">
        <v>296</v>
      </c>
      <c r="D57" s="53" t="s">
        <v>150</v>
      </c>
      <c r="E57" s="52" t="s">
        <v>121</v>
      </c>
      <c r="F57" s="24" t="s">
        <v>297</v>
      </c>
      <c r="G57" s="52" t="s">
        <v>123</v>
      </c>
      <c r="H57" s="52" t="s">
        <v>124</v>
      </c>
      <c r="I57" s="52" t="s">
        <v>135</v>
      </c>
      <c r="J57" s="52" t="s">
        <v>298</v>
      </c>
      <c r="K57" s="6"/>
      <c r="L57" s="46"/>
    </row>
    <row x14ac:dyDescent="0.25" r="58" customHeight="1" ht="14.25" customFormat="1" s="1">
      <c r="A58" s="52" t="s">
        <v>277</v>
      </c>
      <c r="B58" s="53" t="s">
        <v>299</v>
      </c>
      <c r="C58" s="52" t="s">
        <v>300</v>
      </c>
      <c r="D58" s="53" t="s">
        <v>300</v>
      </c>
      <c r="E58" s="52" t="s">
        <v>121</v>
      </c>
      <c r="F58" s="24" t="s">
        <v>301</v>
      </c>
      <c r="G58" s="52" t="s">
        <v>123</v>
      </c>
      <c r="H58" s="52" t="s">
        <v>124</v>
      </c>
      <c r="I58" s="52" t="s">
        <v>123</v>
      </c>
      <c r="J58" s="52" t="s">
        <v>124</v>
      </c>
      <c r="K58" s="6"/>
      <c r="L58" s="46"/>
    </row>
    <row x14ac:dyDescent="0.25" r="59" customHeight="1" ht="14.25" customFormat="1" s="1">
      <c r="A59" s="52" t="s">
        <v>302</v>
      </c>
      <c r="B59" s="53" t="s">
        <v>303</v>
      </c>
      <c r="C59" s="52" t="s">
        <v>304</v>
      </c>
      <c r="D59" s="53" t="s">
        <v>305</v>
      </c>
      <c r="E59" s="52" t="s">
        <v>121</v>
      </c>
      <c r="F59" s="24" t="s">
        <v>306</v>
      </c>
      <c r="G59" s="52" t="s">
        <v>123</v>
      </c>
      <c r="H59" s="52" t="s">
        <v>124</v>
      </c>
      <c r="I59" s="52" t="s">
        <v>307</v>
      </c>
      <c r="J59" s="52" t="s">
        <v>139</v>
      </c>
      <c r="K59" s="6"/>
      <c r="L59" s="46"/>
    </row>
    <row x14ac:dyDescent="0.25" r="60" customHeight="1" ht="14.25" customFormat="1" s="1">
      <c r="A60" s="52" t="s">
        <v>302</v>
      </c>
      <c r="B60" s="53" t="s">
        <v>303</v>
      </c>
      <c r="C60" s="52" t="s">
        <v>304</v>
      </c>
      <c r="D60" s="52" t="s">
        <v>308</v>
      </c>
      <c r="E60" s="52" t="s">
        <v>121</v>
      </c>
      <c r="F60" s="24" t="s">
        <v>309</v>
      </c>
      <c r="G60" s="52" t="s">
        <v>135</v>
      </c>
      <c r="H60" s="52" t="s">
        <v>310</v>
      </c>
      <c r="I60" s="52" t="s">
        <v>307</v>
      </c>
      <c r="J60" s="52" t="s">
        <v>311</v>
      </c>
      <c r="K60" s="6"/>
      <c r="L60" s="46"/>
    </row>
    <row x14ac:dyDescent="0.25" r="61" customHeight="1" ht="14.25" customFormat="1" s="1">
      <c r="A61" s="52" t="s">
        <v>302</v>
      </c>
      <c r="B61" s="53" t="s">
        <v>303</v>
      </c>
      <c r="C61" s="52" t="s">
        <v>304</v>
      </c>
      <c r="D61" s="53" t="s">
        <v>312</v>
      </c>
      <c r="E61" s="52" t="s">
        <v>121</v>
      </c>
      <c r="F61" s="24" t="s">
        <v>197</v>
      </c>
      <c r="G61" s="52" t="s">
        <v>135</v>
      </c>
      <c r="H61" s="52" t="s">
        <v>310</v>
      </c>
      <c r="I61" s="52" t="s">
        <v>307</v>
      </c>
      <c r="J61" s="52" t="s">
        <v>311</v>
      </c>
      <c r="K61" s="6"/>
      <c r="L61" s="46"/>
    </row>
    <row x14ac:dyDescent="0.25" r="62" customHeight="1" ht="14.25" customFormat="1" s="1">
      <c r="A62" s="52" t="s">
        <v>302</v>
      </c>
      <c r="B62" s="53" t="s">
        <v>303</v>
      </c>
      <c r="C62" s="52" t="s">
        <v>304</v>
      </c>
      <c r="D62" s="53" t="s">
        <v>313</v>
      </c>
      <c r="E62" s="52" t="s">
        <v>121</v>
      </c>
      <c r="F62" s="24" t="s">
        <v>197</v>
      </c>
      <c r="G62" s="52" t="s">
        <v>135</v>
      </c>
      <c r="H62" s="52" t="s">
        <v>310</v>
      </c>
      <c r="I62" s="52" t="s">
        <v>196</v>
      </c>
      <c r="J62" s="52" t="s">
        <v>197</v>
      </c>
      <c r="K62" s="6"/>
      <c r="L62" s="46"/>
    </row>
    <row x14ac:dyDescent="0.25" r="63" customHeight="1" ht="14.25" customFormat="1" s="1">
      <c r="A63" s="52" t="s">
        <v>302</v>
      </c>
      <c r="B63" s="53" t="s">
        <v>303</v>
      </c>
      <c r="C63" s="52" t="s">
        <v>87</v>
      </c>
      <c r="D63" s="52" t="s">
        <v>314</v>
      </c>
      <c r="E63" s="52" t="s">
        <v>121</v>
      </c>
      <c r="F63" s="24" t="s">
        <v>315</v>
      </c>
      <c r="G63" s="52" t="s">
        <v>123</v>
      </c>
      <c r="H63" s="52" t="s">
        <v>124</v>
      </c>
      <c r="I63" s="52" t="s">
        <v>316</v>
      </c>
      <c r="J63" s="52" t="s">
        <v>315</v>
      </c>
      <c r="K63" s="6"/>
      <c r="L63" s="46"/>
    </row>
    <row x14ac:dyDescent="0.25" r="64" customHeight="1" ht="14.25" customFormat="1" s="1">
      <c r="A64" s="52" t="s">
        <v>302</v>
      </c>
      <c r="B64" s="53" t="s">
        <v>303</v>
      </c>
      <c r="C64" s="52" t="s">
        <v>317</v>
      </c>
      <c r="D64" s="52" t="s">
        <v>317</v>
      </c>
      <c r="E64" s="52" t="s">
        <v>121</v>
      </c>
      <c r="F64" s="24" t="s">
        <v>197</v>
      </c>
      <c r="G64" s="52" t="s">
        <v>135</v>
      </c>
      <c r="H64" s="52" t="s">
        <v>310</v>
      </c>
      <c r="I64" s="52" t="s">
        <v>196</v>
      </c>
      <c r="J64" s="52" t="s">
        <v>197</v>
      </c>
      <c r="K64" s="6"/>
      <c r="L64" s="46"/>
    </row>
    <row x14ac:dyDescent="0.25" r="65" customHeight="1" ht="14.25" customFormat="1" s="1">
      <c r="A65" s="52" t="s">
        <v>302</v>
      </c>
      <c r="B65" s="53" t="s">
        <v>303</v>
      </c>
      <c r="C65" s="53" t="s">
        <v>73</v>
      </c>
      <c r="D65" s="53" t="s">
        <v>318</v>
      </c>
      <c r="E65" s="52" t="s">
        <v>135</v>
      </c>
      <c r="F65" s="24" t="s">
        <v>319</v>
      </c>
      <c r="G65" s="52" t="s">
        <v>123</v>
      </c>
      <c r="H65" s="52" t="s">
        <v>124</v>
      </c>
      <c r="I65" s="52" t="s">
        <v>320</v>
      </c>
      <c r="J65" s="52" t="s">
        <v>319</v>
      </c>
      <c r="K65" s="6"/>
      <c r="L65" s="46"/>
    </row>
    <row x14ac:dyDescent="0.25" r="66" customHeight="1" ht="14.25" customFormat="1" s="1">
      <c r="A66" s="52" t="s">
        <v>302</v>
      </c>
      <c r="B66" s="53" t="s">
        <v>303</v>
      </c>
      <c r="C66" s="53" t="s">
        <v>73</v>
      </c>
      <c r="D66" s="53" t="s">
        <v>321</v>
      </c>
      <c r="E66" s="52" t="s">
        <v>135</v>
      </c>
      <c r="F66" s="24" t="s">
        <v>322</v>
      </c>
      <c r="G66" s="52" t="s">
        <v>123</v>
      </c>
      <c r="H66" s="52" t="s">
        <v>124</v>
      </c>
      <c r="I66" s="52" t="s">
        <v>135</v>
      </c>
      <c r="J66" s="52" t="s">
        <v>322</v>
      </c>
      <c r="K66" s="6"/>
      <c r="L66" s="46"/>
    </row>
    <row x14ac:dyDescent="0.25" r="67" customHeight="1" ht="14.25" customFormat="1" s="1">
      <c r="A67" s="52" t="s">
        <v>302</v>
      </c>
      <c r="B67" s="53" t="s">
        <v>303</v>
      </c>
      <c r="C67" s="53" t="s">
        <v>73</v>
      </c>
      <c r="D67" s="53" t="s">
        <v>323</v>
      </c>
      <c r="E67" s="52" t="s">
        <v>135</v>
      </c>
      <c r="F67" s="24" t="s">
        <v>324</v>
      </c>
      <c r="G67" s="52" t="s">
        <v>135</v>
      </c>
      <c r="H67" s="52" t="s">
        <v>325</v>
      </c>
      <c r="I67" s="52" t="s">
        <v>196</v>
      </c>
      <c r="J67" s="52" t="s">
        <v>324</v>
      </c>
      <c r="K67" s="6"/>
      <c r="L67" s="46"/>
    </row>
    <row x14ac:dyDescent="0.25" r="68" customHeight="1" ht="14.25" customFormat="1" s="1">
      <c r="A68" s="52" t="s">
        <v>302</v>
      </c>
      <c r="B68" s="53" t="s">
        <v>303</v>
      </c>
      <c r="C68" s="53" t="s">
        <v>73</v>
      </c>
      <c r="D68" s="53" t="s">
        <v>326</v>
      </c>
      <c r="E68" s="52" t="s">
        <v>135</v>
      </c>
      <c r="F68" s="24" t="s">
        <v>199</v>
      </c>
      <c r="G68" s="52" t="s">
        <v>123</v>
      </c>
      <c r="H68" s="52" t="s">
        <v>124</v>
      </c>
      <c r="I68" s="52" t="s">
        <v>320</v>
      </c>
      <c r="J68" s="52" t="s">
        <v>327</v>
      </c>
      <c r="K68" s="6"/>
      <c r="L68" s="46"/>
    </row>
    <row x14ac:dyDescent="0.25" r="69" customHeight="1" ht="14.25" customFormat="1" s="1">
      <c r="A69" s="52" t="s">
        <v>302</v>
      </c>
      <c r="B69" s="53" t="s">
        <v>303</v>
      </c>
      <c r="C69" s="53" t="s">
        <v>73</v>
      </c>
      <c r="D69" s="53" t="s">
        <v>328</v>
      </c>
      <c r="E69" s="52" t="s">
        <v>135</v>
      </c>
      <c r="F69" s="24" t="s">
        <v>329</v>
      </c>
      <c r="G69" s="52" t="s">
        <v>123</v>
      </c>
      <c r="H69" s="52" t="s">
        <v>124</v>
      </c>
      <c r="I69" s="52" t="s">
        <v>320</v>
      </c>
      <c r="J69" s="52" t="s">
        <v>330</v>
      </c>
      <c r="K69" s="6"/>
      <c r="L69" s="46"/>
    </row>
    <row x14ac:dyDescent="0.25" r="70" customHeight="1" ht="14.25" customFormat="1" s="1">
      <c r="A70" s="52" t="s">
        <v>302</v>
      </c>
      <c r="B70" s="53" t="s">
        <v>303</v>
      </c>
      <c r="C70" s="53" t="s">
        <v>73</v>
      </c>
      <c r="D70" s="53" t="s">
        <v>331</v>
      </c>
      <c r="E70" s="52" t="s">
        <v>135</v>
      </c>
      <c r="F70" s="24" t="s">
        <v>332</v>
      </c>
      <c r="G70" s="52" t="s">
        <v>135</v>
      </c>
      <c r="H70" s="52" t="s">
        <v>333</v>
      </c>
      <c r="I70" s="52" t="s">
        <v>320</v>
      </c>
      <c r="J70" s="52" t="s">
        <v>332</v>
      </c>
      <c r="K70" s="6"/>
      <c r="L70" s="46"/>
    </row>
    <row x14ac:dyDescent="0.25" r="71" customHeight="1" ht="14.25" customFormat="1" s="1">
      <c r="A71" s="52" t="s">
        <v>302</v>
      </c>
      <c r="B71" s="53" t="s">
        <v>303</v>
      </c>
      <c r="C71" s="52" t="s">
        <v>31</v>
      </c>
      <c r="D71" s="52" t="s">
        <v>31</v>
      </c>
      <c r="E71" s="52" t="s">
        <v>135</v>
      </c>
      <c r="F71" s="24" t="s">
        <v>334</v>
      </c>
      <c r="G71" s="52" t="s">
        <v>123</v>
      </c>
      <c r="H71" s="52" t="s">
        <v>124</v>
      </c>
      <c r="I71" s="52" t="s">
        <v>320</v>
      </c>
      <c r="J71" s="52" t="s">
        <v>334</v>
      </c>
      <c r="K71" s="6"/>
      <c r="L71" s="46"/>
    </row>
    <row x14ac:dyDescent="0.25" r="72" customHeight="1" ht="14.25" customFormat="1" s="1">
      <c r="A72" s="52" t="s">
        <v>302</v>
      </c>
      <c r="B72" s="53" t="s">
        <v>303</v>
      </c>
      <c r="C72" s="52" t="s">
        <v>25</v>
      </c>
      <c r="D72" s="52" t="s">
        <v>335</v>
      </c>
      <c r="E72" s="52" t="s">
        <v>135</v>
      </c>
      <c r="F72" s="24" t="s">
        <v>336</v>
      </c>
      <c r="G72" s="52" t="s">
        <v>135</v>
      </c>
      <c r="H72" s="52" t="s">
        <v>337</v>
      </c>
      <c r="I72" s="52" t="s">
        <v>320</v>
      </c>
      <c r="J72" s="52" t="s">
        <v>336</v>
      </c>
      <c r="K72" s="6"/>
      <c r="L72" s="46"/>
    </row>
    <row x14ac:dyDescent="0.25" r="73" customHeight="1" ht="14.25" customFormat="1" s="1">
      <c r="A73" s="52" t="s">
        <v>302</v>
      </c>
      <c r="B73" s="53" t="s">
        <v>303</v>
      </c>
      <c r="C73" s="52" t="s">
        <v>25</v>
      </c>
      <c r="D73" s="52" t="s">
        <v>338</v>
      </c>
      <c r="E73" s="52" t="s">
        <v>135</v>
      </c>
      <c r="F73" s="24" t="s">
        <v>339</v>
      </c>
      <c r="G73" s="52" t="s">
        <v>123</v>
      </c>
      <c r="H73" s="52" t="s">
        <v>124</v>
      </c>
      <c r="I73" s="52" t="s">
        <v>320</v>
      </c>
      <c r="J73" s="52" t="s">
        <v>339</v>
      </c>
      <c r="K73" s="6"/>
      <c r="L73" s="46"/>
    </row>
    <row x14ac:dyDescent="0.25" r="74" customHeight="1" ht="14.25" customFormat="1" s="1">
      <c r="A74" s="52" t="s">
        <v>302</v>
      </c>
      <c r="B74" s="53" t="s">
        <v>303</v>
      </c>
      <c r="C74" s="52" t="s">
        <v>25</v>
      </c>
      <c r="D74" s="52" t="s">
        <v>340</v>
      </c>
      <c r="E74" s="52" t="s">
        <v>135</v>
      </c>
      <c r="F74" s="24" t="s">
        <v>341</v>
      </c>
      <c r="G74" s="52" t="s">
        <v>135</v>
      </c>
      <c r="H74" s="52" t="s">
        <v>337</v>
      </c>
      <c r="I74" s="52" t="s">
        <v>320</v>
      </c>
      <c r="J74" s="52" t="s">
        <v>341</v>
      </c>
      <c r="K74" s="6"/>
      <c r="L74" s="46"/>
    </row>
    <row x14ac:dyDescent="0.25" r="75" customHeight="1" ht="14.25" customFormat="1" s="1">
      <c r="A75" s="52" t="s">
        <v>302</v>
      </c>
      <c r="B75" s="53" t="s">
        <v>303</v>
      </c>
      <c r="C75" s="53" t="s">
        <v>85</v>
      </c>
      <c r="D75" s="55" t="s">
        <v>342</v>
      </c>
      <c r="E75" s="52" t="s">
        <v>135</v>
      </c>
      <c r="F75" s="24" t="s">
        <v>343</v>
      </c>
      <c r="G75" s="52" t="s">
        <v>135</v>
      </c>
      <c r="H75" s="52" t="s">
        <v>205</v>
      </c>
      <c r="I75" s="52" t="s">
        <v>320</v>
      </c>
      <c r="J75" s="52" t="s">
        <v>343</v>
      </c>
      <c r="K75" s="6"/>
      <c r="L75" s="46"/>
    </row>
    <row x14ac:dyDescent="0.25" r="76" customHeight="1" ht="14.25" customFormat="1" s="1">
      <c r="A76" s="52" t="s">
        <v>302</v>
      </c>
      <c r="B76" s="53" t="s">
        <v>303</v>
      </c>
      <c r="C76" s="53" t="s">
        <v>344</v>
      </c>
      <c r="D76" s="53" t="s">
        <v>80</v>
      </c>
      <c r="E76" s="52" t="s">
        <v>135</v>
      </c>
      <c r="F76" s="24" t="s">
        <v>345</v>
      </c>
      <c r="G76" s="52" t="s">
        <v>135</v>
      </c>
      <c r="H76" s="52" t="s">
        <v>189</v>
      </c>
      <c r="I76" s="52" t="s">
        <v>320</v>
      </c>
      <c r="J76" s="52" t="s">
        <v>345</v>
      </c>
      <c r="K76" s="6"/>
      <c r="L76" s="46"/>
    </row>
    <row x14ac:dyDescent="0.25" r="77" customHeight="1" ht="14.25" customFormat="1" s="1">
      <c r="A77" s="52" t="s">
        <v>302</v>
      </c>
      <c r="B77" s="53" t="s">
        <v>303</v>
      </c>
      <c r="C77" s="53" t="s">
        <v>344</v>
      </c>
      <c r="D77" s="53" t="s">
        <v>346</v>
      </c>
      <c r="E77" s="52" t="s">
        <v>135</v>
      </c>
      <c r="F77" s="24" t="s">
        <v>336</v>
      </c>
      <c r="G77" s="52" t="s">
        <v>135</v>
      </c>
      <c r="H77" s="52" t="s">
        <v>337</v>
      </c>
      <c r="I77" s="52" t="s">
        <v>320</v>
      </c>
      <c r="J77" s="52" t="s">
        <v>336</v>
      </c>
      <c r="K77" s="6"/>
      <c r="L77" s="46"/>
    </row>
    <row x14ac:dyDescent="0.25" r="78" customHeight="1" ht="14.25" customFormat="1" s="1">
      <c r="A78" s="52" t="s">
        <v>302</v>
      </c>
      <c r="B78" s="53" t="s">
        <v>303</v>
      </c>
      <c r="C78" s="53" t="s">
        <v>344</v>
      </c>
      <c r="D78" s="53" t="s">
        <v>347</v>
      </c>
      <c r="E78" s="52" t="s">
        <v>135</v>
      </c>
      <c r="F78" s="24" t="s">
        <v>348</v>
      </c>
      <c r="G78" s="52" t="s">
        <v>123</v>
      </c>
      <c r="H78" s="52" t="s">
        <v>124</v>
      </c>
      <c r="I78" s="52" t="s">
        <v>135</v>
      </c>
      <c r="J78" s="52" t="s">
        <v>348</v>
      </c>
      <c r="K78" s="6"/>
      <c r="L78" s="46"/>
    </row>
    <row x14ac:dyDescent="0.25" r="79" customHeight="1" ht="14.25" customFormat="1" s="1">
      <c r="A79" s="52" t="s">
        <v>302</v>
      </c>
      <c r="B79" s="53" t="s">
        <v>303</v>
      </c>
      <c r="C79" s="53" t="s">
        <v>79</v>
      </c>
      <c r="D79" s="53" t="s">
        <v>349</v>
      </c>
      <c r="E79" s="52" t="s">
        <v>135</v>
      </c>
      <c r="F79" s="24" t="s">
        <v>350</v>
      </c>
      <c r="G79" s="52" t="s">
        <v>121</v>
      </c>
      <c r="H79" s="52" t="s">
        <v>351</v>
      </c>
      <c r="I79" s="52" t="s">
        <v>196</v>
      </c>
      <c r="J79" s="52" t="s">
        <v>350</v>
      </c>
      <c r="K79" s="6"/>
      <c r="L79" s="46"/>
    </row>
    <row x14ac:dyDescent="0.25" r="80" customHeight="1" ht="14.25" customFormat="1" s="1">
      <c r="A80" s="52" t="s">
        <v>302</v>
      </c>
      <c r="B80" s="53" t="s">
        <v>303</v>
      </c>
      <c r="C80" s="53" t="s">
        <v>79</v>
      </c>
      <c r="D80" s="53" t="s">
        <v>352</v>
      </c>
      <c r="E80" s="52" t="s">
        <v>135</v>
      </c>
      <c r="F80" s="24" t="s">
        <v>353</v>
      </c>
      <c r="G80" s="52" t="s">
        <v>123</v>
      </c>
      <c r="H80" s="52" t="s">
        <v>124</v>
      </c>
      <c r="I80" s="52" t="s">
        <v>135</v>
      </c>
      <c r="J80" s="52" t="s">
        <v>353</v>
      </c>
      <c r="K80" s="6"/>
      <c r="L80" s="46"/>
    </row>
    <row x14ac:dyDescent="0.25" r="81" customHeight="1" ht="14.25" customFormat="1" s="1">
      <c r="A81" s="52" t="s">
        <v>354</v>
      </c>
      <c r="B81" s="53" t="s">
        <v>303</v>
      </c>
      <c r="C81" s="53" t="s">
        <v>79</v>
      </c>
      <c r="D81" s="53" t="s">
        <v>355</v>
      </c>
      <c r="E81" s="52" t="s">
        <v>135</v>
      </c>
      <c r="F81" s="24" t="s">
        <v>356</v>
      </c>
      <c r="G81" s="52" t="s">
        <v>135</v>
      </c>
      <c r="H81" s="52" t="s">
        <v>357</v>
      </c>
      <c r="I81" s="52" t="s">
        <v>320</v>
      </c>
      <c r="J81" s="52" t="s">
        <v>356</v>
      </c>
      <c r="K81" s="6"/>
      <c r="L81" s="46"/>
    </row>
    <row x14ac:dyDescent="0.25" r="82" customHeight="1" ht="14.25" customFormat="1" s="1">
      <c r="A82" s="52" t="s">
        <v>302</v>
      </c>
      <c r="B82" s="53" t="s">
        <v>303</v>
      </c>
      <c r="C82" s="53" t="s">
        <v>79</v>
      </c>
      <c r="D82" s="53" t="s">
        <v>358</v>
      </c>
      <c r="E82" s="52" t="s">
        <v>135</v>
      </c>
      <c r="F82" s="24" t="s">
        <v>359</v>
      </c>
      <c r="G82" s="52" t="s">
        <v>135</v>
      </c>
      <c r="H82" s="52" t="s">
        <v>359</v>
      </c>
      <c r="I82" s="52" t="s">
        <v>307</v>
      </c>
      <c r="J82" s="52" t="s">
        <v>360</v>
      </c>
      <c r="K82" s="6"/>
      <c r="L82" s="46"/>
    </row>
    <row x14ac:dyDescent="0.25" r="83" customHeight="1" ht="14.25" customFormat="1" s="1">
      <c r="A83" s="52" t="s">
        <v>354</v>
      </c>
      <c r="B83" s="53" t="s">
        <v>303</v>
      </c>
      <c r="C83" s="53" t="s">
        <v>361</v>
      </c>
      <c r="D83" s="53" t="s">
        <v>362</v>
      </c>
      <c r="E83" s="52" t="s">
        <v>135</v>
      </c>
      <c r="F83" s="24" t="s">
        <v>363</v>
      </c>
      <c r="G83" s="52" t="s">
        <v>123</v>
      </c>
      <c r="H83" s="52" t="s">
        <v>124</v>
      </c>
      <c r="I83" s="52" t="s">
        <v>135</v>
      </c>
      <c r="J83" s="52" t="s">
        <v>363</v>
      </c>
      <c r="K83" s="6"/>
      <c r="L83" s="46"/>
    </row>
    <row x14ac:dyDescent="0.25" r="84" customHeight="1" ht="14.25" customFormat="1" s="1">
      <c r="A84" s="52" t="s">
        <v>302</v>
      </c>
      <c r="B84" s="53" t="s">
        <v>303</v>
      </c>
      <c r="C84" s="52" t="s">
        <v>364</v>
      </c>
      <c r="D84" s="53" t="s">
        <v>365</v>
      </c>
      <c r="E84" s="52" t="s">
        <v>135</v>
      </c>
      <c r="F84" s="32" t="s">
        <v>366</v>
      </c>
      <c r="G84" s="52" t="s">
        <v>135</v>
      </c>
      <c r="H84" s="57" t="s">
        <v>367</v>
      </c>
      <c r="I84" s="52" t="s">
        <v>135</v>
      </c>
      <c r="J84" s="53" t="s">
        <v>368</v>
      </c>
      <c r="K84" s="6"/>
      <c r="L84" s="46"/>
    </row>
    <row x14ac:dyDescent="0.25" r="85" customHeight="1" ht="14.25" customFormat="1" s="1">
      <c r="A85" s="52" t="s">
        <v>302</v>
      </c>
      <c r="B85" s="53" t="s">
        <v>303</v>
      </c>
      <c r="C85" s="52" t="s">
        <v>364</v>
      </c>
      <c r="D85" s="53" t="s">
        <v>216</v>
      </c>
      <c r="E85" s="52" t="s">
        <v>135</v>
      </c>
      <c r="F85" s="24" t="s">
        <v>369</v>
      </c>
      <c r="G85" s="52" t="s">
        <v>123</v>
      </c>
      <c r="H85" s="52" t="s">
        <v>124</v>
      </c>
      <c r="I85" s="52" t="s">
        <v>320</v>
      </c>
      <c r="J85" s="52" t="s">
        <v>369</v>
      </c>
      <c r="K85" s="6"/>
      <c r="L85" s="46"/>
    </row>
    <row x14ac:dyDescent="0.25" r="86" customHeight="1" ht="14.25" customFormat="1" s="1">
      <c r="A86" s="52" t="s">
        <v>302</v>
      </c>
      <c r="B86" s="53" t="s">
        <v>303</v>
      </c>
      <c r="C86" s="52" t="s">
        <v>364</v>
      </c>
      <c r="D86" s="53" t="s">
        <v>370</v>
      </c>
      <c r="E86" s="52" t="s">
        <v>135</v>
      </c>
      <c r="F86" s="24" t="s">
        <v>371</v>
      </c>
      <c r="G86" s="52" t="s">
        <v>123</v>
      </c>
      <c r="H86" s="52" t="s">
        <v>124</v>
      </c>
      <c r="I86" s="52" t="s">
        <v>123</v>
      </c>
      <c r="J86" s="52" t="s">
        <v>124</v>
      </c>
      <c r="K86" s="6"/>
      <c r="L86" s="46"/>
    </row>
    <row x14ac:dyDescent="0.25" r="87" customHeight="1" ht="14.25" customFormat="1" s="1">
      <c r="A87" s="52" t="s">
        <v>302</v>
      </c>
      <c r="B87" s="53" t="s">
        <v>303</v>
      </c>
      <c r="C87" s="52" t="s">
        <v>241</v>
      </c>
      <c r="D87" s="53" t="s">
        <v>372</v>
      </c>
      <c r="E87" s="52" t="s">
        <v>135</v>
      </c>
      <c r="F87" s="24" t="s">
        <v>373</v>
      </c>
      <c r="G87" s="52" t="s">
        <v>123</v>
      </c>
      <c r="H87" s="52" t="s">
        <v>124</v>
      </c>
      <c r="I87" s="52" t="s">
        <v>320</v>
      </c>
      <c r="J87" s="52" t="s">
        <v>373</v>
      </c>
      <c r="K87" s="6"/>
      <c r="L87" s="46"/>
    </row>
    <row x14ac:dyDescent="0.25" r="88" customHeight="1" ht="14.25" customFormat="1" s="1">
      <c r="A88" s="52" t="s">
        <v>302</v>
      </c>
      <c r="B88" s="53" t="s">
        <v>303</v>
      </c>
      <c r="C88" s="52" t="s">
        <v>241</v>
      </c>
      <c r="D88" s="53" t="s">
        <v>374</v>
      </c>
      <c r="E88" s="52" t="s">
        <v>135</v>
      </c>
      <c r="F88" s="24" t="s">
        <v>375</v>
      </c>
      <c r="G88" s="52" t="s">
        <v>123</v>
      </c>
      <c r="H88" s="52" t="s">
        <v>124</v>
      </c>
      <c r="I88" s="52" t="s">
        <v>135</v>
      </c>
      <c r="J88" s="52" t="s">
        <v>375</v>
      </c>
      <c r="K88" s="6"/>
      <c r="L88" s="46"/>
    </row>
    <row x14ac:dyDescent="0.25" r="89" customHeight="1" ht="14.25" customFormat="1" s="1">
      <c r="A89" s="52" t="s">
        <v>41</v>
      </c>
      <c r="B89" s="53" t="s">
        <v>376</v>
      </c>
      <c r="C89" s="53" t="s">
        <v>377</v>
      </c>
      <c r="D89" s="53" t="s">
        <v>378</v>
      </c>
      <c r="E89" s="53" t="s">
        <v>135</v>
      </c>
      <c r="F89" s="32" t="s">
        <v>379</v>
      </c>
      <c r="G89" s="53" t="s">
        <v>123</v>
      </c>
      <c r="H89" s="53" t="s">
        <v>124</v>
      </c>
      <c r="I89" s="53" t="s">
        <v>123</v>
      </c>
      <c r="J89" s="52" t="s">
        <v>124</v>
      </c>
      <c r="K89" s="6"/>
      <c r="L89" s="46"/>
    </row>
    <row x14ac:dyDescent="0.25" r="90" customHeight="1" ht="14.25" customFormat="1" s="1">
      <c r="A90" s="52" t="s">
        <v>380</v>
      </c>
      <c r="B90" s="53" t="s">
        <v>381</v>
      </c>
      <c r="C90" s="53" t="s">
        <v>382</v>
      </c>
      <c r="D90" s="53" t="s">
        <v>383</v>
      </c>
      <c r="E90" s="53" t="s">
        <v>135</v>
      </c>
      <c r="F90" s="32" t="s">
        <v>384</v>
      </c>
      <c r="G90" s="53" t="s">
        <v>123</v>
      </c>
      <c r="H90" s="53" t="s">
        <v>124</v>
      </c>
      <c r="I90" s="53" t="s">
        <v>221</v>
      </c>
      <c r="J90" s="32" t="s">
        <v>384</v>
      </c>
      <c r="K90" s="6"/>
      <c r="L90" s="46"/>
    </row>
    <row x14ac:dyDescent="0.25" r="91" customHeight="1" ht="14.25" customFormat="1" s="1">
      <c r="A91" s="52" t="s">
        <v>380</v>
      </c>
      <c r="B91" s="53" t="s">
        <v>381</v>
      </c>
      <c r="C91" s="53" t="s">
        <v>382</v>
      </c>
      <c r="D91" s="53" t="s">
        <v>385</v>
      </c>
      <c r="E91" s="53" t="s">
        <v>135</v>
      </c>
      <c r="F91" s="32" t="s">
        <v>386</v>
      </c>
      <c r="G91" s="53" t="s">
        <v>123</v>
      </c>
      <c r="H91" s="53" t="s">
        <v>124</v>
      </c>
      <c r="I91" s="53" t="s">
        <v>221</v>
      </c>
      <c r="J91" s="32" t="s">
        <v>386</v>
      </c>
      <c r="K91" s="6"/>
      <c r="L91" s="46"/>
    </row>
    <row x14ac:dyDescent="0.25" r="92" customHeight="1" ht="14.25" customFormat="1" s="1">
      <c r="A92" s="52" t="s">
        <v>380</v>
      </c>
      <c r="B92" s="53" t="s">
        <v>381</v>
      </c>
      <c r="C92" s="53" t="s">
        <v>387</v>
      </c>
      <c r="D92" s="53" t="s">
        <v>388</v>
      </c>
      <c r="E92" s="53" t="s">
        <v>135</v>
      </c>
      <c r="F92" s="32" t="s">
        <v>389</v>
      </c>
      <c r="G92" s="53" t="s">
        <v>123</v>
      </c>
      <c r="H92" s="53" t="s">
        <v>124</v>
      </c>
      <c r="I92" s="53" t="s">
        <v>123</v>
      </c>
      <c r="J92" s="52" t="s">
        <v>124</v>
      </c>
      <c r="K92" s="6"/>
      <c r="L92" s="46"/>
    </row>
    <row x14ac:dyDescent="0.25" r="93" customHeight="1" ht="14.25">
      <c r="A93" s="6"/>
      <c r="B93" s="6"/>
      <c r="C93" s="6"/>
      <c r="D93" s="6"/>
      <c r="E93" s="6"/>
      <c r="F93" s="6"/>
      <c r="G93" s="6"/>
      <c r="H93" s="6"/>
      <c r="I93" s="6"/>
      <c r="J93" s="6"/>
      <c r="K93" s="11"/>
      <c r="L93" s="26"/>
    </row>
    <row x14ac:dyDescent="0.25" r="94" customHeight="1" ht="14.25">
      <c r="A94" s="6"/>
      <c r="B94" s="6"/>
      <c r="C94" s="6"/>
      <c r="D94" s="6"/>
      <c r="E94" s="6"/>
      <c r="F94" s="6"/>
      <c r="G94" s="6"/>
      <c r="H94" s="6"/>
      <c r="I94" s="6"/>
      <c r="J94" s="6"/>
      <c r="K94" s="11"/>
      <c r="L94" s="26"/>
    </row>
    <row x14ac:dyDescent="0.25" r="95" customHeight="1" ht="14.25">
      <c r="A95" s="6"/>
      <c r="B95" s="6"/>
      <c r="C95" s="6"/>
      <c r="D95" s="6"/>
      <c r="E95" s="6"/>
      <c r="F95" s="6"/>
      <c r="G95" s="6"/>
      <c r="H95" s="6"/>
      <c r="I95" s="6"/>
      <c r="J95" s="6"/>
      <c r="K95" s="11"/>
      <c r="L95" s="26"/>
    </row>
    <row x14ac:dyDescent="0.25" r="96" customHeight="1" ht="14.25">
      <c r="A96" s="6"/>
      <c r="B96" s="6"/>
      <c r="C96" s="6"/>
      <c r="D96" s="6"/>
      <c r="E96" s="6"/>
      <c r="F96" s="6"/>
      <c r="G96" s="6"/>
      <c r="H96" s="6"/>
      <c r="I96" s="6"/>
      <c r="J96" s="6"/>
      <c r="K96" s="11"/>
      <c r="L96" s="26"/>
    </row>
    <row x14ac:dyDescent="0.25" r="97" customHeight="1" ht="14.25">
      <c r="A97" s="6"/>
      <c r="B97" s="6"/>
      <c r="C97" s="6"/>
      <c r="D97" s="6"/>
      <c r="E97" s="6"/>
      <c r="F97" s="6"/>
      <c r="G97" s="6"/>
      <c r="H97" s="6"/>
      <c r="I97" s="6"/>
      <c r="J97" s="6"/>
      <c r="K97" s="11"/>
      <c r="L97" s="26"/>
    </row>
    <row x14ac:dyDescent="0.25" r="98" customHeight="1" ht="14.25">
      <c r="A98" s="6"/>
      <c r="B98" s="6"/>
      <c r="C98" s="6"/>
      <c r="D98" s="6"/>
      <c r="E98" s="6"/>
      <c r="F98" s="6"/>
      <c r="G98" s="6"/>
      <c r="H98" s="6"/>
      <c r="I98" s="6"/>
      <c r="J98" s="6"/>
      <c r="K98" s="11"/>
      <c r="L98" s="26"/>
    </row>
    <row x14ac:dyDescent="0.25" r="99" customHeight="1" ht="14.25">
      <c r="A99" s="6"/>
      <c r="B99" s="6"/>
      <c r="C99" s="6"/>
      <c r="D99" s="6"/>
      <c r="E99" s="6"/>
      <c r="F99" s="6"/>
      <c r="G99" s="6"/>
      <c r="H99" s="6"/>
      <c r="I99" s="6"/>
      <c r="J99" s="6"/>
      <c r="K99" s="11"/>
      <c r="L99" s="26"/>
    </row>
    <row x14ac:dyDescent="0.25" r="100" customHeight="1" ht="14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11"/>
      <c r="L100" s="26"/>
    </row>
    <row x14ac:dyDescent="0.25" r="101" customHeight="1" ht="14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11"/>
      <c r="L101" s="26"/>
    </row>
    <row x14ac:dyDescent="0.25" r="102" customHeight="1" ht="14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11"/>
      <c r="L102" s="26"/>
    </row>
    <row x14ac:dyDescent="0.25" r="103" customHeight="1" ht="14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11"/>
      <c r="L103" s="26"/>
    </row>
    <row x14ac:dyDescent="0.25" r="104" customHeight="1" ht="14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11"/>
      <c r="L104" s="26"/>
    </row>
    <row x14ac:dyDescent="0.25" r="105" customHeight="1" ht="14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11"/>
      <c r="L105" s="26"/>
    </row>
    <row x14ac:dyDescent="0.25" r="106" customHeight="1" ht="14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11"/>
      <c r="L106" s="26"/>
    </row>
    <row x14ac:dyDescent="0.25" r="107" customHeight="1" ht="14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11"/>
      <c r="L107" s="26"/>
    </row>
    <row x14ac:dyDescent="0.25" r="108" customHeight="1" ht="14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11"/>
      <c r="L108" s="26"/>
    </row>
    <row x14ac:dyDescent="0.25" r="109" customHeight="1" ht="14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11"/>
      <c r="L109" s="26"/>
    </row>
    <row x14ac:dyDescent="0.25" r="110" customHeight="1" ht="14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11"/>
      <c r="L110" s="26"/>
    </row>
    <row x14ac:dyDescent="0.25" r="111" customHeight="1" ht="14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11"/>
      <c r="L111" s="26"/>
    </row>
    <row x14ac:dyDescent="0.25" r="112" customHeight="1" ht="14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11"/>
      <c r="L112" s="26"/>
    </row>
    <row x14ac:dyDescent="0.25" r="113" customHeight="1" ht="14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11"/>
      <c r="L113" s="26"/>
    </row>
    <row x14ac:dyDescent="0.25" r="114" customHeight="1" ht="14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11"/>
      <c r="L114" s="26"/>
    </row>
    <row x14ac:dyDescent="0.25" r="115" customHeight="1" ht="14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11"/>
      <c r="L115" s="26"/>
    </row>
    <row x14ac:dyDescent="0.25" r="116" customHeight="1" ht="14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11"/>
      <c r="L116" s="26"/>
    </row>
    <row x14ac:dyDescent="0.25" r="117" customHeight="1" ht="14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11"/>
      <c r="L117" s="26"/>
    </row>
    <row x14ac:dyDescent="0.25" r="118" customHeight="1" ht="14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11"/>
      <c r="L118" s="26"/>
    </row>
    <row x14ac:dyDescent="0.25" r="119" customHeight="1" ht="14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11"/>
      <c r="L119" s="26"/>
    </row>
    <row x14ac:dyDescent="0.25" r="120" customHeight="1" ht="14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11"/>
      <c r="L120" s="26"/>
    </row>
    <row x14ac:dyDescent="0.25" r="121" customHeight="1" ht="14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11"/>
      <c r="L121" s="26"/>
    </row>
    <row x14ac:dyDescent="0.25" r="122" customHeight="1" ht="14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11"/>
      <c r="L122" s="26"/>
    </row>
    <row x14ac:dyDescent="0.25" r="123" customHeight="1" ht="14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11"/>
      <c r="L123" s="26"/>
    </row>
    <row x14ac:dyDescent="0.25" r="124" customHeight="1" ht="14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11"/>
      <c r="L124" s="26"/>
    </row>
    <row x14ac:dyDescent="0.25" r="125" customHeight="1" ht="14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11"/>
      <c r="L125" s="26"/>
    </row>
    <row x14ac:dyDescent="0.25" r="126" customHeight="1" ht="14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11"/>
      <c r="L126" s="26"/>
    </row>
    <row x14ac:dyDescent="0.25" r="127" customHeight="1" ht="14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11"/>
      <c r="L127" s="26"/>
    </row>
    <row x14ac:dyDescent="0.25" r="128" customHeight="1" ht="14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11"/>
      <c r="L128" s="26"/>
    </row>
    <row x14ac:dyDescent="0.25" r="129" customHeight="1" ht="14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11"/>
      <c r="L129" s="26"/>
    </row>
    <row x14ac:dyDescent="0.25" r="130" customHeight="1" ht="14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11"/>
      <c r="L130" s="26"/>
    </row>
    <row x14ac:dyDescent="0.25" r="131" customHeight="1" ht="14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11"/>
      <c r="L131" s="26"/>
    </row>
    <row x14ac:dyDescent="0.25" r="132" customHeight="1" ht="14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11"/>
      <c r="L132" s="26"/>
    </row>
    <row x14ac:dyDescent="0.25" r="133" customHeight="1" ht="14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11"/>
      <c r="L133" s="26"/>
    </row>
    <row x14ac:dyDescent="0.25" r="134" customHeight="1" ht="14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11"/>
      <c r="L134" s="26"/>
    </row>
    <row x14ac:dyDescent="0.25" r="135" customHeight="1" ht="14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11"/>
      <c r="L135" s="26"/>
    </row>
    <row x14ac:dyDescent="0.25" r="136" customHeight="1" ht="14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11"/>
      <c r="L136" s="26"/>
    </row>
    <row x14ac:dyDescent="0.25" r="137" customHeight="1" ht="14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11"/>
      <c r="L137" s="26"/>
    </row>
    <row x14ac:dyDescent="0.25" r="138" customHeight="1" ht="14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11"/>
      <c r="L138" s="26"/>
    </row>
    <row x14ac:dyDescent="0.25" r="139" customHeight="1" ht="14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11"/>
      <c r="L139" s="26"/>
    </row>
    <row x14ac:dyDescent="0.25" r="140" customHeight="1" ht="14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11"/>
      <c r="L140" s="26"/>
    </row>
    <row x14ac:dyDescent="0.25" r="141" customHeight="1" ht="14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11"/>
      <c r="L141" s="26"/>
    </row>
    <row x14ac:dyDescent="0.25" r="142" customHeight="1" ht="14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11"/>
      <c r="L142" s="26"/>
    </row>
    <row x14ac:dyDescent="0.25" r="143" customHeight="1" ht="14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11"/>
      <c r="L143" s="26"/>
    </row>
    <row x14ac:dyDescent="0.25" r="144" customHeight="1" ht="14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11"/>
      <c r="L144" s="26"/>
    </row>
    <row x14ac:dyDescent="0.25" r="145" customHeight="1" ht="14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11"/>
      <c r="L145" s="26"/>
    </row>
    <row x14ac:dyDescent="0.25" r="146" customHeight="1" ht="14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11"/>
      <c r="L146" s="26"/>
    </row>
    <row x14ac:dyDescent="0.25" r="147" customHeight="1" ht="14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11"/>
      <c r="L147" s="26"/>
    </row>
    <row x14ac:dyDescent="0.25" r="148" customHeight="1" ht="14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11"/>
      <c r="L148" s="26"/>
    </row>
    <row x14ac:dyDescent="0.25" r="149" customHeight="1" ht="14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11"/>
      <c r="L149" s="26"/>
    </row>
    <row x14ac:dyDescent="0.25" r="150" customHeight="1" ht="14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11"/>
      <c r="L150" s="26"/>
    </row>
    <row x14ac:dyDescent="0.25" r="151" customHeight="1" ht="14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11"/>
      <c r="L151" s="26"/>
    </row>
    <row x14ac:dyDescent="0.25" r="152" customHeight="1" ht="14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11"/>
      <c r="L152" s="26"/>
    </row>
    <row x14ac:dyDescent="0.25" r="153" customHeight="1" ht="14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11"/>
      <c r="L153" s="26"/>
    </row>
    <row x14ac:dyDescent="0.25" r="154" customHeight="1" ht="14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11"/>
      <c r="L154" s="26"/>
    </row>
    <row x14ac:dyDescent="0.25" r="155" customHeight="1" ht="14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11"/>
      <c r="L155" s="26"/>
    </row>
    <row x14ac:dyDescent="0.25" r="156" customHeight="1" ht="14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11"/>
      <c r="L156" s="26"/>
    </row>
    <row x14ac:dyDescent="0.25" r="157" customHeight="1" ht="14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11"/>
      <c r="L157" s="26"/>
    </row>
    <row x14ac:dyDescent="0.25" r="158" customHeight="1" ht="14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11"/>
      <c r="L158" s="26"/>
    </row>
    <row x14ac:dyDescent="0.25" r="159" customHeight="1" ht="14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11"/>
      <c r="L159" s="26"/>
    </row>
    <row x14ac:dyDescent="0.25" r="160" customHeight="1" ht="14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11"/>
      <c r="L160" s="26"/>
    </row>
    <row x14ac:dyDescent="0.25" r="161" customHeight="1" ht="14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11"/>
      <c r="L161" s="26"/>
    </row>
    <row x14ac:dyDescent="0.25" r="162" customHeight="1" ht="14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11"/>
      <c r="L162" s="26"/>
    </row>
    <row x14ac:dyDescent="0.25" r="163" customHeight="1" ht="14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11"/>
      <c r="L163" s="26"/>
    </row>
    <row x14ac:dyDescent="0.25" r="164" customHeight="1" ht="14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11"/>
      <c r="L164" s="26"/>
    </row>
    <row x14ac:dyDescent="0.25" r="165" customHeight="1" ht="14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11"/>
      <c r="L165" s="26"/>
    </row>
    <row x14ac:dyDescent="0.25" r="166" customHeight="1" ht="14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11"/>
      <c r="L166" s="26"/>
    </row>
    <row x14ac:dyDescent="0.25" r="167" customHeight="1" ht="14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11"/>
      <c r="L167" s="26"/>
    </row>
    <row x14ac:dyDescent="0.25" r="168" customHeight="1" ht="14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11"/>
      <c r="L168" s="26"/>
    </row>
    <row x14ac:dyDescent="0.25" r="169" customHeight="1" ht="14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11"/>
      <c r="L169" s="26"/>
    </row>
    <row x14ac:dyDescent="0.25" r="170" customHeight="1" ht="14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11"/>
      <c r="L170" s="26"/>
    </row>
    <row x14ac:dyDescent="0.25" r="171" customHeight="1" ht="14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11"/>
      <c r="L171" s="26"/>
    </row>
    <row x14ac:dyDescent="0.25" r="172" customHeight="1" ht="14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11"/>
      <c r="L172" s="26"/>
    </row>
    <row x14ac:dyDescent="0.25" r="173" customHeight="1" ht="14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11"/>
      <c r="L173" s="26"/>
    </row>
    <row x14ac:dyDescent="0.25" r="174" customHeight="1" ht="14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11"/>
      <c r="L174" s="26"/>
    </row>
    <row x14ac:dyDescent="0.25" r="175" customHeight="1" ht="14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11"/>
      <c r="L175" s="26"/>
    </row>
    <row x14ac:dyDescent="0.25" r="176" customHeight="1" ht="14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11"/>
      <c r="L176" s="26"/>
    </row>
    <row x14ac:dyDescent="0.25" r="177" customHeight="1" ht="14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11"/>
      <c r="L177" s="26"/>
    </row>
    <row x14ac:dyDescent="0.25" r="178" customHeight="1" ht="14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11"/>
      <c r="L178" s="26"/>
    </row>
    <row x14ac:dyDescent="0.25" r="179" customHeight="1" ht="14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11"/>
      <c r="L179" s="26"/>
    </row>
    <row x14ac:dyDescent="0.25" r="180" customHeight="1" ht="14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11"/>
      <c r="L180" s="26"/>
    </row>
    <row x14ac:dyDescent="0.25" r="181" customHeight="1" ht="14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11"/>
      <c r="L181" s="26"/>
    </row>
    <row x14ac:dyDescent="0.25" r="182" customHeight="1" ht="14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11"/>
      <c r="L182" s="26"/>
    </row>
    <row x14ac:dyDescent="0.25" r="183" customHeight="1" ht="14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11"/>
      <c r="L183" s="26"/>
    </row>
    <row x14ac:dyDescent="0.25" r="184" customHeight="1" ht="14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11"/>
      <c r="L184" s="26"/>
    </row>
    <row x14ac:dyDescent="0.25" r="185" customHeight="1" ht="14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11"/>
      <c r="L185" s="26"/>
    </row>
    <row x14ac:dyDescent="0.25" r="186" customHeight="1" ht="14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11"/>
      <c r="L186" s="26"/>
    </row>
    <row x14ac:dyDescent="0.25" r="187" customHeight="1" ht="14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11"/>
      <c r="L187" s="26"/>
    </row>
    <row x14ac:dyDescent="0.25" r="188" customHeight="1" ht="14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11"/>
      <c r="L188" s="26"/>
    </row>
    <row x14ac:dyDescent="0.25" r="189" customHeight="1" ht="14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11"/>
      <c r="L189" s="26"/>
    </row>
    <row x14ac:dyDescent="0.25" r="190" customHeight="1" ht="14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11"/>
      <c r="L190" s="26"/>
    </row>
    <row x14ac:dyDescent="0.25" r="191" customHeight="1" ht="14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11"/>
      <c r="L191" s="26"/>
    </row>
    <row x14ac:dyDescent="0.25" r="192" customHeight="1" ht="14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11"/>
      <c r="L192" s="26"/>
    </row>
    <row x14ac:dyDescent="0.25" r="193" customHeight="1" ht="14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11"/>
      <c r="L193" s="26"/>
    </row>
    <row x14ac:dyDescent="0.25" r="194" customHeight="1" ht="14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11"/>
      <c r="L194" s="26"/>
    </row>
    <row x14ac:dyDescent="0.25" r="195" customHeight="1" ht="14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11"/>
      <c r="L195" s="26"/>
    </row>
    <row x14ac:dyDescent="0.25" r="196" customHeight="1" ht="14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11"/>
      <c r="L196" s="26"/>
    </row>
    <row x14ac:dyDescent="0.25" r="197" customHeight="1" ht="14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11"/>
      <c r="L197" s="26"/>
    </row>
    <row x14ac:dyDescent="0.25" r="198" customHeight="1" ht="14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11"/>
      <c r="L198" s="26"/>
    </row>
    <row x14ac:dyDescent="0.25" r="199" customHeight="1" ht="14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11"/>
      <c r="L199" s="26"/>
    </row>
    <row x14ac:dyDescent="0.25" r="200" customHeight="1" ht="14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11"/>
      <c r="L200" s="26"/>
    </row>
    <row x14ac:dyDescent="0.25" r="201" customHeight="1" ht="14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11"/>
      <c r="L201" s="26"/>
    </row>
    <row x14ac:dyDescent="0.25" r="202" customHeight="1" ht="14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11"/>
      <c r="L202" s="26"/>
    </row>
    <row x14ac:dyDescent="0.25" r="203" customHeight="1" ht="14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11"/>
      <c r="L203" s="26"/>
    </row>
    <row x14ac:dyDescent="0.25" r="204" customHeight="1" ht="14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11"/>
      <c r="L204" s="26"/>
    </row>
    <row x14ac:dyDescent="0.25" r="205" customHeight="1" ht="14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11"/>
      <c r="L205" s="26"/>
    </row>
    <row x14ac:dyDescent="0.25" r="206" customHeight="1" ht="14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11"/>
      <c r="L206" s="26"/>
    </row>
    <row x14ac:dyDescent="0.25" r="207" customHeight="1" ht="14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11"/>
      <c r="L207" s="26"/>
    </row>
    <row x14ac:dyDescent="0.25" r="208" customHeight="1" ht="14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11"/>
      <c r="L208" s="26"/>
    </row>
    <row x14ac:dyDescent="0.25" r="209" customHeight="1" ht="14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11"/>
      <c r="L209" s="26"/>
    </row>
    <row x14ac:dyDescent="0.25" r="210" customHeight="1" ht="14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11"/>
      <c r="L210" s="26"/>
    </row>
    <row x14ac:dyDescent="0.25" r="211" customHeight="1" ht="14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11"/>
      <c r="L211" s="26"/>
    </row>
    <row x14ac:dyDescent="0.25" r="212" customHeight="1" ht="14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11"/>
      <c r="L212" s="26"/>
    </row>
    <row x14ac:dyDescent="0.25" r="213" customHeight="1" ht="14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11"/>
      <c r="L213" s="26"/>
    </row>
    <row x14ac:dyDescent="0.25" r="214" customHeight="1" ht="14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11"/>
      <c r="L214" s="26"/>
    </row>
    <row x14ac:dyDescent="0.25" r="215" customHeight="1" ht="14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11"/>
      <c r="L215" s="26"/>
    </row>
    <row x14ac:dyDescent="0.25" r="216" customHeight="1" ht="14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11"/>
      <c r="L216" s="26"/>
    </row>
    <row x14ac:dyDescent="0.25" r="217" customHeight="1" ht="14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11"/>
      <c r="L217" s="26"/>
    </row>
    <row x14ac:dyDescent="0.25" r="218" customHeight="1" ht="14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11"/>
      <c r="L218" s="26"/>
    </row>
    <row x14ac:dyDescent="0.25" r="219" customHeight="1" ht="14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11"/>
      <c r="L219" s="26"/>
    </row>
    <row x14ac:dyDescent="0.25" r="220" customHeight="1" ht="14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11"/>
      <c r="L220" s="26"/>
    </row>
    <row x14ac:dyDescent="0.25" r="221" customHeight="1" ht="14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11"/>
      <c r="L221" s="26"/>
    </row>
    <row x14ac:dyDescent="0.25" r="222" customHeight="1" ht="14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11"/>
      <c r="L222" s="26"/>
    </row>
    <row x14ac:dyDescent="0.25" r="223" customHeight="1" ht="14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11"/>
      <c r="L223" s="26"/>
    </row>
    <row x14ac:dyDescent="0.25" r="224" customHeight="1" ht="14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11"/>
      <c r="L224" s="26"/>
    </row>
    <row x14ac:dyDescent="0.25" r="225" customHeight="1" ht="14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11"/>
      <c r="L225" s="26"/>
    </row>
    <row x14ac:dyDescent="0.25" r="226" customHeight="1" ht="14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11"/>
      <c r="L226" s="26"/>
    </row>
    <row x14ac:dyDescent="0.25" r="227" customHeight="1" ht="14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11"/>
      <c r="L227" s="26"/>
    </row>
    <row x14ac:dyDescent="0.25" r="228" customHeight="1" ht="14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11"/>
      <c r="L228" s="26"/>
    </row>
    <row x14ac:dyDescent="0.25" r="229" customHeight="1" ht="14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11"/>
      <c r="L229" s="26"/>
    </row>
    <row x14ac:dyDescent="0.25" r="230" customHeight="1" ht="14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11"/>
      <c r="L230" s="26"/>
    </row>
    <row x14ac:dyDescent="0.25" r="231" customHeight="1" ht="14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11"/>
      <c r="L231" s="26"/>
    </row>
    <row x14ac:dyDescent="0.25" r="232" customHeight="1" ht="14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11"/>
      <c r="L232" s="26"/>
    </row>
    <row x14ac:dyDescent="0.25" r="233" customHeight="1" ht="14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11"/>
      <c r="L233" s="26"/>
    </row>
    <row x14ac:dyDescent="0.25" r="234" customHeight="1" ht="14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11"/>
      <c r="L234" s="26"/>
    </row>
    <row x14ac:dyDescent="0.25" r="235" customHeight="1" ht="14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11"/>
      <c r="L235" s="26"/>
    </row>
    <row x14ac:dyDescent="0.25" r="236" customHeight="1" ht="14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11"/>
      <c r="L236" s="26"/>
    </row>
    <row x14ac:dyDescent="0.25" r="237" customHeight="1" ht="14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11"/>
      <c r="L237" s="26"/>
    </row>
    <row x14ac:dyDescent="0.25" r="238" customHeight="1" ht="14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11"/>
      <c r="L238" s="26"/>
    </row>
    <row x14ac:dyDescent="0.25" r="239" customHeight="1" ht="14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11"/>
      <c r="L239" s="26"/>
    </row>
    <row x14ac:dyDescent="0.25" r="240" customHeight="1" ht="14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11"/>
      <c r="L240" s="26"/>
    </row>
    <row x14ac:dyDescent="0.25" r="241" customHeight="1" ht="14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11"/>
      <c r="L241" s="26"/>
    </row>
    <row x14ac:dyDescent="0.25" r="242" customHeight="1" ht="14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11"/>
      <c r="L242" s="26"/>
    </row>
    <row x14ac:dyDescent="0.25" r="243" customHeight="1" ht="14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11"/>
      <c r="L243" s="26"/>
    </row>
    <row x14ac:dyDescent="0.25" r="244" customHeight="1" ht="14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11"/>
      <c r="L244" s="26"/>
    </row>
    <row x14ac:dyDescent="0.25" r="245" customHeight="1" ht="14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11"/>
      <c r="L245" s="26"/>
    </row>
    <row x14ac:dyDescent="0.25" r="246" customHeight="1" ht="14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11"/>
      <c r="L246" s="26"/>
    </row>
    <row x14ac:dyDescent="0.25" r="247" customHeight="1" ht="14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11"/>
      <c r="L247" s="26"/>
    </row>
    <row x14ac:dyDescent="0.25" r="248" customHeight="1" ht="14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11"/>
      <c r="L248" s="26"/>
    </row>
    <row x14ac:dyDescent="0.25" r="249" customHeight="1" ht="14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11"/>
      <c r="L249" s="26"/>
    </row>
    <row x14ac:dyDescent="0.25" r="250" customHeight="1" ht="14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11"/>
      <c r="L250" s="26"/>
    </row>
    <row x14ac:dyDescent="0.25" r="251" customHeight="1" ht="14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11"/>
      <c r="L251" s="26"/>
    </row>
    <row x14ac:dyDescent="0.25" r="252" customHeight="1" ht="14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11"/>
      <c r="L252" s="26"/>
    </row>
    <row x14ac:dyDescent="0.25" r="253" customHeight="1" ht="14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11"/>
      <c r="L253" s="26"/>
    </row>
    <row x14ac:dyDescent="0.25" r="254" customHeight="1" ht="14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11"/>
      <c r="L254" s="26"/>
    </row>
    <row x14ac:dyDescent="0.25" r="255" customHeight="1" ht="14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11"/>
      <c r="L255" s="26"/>
    </row>
    <row x14ac:dyDescent="0.25" r="256" customHeight="1" ht="14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11"/>
      <c r="L256" s="26"/>
    </row>
    <row x14ac:dyDescent="0.25" r="257" customHeight="1" ht="14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11"/>
      <c r="L257" s="26"/>
    </row>
    <row x14ac:dyDescent="0.25" r="258" customHeight="1" ht="14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11"/>
      <c r="L258" s="26"/>
    </row>
    <row x14ac:dyDescent="0.25" r="259" customHeight="1" ht="14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11"/>
      <c r="L259" s="26"/>
    </row>
    <row x14ac:dyDescent="0.25" r="260" customHeight="1" ht="14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11"/>
      <c r="L260" s="26"/>
    </row>
    <row x14ac:dyDescent="0.25" r="261" customHeight="1" ht="14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11"/>
      <c r="L261" s="26"/>
    </row>
    <row x14ac:dyDescent="0.25" r="262" customHeight="1" ht="14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11"/>
      <c r="L262" s="26"/>
    </row>
    <row x14ac:dyDescent="0.25" r="263" customHeight="1" ht="14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11"/>
      <c r="L263" s="26"/>
    </row>
    <row x14ac:dyDescent="0.25" r="264" customHeight="1" ht="14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11"/>
      <c r="L264" s="26"/>
    </row>
    <row x14ac:dyDescent="0.25" r="265" customHeight="1" ht="14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11"/>
      <c r="L265" s="26"/>
    </row>
    <row x14ac:dyDescent="0.25" r="266" customHeight="1" ht="14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11"/>
      <c r="L266" s="26"/>
    </row>
    <row x14ac:dyDescent="0.25" r="267" customHeight="1" ht="14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11"/>
      <c r="L267" s="26"/>
    </row>
    <row x14ac:dyDescent="0.25" r="268" customHeight="1" ht="14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11"/>
      <c r="L268" s="26"/>
    </row>
    <row x14ac:dyDescent="0.25" r="269" customHeight="1" ht="14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11"/>
      <c r="L269" s="26"/>
    </row>
    <row x14ac:dyDescent="0.25" r="270" customHeight="1" ht="14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11"/>
      <c r="L270" s="26"/>
    </row>
    <row x14ac:dyDescent="0.25" r="271" customHeight="1" ht="14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11"/>
      <c r="L271" s="26"/>
    </row>
    <row x14ac:dyDescent="0.25" r="272" customHeight="1" ht="14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11"/>
      <c r="L272" s="26"/>
    </row>
    <row x14ac:dyDescent="0.25" r="273" customHeight="1" ht="14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11"/>
      <c r="L273" s="26"/>
    </row>
    <row x14ac:dyDescent="0.25" r="274" customHeight="1" ht="14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11"/>
      <c r="L274" s="26"/>
    </row>
    <row x14ac:dyDescent="0.25" r="275" customHeight="1" ht="14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11"/>
      <c r="L275" s="26"/>
    </row>
    <row x14ac:dyDescent="0.25" r="276" customHeight="1" ht="14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11"/>
      <c r="L276" s="26"/>
    </row>
    <row x14ac:dyDescent="0.25" r="277" customHeight="1" ht="14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11"/>
      <c r="L277" s="26"/>
    </row>
    <row x14ac:dyDescent="0.25" r="278" customHeight="1" ht="14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11"/>
      <c r="L278" s="26"/>
    </row>
    <row x14ac:dyDescent="0.25" r="279" customHeight="1" ht="14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11"/>
      <c r="L279" s="26"/>
    </row>
    <row x14ac:dyDescent="0.25" r="280" customHeight="1" ht="14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11"/>
      <c r="L280" s="26"/>
    </row>
    <row x14ac:dyDescent="0.25" r="281" customHeight="1" ht="14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11"/>
      <c r="L281" s="26"/>
    </row>
    <row x14ac:dyDescent="0.25" r="282" customHeight="1" ht="14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11"/>
      <c r="L282" s="26"/>
    </row>
    <row x14ac:dyDescent="0.25" r="283" customHeight="1" ht="14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11"/>
      <c r="L283" s="26"/>
    </row>
    <row x14ac:dyDescent="0.25" r="284" customHeight="1" ht="14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11"/>
      <c r="L284" s="26"/>
    </row>
    <row x14ac:dyDescent="0.25" r="285" customHeight="1" ht="14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11"/>
      <c r="L285" s="26"/>
    </row>
    <row x14ac:dyDescent="0.25" r="286" customHeight="1" ht="14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11"/>
      <c r="L286" s="26"/>
    </row>
    <row x14ac:dyDescent="0.25" r="287" customHeight="1" ht="14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11"/>
      <c r="L287" s="26"/>
    </row>
    <row x14ac:dyDescent="0.25" r="288" customHeight="1" ht="14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11"/>
      <c r="L288" s="26"/>
    </row>
    <row x14ac:dyDescent="0.25" r="289" customHeight="1" ht="14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11"/>
      <c r="L289" s="26"/>
    </row>
    <row x14ac:dyDescent="0.25" r="290" customHeight="1" ht="14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11"/>
      <c r="L290" s="26"/>
    </row>
    <row x14ac:dyDescent="0.25" r="291" customHeight="1" ht="14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11"/>
      <c r="L291" s="26"/>
    </row>
    <row x14ac:dyDescent="0.25" r="292" customHeight="1" ht="14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11"/>
      <c r="L292" s="26"/>
    </row>
    <row x14ac:dyDescent="0.25" r="293" customHeight="1" ht="14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11"/>
      <c r="L293" s="26"/>
    </row>
    <row x14ac:dyDescent="0.25" r="294" customHeight="1" ht="14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11"/>
      <c r="L294" s="26"/>
    </row>
    <row x14ac:dyDescent="0.25" r="295" customHeight="1" ht="14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11"/>
      <c r="L295" s="26"/>
    </row>
    <row x14ac:dyDescent="0.25" r="296" customHeight="1" ht="14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11"/>
      <c r="L296" s="26"/>
    </row>
    <row x14ac:dyDescent="0.25" r="297" customHeight="1" ht="14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11"/>
      <c r="L297" s="26"/>
    </row>
    <row x14ac:dyDescent="0.25" r="298" customHeight="1" ht="14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11"/>
      <c r="L298" s="26"/>
    </row>
    <row x14ac:dyDescent="0.25" r="299" customHeight="1" ht="14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11"/>
      <c r="L299" s="26"/>
    </row>
    <row x14ac:dyDescent="0.25" r="300" customHeight="1" ht="14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11"/>
      <c r="L300" s="26"/>
    </row>
    <row x14ac:dyDescent="0.25" r="301" customHeight="1" ht="14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11"/>
      <c r="L301" s="26"/>
    </row>
    <row x14ac:dyDescent="0.25" r="302" customHeight="1" ht="14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11"/>
      <c r="L302" s="26"/>
    </row>
    <row x14ac:dyDescent="0.25" r="303" customHeight="1" ht="14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11"/>
      <c r="L303" s="26"/>
    </row>
    <row x14ac:dyDescent="0.25" r="304" customHeight="1" ht="14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11"/>
      <c r="L304" s="26"/>
    </row>
    <row x14ac:dyDescent="0.25" r="305" customHeight="1" ht="14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11"/>
      <c r="L305" s="26"/>
    </row>
    <row x14ac:dyDescent="0.25" r="306" customHeight="1" ht="14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11"/>
      <c r="L306" s="26"/>
    </row>
    <row x14ac:dyDescent="0.25" r="307" customHeight="1" ht="14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11"/>
      <c r="L307" s="26"/>
    </row>
    <row x14ac:dyDescent="0.25" r="308" customHeight="1" ht="14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11"/>
      <c r="L308" s="26"/>
    </row>
    <row x14ac:dyDescent="0.25" r="309" customHeight="1" ht="14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11"/>
      <c r="L309" s="26"/>
    </row>
    <row x14ac:dyDescent="0.25" r="310" customHeight="1" ht="14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11"/>
      <c r="L310" s="26"/>
    </row>
    <row x14ac:dyDescent="0.25" r="311" customHeight="1" ht="14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11"/>
      <c r="L311" s="26"/>
    </row>
    <row x14ac:dyDescent="0.25" r="312" customHeight="1" ht="14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11"/>
      <c r="L312" s="26"/>
    </row>
    <row x14ac:dyDescent="0.25" r="313" customHeight="1" ht="14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11"/>
      <c r="L313" s="26"/>
    </row>
    <row x14ac:dyDescent="0.25" r="314" customHeight="1" ht="14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11"/>
      <c r="L314" s="26"/>
    </row>
    <row x14ac:dyDescent="0.25" r="315" customHeight="1" ht="14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11"/>
      <c r="L315" s="26"/>
    </row>
    <row x14ac:dyDescent="0.25" r="316" customHeight="1" ht="14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11"/>
      <c r="L316" s="26"/>
    </row>
    <row x14ac:dyDescent="0.25" r="317" customHeight="1" ht="14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11"/>
      <c r="L317" s="26"/>
    </row>
    <row x14ac:dyDescent="0.25" r="318" customHeight="1" ht="14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11"/>
      <c r="L318" s="26"/>
    </row>
    <row x14ac:dyDescent="0.25" r="319" customHeight="1" ht="14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11"/>
      <c r="L319" s="26"/>
    </row>
    <row x14ac:dyDescent="0.25" r="320" customHeight="1" ht="14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11"/>
      <c r="L320" s="26"/>
    </row>
    <row x14ac:dyDescent="0.25" r="321" customHeight="1" ht="14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11"/>
      <c r="L321" s="26"/>
    </row>
    <row x14ac:dyDescent="0.25" r="322" customHeight="1" ht="14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11"/>
      <c r="L322" s="26"/>
    </row>
    <row x14ac:dyDescent="0.25" r="323" customHeight="1" ht="14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11"/>
      <c r="L323" s="26"/>
    </row>
    <row x14ac:dyDescent="0.25" r="324" customHeight="1" ht="14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11"/>
      <c r="L324" s="26"/>
    </row>
    <row x14ac:dyDescent="0.25" r="325" customHeight="1" ht="14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11"/>
      <c r="L325" s="26"/>
    </row>
    <row x14ac:dyDescent="0.25" r="326" customHeight="1" ht="14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11"/>
      <c r="L326" s="26"/>
    </row>
    <row x14ac:dyDescent="0.25" r="327" customHeight="1" ht="14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11"/>
      <c r="L327" s="26"/>
    </row>
    <row x14ac:dyDescent="0.25" r="328" customHeight="1" ht="14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11"/>
      <c r="L328" s="26"/>
    </row>
    <row x14ac:dyDescent="0.25" r="329" customHeight="1" ht="14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11"/>
      <c r="L329" s="26"/>
    </row>
    <row x14ac:dyDescent="0.25" r="330" customHeight="1" ht="14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11"/>
      <c r="L330" s="26"/>
    </row>
    <row x14ac:dyDescent="0.25" r="331" customHeight="1" ht="14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11"/>
      <c r="L331" s="26"/>
    </row>
    <row x14ac:dyDescent="0.25" r="332" customHeight="1" ht="14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11"/>
      <c r="L332" s="26"/>
    </row>
    <row x14ac:dyDescent="0.25" r="333" customHeight="1" ht="14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11"/>
      <c r="L333" s="26"/>
    </row>
    <row x14ac:dyDescent="0.25" r="334" customHeight="1" ht="14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11"/>
      <c r="L334" s="26"/>
    </row>
    <row x14ac:dyDescent="0.25" r="335" customHeight="1" ht="14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11"/>
      <c r="L335" s="26"/>
    </row>
    <row x14ac:dyDescent="0.25" r="336" customHeight="1" ht="14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11"/>
      <c r="L336" s="26"/>
    </row>
    <row x14ac:dyDescent="0.25" r="337" customHeight="1" ht="14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11"/>
      <c r="L337" s="26"/>
    </row>
    <row x14ac:dyDescent="0.25" r="338" customHeight="1" ht="14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11"/>
      <c r="L338" s="26"/>
    </row>
    <row x14ac:dyDescent="0.25" r="339" customHeight="1" ht="14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11"/>
      <c r="L339" s="26"/>
    </row>
    <row x14ac:dyDescent="0.25" r="340" customHeight="1" ht="14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11"/>
      <c r="L340" s="26"/>
    </row>
    <row x14ac:dyDescent="0.25" r="341" customHeight="1" ht="14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11"/>
      <c r="L341" s="26"/>
    </row>
    <row x14ac:dyDescent="0.25" r="342" customHeight="1" ht="14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11"/>
      <c r="L342" s="26"/>
    </row>
    <row x14ac:dyDescent="0.25" r="343" customHeight="1" ht="14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11"/>
      <c r="L343" s="26"/>
    </row>
    <row x14ac:dyDescent="0.25" r="344" customHeight="1" ht="14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11"/>
      <c r="L344" s="26"/>
    </row>
    <row x14ac:dyDescent="0.25" r="345" customHeight="1" ht="14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11"/>
      <c r="L345" s="26"/>
    </row>
    <row x14ac:dyDescent="0.25" r="346" customHeight="1" ht="14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11"/>
      <c r="L346" s="26"/>
    </row>
    <row x14ac:dyDescent="0.25" r="347" customHeight="1" ht="14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11"/>
      <c r="L347" s="26"/>
    </row>
    <row x14ac:dyDescent="0.25" r="348" customHeight="1" ht="14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11"/>
      <c r="L348" s="26"/>
    </row>
    <row x14ac:dyDescent="0.25" r="349" customHeight="1" ht="14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11"/>
      <c r="L349" s="26"/>
    </row>
    <row x14ac:dyDescent="0.25" r="350" customHeight="1" ht="14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11"/>
      <c r="L350" s="26"/>
    </row>
    <row x14ac:dyDescent="0.25" r="351" customHeight="1" ht="14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11"/>
      <c r="L351" s="26"/>
    </row>
    <row x14ac:dyDescent="0.25" r="352" customHeight="1" ht="14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11"/>
      <c r="L352" s="26"/>
    </row>
    <row x14ac:dyDescent="0.25" r="353" customHeight="1" ht="14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11"/>
      <c r="L353" s="26"/>
    </row>
    <row x14ac:dyDescent="0.25" r="354" customHeight="1" ht="14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11"/>
      <c r="L354" s="26"/>
    </row>
    <row x14ac:dyDescent="0.25" r="355" customHeight="1" ht="14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11"/>
      <c r="L355" s="26"/>
    </row>
    <row x14ac:dyDescent="0.25" r="356" customHeight="1" ht="14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11"/>
      <c r="L356" s="26"/>
    </row>
    <row x14ac:dyDescent="0.25" r="357" customHeight="1" ht="14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11"/>
      <c r="L357" s="26"/>
    </row>
    <row x14ac:dyDescent="0.25" r="358" customHeight="1" ht="14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11"/>
      <c r="L358" s="26"/>
    </row>
    <row x14ac:dyDescent="0.25" r="359" customHeight="1" ht="14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11"/>
      <c r="L359" s="26"/>
    </row>
    <row x14ac:dyDescent="0.25" r="360" customHeight="1" ht="14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11"/>
      <c r="L360" s="26"/>
    </row>
    <row x14ac:dyDescent="0.25" r="361" customHeight="1" ht="14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11"/>
      <c r="L361" s="26"/>
    </row>
    <row x14ac:dyDescent="0.25" r="362" customHeight="1" ht="14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11"/>
      <c r="L362" s="26"/>
    </row>
    <row x14ac:dyDescent="0.25" r="363" customHeight="1" ht="14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11"/>
      <c r="L363" s="26"/>
    </row>
    <row x14ac:dyDescent="0.25" r="364" customHeight="1" ht="14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11"/>
      <c r="L364" s="26"/>
    </row>
    <row x14ac:dyDescent="0.25" r="365" customHeight="1" ht="14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11"/>
      <c r="L365" s="26"/>
    </row>
    <row x14ac:dyDescent="0.25" r="366" customHeight="1" ht="14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11"/>
      <c r="L366" s="26"/>
    </row>
    <row x14ac:dyDescent="0.25" r="367" customHeight="1" ht="14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11"/>
      <c r="L367" s="26"/>
    </row>
    <row x14ac:dyDescent="0.25" r="368" customHeight="1" ht="14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11"/>
      <c r="L368" s="26"/>
    </row>
    <row x14ac:dyDescent="0.25" r="369" customHeight="1" ht="14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11"/>
      <c r="L369" s="26"/>
    </row>
    <row x14ac:dyDescent="0.25" r="370" customHeight="1" ht="14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11"/>
      <c r="L370" s="26"/>
    </row>
    <row x14ac:dyDescent="0.25" r="371" customHeight="1" ht="14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11"/>
      <c r="L371" s="26"/>
    </row>
    <row x14ac:dyDescent="0.25" r="372" customHeight="1" ht="14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11"/>
      <c r="L372" s="26"/>
    </row>
    <row x14ac:dyDescent="0.25" r="373" customHeight="1" ht="14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11"/>
      <c r="L373" s="26"/>
    </row>
    <row x14ac:dyDescent="0.25" r="374" customHeight="1" ht="14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11"/>
      <c r="L374" s="26"/>
    </row>
    <row x14ac:dyDescent="0.25" r="375" customHeight="1" ht="14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11"/>
      <c r="L375" s="26"/>
    </row>
    <row x14ac:dyDescent="0.25" r="376" customHeight="1" ht="14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11"/>
      <c r="L376" s="26"/>
    </row>
    <row x14ac:dyDescent="0.25" r="377" customHeight="1" ht="14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11"/>
      <c r="L377" s="26"/>
    </row>
    <row x14ac:dyDescent="0.25" r="378" customHeight="1" ht="14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11"/>
      <c r="L378" s="26"/>
    </row>
    <row x14ac:dyDescent="0.25" r="379" customHeight="1" ht="14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11"/>
      <c r="L379" s="26"/>
    </row>
    <row x14ac:dyDescent="0.25" r="380" customHeight="1" ht="14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11"/>
      <c r="L380" s="26"/>
    </row>
    <row x14ac:dyDescent="0.25" r="381" customHeight="1" ht="14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11"/>
      <c r="L381" s="26"/>
    </row>
    <row x14ac:dyDescent="0.25" r="382" customHeight="1" ht="14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11"/>
      <c r="L382" s="26"/>
    </row>
    <row x14ac:dyDescent="0.25" r="383" customHeight="1" ht="14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11"/>
      <c r="L383" s="26"/>
    </row>
    <row x14ac:dyDescent="0.25" r="384" customHeight="1" ht="14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11"/>
      <c r="L384" s="26"/>
    </row>
    <row x14ac:dyDescent="0.25" r="385" customHeight="1" ht="14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11"/>
      <c r="L385" s="26"/>
    </row>
    <row x14ac:dyDescent="0.25" r="386" customHeight="1" ht="14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11"/>
      <c r="L386" s="26"/>
    </row>
    <row x14ac:dyDescent="0.25" r="387" customHeight="1" ht="14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11"/>
      <c r="L387" s="26"/>
    </row>
    <row x14ac:dyDescent="0.25" r="388" customHeight="1" ht="14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11"/>
      <c r="L388" s="26"/>
    </row>
    <row x14ac:dyDescent="0.25" r="389" customHeight="1" ht="14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11"/>
      <c r="L389" s="26"/>
    </row>
    <row x14ac:dyDescent="0.25" r="390" customHeight="1" ht="14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11"/>
      <c r="L390" s="26"/>
    </row>
    <row x14ac:dyDescent="0.25" r="391" customHeight="1" ht="14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11"/>
      <c r="L391" s="26"/>
    </row>
    <row x14ac:dyDescent="0.25" r="392" customHeight="1" ht="14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11"/>
      <c r="L392" s="26"/>
    </row>
    <row x14ac:dyDescent="0.25" r="393" customHeight="1" ht="14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11"/>
      <c r="L393" s="26"/>
    </row>
    <row x14ac:dyDescent="0.25" r="394" customHeight="1" ht="14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11"/>
      <c r="L394" s="26"/>
    </row>
    <row x14ac:dyDescent="0.25" r="395" customHeight="1" ht="14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11"/>
      <c r="L395" s="26"/>
    </row>
    <row x14ac:dyDescent="0.25" r="396" customHeight="1" ht="14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11"/>
      <c r="L396" s="26"/>
    </row>
    <row x14ac:dyDescent="0.25" r="397" customHeight="1" ht="14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11"/>
      <c r="L397" s="26"/>
    </row>
    <row x14ac:dyDescent="0.25" r="398" customHeight="1" ht="14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11"/>
      <c r="L398" s="26"/>
    </row>
    <row x14ac:dyDescent="0.25" r="399" customHeight="1" ht="14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11"/>
      <c r="L399" s="26"/>
    </row>
    <row x14ac:dyDescent="0.25" r="400" customHeight="1" ht="14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11"/>
      <c r="L400" s="26"/>
    </row>
    <row x14ac:dyDescent="0.25" r="401" customHeight="1" ht="14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11"/>
      <c r="L401" s="26"/>
    </row>
    <row x14ac:dyDescent="0.25" r="402" customHeight="1" ht="14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11"/>
      <c r="L402" s="26"/>
    </row>
    <row x14ac:dyDescent="0.25" r="403" customHeight="1" ht="14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11"/>
      <c r="L403" s="26"/>
    </row>
    <row x14ac:dyDescent="0.25" r="404" customHeight="1" ht="14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11"/>
      <c r="L404" s="26"/>
    </row>
    <row x14ac:dyDescent="0.25" r="405" customHeight="1" ht="14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11"/>
      <c r="L405" s="26"/>
    </row>
    <row x14ac:dyDescent="0.25" r="406" customHeight="1" ht="14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11"/>
      <c r="L406" s="26"/>
    </row>
    <row x14ac:dyDescent="0.25" r="407" customHeight="1" ht="14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11"/>
      <c r="L407" s="26"/>
    </row>
    <row x14ac:dyDescent="0.25" r="408" customHeight="1" ht="14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11"/>
      <c r="L408" s="26"/>
    </row>
    <row x14ac:dyDescent="0.25" r="409" customHeight="1" ht="14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11"/>
      <c r="L409" s="26"/>
    </row>
    <row x14ac:dyDescent="0.25" r="410" customHeight="1" ht="14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11"/>
      <c r="L410" s="26"/>
    </row>
    <row x14ac:dyDescent="0.25" r="411" customHeight="1" ht="14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11"/>
      <c r="L411" s="26"/>
    </row>
    <row x14ac:dyDescent="0.25" r="412" customHeight="1" ht="14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11"/>
      <c r="L412" s="26"/>
    </row>
    <row x14ac:dyDescent="0.25" r="413" customHeight="1" ht="14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11"/>
      <c r="L413" s="26"/>
    </row>
    <row x14ac:dyDescent="0.25" r="414" customHeight="1" ht="14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11"/>
      <c r="L414" s="26"/>
    </row>
    <row x14ac:dyDescent="0.25" r="415" customHeight="1" ht="14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11"/>
      <c r="L415" s="26"/>
    </row>
    <row x14ac:dyDescent="0.25" r="416" customHeight="1" ht="14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11"/>
      <c r="L416" s="26"/>
    </row>
    <row x14ac:dyDescent="0.25" r="417" customHeight="1" ht="14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11"/>
      <c r="L417" s="26"/>
    </row>
    <row x14ac:dyDescent="0.25" r="418" customHeight="1" ht="14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11"/>
      <c r="L418" s="26"/>
    </row>
    <row x14ac:dyDescent="0.25" r="419" customHeight="1" ht="14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11"/>
      <c r="L419" s="26"/>
    </row>
    <row x14ac:dyDescent="0.25" r="420" customHeight="1" ht="14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11"/>
      <c r="L420" s="26"/>
    </row>
    <row x14ac:dyDescent="0.25" r="421" customHeight="1" ht="14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11"/>
      <c r="L421" s="26"/>
    </row>
    <row x14ac:dyDescent="0.25" r="422" customHeight="1" ht="14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11"/>
      <c r="L422" s="26"/>
    </row>
    <row x14ac:dyDescent="0.25" r="423" customHeight="1" ht="14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11"/>
      <c r="L423" s="26"/>
    </row>
    <row x14ac:dyDescent="0.25" r="424" customHeight="1" ht="14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11"/>
      <c r="L424" s="26"/>
    </row>
    <row x14ac:dyDescent="0.25" r="425" customHeight="1" ht="14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11"/>
      <c r="L425" s="26"/>
    </row>
    <row x14ac:dyDescent="0.25" r="426" customHeight="1" ht="14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11"/>
      <c r="L426" s="26"/>
    </row>
    <row x14ac:dyDescent="0.25" r="427" customHeight="1" ht="14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11"/>
      <c r="L427" s="26"/>
    </row>
    <row x14ac:dyDescent="0.25" r="428" customHeight="1" ht="14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11"/>
      <c r="L428" s="26"/>
    </row>
    <row x14ac:dyDescent="0.25" r="429" customHeight="1" ht="14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11"/>
      <c r="L429" s="26"/>
    </row>
    <row x14ac:dyDescent="0.25" r="430" customHeight="1" ht="14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11"/>
      <c r="L430" s="26"/>
    </row>
    <row x14ac:dyDescent="0.25" r="431" customHeight="1" ht="14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11"/>
      <c r="L431" s="26"/>
    </row>
    <row x14ac:dyDescent="0.25" r="432" customHeight="1" ht="14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11"/>
      <c r="L432" s="26"/>
    </row>
    <row x14ac:dyDescent="0.25" r="433" customHeight="1" ht="14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11"/>
      <c r="L433" s="26"/>
    </row>
    <row x14ac:dyDescent="0.25" r="434" customHeight="1" ht="14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11"/>
      <c r="L434" s="26"/>
    </row>
    <row x14ac:dyDescent="0.25" r="435" customHeight="1" ht="14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11"/>
      <c r="L435" s="26"/>
    </row>
    <row x14ac:dyDescent="0.25" r="436" customHeight="1" ht="14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11"/>
      <c r="L436" s="26"/>
    </row>
    <row x14ac:dyDescent="0.25" r="437" customHeight="1" ht="14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11"/>
      <c r="L437" s="26"/>
    </row>
    <row x14ac:dyDescent="0.25" r="438" customHeight="1" ht="14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11"/>
      <c r="L438" s="26"/>
    </row>
    <row x14ac:dyDescent="0.25" r="439" customHeight="1" ht="14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11"/>
      <c r="L439" s="26"/>
    </row>
    <row x14ac:dyDescent="0.25" r="440" customHeight="1" ht="14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11"/>
      <c r="L440" s="26"/>
    </row>
    <row x14ac:dyDescent="0.25" r="441" customHeight="1" ht="14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11"/>
      <c r="L441" s="26"/>
    </row>
    <row x14ac:dyDescent="0.25" r="442" customHeight="1" ht="14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11"/>
      <c r="L442" s="26"/>
    </row>
    <row x14ac:dyDescent="0.25" r="443" customHeight="1" ht="14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11"/>
      <c r="L443" s="26"/>
    </row>
    <row x14ac:dyDescent="0.25" r="444" customHeight="1" ht="14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11"/>
      <c r="L444" s="26"/>
    </row>
    <row x14ac:dyDescent="0.25" r="445" customHeight="1" ht="14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11"/>
      <c r="L445" s="26"/>
    </row>
    <row x14ac:dyDescent="0.25" r="446" customHeight="1" ht="14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11"/>
      <c r="L446" s="26"/>
    </row>
    <row x14ac:dyDescent="0.25" r="447" customHeight="1" ht="14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11"/>
      <c r="L447" s="26"/>
    </row>
    <row x14ac:dyDescent="0.25" r="448" customHeight="1" ht="14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11"/>
      <c r="L448" s="26"/>
    </row>
    <row x14ac:dyDescent="0.25" r="449" customHeight="1" ht="14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11"/>
      <c r="L449" s="26"/>
    </row>
    <row x14ac:dyDescent="0.25" r="450" customHeight="1" ht="14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11"/>
      <c r="L450" s="26"/>
    </row>
    <row x14ac:dyDescent="0.25" r="451" customHeight="1" ht="14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11"/>
      <c r="L451" s="26"/>
    </row>
    <row x14ac:dyDescent="0.25" r="452" customHeight="1" ht="14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11"/>
      <c r="L452" s="26"/>
    </row>
    <row x14ac:dyDescent="0.25" r="453" customHeight="1" ht="14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11"/>
      <c r="L453" s="26"/>
    </row>
    <row x14ac:dyDescent="0.25" r="454" customHeight="1" ht="14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11"/>
      <c r="L454" s="26"/>
    </row>
    <row x14ac:dyDescent="0.25" r="455" customHeight="1" ht="14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11"/>
      <c r="L455" s="26"/>
    </row>
    <row x14ac:dyDescent="0.25" r="456" customHeight="1" ht="14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11"/>
      <c r="L456" s="26"/>
    </row>
    <row x14ac:dyDescent="0.25" r="457" customHeight="1" ht="14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11"/>
      <c r="L457" s="26"/>
    </row>
    <row x14ac:dyDescent="0.25" r="458" customHeight="1" ht="14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11"/>
      <c r="L458" s="26"/>
    </row>
    <row x14ac:dyDescent="0.25" r="459" customHeight="1" ht="14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11"/>
      <c r="L459" s="26"/>
    </row>
    <row x14ac:dyDescent="0.25" r="460" customHeight="1" ht="14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11"/>
      <c r="L460" s="26"/>
    </row>
    <row x14ac:dyDescent="0.25" r="461" customHeight="1" ht="14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11"/>
      <c r="L461" s="26"/>
    </row>
    <row x14ac:dyDescent="0.25" r="462" customHeight="1" ht="14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11"/>
      <c r="L462" s="26"/>
    </row>
    <row x14ac:dyDescent="0.25" r="463" customHeight="1" ht="14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11"/>
      <c r="L463" s="26"/>
    </row>
    <row x14ac:dyDescent="0.25" r="464" customHeight="1" ht="14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11"/>
      <c r="L464" s="26"/>
    </row>
    <row x14ac:dyDescent="0.25" r="465" customHeight="1" ht="14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11"/>
      <c r="L465" s="26"/>
    </row>
    <row x14ac:dyDescent="0.25" r="466" customHeight="1" ht="14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11"/>
      <c r="L466" s="26"/>
    </row>
    <row x14ac:dyDescent="0.25" r="467" customHeight="1" ht="14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11"/>
      <c r="L467" s="26"/>
    </row>
    <row x14ac:dyDescent="0.25" r="468" customHeight="1" ht="14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11"/>
      <c r="L468" s="26"/>
    </row>
    <row x14ac:dyDescent="0.25" r="469" customHeight="1" ht="14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11"/>
      <c r="L469" s="26"/>
    </row>
    <row x14ac:dyDescent="0.25" r="470" customHeight="1" ht="14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11"/>
      <c r="L470" s="26"/>
    </row>
    <row x14ac:dyDescent="0.25" r="471" customHeight="1" ht="14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11"/>
      <c r="L471" s="26"/>
    </row>
    <row x14ac:dyDescent="0.25" r="472" customHeight="1" ht="14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11"/>
      <c r="L472" s="26"/>
    </row>
    <row x14ac:dyDescent="0.25" r="473" customHeight="1" ht="14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11"/>
      <c r="L473" s="26"/>
    </row>
    <row x14ac:dyDescent="0.25" r="474" customHeight="1" ht="14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11"/>
      <c r="L474" s="26"/>
    </row>
    <row x14ac:dyDescent="0.25" r="475" customHeight="1" ht="14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11"/>
      <c r="L475" s="26"/>
    </row>
    <row x14ac:dyDescent="0.25" r="476" customHeight="1" ht="14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11"/>
      <c r="L476" s="26"/>
    </row>
    <row x14ac:dyDescent="0.25" r="477" customHeight="1" ht="14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11"/>
      <c r="L477" s="26"/>
    </row>
    <row x14ac:dyDescent="0.25" r="478" customHeight="1" ht="14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11"/>
      <c r="L478" s="26"/>
    </row>
    <row x14ac:dyDescent="0.25" r="479" customHeight="1" ht="14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11"/>
      <c r="L479" s="26"/>
    </row>
    <row x14ac:dyDescent="0.25" r="480" customHeight="1" ht="14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11"/>
      <c r="L480" s="26"/>
    </row>
    <row x14ac:dyDescent="0.25" r="481" customHeight="1" ht="14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11"/>
      <c r="L481" s="26"/>
    </row>
    <row x14ac:dyDescent="0.25" r="482" customHeight="1" ht="14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11"/>
      <c r="L482" s="26"/>
    </row>
    <row x14ac:dyDescent="0.25" r="483" customHeight="1" ht="14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11"/>
      <c r="L483" s="26"/>
    </row>
    <row x14ac:dyDescent="0.25" r="484" customHeight="1" ht="14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11"/>
      <c r="L484" s="26"/>
    </row>
    <row x14ac:dyDescent="0.25" r="485" customHeight="1" ht="14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11"/>
      <c r="L485" s="26"/>
    </row>
    <row x14ac:dyDescent="0.25" r="486" customHeight="1" ht="14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11"/>
      <c r="L486" s="26"/>
    </row>
    <row x14ac:dyDescent="0.25" r="487" customHeight="1" ht="14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11"/>
      <c r="L487" s="26"/>
    </row>
    <row x14ac:dyDescent="0.25" r="488" customHeight="1" ht="14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11"/>
      <c r="L488" s="26"/>
    </row>
    <row x14ac:dyDescent="0.25" r="489" customHeight="1" ht="14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11"/>
      <c r="L489" s="26"/>
    </row>
    <row x14ac:dyDescent="0.25" r="490" customHeight="1" ht="14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11"/>
      <c r="L490" s="26"/>
    </row>
    <row x14ac:dyDescent="0.25" r="491" customHeight="1" ht="14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11"/>
      <c r="L491" s="26"/>
    </row>
    <row x14ac:dyDescent="0.25" r="492" customHeight="1" ht="14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11"/>
      <c r="L492" s="26"/>
    </row>
    <row x14ac:dyDescent="0.25" r="493" customHeight="1" ht="14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11"/>
      <c r="L493" s="26"/>
    </row>
    <row x14ac:dyDescent="0.25" r="494" customHeight="1" ht="14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11"/>
      <c r="L494" s="26"/>
    </row>
    <row x14ac:dyDescent="0.25" r="495" customHeight="1" ht="14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11"/>
      <c r="L495" s="26"/>
    </row>
    <row x14ac:dyDescent="0.25" r="496" customHeight="1" ht="14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11"/>
      <c r="L496" s="26"/>
    </row>
    <row x14ac:dyDescent="0.25" r="497" customHeight="1" ht="14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11"/>
      <c r="L497" s="26"/>
    </row>
    <row x14ac:dyDescent="0.25" r="498" customHeight="1" ht="14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11"/>
      <c r="L498" s="26"/>
    </row>
    <row x14ac:dyDescent="0.25" r="499" customHeight="1" ht="14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11"/>
      <c r="L499" s="26"/>
    </row>
    <row x14ac:dyDescent="0.25" r="500" customHeight="1" ht="14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11"/>
      <c r="L500" s="26"/>
    </row>
    <row x14ac:dyDescent="0.25" r="501" customHeight="1" ht="14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11"/>
      <c r="L501" s="26"/>
    </row>
    <row x14ac:dyDescent="0.25" r="502" customHeight="1" ht="14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11"/>
      <c r="L502" s="26"/>
    </row>
    <row x14ac:dyDescent="0.25" r="503" customHeight="1" ht="14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11"/>
      <c r="L503" s="26"/>
    </row>
    <row x14ac:dyDescent="0.25" r="504" customHeight="1" ht="14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11"/>
      <c r="L504" s="26"/>
    </row>
    <row x14ac:dyDescent="0.25" r="505" customHeight="1" ht="14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11"/>
      <c r="L505" s="26"/>
    </row>
    <row x14ac:dyDescent="0.25" r="506" customHeight="1" ht="14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11"/>
      <c r="L506" s="26"/>
    </row>
    <row x14ac:dyDescent="0.25" r="507" customHeight="1" ht="14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11"/>
      <c r="L507" s="26"/>
    </row>
    <row x14ac:dyDescent="0.25" r="508" customHeight="1" ht="14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11"/>
      <c r="L508" s="26"/>
    </row>
    <row x14ac:dyDescent="0.25" r="509" customHeight="1" ht="14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11"/>
      <c r="L509" s="26"/>
    </row>
    <row x14ac:dyDescent="0.25" r="510" customHeight="1" ht="14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11"/>
      <c r="L510" s="26"/>
    </row>
    <row x14ac:dyDescent="0.25" r="511" customHeight="1" ht="14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11"/>
      <c r="L511" s="26"/>
    </row>
    <row x14ac:dyDescent="0.25" r="512" customHeight="1" ht="14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11"/>
      <c r="L512" s="26"/>
    </row>
    <row x14ac:dyDescent="0.25" r="513" customHeight="1" ht="14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11"/>
      <c r="L513" s="26"/>
    </row>
    <row x14ac:dyDescent="0.25" r="514" customHeight="1" ht="14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11"/>
      <c r="L514" s="26"/>
    </row>
    <row x14ac:dyDescent="0.25" r="515" customHeight="1" ht="14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11"/>
      <c r="L515" s="26"/>
    </row>
    <row x14ac:dyDescent="0.25" r="516" customHeight="1" ht="14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11"/>
      <c r="L516" s="26"/>
    </row>
    <row x14ac:dyDescent="0.25" r="517" customHeight="1" ht="14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11"/>
      <c r="L517" s="26"/>
    </row>
    <row x14ac:dyDescent="0.25" r="518" customHeight="1" ht="14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11"/>
      <c r="L518" s="26"/>
    </row>
    <row x14ac:dyDescent="0.25" r="519" customHeight="1" ht="14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11"/>
      <c r="L519" s="26"/>
    </row>
    <row x14ac:dyDescent="0.25" r="520" customHeight="1" ht="14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11"/>
      <c r="L520" s="26"/>
    </row>
    <row x14ac:dyDescent="0.25" r="521" customHeight="1" ht="14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11"/>
      <c r="L521" s="26"/>
    </row>
    <row x14ac:dyDescent="0.25" r="522" customHeight="1" ht="14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11"/>
      <c r="L522" s="26"/>
    </row>
    <row x14ac:dyDescent="0.25" r="523" customHeight="1" ht="14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11"/>
      <c r="L523" s="26"/>
    </row>
    <row x14ac:dyDescent="0.25" r="524" customHeight="1" ht="14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11"/>
      <c r="L524" s="26"/>
    </row>
    <row x14ac:dyDescent="0.25" r="525" customHeight="1" ht="14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11"/>
      <c r="L525" s="26"/>
    </row>
    <row x14ac:dyDescent="0.25" r="526" customHeight="1" ht="14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11"/>
      <c r="L526" s="26"/>
    </row>
    <row x14ac:dyDescent="0.25" r="527" customHeight="1" ht="14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11"/>
      <c r="L527" s="26"/>
    </row>
    <row x14ac:dyDescent="0.25" r="528" customHeight="1" ht="14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11"/>
      <c r="L528" s="26"/>
    </row>
    <row x14ac:dyDescent="0.25" r="529" customHeight="1" ht="14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11"/>
      <c r="L529" s="26"/>
    </row>
    <row x14ac:dyDescent="0.25" r="530" customHeight="1" ht="14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11"/>
      <c r="L530" s="26"/>
    </row>
    <row x14ac:dyDescent="0.25" r="531" customHeight="1" ht="14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11"/>
      <c r="L531" s="26"/>
    </row>
    <row x14ac:dyDescent="0.25" r="532" customHeight="1" ht="14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11"/>
      <c r="L532" s="26"/>
    </row>
    <row x14ac:dyDescent="0.25" r="533" customHeight="1" ht="14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11"/>
      <c r="L533" s="26"/>
    </row>
    <row x14ac:dyDescent="0.25" r="534" customHeight="1" ht="14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11"/>
      <c r="L534" s="26"/>
    </row>
    <row x14ac:dyDescent="0.25" r="535" customHeight="1" ht="14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11"/>
      <c r="L535" s="26"/>
    </row>
    <row x14ac:dyDescent="0.25" r="536" customHeight="1" ht="14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11"/>
      <c r="L536" s="26"/>
    </row>
    <row x14ac:dyDescent="0.25" r="537" customHeight="1" ht="14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11"/>
      <c r="L537" s="26"/>
    </row>
    <row x14ac:dyDescent="0.25" r="538" customHeight="1" ht="14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11"/>
      <c r="L538" s="26"/>
    </row>
    <row x14ac:dyDescent="0.25" r="539" customHeight="1" ht="14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11"/>
      <c r="L539" s="26"/>
    </row>
    <row x14ac:dyDescent="0.25" r="540" customHeight="1" ht="14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11"/>
      <c r="L540" s="26"/>
    </row>
    <row x14ac:dyDescent="0.25" r="541" customHeight="1" ht="14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11"/>
      <c r="L541" s="26"/>
    </row>
    <row x14ac:dyDescent="0.25" r="542" customHeight="1" ht="14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11"/>
      <c r="L542" s="26"/>
    </row>
    <row x14ac:dyDescent="0.25" r="543" customHeight="1" ht="14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11"/>
      <c r="L543" s="26"/>
    </row>
    <row x14ac:dyDescent="0.25" r="544" customHeight="1" ht="14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11"/>
      <c r="L544" s="26"/>
    </row>
    <row x14ac:dyDescent="0.25" r="545" customHeight="1" ht="14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11"/>
      <c r="L545" s="26"/>
    </row>
    <row x14ac:dyDescent="0.25" r="546" customHeight="1" ht="14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11"/>
      <c r="L546" s="26"/>
    </row>
    <row x14ac:dyDescent="0.25" r="547" customHeight="1" ht="14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11"/>
      <c r="L547" s="26"/>
    </row>
    <row x14ac:dyDescent="0.25" r="548" customHeight="1" ht="14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11"/>
      <c r="L548" s="26"/>
    </row>
    <row x14ac:dyDescent="0.25" r="549" customHeight="1" ht="14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11"/>
      <c r="L549" s="26"/>
    </row>
    <row x14ac:dyDescent="0.25" r="550" customHeight="1" ht="14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11"/>
      <c r="L550" s="26"/>
    </row>
    <row x14ac:dyDescent="0.25" r="551" customHeight="1" ht="14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11"/>
      <c r="L551" s="26"/>
    </row>
    <row x14ac:dyDescent="0.25" r="552" customHeight="1" ht="14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11"/>
      <c r="L552" s="26"/>
    </row>
    <row x14ac:dyDescent="0.25" r="553" customHeight="1" ht="14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11"/>
      <c r="L553" s="26"/>
    </row>
    <row x14ac:dyDescent="0.25" r="554" customHeight="1" ht="14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11"/>
      <c r="L554" s="26"/>
    </row>
    <row x14ac:dyDescent="0.25" r="555" customHeight="1" ht="14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11"/>
      <c r="L555" s="26"/>
    </row>
    <row x14ac:dyDescent="0.25" r="556" customHeight="1" ht="14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11"/>
      <c r="L556" s="26"/>
    </row>
    <row x14ac:dyDescent="0.25" r="557" customHeight="1" ht="14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11"/>
      <c r="L557" s="26"/>
    </row>
    <row x14ac:dyDescent="0.25" r="558" customHeight="1" ht="14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11"/>
      <c r="L558" s="26"/>
    </row>
    <row x14ac:dyDescent="0.25" r="559" customHeight="1" ht="14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11"/>
      <c r="L559" s="26"/>
    </row>
    <row x14ac:dyDescent="0.25" r="560" customHeight="1" ht="14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11"/>
      <c r="L560" s="26"/>
    </row>
    <row x14ac:dyDescent="0.25" r="561" customHeight="1" ht="14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11"/>
      <c r="L561" s="26"/>
    </row>
    <row x14ac:dyDescent="0.25" r="562" customHeight="1" ht="14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11"/>
      <c r="L562" s="26"/>
    </row>
    <row x14ac:dyDescent="0.25" r="563" customHeight="1" ht="14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11"/>
      <c r="L563" s="26"/>
    </row>
    <row x14ac:dyDescent="0.25" r="564" customHeight="1" ht="14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11"/>
      <c r="L564" s="26"/>
    </row>
    <row x14ac:dyDescent="0.25" r="565" customHeight="1" ht="14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11"/>
      <c r="L565" s="26"/>
    </row>
    <row x14ac:dyDescent="0.25" r="566" customHeight="1" ht="14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11"/>
      <c r="L566" s="26"/>
    </row>
    <row x14ac:dyDescent="0.25" r="567" customHeight="1" ht="14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11"/>
      <c r="L567" s="26"/>
    </row>
    <row x14ac:dyDescent="0.25" r="568" customHeight="1" ht="14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11"/>
      <c r="L568" s="26"/>
    </row>
    <row x14ac:dyDescent="0.25" r="569" customHeight="1" ht="14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11"/>
      <c r="L569" s="26"/>
    </row>
    <row x14ac:dyDescent="0.25" r="570" customHeight="1" ht="14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11"/>
      <c r="L570" s="26"/>
    </row>
    <row x14ac:dyDescent="0.25" r="571" customHeight="1" ht="14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11"/>
      <c r="L571" s="26"/>
    </row>
    <row x14ac:dyDescent="0.25" r="572" customHeight="1" ht="14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11"/>
      <c r="L572" s="26"/>
    </row>
    <row x14ac:dyDescent="0.25" r="573" customHeight="1" ht="14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11"/>
      <c r="L573" s="26"/>
    </row>
    <row x14ac:dyDescent="0.25" r="574" customHeight="1" ht="14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11"/>
      <c r="L574" s="26"/>
    </row>
    <row x14ac:dyDescent="0.25" r="575" customHeight="1" ht="14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11"/>
      <c r="L575" s="26"/>
    </row>
    <row x14ac:dyDescent="0.25" r="576" customHeight="1" ht="14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11"/>
      <c r="L576" s="26"/>
    </row>
    <row x14ac:dyDescent="0.25" r="577" customHeight="1" ht="14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11"/>
      <c r="L577" s="26"/>
    </row>
    <row x14ac:dyDescent="0.25" r="578" customHeight="1" ht="14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11"/>
      <c r="L578" s="26"/>
    </row>
    <row x14ac:dyDescent="0.25" r="579" customHeight="1" ht="14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11"/>
      <c r="L579" s="26"/>
    </row>
    <row x14ac:dyDescent="0.25" r="580" customHeight="1" ht="14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11"/>
      <c r="L580" s="26"/>
    </row>
    <row x14ac:dyDescent="0.25" r="581" customHeight="1" ht="14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11"/>
      <c r="L581" s="26"/>
    </row>
    <row x14ac:dyDescent="0.25" r="582" customHeight="1" ht="14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11"/>
      <c r="L582" s="26"/>
    </row>
    <row x14ac:dyDescent="0.25" r="583" customHeight="1" ht="14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11"/>
      <c r="L583" s="26"/>
    </row>
    <row x14ac:dyDescent="0.25" r="584" customHeight="1" ht="14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11"/>
      <c r="L584" s="26"/>
    </row>
    <row x14ac:dyDescent="0.25" r="585" customHeight="1" ht="14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11"/>
      <c r="L585" s="26"/>
    </row>
    <row x14ac:dyDescent="0.25" r="586" customHeight="1" ht="14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11"/>
      <c r="L586" s="26"/>
    </row>
    <row x14ac:dyDescent="0.25" r="587" customHeight="1" ht="14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11"/>
      <c r="L587" s="26"/>
    </row>
    <row x14ac:dyDescent="0.25" r="588" customHeight="1" ht="14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11"/>
      <c r="L588" s="26"/>
    </row>
    <row x14ac:dyDescent="0.25" r="589" customHeight="1" ht="14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11"/>
      <c r="L589" s="26"/>
    </row>
    <row x14ac:dyDescent="0.25" r="590" customHeight="1" ht="14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11"/>
      <c r="L590" s="26"/>
    </row>
    <row x14ac:dyDescent="0.25" r="591" customHeight="1" ht="14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11"/>
      <c r="L591" s="26"/>
    </row>
    <row x14ac:dyDescent="0.25" r="592" customHeight="1" ht="14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11"/>
      <c r="L592" s="26"/>
    </row>
    <row x14ac:dyDescent="0.25" r="593" customHeight="1" ht="14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11"/>
      <c r="L593" s="26"/>
    </row>
    <row x14ac:dyDescent="0.25" r="594" customHeight="1" ht="14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11"/>
      <c r="L594" s="26"/>
    </row>
    <row x14ac:dyDescent="0.25" r="595" customHeight="1" ht="14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11"/>
      <c r="L595" s="26"/>
    </row>
    <row x14ac:dyDescent="0.25" r="596" customHeight="1" ht="14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11"/>
      <c r="L596" s="26"/>
    </row>
    <row x14ac:dyDescent="0.25" r="597" customHeight="1" ht="14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11"/>
      <c r="L597" s="26"/>
    </row>
    <row x14ac:dyDescent="0.25" r="598" customHeight="1" ht="14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11"/>
      <c r="L598" s="26"/>
    </row>
    <row x14ac:dyDescent="0.25" r="599" customHeight="1" ht="14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11"/>
      <c r="L599" s="26"/>
    </row>
    <row x14ac:dyDescent="0.25" r="600" customHeight="1" ht="14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11"/>
      <c r="L600" s="26"/>
    </row>
    <row x14ac:dyDescent="0.25" r="601" customHeight="1" ht="14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11"/>
      <c r="L601" s="26"/>
    </row>
    <row x14ac:dyDescent="0.25" r="602" customHeight="1" ht="14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11"/>
      <c r="L602" s="26"/>
    </row>
    <row x14ac:dyDescent="0.25" r="603" customHeight="1" ht="14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11"/>
      <c r="L603" s="26"/>
    </row>
    <row x14ac:dyDescent="0.25" r="604" customHeight="1" ht="14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11"/>
      <c r="L604" s="26"/>
    </row>
    <row x14ac:dyDescent="0.25" r="605" customHeight="1" ht="14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11"/>
      <c r="L605" s="26"/>
    </row>
    <row x14ac:dyDescent="0.25" r="606" customHeight="1" ht="14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11"/>
      <c r="L606" s="26"/>
    </row>
    <row x14ac:dyDescent="0.25" r="607" customHeight="1" ht="14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11"/>
      <c r="L607" s="26"/>
    </row>
    <row x14ac:dyDescent="0.25" r="608" customHeight="1" ht="14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11"/>
      <c r="L608" s="26"/>
    </row>
    <row x14ac:dyDescent="0.25" r="609" customHeight="1" ht="14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11"/>
      <c r="L609" s="26"/>
    </row>
    <row x14ac:dyDescent="0.25" r="610" customHeight="1" ht="14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11"/>
      <c r="L610" s="26"/>
    </row>
    <row x14ac:dyDescent="0.25" r="611" customHeight="1" ht="14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11"/>
      <c r="L611" s="26"/>
    </row>
    <row x14ac:dyDescent="0.25" r="612" customHeight="1" ht="14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11"/>
      <c r="L612" s="26"/>
    </row>
    <row x14ac:dyDescent="0.25" r="613" customHeight="1" ht="14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11"/>
      <c r="L613" s="26"/>
    </row>
    <row x14ac:dyDescent="0.25" r="614" customHeight="1" ht="14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11"/>
      <c r="L614" s="26"/>
    </row>
    <row x14ac:dyDescent="0.25" r="615" customHeight="1" ht="14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11"/>
      <c r="L615" s="26"/>
    </row>
    <row x14ac:dyDescent="0.25" r="616" customHeight="1" ht="14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11"/>
      <c r="L616" s="26"/>
    </row>
    <row x14ac:dyDescent="0.25" r="617" customHeight="1" ht="14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11"/>
      <c r="L617" s="26"/>
    </row>
    <row x14ac:dyDescent="0.25" r="618" customHeight="1" ht="14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11"/>
      <c r="L618" s="26"/>
    </row>
    <row x14ac:dyDescent="0.25" r="619" customHeight="1" ht="14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11"/>
      <c r="L619" s="26"/>
    </row>
    <row x14ac:dyDescent="0.25" r="620" customHeight="1" ht="14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11"/>
      <c r="L620" s="26"/>
    </row>
    <row x14ac:dyDescent="0.25" r="621" customHeight="1" ht="14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11"/>
      <c r="L621" s="26"/>
    </row>
    <row x14ac:dyDescent="0.25" r="622" customHeight="1" ht="14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11"/>
      <c r="L622" s="26"/>
    </row>
    <row x14ac:dyDescent="0.25" r="623" customHeight="1" ht="14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11"/>
      <c r="L623" s="26"/>
    </row>
    <row x14ac:dyDescent="0.25" r="624" customHeight="1" ht="14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11"/>
      <c r="L624" s="26"/>
    </row>
    <row x14ac:dyDescent="0.25" r="625" customHeight="1" ht="14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11"/>
      <c r="L625" s="26"/>
    </row>
    <row x14ac:dyDescent="0.25" r="626" customHeight="1" ht="14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11"/>
      <c r="L626" s="26"/>
    </row>
    <row x14ac:dyDescent="0.25" r="627" customHeight="1" ht="14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11"/>
      <c r="L627" s="26"/>
    </row>
    <row x14ac:dyDescent="0.25" r="628" customHeight="1" ht="14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11"/>
      <c r="L628" s="26"/>
    </row>
    <row x14ac:dyDescent="0.25" r="629" customHeight="1" ht="14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11"/>
      <c r="L629" s="26"/>
    </row>
    <row x14ac:dyDescent="0.25" r="630" customHeight="1" ht="14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11"/>
      <c r="L630" s="26"/>
    </row>
    <row x14ac:dyDescent="0.25" r="631" customHeight="1" ht="14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11"/>
      <c r="L631" s="26"/>
    </row>
    <row x14ac:dyDescent="0.25" r="632" customHeight="1" ht="14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11"/>
      <c r="L632" s="26"/>
    </row>
    <row x14ac:dyDescent="0.25" r="633" customHeight="1" ht="14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11"/>
      <c r="L633" s="26"/>
    </row>
    <row x14ac:dyDescent="0.25" r="634" customHeight="1" ht="14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11"/>
      <c r="L634" s="26"/>
    </row>
    <row x14ac:dyDescent="0.25" r="635" customHeight="1" ht="14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11"/>
      <c r="L635" s="26"/>
    </row>
    <row x14ac:dyDescent="0.25" r="636" customHeight="1" ht="14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11"/>
      <c r="L636" s="26"/>
    </row>
    <row x14ac:dyDescent="0.25" r="637" customHeight="1" ht="14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11"/>
      <c r="L637" s="26"/>
    </row>
    <row x14ac:dyDescent="0.25" r="638" customHeight="1" ht="14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11"/>
      <c r="L638" s="26"/>
    </row>
    <row x14ac:dyDescent="0.25" r="639" customHeight="1" ht="14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11"/>
      <c r="L639" s="26"/>
    </row>
    <row x14ac:dyDescent="0.25" r="640" customHeight="1" ht="14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11"/>
      <c r="L640" s="26"/>
    </row>
    <row x14ac:dyDescent="0.25" r="641" customHeight="1" ht="14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11"/>
      <c r="L641" s="26"/>
    </row>
    <row x14ac:dyDescent="0.25" r="642" customHeight="1" ht="14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11"/>
      <c r="L642" s="26"/>
    </row>
    <row x14ac:dyDescent="0.25" r="643" customHeight="1" ht="14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11"/>
      <c r="L643" s="26"/>
    </row>
    <row x14ac:dyDescent="0.25" r="644" customHeight="1" ht="14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11"/>
      <c r="L644" s="26"/>
    </row>
    <row x14ac:dyDescent="0.25" r="645" customHeight="1" ht="14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11"/>
      <c r="L645" s="26"/>
    </row>
    <row x14ac:dyDescent="0.25" r="646" customHeight="1" ht="14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11"/>
      <c r="L646" s="26"/>
    </row>
    <row x14ac:dyDescent="0.25" r="647" customHeight="1" ht="14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11"/>
      <c r="L647" s="26"/>
    </row>
    <row x14ac:dyDescent="0.25" r="648" customHeight="1" ht="14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11"/>
      <c r="L648" s="26"/>
    </row>
    <row x14ac:dyDescent="0.25" r="649" customHeight="1" ht="14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11"/>
      <c r="L649" s="26"/>
    </row>
    <row x14ac:dyDescent="0.25" r="650" customHeight="1" ht="14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11"/>
      <c r="L650" s="26"/>
    </row>
    <row x14ac:dyDescent="0.25" r="651" customHeight="1" ht="14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11"/>
      <c r="L651" s="26"/>
    </row>
    <row x14ac:dyDescent="0.25" r="652" customHeight="1" ht="14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11"/>
      <c r="L652" s="26"/>
    </row>
    <row x14ac:dyDescent="0.25" r="653" customHeight="1" ht="14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11"/>
      <c r="L653" s="26"/>
    </row>
    <row x14ac:dyDescent="0.25" r="654" customHeight="1" ht="14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11"/>
      <c r="L654" s="26"/>
    </row>
    <row x14ac:dyDescent="0.25" r="655" customHeight="1" ht="14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11"/>
      <c r="L655" s="26"/>
    </row>
    <row x14ac:dyDescent="0.25" r="656" customHeight="1" ht="14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11"/>
      <c r="L656" s="26"/>
    </row>
    <row x14ac:dyDescent="0.25" r="657" customHeight="1" ht="14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11"/>
      <c r="L657" s="26"/>
    </row>
    <row x14ac:dyDescent="0.25" r="658" customHeight="1" ht="14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11"/>
      <c r="L658" s="26"/>
    </row>
    <row x14ac:dyDescent="0.25" r="659" customHeight="1" ht="14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11"/>
      <c r="L659" s="26"/>
    </row>
    <row x14ac:dyDescent="0.25" r="660" customHeight="1" ht="14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11"/>
      <c r="L660" s="26"/>
    </row>
    <row x14ac:dyDescent="0.25" r="661" customHeight="1" ht="14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11"/>
      <c r="L661" s="26"/>
    </row>
    <row x14ac:dyDescent="0.25" r="662" customHeight="1" ht="14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11"/>
      <c r="L662" s="26"/>
    </row>
    <row x14ac:dyDescent="0.25" r="663" customHeight="1" ht="14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11"/>
      <c r="L663" s="26"/>
    </row>
    <row x14ac:dyDescent="0.25" r="664" customHeight="1" ht="14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11"/>
      <c r="L664" s="26"/>
    </row>
    <row x14ac:dyDescent="0.25" r="665" customHeight="1" ht="14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11"/>
      <c r="L665" s="26"/>
    </row>
    <row x14ac:dyDescent="0.25" r="666" customHeight="1" ht="14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11"/>
      <c r="L666" s="26"/>
    </row>
    <row x14ac:dyDescent="0.25" r="667" customHeight="1" ht="14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11"/>
      <c r="L667" s="26"/>
    </row>
    <row x14ac:dyDescent="0.25" r="668" customHeight="1" ht="14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11"/>
      <c r="L668" s="26"/>
    </row>
    <row x14ac:dyDescent="0.25" r="669" customHeight="1" ht="14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11"/>
      <c r="L669" s="26"/>
    </row>
    <row x14ac:dyDescent="0.25" r="670" customHeight="1" ht="14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11"/>
      <c r="L670" s="26"/>
    </row>
    <row x14ac:dyDescent="0.25" r="671" customHeight="1" ht="14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11"/>
      <c r="L671" s="26"/>
    </row>
    <row x14ac:dyDescent="0.25" r="672" customHeight="1" ht="14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11"/>
      <c r="L672" s="26"/>
    </row>
    <row x14ac:dyDescent="0.25" r="673" customHeight="1" ht="14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11"/>
      <c r="L673" s="26"/>
    </row>
    <row x14ac:dyDescent="0.25" r="674" customHeight="1" ht="14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11"/>
      <c r="L674" s="26"/>
    </row>
    <row x14ac:dyDescent="0.25" r="675" customHeight="1" ht="14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11"/>
      <c r="L675" s="26"/>
    </row>
    <row x14ac:dyDescent="0.25" r="676" customHeight="1" ht="14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11"/>
      <c r="L676" s="26"/>
    </row>
    <row x14ac:dyDescent="0.25" r="677" customHeight="1" ht="14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11"/>
      <c r="L677" s="26"/>
    </row>
    <row x14ac:dyDescent="0.25" r="678" customHeight="1" ht="14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11"/>
      <c r="L678" s="26"/>
    </row>
    <row x14ac:dyDescent="0.25" r="679" customHeight="1" ht="14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11"/>
      <c r="L679" s="26"/>
    </row>
    <row x14ac:dyDescent="0.25" r="680" customHeight="1" ht="14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11"/>
      <c r="L680" s="26"/>
    </row>
    <row x14ac:dyDescent="0.25" r="681" customHeight="1" ht="14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11"/>
      <c r="L681" s="26"/>
    </row>
    <row x14ac:dyDescent="0.25" r="682" customHeight="1" ht="14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11"/>
      <c r="L682" s="26"/>
    </row>
    <row x14ac:dyDescent="0.25" r="683" customHeight="1" ht="14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11"/>
      <c r="L683" s="26"/>
    </row>
    <row x14ac:dyDescent="0.25" r="684" customHeight="1" ht="14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11"/>
      <c r="L684" s="26"/>
    </row>
    <row x14ac:dyDescent="0.25" r="685" customHeight="1" ht="14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11"/>
      <c r="L685" s="26"/>
    </row>
    <row x14ac:dyDescent="0.25" r="686" customHeight="1" ht="14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11"/>
      <c r="L686" s="26"/>
    </row>
    <row x14ac:dyDescent="0.25" r="687" customHeight="1" ht="14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11"/>
      <c r="L687" s="26"/>
    </row>
    <row x14ac:dyDescent="0.25" r="688" customHeight="1" ht="14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11"/>
      <c r="L688" s="26"/>
    </row>
    <row x14ac:dyDescent="0.25" r="689" customHeight="1" ht="14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11"/>
      <c r="L689" s="26"/>
    </row>
    <row x14ac:dyDescent="0.25" r="690" customHeight="1" ht="14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11"/>
      <c r="L690" s="26"/>
    </row>
    <row x14ac:dyDescent="0.25" r="691" customHeight="1" ht="14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11"/>
      <c r="L691" s="26"/>
    </row>
    <row x14ac:dyDescent="0.25" r="692" customHeight="1" ht="14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11"/>
      <c r="L692" s="26"/>
    </row>
    <row x14ac:dyDescent="0.25" r="693" customHeight="1" ht="14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11"/>
      <c r="L693" s="26"/>
    </row>
    <row x14ac:dyDescent="0.25" r="694" customHeight="1" ht="14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11"/>
      <c r="L694" s="26"/>
    </row>
    <row x14ac:dyDescent="0.25" r="695" customHeight="1" ht="14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11"/>
      <c r="L695" s="26"/>
    </row>
    <row x14ac:dyDescent="0.25" r="696" customHeight="1" ht="14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11"/>
      <c r="L696" s="26"/>
    </row>
    <row x14ac:dyDescent="0.25" r="697" customHeight="1" ht="14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11"/>
      <c r="L697" s="26"/>
    </row>
    <row x14ac:dyDescent="0.25" r="698" customHeight="1" ht="14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11"/>
      <c r="L698" s="26"/>
    </row>
    <row x14ac:dyDescent="0.25" r="699" customHeight="1" ht="14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11"/>
      <c r="L699" s="26"/>
    </row>
    <row x14ac:dyDescent="0.25" r="700" customHeight="1" ht="14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11"/>
      <c r="L700" s="26"/>
    </row>
    <row x14ac:dyDescent="0.25" r="701" customHeight="1" ht="14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11"/>
      <c r="L701" s="26"/>
    </row>
    <row x14ac:dyDescent="0.25" r="702" customHeight="1" ht="14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11"/>
      <c r="L702" s="26"/>
    </row>
    <row x14ac:dyDescent="0.25" r="703" customHeight="1" ht="14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11"/>
      <c r="L703" s="26"/>
    </row>
    <row x14ac:dyDescent="0.25" r="704" customHeight="1" ht="14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11"/>
      <c r="L704" s="26"/>
    </row>
    <row x14ac:dyDescent="0.25" r="705" customHeight="1" ht="14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11"/>
      <c r="L705" s="26"/>
    </row>
    <row x14ac:dyDescent="0.25" r="706" customHeight="1" ht="14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11"/>
      <c r="L706" s="26"/>
    </row>
    <row x14ac:dyDescent="0.25" r="707" customHeight="1" ht="14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11"/>
      <c r="L707" s="26"/>
    </row>
    <row x14ac:dyDescent="0.25" r="708" customHeight="1" ht="14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11"/>
      <c r="L708" s="26"/>
    </row>
    <row x14ac:dyDescent="0.25" r="709" customHeight="1" ht="14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11"/>
      <c r="L709" s="26"/>
    </row>
    <row x14ac:dyDescent="0.25" r="710" customHeight="1" ht="14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11"/>
      <c r="L710" s="26"/>
    </row>
    <row x14ac:dyDescent="0.25" r="711" customHeight="1" ht="14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11"/>
      <c r="L711" s="26"/>
    </row>
    <row x14ac:dyDescent="0.25" r="712" customHeight="1" ht="14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11"/>
      <c r="L712" s="26"/>
    </row>
    <row x14ac:dyDescent="0.25" r="713" customHeight="1" ht="14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11"/>
      <c r="L713" s="26"/>
    </row>
    <row x14ac:dyDescent="0.25" r="714" customHeight="1" ht="14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11"/>
      <c r="L714" s="26"/>
    </row>
    <row x14ac:dyDescent="0.25" r="715" customHeight="1" ht="14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11"/>
      <c r="L715" s="26"/>
    </row>
    <row x14ac:dyDescent="0.25" r="716" customHeight="1" ht="14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11"/>
      <c r="L716" s="26"/>
    </row>
    <row x14ac:dyDescent="0.25" r="717" customHeight="1" ht="14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11"/>
      <c r="L717" s="26"/>
    </row>
    <row x14ac:dyDescent="0.25" r="718" customHeight="1" ht="14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11"/>
      <c r="L718" s="26"/>
    </row>
    <row x14ac:dyDescent="0.25" r="719" customHeight="1" ht="14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11"/>
      <c r="L719" s="26"/>
    </row>
    <row x14ac:dyDescent="0.25" r="720" customHeight="1" ht="14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11"/>
      <c r="L720" s="26"/>
    </row>
    <row x14ac:dyDescent="0.25" r="721" customHeight="1" ht="14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11"/>
      <c r="L721" s="26"/>
    </row>
    <row x14ac:dyDescent="0.25" r="722" customHeight="1" ht="14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11"/>
      <c r="L722" s="26"/>
    </row>
    <row x14ac:dyDescent="0.25" r="723" customHeight="1" ht="14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11"/>
      <c r="L723" s="26"/>
    </row>
    <row x14ac:dyDescent="0.25" r="724" customHeight="1" ht="14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11"/>
      <c r="L724" s="26"/>
    </row>
    <row x14ac:dyDescent="0.25" r="725" customHeight="1" ht="14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11"/>
      <c r="L725" s="26"/>
    </row>
    <row x14ac:dyDescent="0.25" r="726" customHeight="1" ht="14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11"/>
      <c r="L726" s="26"/>
    </row>
    <row x14ac:dyDescent="0.25" r="727" customHeight="1" ht="14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11"/>
      <c r="L727" s="26"/>
    </row>
    <row x14ac:dyDescent="0.25" r="728" customHeight="1" ht="14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11"/>
      <c r="L728" s="26"/>
    </row>
    <row x14ac:dyDescent="0.25" r="729" customHeight="1" ht="14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11"/>
      <c r="L729" s="26"/>
    </row>
    <row x14ac:dyDescent="0.25" r="730" customHeight="1" ht="14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11"/>
      <c r="L730" s="26"/>
    </row>
    <row x14ac:dyDescent="0.25" r="731" customHeight="1" ht="14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11"/>
      <c r="L731" s="26"/>
    </row>
    <row x14ac:dyDescent="0.25" r="732" customHeight="1" ht="14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11"/>
      <c r="L732" s="26"/>
    </row>
    <row x14ac:dyDescent="0.25" r="733" customHeight="1" ht="14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11"/>
      <c r="L733" s="26"/>
    </row>
    <row x14ac:dyDescent="0.25" r="734" customHeight="1" ht="14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11"/>
      <c r="L734" s="26"/>
    </row>
    <row x14ac:dyDescent="0.25" r="735" customHeight="1" ht="14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11"/>
      <c r="L735" s="26"/>
    </row>
    <row x14ac:dyDescent="0.25" r="736" customHeight="1" ht="14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11"/>
      <c r="L736" s="26"/>
    </row>
    <row x14ac:dyDescent="0.25" r="737" customHeight="1" ht="14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11"/>
      <c r="L737" s="26"/>
    </row>
    <row x14ac:dyDescent="0.25" r="738" customHeight="1" ht="14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11"/>
      <c r="L738" s="26"/>
    </row>
    <row x14ac:dyDescent="0.25" r="739" customHeight="1" ht="14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11"/>
      <c r="L739" s="26"/>
    </row>
    <row x14ac:dyDescent="0.25" r="740" customHeight="1" ht="14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11"/>
      <c r="L740" s="26"/>
    </row>
    <row x14ac:dyDescent="0.25" r="741" customHeight="1" ht="14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11"/>
      <c r="L741" s="26"/>
    </row>
    <row x14ac:dyDescent="0.25" r="742" customHeight="1" ht="14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11"/>
      <c r="L742" s="26"/>
    </row>
    <row x14ac:dyDescent="0.25" r="743" customHeight="1" ht="14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11"/>
      <c r="L743" s="26"/>
    </row>
    <row x14ac:dyDescent="0.25" r="744" customHeight="1" ht="14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11"/>
      <c r="L744" s="26"/>
    </row>
    <row x14ac:dyDescent="0.25" r="745" customHeight="1" ht="14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11"/>
      <c r="L745" s="26"/>
    </row>
    <row x14ac:dyDescent="0.25" r="746" customHeight="1" ht="14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11"/>
      <c r="L746" s="26"/>
    </row>
    <row x14ac:dyDescent="0.25" r="747" customHeight="1" ht="14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11"/>
      <c r="L747" s="26"/>
    </row>
    <row x14ac:dyDescent="0.25" r="748" customHeight="1" ht="14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11"/>
      <c r="L748" s="26"/>
    </row>
    <row x14ac:dyDescent="0.25" r="749" customHeight="1" ht="14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11"/>
      <c r="L749" s="26"/>
    </row>
    <row x14ac:dyDescent="0.25" r="750" customHeight="1" ht="14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11"/>
      <c r="L750" s="26"/>
    </row>
    <row x14ac:dyDescent="0.25" r="751" customHeight="1" ht="14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11"/>
      <c r="L751" s="26"/>
    </row>
    <row x14ac:dyDescent="0.25" r="752" customHeight="1" ht="14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11"/>
      <c r="L752" s="26"/>
    </row>
    <row x14ac:dyDescent="0.25" r="753" customHeight="1" ht="14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11"/>
      <c r="L753" s="26"/>
    </row>
    <row x14ac:dyDescent="0.25" r="754" customHeight="1" ht="14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11"/>
      <c r="L754" s="26"/>
    </row>
    <row x14ac:dyDescent="0.25" r="755" customHeight="1" ht="14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11"/>
      <c r="L755" s="26"/>
    </row>
    <row x14ac:dyDescent="0.25" r="756" customHeight="1" ht="14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11"/>
      <c r="L756" s="26"/>
    </row>
    <row x14ac:dyDescent="0.25" r="757" customHeight="1" ht="14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11"/>
      <c r="L757" s="26"/>
    </row>
    <row x14ac:dyDescent="0.25" r="758" customHeight="1" ht="14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11"/>
      <c r="L758" s="26"/>
    </row>
    <row x14ac:dyDescent="0.25" r="759" customHeight="1" ht="14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11"/>
      <c r="L759" s="26"/>
    </row>
    <row x14ac:dyDescent="0.25" r="760" customHeight="1" ht="14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11"/>
      <c r="L760" s="26"/>
    </row>
    <row x14ac:dyDescent="0.25" r="761" customHeight="1" ht="14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11"/>
      <c r="L761" s="26"/>
    </row>
    <row x14ac:dyDescent="0.25" r="762" customHeight="1" ht="14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11"/>
      <c r="L762" s="26"/>
    </row>
    <row x14ac:dyDescent="0.25" r="763" customHeight="1" ht="14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11"/>
      <c r="L763" s="26"/>
    </row>
    <row x14ac:dyDescent="0.25" r="764" customHeight="1" ht="14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11"/>
      <c r="L764" s="26"/>
    </row>
    <row x14ac:dyDescent="0.25" r="765" customHeight="1" ht="14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11"/>
      <c r="L765" s="26"/>
    </row>
    <row x14ac:dyDescent="0.25" r="766" customHeight="1" ht="14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11"/>
      <c r="L766" s="26"/>
    </row>
    <row x14ac:dyDescent="0.25" r="767" customHeight="1" ht="14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11"/>
      <c r="L767" s="26"/>
    </row>
    <row x14ac:dyDescent="0.25" r="768" customHeight="1" ht="14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11"/>
      <c r="L768" s="26"/>
    </row>
    <row x14ac:dyDescent="0.25" r="769" customHeight="1" ht="14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11"/>
      <c r="L769" s="26"/>
    </row>
    <row x14ac:dyDescent="0.25" r="770" customHeight="1" ht="14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11"/>
      <c r="L770" s="26"/>
    </row>
    <row x14ac:dyDescent="0.25" r="771" customHeight="1" ht="14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11"/>
      <c r="L771" s="26"/>
    </row>
    <row x14ac:dyDescent="0.25" r="772" customHeight="1" ht="14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11"/>
      <c r="L772" s="26"/>
    </row>
    <row x14ac:dyDescent="0.25" r="773" customHeight="1" ht="14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11"/>
      <c r="L773" s="26"/>
    </row>
    <row x14ac:dyDescent="0.25" r="774" customHeight="1" ht="14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11"/>
      <c r="L774" s="26"/>
    </row>
    <row x14ac:dyDescent="0.25" r="775" customHeight="1" ht="14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11"/>
      <c r="L775" s="26"/>
    </row>
    <row x14ac:dyDescent="0.25" r="776" customHeight="1" ht="14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11"/>
      <c r="L776" s="26"/>
    </row>
    <row x14ac:dyDescent="0.25" r="777" customHeight="1" ht="14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11"/>
      <c r="L777" s="26"/>
    </row>
    <row x14ac:dyDescent="0.25" r="778" customHeight="1" ht="14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11"/>
      <c r="L778" s="26"/>
    </row>
    <row x14ac:dyDescent="0.25" r="779" customHeight="1" ht="14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11"/>
      <c r="L779" s="26"/>
    </row>
    <row x14ac:dyDescent="0.25" r="780" customHeight="1" ht="14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11"/>
      <c r="L780" s="26"/>
    </row>
    <row x14ac:dyDescent="0.25" r="781" customHeight="1" ht="14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11"/>
      <c r="L781" s="26"/>
    </row>
    <row x14ac:dyDescent="0.25" r="782" customHeight="1" ht="14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11"/>
      <c r="L782" s="26"/>
    </row>
    <row x14ac:dyDescent="0.25" r="783" customHeight="1" ht="14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11"/>
      <c r="L783" s="26"/>
    </row>
    <row x14ac:dyDescent="0.25" r="784" customHeight="1" ht="14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11"/>
      <c r="L784" s="26"/>
    </row>
    <row x14ac:dyDescent="0.25" r="785" customHeight="1" ht="14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11"/>
      <c r="L785" s="26"/>
    </row>
    <row x14ac:dyDescent="0.25" r="786" customHeight="1" ht="14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11"/>
      <c r="L786" s="26"/>
    </row>
    <row x14ac:dyDescent="0.25" r="787" customHeight="1" ht="14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11"/>
      <c r="L787" s="26"/>
    </row>
    <row x14ac:dyDescent="0.25" r="788" customHeight="1" ht="14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11"/>
      <c r="L788" s="26"/>
    </row>
    <row x14ac:dyDescent="0.25" r="789" customHeight="1" ht="14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11"/>
      <c r="L789" s="26"/>
    </row>
    <row x14ac:dyDescent="0.25" r="790" customHeight="1" ht="14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11"/>
      <c r="L790" s="26"/>
    </row>
    <row x14ac:dyDescent="0.25" r="791" customHeight="1" ht="14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11"/>
      <c r="L791" s="26"/>
    </row>
    <row x14ac:dyDescent="0.25" r="792" customHeight="1" ht="14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11"/>
      <c r="L792" s="26"/>
    </row>
    <row x14ac:dyDescent="0.25" r="793" customHeight="1" ht="14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11"/>
      <c r="L793" s="26"/>
    </row>
    <row x14ac:dyDescent="0.25" r="794" customHeight="1" ht="14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11"/>
      <c r="L794" s="26"/>
    </row>
    <row x14ac:dyDescent="0.25" r="795" customHeight="1" ht="14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11"/>
      <c r="L795" s="26"/>
    </row>
    <row x14ac:dyDescent="0.25" r="796" customHeight="1" ht="14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11"/>
      <c r="L796" s="26"/>
    </row>
    <row x14ac:dyDescent="0.25" r="797" customHeight="1" ht="14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11"/>
      <c r="L797" s="26"/>
    </row>
    <row x14ac:dyDescent="0.25" r="798" customHeight="1" ht="14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11"/>
      <c r="L798" s="26"/>
    </row>
    <row x14ac:dyDescent="0.25" r="799" customHeight="1" ht="14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11"/>
      <c r="L799" s="26"/>
    </row>
    <row x14ac:dyDescent="0.25" r="800" customHeight="1" ht="14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11"/>
      <c r="L800" s="26"/>
    </row>
    <row x14ac:dyDescent="0.25" r="801" customHeight="1" ht="14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11"/>
      <c r="L801" s="26"/>
    </row>
    <row x14ac:dyDescent="0.25" r="802" customHeight="1" ht="14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11"/>
      <c r="L802" s="26"/>
    </row>
    <row x14ac:dyDescent="0.25" r="803" customHeight="1" ht="14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11"/>
      <c r="L803" s="26"/>
    </row>
    <row x14ac:dyDescent="0.25" r="804" customHeight="1" ht="14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11"/>
      <c r="L804" s="26"/>
    </row>
    <row x14ac:dyDescent="0.25" r="805" customHeight="1" ht="14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11"/>
      <c r="L805" s="26"/>
    </row>
    <row x14ac:dyDescent="0.25" r="806" customHeight="1" ht="14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11"/>
      <c r="L806" s="26"/>
    </row>
    <row x14ac:dyDescent="0.25" r="807" customHeight="1" ht="14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11"/>
      <c r="L807" s="26"/>
    </row>
    <row x14ac:dyDescent="0.25" r="808" customHeight="1" ht="14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11"/>
      <c r="L808" s="26"/>
    </row>
    <row x14ac:dyDescent="0.25" r="809" customHeight="1" ht="14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11"/>
      <c r="L809" s="26"/>
    </row>
    <row x14ac:dyDescent="0.25" r="810" customHeight="1" ht="14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11"/>
      <c r="L810" s="26"/>
    </row>
    <row x14ac:dyDescent="0.25" r="811" customHeight="1" ht="14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11"/>
      <c r="L811" s="26"/>
    </row>
    <row x14ac:dyDescent="0.25" r="812" customHeight="1" ht="14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11"/>
      <c r="L812" s="26"/>
    </row>
    <row x14ac:dyDescent="0.25" r="813" customHeight="1" ht="14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11"/>
      <c r="L813" s="26"/>
    </row>
    <row x14ac:dyDescent="0.25" r="814" customHeight="1" ht="14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11"/>
      <c r="L814" s="26"/>
    </row>
    <row x14ac:dyDescent="0.25" r="815" customHeight="1" ht="14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11"/>
      <c r="L815" s="26"/>
    </row>
    <row x14ac:dyDescent="0.25" r="816" customHeight="1" ht="14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11"/>
      <c r="L816" s="26"/>
    </row>
    <row x14ac:dyDescent="0.25" r="817" customHeight="1" ht="14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11"/>
      <c r="L817" s="26"/>
    </row>
    <row x14ac:dyDescent="0.25" r="818" customHeight="1" ht="14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11"/>
      <c r="L818" s="26"/>
    </row>
    <row x14ac:dyDescent="0.25" r="819" customHeight="1" ht="14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11"/>
      <c r="L819" s="26"/>
    </row>
    <row x14ac:dyDescent="0.25" r="820" customHeight="1" ht="14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11"/>
      <c r="L820" s="26"/>
    </row>
    <row x14ac:dyDescent="0.25" r="821" customHeight="1" ht="14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11"/>
      <c r="L821" s="26"/>
    </row>
    <row x14ac:dyDescent="0.25" r="822" customHeight="1" ht="14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11"/>
      <c r="L822" s="26"/>
    </row>
    <row x14ac:dyDescent="0.25" r="823" customHeight="1" ht="14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11"/>
      <c r="L823" s="26"/>
    </row>
    <row x14ac:dyDescent="0.25" r="824" customHeight="1" ht="14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11"/>
      <c r="L824" s="26"/>
    </row>
    <row x14ac:dyDescent="0.25" r="825" customHeight="1" ht="14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11"/>
      <c r="L825" s="26"/>
    </row>
    <row x14ac:dyDescent="0.25" r="826" customHeight="1" ht="14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11"/>
      <c r="L826" s="26"/>
    </row>
    <row x14ac:dyDescent="0.25" r="827" customHeight="1" ht="14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11"/>
      <c r="L827" s="26"/>
    </row>
    <row x14ac:dyDescent="0.25" r="828" customHeight="1" ht="14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11"/>
      <c r="L828" s="26"/>
    </row>
    <row x14ac:dyDescent="0.25" r="829" customHeight="1" ht="14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11"/>
      <c r="L829" s="26"/>
    </row>
    <row x14ac:dyDescent="0.25" r="830" customHeight="1" ht="14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11"/>
      <c r="L830" s="26"/>
    </row>
    <row x14ac:dyDescent="0.25" r="831" customHeight="1" ht="14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11"/>
      <c r="L831" s="26"/>
    </row>
    <row x14ac:dyDescent="0.25" r="832" customHeight="1" ht="14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11"/>
      <c r="L832" s="26"/>
    </row>
    <row x14ac:dyDescent="0.25" r="833" customHeight="1" ht="14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11"/>
      <c r="L833" s="26"/>
    </row>
    <row x14ac:dyDescent="0.25" r="834" customHeight="1" ht="14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11"/>
      <c r="L834" s="26"/>
    </row>
    <row x14ac:dyDescent="0.25" r="835" customHeight="1" ht="14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11"/>
      <c r="L835" s="26"/>
    </row>
    <row x14ac:dyDescent="0.25" r="836" customHeight="1" ht="14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11"/>
      <c r="L836" s="26"/>
    </row>
    <row x14ac:dyDescent="0.25" r="837" customHeight="1" ht="14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11"/>
      <c r="L837" s="26"/>
    </row>
    <row x14ac:dyDescent="0.25" r="838" customHeight="1" ht="14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11"/>
      <c r="L838" s="26"/>
    </row>
    <row x14ac:dyDescent="0.25" r="839" customHeight="1" ht="14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11"/>
      <c r="L839" s="26"/>
    </row>
    <row x14ac:dyDescent="0.25" r="840" customHeight="1" ht="14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11"/>
      <c r="L840" s="26"/>
    </row>
    <row x14ac:dyDescent="0.25" r="841" customHeight="1" ht="14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11"/>
      <c r="L841" s="26"/>
    </row>
    <row x14ac:dyDescent="0.25" r="842" customHeight="1" ht="14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11"/>
      <c r="L842" s="26"/>
    </row>
    <row x14ac:dyDescent="0.25" r="843" customHeight="1" ht="14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11"/>
      <c r="L843" s="26"/>
    </row>
    <row x14ac:dyDescent="0.25" r="844" customHeight="1" ht="14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11"/>
      <c r="L844" s="26"/>
    </row>
    <row x14ac:dyDescent="0.25" r="845" customHeight="1" ht="14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11"/>
      <c r="L845" s="26"/>
    </row>
    <row x14ac:dyDescent="0.25" r="846" customHeight="1" ht="14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11"/>
      <c r="L846" s="26"/>
    </row>
    <row x14ac:dyDescent="0.25" r="847" customHeight="1" ht="14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11"/>
      <c r="L847" s="26"/>
    </row>
    <row x14ac:dyDescent="0.25" r="848" customHeight="1" ht="14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11"/>
      <c r="L848" s="26"/>
    </row>
    <row x14ac:dyDescent="0.25" r="849" customHeight="1" ht="14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11"/>
      <c r="L849" s="26"/>
    </row>
    <row x14ac:dyDescent="0.25" r="850" customHeight="1" ht="14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11"/>
      <c r="L850" s="26"/>
    </row>
    <row x14ac:dyDescent="0.25" r="851" customHeight="1" ht="14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11"/>
      <c r="L851" s="26"/>
    </row>
    <row x14ac:dyDescent="0.25" r="852" customHeight="1" ht="14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11"/>
      <c r="L852" s="26"/>
    </row>
    <row x14ac:dyDescent="0.25" r="853" customHeight="1" ht="14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11"/>
      <c r="L853" s="26"/>
    </row>
    <row x14ac:dyDescent="0.25" r="854" customHeight="1" ht="14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11"/>
      <c r="L854" s="26"/>
    </row>
    <row x14ac:dyDescent="0.25" r="855" customHeight="1" ht="14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11"/>
      <c r="L855" s="26"/>
    </row>
    <row x14ac:dyDescent="0.25" r="856" customHeight="1" ht="14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11"/>
      <c r="L856" s="26"/>
    </row>
    <row x14ac:dyDescent="0.25" r="857" customHeight="1" ht="14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11"/>
      <c r="L857" s="26"/>
    </row>
    <row x14ac:dyDescent="0.25" r="858" customHeight="1" ht="14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11"/>
      <c r="L858" s="26"/>
    </row>
    <row x14ac:dyDescent="0.25" r="859" customHeight="1" ht="14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11"/>
      <c r="L859" s="26"/>
    </row>
    <row x14ac:dyDescent="0.25" r="860" customHeight="1" ht="14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11"/>
      <c r="L860" s="26"/>
    </row>
    <row x14ac:dyDescent="0.25" r="861" customHeight="1" ht="14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11"/>
      <c r="L861" s="26"/>
    </row>
    <row x14ac:dyDescent="0.25" r="862" customHeight="1" ht="14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11"/>
      <c r="L862" s="26"/>
    </row>
    <row x14ac:dyDescent="0.25" r="863" customHeight="1" ht="14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11"/>
      <c r="L863" s="26"/>
    </row>
    <row x14ac:dyDescent="0.25" r="864" customHeight="1" ht="14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11"/>
      <c r="L864" s="26"/>
    </row>
    <row x14ac:dyDescent="0.25" r="865" customHeight="1" ht="14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11"/>
      <c r="L865" s="26"/>
    </row>
    <row x14ac:dyDescent="0.25" r="866" customHeight="1" ht="14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11"/>
      <c r="L866" s="26"/>
    </row>
    <row x14ac:dyDescent="0.25" r="867" customHeight="1" ht="14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11"/>
      <c r="L867" s="26"/>
    </row>
    <row x14ac:dyDescent="0.25" r="868" customHeight="1" ht="14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11"/>
      <c r="L868" s="26"/>
    </row>
    <row x14ac:dyDescent="0.25" r="869" customHeight="1" ht="14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11"/>
      <c r="L869" s="26"/>
    </row>
    <row x14ac:dyDescent="0.25" r="870" customHeight="1" ht="14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11"/>
      <c r="L870" s="26"/>
    </row>
    <row x14ac:dyDescent="0.25" r="871" customHeight="1" ht="14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11"/>
      <c r="L871" s="26"/>
    </row>
    <row x14ac:dyDescent="0.25" r="872" customHeight="1" ht="14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11"/>
      <c r="L872" s="26"/>
    </row>
    <row x14ac:dyDescent="0.25" r="873" customHeight="1" ht="14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11"/>
      <c r="L873" s="26"/>
    </row>
    <row x14ac:dyDescent="0.25" r="874" customHeight="1" ht="14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11"/>
      <c r="L874" s="26"/>
    </row>
    <row x14ac:dyDescent="0.25" r="875" customHeight="1" ht="14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11"/>
      <c r="L875" s="26"/>
    </row>
    <row x14ac:dyDescent="0.25" r="876" customHeight="1" ht="14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11"/>
      <c r="L876" s="26"/>
    </row>
    <row x14ac:dyDescent="0.25" r="877" customHeight="1" ht="14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11"/>
      <c r="L877" s="26"/>
    </row>
    <row x14ac:dyDescent="0.25" r="878" customHeight="1" ht="14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11"/>
      <c r="L878" s="26"/>
    </row>
    <row x14ac:dyDescent="0.25" r="879" customHeight="1" ht="14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11"/>
      <c r="L879" s="26"/>
    </row>
    <row x14ac:dyDescent="0.25" r="880" customHeight="1" ht="14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11"/>
      <c r="L880" s="26"/>
    </row>
    <row x14ac:dyDescent="0.25" r="881" customHeight="1" ht="14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11"/>
      <c r="L881" s="26"/>
    </row>
    <row x14ac:dyDescent="0.25" r="882" customHeight="1" ht="14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11"/>
      <c r="L882" s="26"/>
    </row>
    <row x14ac:dyDescent="0.25" r="883" customHeight="1" ht="14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11"/>
      <c r="L883" s="26"/>
    </row>
    <row x14ac:dyDescent="0.25" r="884" customHeight="1" ht="14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11"/>
      <c r="L884" s="26"/>
    </row>
    <row x14ac:dyDescent="0.25" r="885" customHeight="1" ht="14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11"/>
      <c r="L885" s="26"/>
    </row>
    <row x14ac:dyDescent="0.25" r="886" customHeight="1" ht="14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11"/>
      <c r="L886" s="26"/>
    </row>
    <row x14ac:dyDescent="0.25" r="887" customHeight="1" ht="14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11"/>
      <c r="L887" s="26"/>
    </row>
    <row x14ac:dyDescent="0.25" r="888" customHeight="1" ht="14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11"/>
      <c r="L888" s="26"/>
    </row>
    <row x14ac:dyDescent="0.25" r="889" customHeight="1" ht="14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11"/>
      <c r="L889" s="26"/>
    </row>
    <row x14ac:dyDescent="0.25" r="890" customHeight="1" ht="14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11"/>
      <c r="L890" s="26"/>
    </row>
    <row x14ac:dyDescent="0.25" r="891" customHeight="1" ht="14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11"/>
      <c r="L891" s="26"/>
    </row>
    <row x14ac:dyDescent="0.25" r="892" customHeight="1" ht="14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11"/>
      <c r="L892" s="26"/>
    </row>
    <row x14ac:dyDescent="0.25" r="893" customHeight="1" ht="14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11"/>
      <c r="L893" s="26"/>
    </row>
    <row x14ac:dyDescent="0.25" r="894" customHeight="1" ht="14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11"/>
      <c r="L894" s="26"/>
    </row>
    <row x14ac:dyDescent="0.25" r="895" customHeight="1" ht="14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11"/>
      <c r="L895" s="26"/>
    </row>
    <row x14ac:dyDescent="0.25" r="896" customHeight="1" ht="14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11"/>
      <c r="L896" s="26"/>
    </row>
    <row x14ac:dyDescent="0.25" r="897" customHeight="1" ht="14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11"/>
      <c r="L897" s="26"/>
    </row>
    <row x14ac:dyDescent="0.25" r="898" customHeight="1" ht="14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11"/>
      <c r="L898" s="26"/>
    </row>
    <row x14ac:dyDescent="0.25" r="899" customHeight="1" ht="14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11"/>
      <c r="L899" s="26"/>
    </row>
    <row x14ac:dyDescent="0.25" r="900" customHeight="1" ht="14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11"/>
      <c r="L900" s="26"/>
    </row>
    <row x14ac:dyDescent="0.25" r="901" customHeight="1" ht="14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11"/>
      <c r="L901" s="26"/>
    </row>
    <row x14ac:dyDescent="0.25" r="902" customHeight="1" ht="14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11"/>
      <c r="L902" s="26"/>
    </row>
    <row x14ac:dyDescent="0.25" r="903" customHeight="1" ht="14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11"/>
      <c r="L903" s="26"/>
    </row>
    <row x14ac:dyDescent="0.25" r="904" customHeight="1" ht="14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11"/>
      <c r="L904" s="26"/>
    </row>
    <row x14ac:dyDescent="0.25" r="905" customHeight="1" ht="14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11"/>
      <c r="L905" s="26"/>
    </row>
    <row x14ac:dyDescent="0.25" r="906" customHeight="1" ht="14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11"/>
      <c r="L906" s="26"/>
    </row>
    <row x14ac:dyDescent="0.25" r="907" customHeight="1" ht="14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11"/>
      <c r="L907" s="26"/>
    </row>
    <row x14ac:dyDescent="0.25" r="908" customHeight="1" ht="14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11"/>
      <c r="L908" s="26"/>
    </row>
    <row x14ac:dyDescent="0.25" r="909" customHeight="1" ht="14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11"/>
      <c r="L909" s="26"/>
    </row>
    <row x14ac:dyDescent="0.25" r="910" customHeight="1" ht="14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11"/>
      <c r="L910" s="26"/>
    </row>
    <row x14ac:dyDescent="0.25" r="911" customHeight="1" ht="14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11"/>
      <c r="L911" s="26"/>
    </row>
    <row x14ac:dyDescent="0.25" r="912" customHeight="1" ht="14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11"/>
      <c r="L912" s="26"/>
    </row>
    <row x14ac:dyDescent="0.25" r="913" customHeight="1" ht="14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11"/>
      <c r="L913" s="26"/>
    </row>
    <row x14ac:dyDescent="0.25" r="914" customHeight="1" ht="14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11"/>
      <c r="L914" s="26"/>
    </row>
    <row x14ac:dyDescent="0.25" r="915" customHeight="1" ht="14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11"/>
      <c r="L915" s="26"/>
    </row>
    <row x14ac:dyDescent="0.25" r="916" customHeight="1" ht="14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11"/>
      <c r="L916" s="26"/>
    </row>
    <row x14ac:dyDescent="0.25" r="917" customHeight="1" ht="14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11"/>
      <c r="L917" s="26"/>
    </row>
    <row x14ac:dyDescent="0.25" r="918" customHeight="1" ht="14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11"/>
      <c r="L918" s="26"/>
    </row>
    <row x14ac:dyDescent="0.25" r="919" customHeight="1" ht="14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11"/>
      <c r="L919" s="26"/>
    </row>
    <row x14ac:dyDescent="0.25" r="920" customHeight="1" ht="14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11"/>
      <c r="L920" s="26"/>
    </row>
    <row x14ac:dyDescent="0.25" r="921" customHeight="1" ht="14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11"/>
      <c r="L921" s="26"/>
    </row>
    <row x14ac:dyDescent="0.25" r="922" customHeight="1" ht="14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11"/>
      <c r="L922" s="26"/>
    </row>
    <row x14ac:dyDescent="0.25" r="923" customHeight="1" ht="14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11"/>
      <c r="L923" s="26"/>
    </row>
    <row x14ac:dyDescent="0.25" r="924" customHeight="1" ht="14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11"/>
      <c r="L924" s="26"/>
    </row>
    <row x14ac:dyDescent="0.25" r="925" customHeight="1" ht="14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11"/>
      <c r="L925" s="26"/>
    </row>
    <row x14ac:dyDescent="0.25" r="926" customHeight="1" ht="14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11"/>
      <c r="L926" s="26"/>
    </row>
    <row x14ac:dyDescent="0.25" r="927" customHeight="1" ht="14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11"/>
      <c r="L927" s="26"/>
    </row>
    <row x14ac:dyDescent="0.25" r="928" customHeight="1" ht="14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11"/>
      <c r="L928" s="26"/>
    </row>
    <row x14ac:dyDescent="0.25" r="929" customHeight="1" ht="14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11"/>
      <c r="L929" s="26"/>
    </row>
    <row x14ac:dyDescent="0.25" r="930" customHeight="1" ht="14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11"/>
      <c r="L930" s="26"/>
    </row>
    <row x14ac:dyDescent="0.25" r="931" customHeight="1" ht="14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11"/>
      <c r="L931" s="26"/>
    </row>
    <row x14ac:dyDescent="0.25" r="932" customHeight="1" ht="14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11"/>
      <c r="L932" s="26"/>
    </row>
    <row x14ac:dyDescent="0.25" r="933" customHeight="1" ht="14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11"/>
      <c r="L933" s="26"/>
    </row>
    <row x14ac:dyDescent="0.25" r="934" customHeight="1" ht="14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11"/>
      <c r="L934" s="26"/>
    </row>
    <row x14ac:dyDescent="0.25" r="935" customHeight="1" ht="14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11"/>
      <c r="L935" s="26"/>
    </row>
    <row x14ac:dyDescent="0.25" r="936" customHeight="1" ht="14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11"/>
      <c r="L936" s="26"/>
    </row>
    <row x14ac:dyDescent="0.25" r="937" customHeight="1" ht="14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11"/>
      <c r="L937" s="26"/>
    </row>
    <row x14ac:dyDescent="0.25" r="938" customHeight="1" ht="14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11"/>
      <c r="L938" s="26"/>
    </row>
    <row x14ac:dyDescent="0.25" r="939" customHeight="1" ht="14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11"/>
      <c r="L939" s="26"/>
    </row>
    <row x14ac:dyDescent="0.25" r="940" customHeight="1" ht="14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11"/>
      <c r="L940" s="26"/>
    </row>
    <row x14ac:dyDescent="0.25" r="941" customHeight="1" ht="14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11"/>
      <c r="L941" s="26"/>
    </row>
    <row x14ac:dyDescent="0.25" r="942" customHeight="1" ht="14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11"/>
      <c r="L942" s="26"/>
    </row>
    <row x14ac:dyDescent="0.25" r="943" customHeight="1" ht="14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11"/>
      <c r="L943" s="26"/>
    </row>
    <row x14ac:dyDescent="0.25" r="944" customHeight="1" ht="14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11"/>
      <c r="L944" s="26"/>
    </row>
    <row x14ac:dyDescent="0.25" r="945" customHeight="1" ht="14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11"/>
      <c r="L945" s="26"/>
    </row>
    <row x14ac:dyDescent="0.25" r="946" customHeight="1" ht="14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11"/>
      <c r="L946" s="26"/>
    </row>
    <row x14ac:dyDescent="0.25" r="947" customHeight="1" ht="14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11"/>
      <c r="L947" s="26"/>
    </row>
    <row x14ac:dyDescent="0.25" r="948" customHeight="1" ht="14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11"/>
      <c r="L948" s="26"/>
    </row>
    <row x14ac:dyDescent="0.25" r="949" customHeight="1" ht="14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11"/>
      <c r="L949" s="26"/>
    </row>
    <row x14ac:dyDescent="0.25" r="950" customHeight="1" ht="14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11"/>
      <c r="L950" s="26"/>
    </row>
    <row x14ac:dyDescent="0.25" r="951" customHeight="1" ht="14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11"/>
      <c r="L951" s="26"/>
    </row>
    <row x14ac:dyDescent="0.25" r="952" customHeight="1" ht="14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11"/>
      <c r="L952" s="26"/>
    </row>
    <row x14ac:dyDescent="0.25" r="953" customHeight="1" ht="14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11"/>
      <c r="L953" s="26"/>
    </row>
    <row x14ac:dyDescent="0.25" r="954" customHeight="1" ht="14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11"/>
      <c r="L954" s="26"/>
    </row>
    <row x14ac:dyDescent="0.25" r="955" customHeight="1" ht="14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11"/>
      <c r="L955" s="26"/>
    </row>
    <row x14ac:dyDescent="0.25" r="956" customHeight="1" ht="14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11"/>
      <c r="L956" s="26"/>
    </row>
    <row x14ac:dyDescent="0.25" r="957" customHeight="1" ht="14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11"/>
      <c r="L957" s="26"/>
    </row>
    <row x14ac:dyDescent="0.25" r="958" customHeight="1" ht="14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11"/>
      <c r="L958" s="26"/>
    </row>
    <row x14ac:dyDescent="0.25" r="959" customHeight="1" ht="14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11"/>
      <c r="L959" s="26"/>
    </row>
    <row x14ac:dyDescent="0.25" r="960" customHeight="1" ht="14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11"/>
      <c r="L960" s="26"/>
    </row>
    <row x14ac:dyDescent="0.25" r="961" customHeight="1" ht="14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11"/>
      <c r="L961" s="26"/>
    </row>
    <row x14ac:dyDescent="0.25" r="962" customHeight="1" ht="14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11"/>
      <c r="L962" s="26"/>
    </row>
    <row x14ac:dyDescent="0.25" r="963" customHeight="1" ht="14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11"/>
      <c r="L963" s="26"/>
    </row>
    <row x14ac:dyDescent="0.25" r="964" customHeight="1" ht="14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11"/>
      <c r="L964" s="26"/>
    </row>
    <row x14ac:dyDescent="0.25" r="965" customHeight="1" ht="14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11"/>
      <c r="L965" s="26"/>
    </row>
    <row x14ac:dyDescent="0.25" r="966" customHeight="1" ht="14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11"/>
      <c r="L966" s="26"/>
    </row>
    <row x14ac:dyDescent="0.25" r="967" customHeight="1" ht="14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11"/>
      <c r="L967" s="26"/>
    </row>
    <row x14ac:dyDescent="0.25" r="968" customHeight="1" ht="14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11"/>
      <c r="L968" s="26"/>
    </row>
    <row x14ac:dyDescent="0.25" r="969" customHeight="1" ht="14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11"/>
      <c r="L969" s="26"/>
    </row>
    <row x14ac:dyDescent="0.25" r="970" customHeight="1" ht="14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11"/>
      <c r="L970" s="26"/>
    </row>
    <row x14ac:dyDescent="0.25" r="971" customHeight="1" ht="14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11"/>
      <c r="L971" s="26"/>
    </row>
    <row x14ac:dyDescent="0.25" r="972" customHeight="1" ht="14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11"/>
      <c r="L972" s="26"/>
    </row>
    <row x14ac:dyDescent="0.25" r="973" customHeight="1" ht="14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11"/>
      <c r="L973" s="26"/>
    </row>
    <row x14ac:dyDescent="0.25" r="974" customHeight="1" ht="14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11"/>
      <c r="L974" s="26"/>
    </row>
    <row x14ac:dyDescent="0.25" r="975" customHeight="1" ht="14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11"/>
      <c r="L975" s="26"/>
    </row>
    <row x14ac:dyDescent="0.25" r="976" customHeight="1" ht="14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11"/>
      <c r="L976" s="26"/>
    </row>
    <row x14ac:dyDescent="0.25" r="977" customHeight="1" ht="14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11"/>
      <c r="L977" s="26"/>
    </row>
    <row x14ac:dyDescent="0.25" r="978" customHeight="1" ht="14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11"/>
      <c r="L978" s="26"/>
    </row>
    <row x14ac:dyDescent="0.25" r="979" customHeight="1" ht="14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11"/>
      <c r="L979" s="26"/>
    </row>
    <row x14ac:dyDescent="0.25" r="980" customHeight="1" ht="14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11"/>
      <c r="L980" s="26"/>
    </row>
    <row x14ac:dyDescent="0.25" r="981" customHeight="1" ht="14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11"/>
      <c r="L981" s="26"/>
    </row>
    <row x14ac:dyDescent="0.25" r="982" customHeight="1" ht="14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11"/>
      <c r="L982" s="26"/>
    </row>
    <row x14ac:dyDescent="0.25" r="983" customHeight="1" ht="14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11"/>
      <c r="L983" s="26"/>
    </row>
    <row x14ac:dyDescent="0.25" r="984" customHeight="1" ht="14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11"/>
      <c r="L984" s="26"/>
    </row>
    <row x14ac:dyDescent="0.25" r="985" customHeight="1" ht="14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11"/>
      <c r="L985" s="26"/>
    </row>
    <row x14ac:dyDescent="0.25" r="986" customHeight="1" ht="14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11"/>
      <c r="L986" s="26"/>
    </row>
    <row x14ac:dyDescent="0.25" r="987" customHeight="1" ht="14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11"/>
      <c r="L987" s="26"/>
    </row>
    <row x14ac:dyDescent="0.25" r="988" customHeight="1" ht="14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11"/>
      <c r="L988" s="26"/>
    </row>
    <row x14ac:dyDescent="0.25" r="989" customHeight="1" ht="14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11"/>
      <c r="L989" s="26"/>
    </row>
    <row x14ac:dyDescent="0.25" r="990" customHeight="1" ht="14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11"/>
      <c r="L990" s="26"/>
    </row>
    <row x14ac:dyDescent="0.25" r="991" customHeight="1" ht="14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11"/>
      <c r="L991" s="26"/>
    </row>
    <row x14ac:dyDescent="0.25" r="992" customHeight="1" ht="14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11"/>
      <c r="L992" s="26"/>
    </row>
    <row x14ac:dyDescent="0.25" r="993" customHeight="1" ht="14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11"/>
      <c r="L993" s="26"/>
    </row>
    <row x14ac:dyDescent="0.25" r="994" customHeight="1" ht="14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11"/>
      <c r="L994" s="26"/>
    </row>
    <row x14ac:dyDescent="0.25" r="995" customHeight="1" ht="14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11"/>
      <c r="L995" s="26"/>
    </row>
    <row x14ac:dyDescent="0.25" r="996" customHeight="1" ht="14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11"/>
      <c r="L996" s="26"/>
    </row>
    <row x14ac:dyDescent="0.25" r="997" customHeight="1" ht="14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11"/>
      <c r="L997" s="26"/>
    </row>
    <row x14ac:dyDescent="0.25" r="998" customHeight="1" ht="14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11"/>
      <c r="L998" s="26"/>
    </row>
    <row x14ac:dyDescent="0.25" r="999" customHeight="1" ht="14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11"/>
      <c r="L999" s="26"/>
    </row>
    <row x14ac:dyDescent="0.25" r="1000" customHeight="1" ht="14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11"/>
      <c r="L1000" s="2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000"/>
  <sheetViews>
    <sheetView workbookViewId="0"/>
  </sheetViews>
  <sheetFormatPr defaultRowHeight="15" x14ac:dyDescent="0.25"/>
  <cols>
    <col min="1" max="1" style="12" width="25.433571428571426" customWidth="1" bestFit="1"/>
    <col min="2" max="2" style="12" width="19.290714285714284" customWidth="1" bestFit="1"/>
    <col min="3" max="3" style="13" width="24.719285714285714" customWidth="1" bestFit="1"/>
    <col min="4" max="4" style="13" width="8.719285714285713" customWidth="1" bestFit="1"/>
    <col min="5" max="5" style="12" width="27.576428571428572" customWidth="1" bestFit="1"/>
    <col min="6" max="6" style="49" width="16.433571428571426" customWidth="1" bestFit="1"/>
    <col min="7" max="7" style="12" width="14.147857142857141" customWidth="1" bestFit="1"/>
  </cols>
  <sheetData>
    <row x14ac:dyDescent="0.25" r="1" customHeight="1" ht="14.25">
      <c r="A1" s="28" t="s">
        <v>9</v>
      </c>
      <c r="B1" s="28" t="s">
        <v>12</v>
      </c>
      <c r="C1" s="29" t="s">
        <v>13</v>
      </c>
      <c r="D1" s="11"/>
      <c r="E1" s="30" t="s">
        <v>9</v>
      </c>
      <c r="F1" s="31" t="s">
        <v>14</v>
      </c>
      <c r="G1" s="30" t="s">
        <v>13</v>
      </c>
    </row>
    <row x14ac:dyDescent="0.25" r="2" customHeight="1" ht="14.25" customFormat="1" s="1">
      <c r="A2" s="24" t="s">
        <v>15</v>
      </c>
      <c r="B2" s="32" t="s">
        <v>16</v>
      </c>
      <c r="C2" s="32" t="s">
        <v>17</v>
      </c>
      <c r="D2" s="6"/>
      <c r="E2" s="33" t="s">
        <v>15</v>
      </c>
      <c r="F2" s="34">
        <v>3</v>
      </c>
      <c r="G2" s="32"/>
    </row>
    <row x14ac:dyDescent="0.25" r="3" customHeight="1" ht="14.25" customFormat="1" s="1">
      <c r="A3" s="24" t="s">
        <v>18</v>
      </c>
      <c r="B3" s="24" t="s">
        <v>19</v>
      </c>
      <c r="C3" s="24" t="s">
        <v>20</v>
      </c>
      <c r="D3" s="6"/>
      <c r="E3" s="35" t="s">
        <v>18</v>
      </c>
      <c r="F3" s="34">
        <v>1</v>
      </c>
      <c r="G3" s="24"/>
    </row>
    <row x14ac:dyDescent="0.25" r="4" customHeight="1" ht="14.25" customFormat="1" s="1">
      <c r="A4" s="24" t="s">
        <v>21</v>
      </c>
      <c r="B4" s="24" t="s">
        <v>22</v>
      </c>
      <c r="C4" s="24" t="s">
        <v>23</v>
      </c>
      <c r="D4" s="6"/>
      <c r="E4" s="36" t="s">
        <v>21</v>
      </c>
      <c r="F4" s="34">
        <v>2</v>
      </c>
      <c r="G4" s="24"/>
    </row>
    <row x14ac:dyDescent="0.25" r="5" customHeight="1" ht="14.25" customFormat="1" s="1">
      <c r="A5" s="24" t="s">
        <v>24</v>
      </c>
      <c r="B5" s="24" t="s">
        <v>25</v>
      </c>
      <c r="C5" s="24" t="s">
        <v>26</v>
      </c>
      <c r="D5" s="6"/>
      <c r="E5" s="37" t="s">
        <v>24</v>
      </c>
      <c r="F5" s="34">
        <v>8</v>
      </c>
      <c r="G5" s="24"/>
    </row>
    <row x14ac:dyDescent="0.25" r="6" customHeight="1" ht="14.25" customFormat="1" s="1">
      <c r="A6" s="24" t="s">
        <v>27</v>
      </c>
      <c r="B6" s="24" t="s">
        <v>28</v>
      </c>
      <c r="C6" s="24" t="s">
        <v>29</v>
      </c>
      <c r="D6" s="6"/>
      <c r="E6" s="38" t="s">
        <v>27</v>
      </c>
      <c r="F6" s="34">
        <v>1</v>
      </c>
      <c r="G6" s="24"/>
    </row>
    <row x14ac:dyDescent="0.25" r="7" customHeight="1" ht="14.25" customFormat="1" s="1">
      <c r="A7" s="24" t="s">
        <v>30</v>
      </c>
      <c r="B7" s="24" t="s">
        <v>31</v>
      </c>
      <c r="C7" s="32" t="s">
        <v>32</v>
      </c>
      <c r="D7" s="6"/>
      <c r="E7" s="39" t="s">
        <v>30</v>
      </c>
      <c r="F7" s="34">
        <v>7</v>
      </c>
      <c r="G7" s="40"/>
    </row>
    <row x14ac:dyDescent="0.25" r="8" customHeight="1" ht="14.25" customFormat="1" s="1">
      <c r="A8" s="24" t="s">
        <v>33</v>
      </c>
      <c r="B8" s="24" t="s">
        <v>34</v>
      </c>
      <c r="C8" s="32" t="s">
        <v>28</v>
      </c>
      <c r="D8" s="6"/>
      <c r="E8" s="41" t="s">
        <v>33</v>
      </c>
      <c r="F8" s="34">
        <v>6</v>
      </c>
      <c r="G8" s="32"/>
    </row>
    <row x14ac:dyDescent="0.25" r="9" customHeight="1" ht="14.25" customFormat="1" s="1">
      <c r="A9" s="24" t="s">
        <v>35</v>
      </c>
      <c r="B9" s="24" t="s">
        <v>36</v>
      </c>
      <c r="C9" s="32" t="s">
        <v>37</v>
      </c>
      <c r="D9" s="6"/>
      <c r="E9" s="42" t="s">
        <v>35</v>
      </c>
      <c r="F9" s="34">
        <v>1</v>
      </c>
      <c r="G9" s="32"/>
    </row>
    <row x14ac:dyDescent="0.25" r="10" customHeight="1" ht="14.25" customFormat="1" s="1">
      <c r="A10" s="24" t="s">
        <v>38</v>
      </c>
      <c r="B10" s="24" t="s">
        <v>39</v>
      </c>
      <c r="C10" s="24" t="s">
        <v>34</v>
      </c>
      <c r="D10" s="6"/>
      <c r="E10" s="43" t="s">
        <v>38</v>
      </c>
      <c r="F10" s="34">
        <v>22</v>
      </c>
      <c r="G10" s="32"/>
    </row>
    <row x14ac:dyDescent="0.25" r="11" customHeight="1" ht="14.25" customFormat="1" s="1">
      <c r="A11" s="6"/>
      <c r="B11" s="24" t="s">
        <v>40</v>
      </c>
      <c r="C11" s="24" t="s">
        <v>36</v>
      </c>
      <c r="D11" s="6"/>
      <c r="E11" s="44" t="s">
        <v>41</v>
      </c>
      <c r="F11" s="34">
        <v>1</v>
      </c>
      <c r="G11" s="24"/>
    </row>
    <row x14ac:dyDescent="0.25" r="12" customHeight="1" ht="14.25" customFormat="1" s="1">
      <c r="A12" s="6"/>
      <c r="B12" s="24" t="s">
        <v>42</v>
      </c>
      <c r="C12" s="32" t="s">
        <v>43</v>
      </c>
      <c r="D12" s="6"/>
      <c r="E12" s="45" t="s">
        <v>44</v>
      </c>
      <c r="F12" s="34">
        <v>2</v>
      </c>
      <c r="G12" s="24"/>
    </row>
    <row x14ac:dyDescent="0.25" r="13" customHeight="1" ht="14.25" customFormat="1" s="1">
      <c r="A13" s="6"/>
      <c r="B13" s="24" t="s">
        <v>45</v>
      </c>
      <c r="C13" s="24" t="s">
        <v>46</v>
      </c>
      <c r="D13" s="6"/>
      <c r="E13" s="6"/>
      <c r="F13" s="46"/>
      <c r="G13" s="6"/>
    </row>
    <row x14ac:dyDescent="0.25" r="14" customHeight="1" ht="14.25" customFormat="1" s="1">
      <c r="A14" s="6"/>
      <c r="B14" s="24" t="s">
        <v>47</v>
      </c>
      <c r="C14" s="24" t="s">
        <v>48</v>
      </c>
      <c r="D14" s="6"/>
      <c r="E14" s="6"/>
      <c r="F14" s="46"/>
      <c r="G14" s="6"/>
    </row>
    <row x14ac:dyDescent="0.25" r="15" customHeight="1" ht="14.25" customFormat="1" s="1">
      <c r="A15" s="6"/>
      <c r="B15" s="24" t="s">
        <v>49</v>
      </c>
      <c r="C15" s="24" t="s">
        <v>50</v>
      </c>
      <c r="D15" s="6"/>
      <c r="E15" s="6"/>
      <c r="F15" s="46"/>
      <c r="G15" s="6"/>
    </row>
    <row x14ac:dyDescent="0.25" r="16" customHeight="1" ht="14.25" customFormat="1" s="1">
      <c r="A16" s="6"/>
      <c r="B16" s="24" t="s">
        <v>51</v>
      </c>
      <c r="C16" s="24" t="s">
        <v>52</v>
      </c>
      <c r="D16" s="6"/>
      <c r="E16" s="6"/>
      <c r="F16" s="46"/>
      <c r="G16" s="6"/>
    </row>
    <row x14ac:dyDescent="0.25" r="17" customHeight="1" ht="14.25" customFormat="1" s="1">
      <c r="A17" s="6"/>
      <c r="B17" s="24" t="s">
        <v>53</v>
      </c>
      <c r="C17" s="24" t="s">
        <v>54</v>
      </c>
      <c r="D17" s="6"/>
      <c r="E17" s="6"/>
      <c r="F17" s="46"/>
      <c r="G17" s="6"/>
    </row>
    <row x14ac:dyDescent="0.25" r="18" customHeight="1" ht="14.25" customFormat="1" s="1">
      <c r="A18" s="6"/>
      <c r="B18" s="24" t="s">
        <v>55</v>
      </c>
      <c r="C18" s="24" t="s">
        <v>56</v>
      </c>
      <c r="D18" s="6"/>
      <c r="E18" s="6"/>
      <c r="F18" s="46"/>
      <c r="G18" s="6"/>
    </row>
    <row x14ac:dyDescent="0.25" r="19" customHeight="1" ht="14.25" customFormat="1" s="1">
      <c r="A19" s="6"/>
      <c r="B19" s="24" t="s">
        <v>57</v>
      </c>
      <c r="C19" s="24" t="s">
        <v>51</v>
      </c>
      <c r="D19" s="6"/>
      <c r="E19" s="6"/>
      <c r="F19" s="46"/>
      <c r="G19" s="6"/>
    </row>
    <row x14ac:dyDescent="0.25" r="20" customHeight="1" ht="14.25" customFormat="1" s="1">
      <c r="A20" s="6"/>
      <c r="B20" s="24" t="s">
        <v>58</v>
      </c>
      <c r="C20" s="24" t="s">
        <v>59</v>
      </c>
      <c r="D20" s="6"/>
      <c r="E20" s="6"/>
      <c r="F20" s="46"/>
      <c r="G20" s="6"/>
    </row>
    <row x14ac:dyDescent="0.25" r="21" customHeight="1" ht="14.25" customFormat="1" s="1">
      <c r="A21" s="6"/>
      <c r="B21" s="24" t="s">
        <v>60</v>
      </c>
      <c r="C21" s="32" t="s">
        <v>61</v>
      </c>
      <c r="D21" s="6"/>
      <c r="E21" s="6"/>
      <c r="F21" s="46"/>
      <c r="G21" s="6"/>
    </row>
    <row x14ac:dyDescent="0.25" r="22" customHeight="1" ht="14.25" customFormat="1" s="1">
      <c r="A22" s="6"/>
      <c r="B22" s="24" t="s">
        <v>62</v>
      </c>
      <c r="C22" s="24" t="s">
        <v>63</v>
      </c>
      <c r="D22" s="6"/>
      <c r="E22" s="6"/>
      <c r="F22" s="46"/>
      <c r="G22" s="6"/>
    </row>
    <row x14ac:dyDescent="0.25" r="23" customHeight="1" ht="14.25" customFormat="1" s="1">
      <c r="A23" s="6"/>
      <c r="B23" s="24" t="s">
        <v>64</v>
      </c>
      <c r="C23" s="24" t="s">
        <v>65</v>
      </c>
      <c r="D23" s="6"/>
      <c r="E23" s="6"/>
      <c r="F23" s="46"/>
      <c r="G23" s="6"/>
    </row>
    <row x14ac:dyDescent="0.25" r="24" customHeight="1" ht="14.25" customFormat="1" s="1">
      <c r="A24" s="6"/>
      <c r="B24" s="24" t="s">
        <v>66</v>
      </c>
      <c r="C24" s="24" t="s">
        <v>60</v>
      </c>
      <c r="D24" s="6"/>
      <c r="E24" s="6"/>
      <c r="F24" s="46"/>
      <c r="G24" s="6"/>
    </row>
    <row x14ac:dyDescent="0.25" r="25" customHeight="1" ht="14.25" customFormat="1" s="1">
      <c r="A25" s="6"/>
      <c r="B25" s="24" t="s">
        <v>67</v>
      </c>
      <c r="C25" s="24" t="s">
        <v>62</v>
      </c>
      <c r="D25" s="6"/>
      <c r="E25" s="6"/>
      <c r="F25" s="46"/>
      <c r="G25" s="6"/>
    </row>
    <row x14ac:dyDescent="0.25" r="26" customHeight="1" ht="14.25" customFormat="1" s="1">
      <c r="A26" s="6"/>
      <c r="B26" s="24" t="s">
        <v>68</v>
      </c>
      <c r="C26" s="24" t="s">
        <v>64</v>
      </c>
      <c r="D26" s="6"/>
      <c r="E26" s="6"/>
      <c r="F26" s="46"/>
      <c r="G26" s="6"/>
    </row>
    <row x14ac:dyDescent="0.25" r="27" customHeight="1" ht="14.25" customFormat="1" s="1">
      <c r="A27" s="6"/>
      <c r="B27" s="24" t="s">
        <v>69</v>
      </c>
      <c r="C27" s="24" t="s">
        <v>70</v>
      </c>
      <c r="D27" s="6"/>
      <c r="E27" s="6"/>
      <c r="F27" s="46"/>
      <c r="G27" s="6"/>
    </row>
    <row x14ac:dyDescent="0.25" r="28" customHeight="1" ht="14.25" customFormat="1" s="1">
      <c r="A28" s="6"/>
      <c r="B28" s="24" t="s">
        <v>71</v>
      </c>
      <c r="C28" s="24" t="s">
        <v>72</v>
      </c>
      <c r="D28" s="6"/>
      <c r="E28" s="6"/>
      <c r="F28" s="46"/>
      <c r="G28" s="6"/>
    </row>
    <row x14ac:dyDescent="0.25" r="29" customHeight="1" ht="14.25" customFormat="1" s="1">
      <c r="A29" s="6"/>
      <c r="B29" s="24" t="s">
        <v>73</v>
      </c>
      <c r="C29" s="24" t="s">
        <v>74</v>
      </c>
      <c r="D29" s="6"/>
      <c r="E29" s="6"/>
      <c r="F29" s="46"/>
      <c r="G29" s="6"/>
    </row>
    <row x14ac:dyDescent="0.25" r="30" customHeight="1" ht="14.25" customFormat="1" s="1">
      <c r="A30" s="6"/>
      <c r="B30" s="24" t="s">
        <v>75</v>
      </c>
      <c r="C30" s="32" t="s">
        <v>69</v>
      </c>
      <c r="D30" s="6"/>
      <c r="E30" s="6"/>
      <c r="F30" s="46"/>
      <c r="G30" s="6"/>
    </row>
    <row x14ac:dyDescent="0.25" r="31" customHeight="1" ht="14.25" customFormat="1" s="1">
      <c r="A31" s="6"/>
      <c r="B31" s="32" t="s">
        <v>76</v>
      </c>
      <c r="C31" s="24" t="s">
        <v>71</v>
      </c>
      <c r="D31" s="6"/>
      <c r="E31" s="6"/>
      <c r="F31" s="46"/>
      <c r="G31" s="6"/>
    </row>
    <row x14ac:dyDescent="0.25" r="32" customHeight="1" ht="14.25" customFormat="1" s="1">
      <c r="A32" s="6"/>
      <c r="B32" s="32" t="s">
        <v>77</v>
      </c>
      <c r="C32" s="24" t="s">
        <v>78</v>
      </c>
      <c r="D32" s="6"/>
      <c r="E32" s="6"/>
      <c r="F32" s="46"/>
      <c r="G32" s="6"/>
    </row>
    <row x14ac:dyDescent="0.25" r="33" customHeight="1" ht="14.25" customFormat="1" s="1">
      <c r="A33" s="6"/>
      <c r="B33" s="32" t="s">
        <v>79</v>
      </c>
      <c r="C33" s="24" t="s">
        <v>75</v>
      </c>
      <c r="D33" s="6"/>
      <c r="E33" s="6"/>
      <c r="F33" s="46"/>
      <c r="G33" s="6"/>
    </row>
    <row x14ac:dyDescent="0.25" r="34" customHeight="1" ht="14.25" customFormat="1" s="1">
      <c r="A34" s="6"/>
      <c r="B34" s="24" t="s">
        <v>80</v>
      </c>
      <c r="C34" s="24" t="s">
        <v>31</v>
      </c>
      <c r="D34" s="6"/>
      <c r="E34" s="6"/>
      <c r="F34" s="46"/>
      <c r="G34" s="6"/>
    </row>
    <row x14ac:dyDescent="0.25" r="35" customHeight="1" ht="14.25">
      <c r="A35" s="6"/>
      <c r="B35" s="24" t="s">
        <v>81</v>
      </c>
      <c r="C35" s="47" t="s">
        <v>82</v>
      </c>
      <c r="D35" s="11"/>
      <c r="E35" s="6"/>
      <c r="F35" s="46"/>
      <c r="G35" s="6"/>
    </row>
    <row x14ac:dyDescent="0.25" r="36" customHeight="1" ht="14.25" customFormat="1" s="1">
      <c r="A36" s="6"/>
      <c r="B36" s="24" t="s">
        <v>83</v>
      </c>
      <c r="C36" s="24" t="s">
        <v>84</v>
      </c>
      <c r="D36" s="6"/>
      <c r="E36" s="6"/>
      <c r="F36" s="46"/>
      <c r="G36" s="6"/>
    </row>
    <row x14ac:dyDescent="0.25" r="37" customHeight="1" ht="14.25" customFormat="1" s="1">
      <c r="A37" s="6"/>
      <c r="B37" s="24" t="s">
        <v>85</v>
      </c>
      <c r="C37" s="24" t="s">
        <v>86</v>
      </c>
      <c r="D37" s="6"/>
      <c r="E37" s="6"/>
      <c r="F37" s="46"/>
      <c r="G37" s="6"/>
    </row>
    <row x14ac:dyDescent="0.25" r="38" customHeight="1" ht="14.25" customFormat="1" s="1">
      <c r="A38" s="6"/>
      <c r="B38" s="24" t="s">
        <v>87</v>
      </c>
      <c r="C38" s="24" t="s">
        <v>88</v>
      </c>
      <c r="D38" s="6"/>
      <c r="E38" s="6"/>
      <c r="F38" s="46"/>
      <c r="G38" s="6"/>
    </row>
    <row x14ac:dyDescent="0.25" r="39" customHeight="1" ht="14.25" customFormat="1" s="1">
      <c r="A39" s="6"/>
      <c r="B39" s="24" t="s">
        <v>89</v>
      </c>
      <c r="C39" s="24" t="s">
        <v>90</v>
      </c>
      <c r="D39" s="6"/>
      <c r="E39" s="6"/>
      <c r="F39" s="46"/>
      <c r="G39" s="6"/>
    </row>
    <row x14ac:dyDescent="0.25" r="40" customHeight="1" ht="14.25" customFormat="1" s="1">
      <c r="A40" s="6"/>
      <c r="B40" s="32" t="s">
        <v>91</v>
      </c>
      <c r="C40" s="24" t="s">
        <v>92</v>
      </c>
      <c r="D40" s="6"/>
      <c r="E40" s="6"/>
      <c r="F40" s="46"/>
      <c r="G40" s="6"/>
    </row>
    <row x14ac:dyDescent="0.25" r="41" customHeight="1" ht="14.25" customFormat="1" s="1">
      <c r="A41" s="6"/>
      <c r="B41" s="32" t="s">
        <v>93</v>
      </c>
      <c r="C41" s="24" t="s">
        <v>94</v>
      </c>
      <c r="D41" s="6"/>
      <c r="E41" s="6"/>
      <c r="F41" s="46"/>
      <c r="G41" s="6"/>
    </row>
    <row x14ac:dyDescent="0.25" r="42" customHeight="1" ht="14.25" customFormat="1" s="1">
      <c r="A42" s="6"/>
      <c r="B42" s="32" t="s">
        <v>95</v>
      </c>
      <c r="C42" s="24" t="s">
        <v>96</v>
      </c>
      <c r="D42" s="6"/>
      <c r="E42" s="6"/>
      <c r="F42" s="46"/>
      <c r="G42" s="6"/>
    </row>
    <row x14ac:dyDescent="0.25" r="43" customHeight="1" ht="14.25" customFormat="1" s="1">
      <c r="A43" s="6"/>
      <c r="B43" s="32" t="s">
        <v>97</v>
      </c>
      <c r="C43" s="24" t="s">
        <v>83</v>
      </c>
      <c r="D43" s="6"/>
      <c r="E43" s="6"/>
      <c r="F43" s="46"/>
      <c r="G43" s="6"/>
    </row>
    <row x14ac:dyDescent="0.25" r="44" customHeight="1" ht="14.25" customFormat="1" s="1">
      <c r="A44" s="6"/>
      <c r="B44" s="24" t="s">
        <v>98</v>
      </c>
      <c r="C44" s="24" t="s">
        <v>85</v>
      </c>
      <c r="D44" s="6"/>
      <c r="E44" s="6"/>
      <c r="F44" s="46"/>
      <c r="G44" s="6"/>
    </row>
    <row x14ac:dyDescent="0.25" r="45" customHeight="1" ht="14.25" customFormat="1" s="1">
      <c r="A45" s="6"/>
      <c r="B45" s="32" t="s">
        <v>99</v>
      </c>
      <c r="C45" s="24" t="s">
        <v>100</v>
      </c>
      <c r="D45" s="6"/>
      <c r="E45" s="6"/>
      <c r="F45" s="46"/>
      <c r="G45" s="6"/>
    </row>
    <row x14ac:dyDescent="0.25" r="46" customHeight="1" ht="14.25" customFormat="1" s="1">
      <c r="A46" s="6"/>
      <c r="B46" s="6"/>
      <c r="C46" s="24" t="s">
        <v>101</v>
      </c>
      <c r="D46" s="6"/>
      <c r="E46" s="6"/>
      <c r="F46" s="46"/>
      <c r="G46" s="6"/>
    </row>
    <row x14ac:dyDescent="0.25" r="47" customHeight="1" ht="14.25" customFormat="1" s="1">
      <c r="A47" s="6"/>
      <c r="B47" s="6"/>
      <c r="C47" s="48" t="s">
        <v>102</v>
      </c>
      <c r="D47" s="6"/>
      <c r="E47" s="6"/>
      <c r="F47" s="46"/>
      <c r="G47" s="6"/>
    </row>
    <row x14ac:dyDescent="0.25" r="48" customHeight="1" ht="14.25" customFormat="1" s="1">
      <c r="A48" s="6"/>
      <c r="B48" s="6"/>
      <c r="C48" s="32" t="s">
        <v>93</v>
      </c>
      <c r="D48" s="6"/>
      <c r="E48" s="6"/>
      <c r="F48" s="46"/>
      <c r="G48" s="6"/>
    </row>
    <row x14ac:dyDescent="0.25" r="49" customHeight="1" ht="14.25" customFormat="1" s="1">
      <c r="A49" s="6"/>
      <c r="B49" s="6"/>
      <c r="C49" s="48" t="s">
        <v>103</v>
      </c>
      <c r="D49" s="6"/>
      <c r="E49" s="6"/>
      <c r="F49" s="46"/>
      <c r="G49" s="6"/>
    </row>
    <row x14ac:dyDescent="0.25" r="50" customHeight="1" ht="14.25" customFormat="1" s="1">
      <c r="A50" s="6"/>
      <c r="B50" s="6"/>
      <c r="C50" s="48" t="s">
        <v>104</v>
      </c>
      <c r="D50" s="6"/>
      <c r="E50" s="6"/>
      <c r="F50" s="46"/>
      <c r="G50" s="6"/>
    </row>
    <row x14ac:dyDescent="0.25" r="51" customHeight="1" ht="14.25" customFormat="1" s="1">
      <c r="A51" s="6"/>
      <c r="B51" s="6"/>
      <c r="C51" s="40" t="s">
        <v>98</v>
      </c>
      <c r="D51" s="6"/>
      <c r="E51" s="6"/>
      <c r="F51" s="46"/>
      <c r="G51" s="6"/>
    </row>
    <row x14ac:dyDescent="0.25" r="52" customHeight="1" ht="14.25" customFormat="1" s="1">
      <c r="A52" s="6"/>
      <c r="B52" s="6"/>
      <c r="C52" s="48" t="s">
        <v>99</v>
      </c>
      <c r="D52" s="6"/>
      <c r="E52" s="6"/>
      <c r="F52" s="46"/>
      <c r="G52" s="6"/>
    </row>
    <row x14ac:dyDescent="0.25" r="53" customHeight="1" ht="14.25" customFormat="1" s="1">
      <c r="A53" s="6"/>
      <c r="B53" s="6"/>
      <c r="C53" s="24" t="s">
        <v>105</v>
      </c>
      <c r="D53" s="6"/>
      <c r="E53" s="6"/>
      <c r="F53" s="46"/>
      <c r="G53" s="6"/>
    </row>
    <row x14ac:dyDescent="0.25" r="54" customHeight="1" ht="14.25" customFormat="1" s="1">
      <c r="A54" s="6"/>
      <c r="B54" s="6"/>
      <c r="C54" s="24" t="s">
        <v>106</v>
      </c>
      <c r="D54" s="6"/>
      <c r="E54" s="6"/>
      <c r="F54" s="46"/>
      <c r="G54" s="6"/>
    </row>
    <row x14ac:dyDescent="0.25" r="55" customHeight="1" ht="14.25" customFormat="1" s="1">
      <c r="A55" s="6"/>
      <c r="B55" s="6"/>
      <c r="C55" s="24" t="s">
        <v>84</v>
      </c>
      <c r="D55" s="6"/>
      <c r="E55" s="6"/>
      <c r="F55" s="46"/>
      <c r="G55" s="6"/>
    </row>
    <row x14ac:dyDescent="0.25" r="56" customHeight="1" ht="14.25">
      <c r="A56" s="6"/>
      <c r="B56" s="6"/>
      <c r="C56" s="11"/>
      <c r="D56" s="11"/>
      <c r="E56" s="6"/>
      <c r="F56" s="46"/>
      <c r="G56" s="6"/>
    </row>
    <row x14ac:dyDescent="0.25" r="57" customHeight="1" ht="14.25">
      <c r="A57" s="6"/>
      <c r="B57" s="6"/>
      <c r="C57" s="11"/>
      <c r="D57" s="11"/>
      <c r="E57" s="6"/>
      <c r="F57" s="46"/>
      <c r="G57" s="6"/>
    </row>
    <row x14ac:dyDescent="0.25" r="58" customHeight="1" ht="14.25">
      <c r="A58" s="6"/>
      <c r="B58" s="6"/>
      <c r="C58" s="11"/>
      <c r="D58" s="11"/>
      <c r="E58" s="6"/>
      <c r="F58" s="46"/>
      <c r="G58" s="6"/>
    </row>
    <row x14ac:dyDescent="0.25" r="59" customHeight="1" ht="14.25">
      <c r="A59" s="6"/>
      <c r="B59" s="6"/>
      <c r="C59" s="11"/>
      <c r="D59" s="11"/>
      <c r="E59" s="6"/>
      <c r="F59" s="46"/>
      <c r="G59" s="6"/>
    </row>
    <row x14ac:dyDescent="0.25" r="60" customHeight="1" ht="14.25">
      <c r="A60" s="6"/>
      <c r="B60" s="6"/>
      <c r="C60" s="11"/>
      <c r="D60" s="11"/>
      <c r="E60" s="6"/>
      <c r="F60" s="46"/>
      <c r="G60" s="6"/>
    </row>
    <row x14ac:dyDescent="0.25" r="61" customHeight="1" ht="14.25">
      <c r="A61" s="6"/>
      <c r="B61" s="6"/>
      <c r="C61" s="11"/>
      <c r="D61" s="11"/>
      <c r="E61" s="6"/>
      <c r="F61" s="46"/>
      <c r="G61" s="6"/>
    </row>
    <row x14ac:dyDescent="0.25" r="62" customHeight="1" ht="14.25">
      <c r="A62" s="6"/>
      <c r="B62" s="6"/>
      <c r="C62" s="11"/>
      <c r="D62" s="11"/>
      <c r="E62" s="6"/>
      <c r="F62" s="46"/>
      <c r="G62" s="6"/>
    </row>
    <row x14ac:dyDescent="0.25" r="63" customHeight="1" ht="14.25">
      <c r="A63" s="6"/>
      <c r="B63" s="6"/>
      <c r="C63" s="11"/>
      <c r="D63" s="11"/>
      <c r="E63" s="6"/>
      <c r="F63" s="46"/>
      <c r="G63" s="6"/>
    </row>
    <row x14ac:dyDescent="0.25" r="64" customHeight="1" ht="14.25">
      <c r="A64" s="6"/>
      <c r="B64" s="6"/>
      <c r="C64" s="11"/>
      <c r="D64" s="11"/>
      <c r="E64" s="6"/>
      <c r="F64" s="46"/>
      <c r="G64" s="6"/>
    </row>
    <row x14ac:dyDescent="0.25" r="65" customHeight="1" ht="14.25">
      <c r="A65" s="6"/>
      <c r="B65" s="6"/>
      <c r="C65" s="11"/>
      <c r="D65" s="11"/>
      <c r="E65" s="6"/>
      <c r="F65" s="46"/>
      <c r="G65" s="6"/>
    </row>
    <row x14ac:dyDescent="0.25" r="66" customHeight="1" ht="14.25">
      <c r="A66" s="6"/>
      <c r="B66" s="6"/>
      <c r="C66" s="11"/>
      <c r="D66" s="11"/>
      <c r="E66" s="6"/>
      <c r="F66" s="46"/>
      <c r="G66" s="6"/>
    </row>
    <row x14ac:dyDescent="0.25" r="67" customHeight="1" ht="14.25">
      <c r="A67" s="6"/>
      <c r="B67" s="6"/>
      <c r="C67" s="11"/>
      <c r="D67" s="11"/>
      <c r="E67" s="6"/>
      <c r="F67" s="46"/>
      <c r="G67" s="6"/>
    </row>
    <row x14ac:dyDescent="0.25" r="68" customHeight="1" ht="14.25">
      <c r="A68" s="6"/>
      <c r="B68" s="6"/>
      <c r="C68" s="11"/>
      <c r="D68" s="11"/>
      <c r="E68" s="6"/>
      <c r="F68" s="46"/>
      <c r="G68" s="6"/>
    </row>
    <row x14ac:dyDescent="0.25" r="69" customHeight="1" ht="14.25">
      <c r="A69" s="6"/>
      <c r="B69" s="6"/>
      <c r="C69" s="11"/>
      <c r="D69" s="11"/>
      <c r="E69" s="6"/>
      <c r="F69" s="46"/>
      <c r="G69" s="6"/>
    </row>
    <row x14ac:dyDescent="0.25" r="70" customHeight="1" ht="14.25">
      <c r="A70" s="6"/>
      <c r="B70" s="6"/>
      <c r="C70" s="11"/>
      <c r="D70" s="11"/>
      <c r="E70" s="6"/>
      <c r="F70" s="46"/>
      <c r="G70" s="6"/>
    </row>
    <row x14ac:dyDescent="0.25" r="71" customHeight="1" ht="14.25">
      <c r="A71" s="6"/>
      <c r="B71" s="6"/>
      <c r="C71" s="11"/>
      <c r="D71" s="11"/>
      <c r="E71" s="6"/>
      <c r="F71" s="46"/>
      <c r="G71" s="6"/>
    </row>
    <row x14ac:dyDescent="0.25" r="72" customHeight="1" ht="14.25">
      <c r="A72" s="6"/>
      <c r="B72" s="6"/>
      <c r="C72" s="11"/>
      <c r="D72" s="11"/>
      <c r="E72" s="6"/>
      <c r="F72" s="46"/>
      <c r="G72" s="6"/>
    </row>
    <row x14ac:dyDescent="0.25" r="73" customHeight="1" ht="14.25">
      <c r="A73" s="6"/>
      <c r="B73" s="6"/>
      <c r="C73" s="11"/>
      <c r="D73" s="11"/>
      <c r="E73" s="6"/>
      <c r="F73" s="46"/>
      <c r="G73" s="6"/>
    </row>
    <row x14ac:dyDescent="0.25" r="74" customHeight="1" ht="14.25">
      <c r="A74" s="6"/>
      <c r="B74" s="6"/>
      <c r="C74" s="11"/>
      <c r="D74" s="11"/>
      <c r="E74" s="6"/>
      <c r="F74" s="46"/>
      <c r="G74" s="6"/>
    </row>
    <row x14ac:dyDescent="0.25" r="75" customHeight="1" ht="14.25">
      <c r="A75" s="6"/>
      <c r="B75" s="6"/>
      <c r="C75" s="11"/>
      <c r="D75" s="11"/>
      <c r="E75" s="6"/>
      <c r="F75" s="46"/>
      <c r="G75" s="6"/>
    </row>
    <row x14ac:dyDescent="0.25" r="76" customHeight="1" ht="14.25">
      <c r="A76" s="6"/>
      <c r="B76" s="6"/>
      <c r="C76" s="11"/>
      <c r="D76" s="11"/>
      <c r="E76" s="6"/>
      <c r="F76" s="46"/>
      <c r="G76" s="6"/>
    </row>
    <row x14ac:dyDescent="0.25" r="77" customHeight="1" ht="14.25">
      <c r="A77" s="6"/>
      <c r="B77" s="6"/>
      <c r="C77" s="11"/>
      <c r="D77" s="11"/>
      <c r="E77" s="6"/>
      <c r="F77" s="46"/>
      <c r="G77" s="6"/>
    </row>
    <row x14ac:dyDescent="0.25" r="78" customHeight="1" ht="14.25">
      <c r="A78" s="6"/>
      <c r="B78" s="6"/>
      <c r="C78" s="11"/>
      <c r="D78" s="11"/>
      <c r="E78" s="6"/>
      <c r="F78" s="46"/>
      <c r="G78" s="6"/>
    </row>
    <row x14ac:dyDescent="0.25" r="79" customHeight="1" ht="14.25">
      <c r="A79" s="6"/>
      <c r="B79" s="6"/>
      <c r="C79" s="11"/>
      <c r="D79" s="11"/>
      <c r="E79" s="6"/>
      <c r="F79" s="46"/>
      <c r="G79" s="6"/>
    </row>
    <row x14ac:dyDescent="0.25" r="80" customHeight="1" ht="14.25">
      <c r="A80" s="6"/>
      <c r="B80" s="6"/>
      <c r="C80" s="11"/>
      <c r="D80" s="11"/>
      <c r="E80" s="6"/>
      <c r="F80" s="46"/>
      <c r="G80" s="6"/>
    </row>
    <row x14ac:dyDescent="0.25" r="81" customHeight="1" ht="14.25">
      <c r="A81" s="6"/>
      <c r="B81" s="6"/>
      <c r="C81" s="11"/>
      <c r="D81" s="11"/>
      <c r="E81" s="6"/>
      <c r="F81" s="46"/>
      <c r="G81" s="6"/>
    </row>
    <row x14ac:dyDescent="0.25" r="82" customHeight="1" ht="14.25">
      <c r="A82" s="6"/>
      <c r="B82" s="6"/>
      <c r="C82" s="11"/>
      <c r="D82" s="11"/>
      <c r="E82" s="6"/>
      <c r="F82" s="46"/>
      <c r="G82" s="6"/>
    </row>
    <row x14ac:dyDescent="0.25" r="83" customHeight="1" ht="14.25">
      <c r="A83" s="6"/>
      <c r="B83" s="6"/>
      <c r="C83" s="11"/>
      <c r="D83" s="11"/>
      <c r="E83" s="6"/>
      <c r="F83" s="46"/>
      <c r="G83" s="6"/>
    </row>
    <row x14ac:dyDescent="0.25" r="84" customHeight="1" ht="14.25">
      <c r="A84" s="6"/>
      <c r="B84" s="6"/>
      <c r="C84" s="11"/>
      <c r="D84" s="11"/>
      <c r="E84" s="6"/>
      <c r="F84" s="46"/>
      <c r="G84" s="6"/>
    </row>
    <row x14ac:dyDescent="0.25" r="85" customHeight="1" ht="14.25">
      <c r="A85" s="6"/>
      <c r="B85" s="6"/>
      <c r="C85" s="11"/>
      <c r="D85" s="11"/>
      <c r="E85" s="6"/>
      <c r="F85" s="46"/>
      <c r="G85" s="6"/>
    </row>
    <row x14ac:dyDescent="0.25" r="86" customHeight="1" ht="14.25">
      <c r="A86" s="6"/>
      <c r="B86" s="6"/>
      <c r="C86" s="11"/>
      <c r="D86" s="11"/>
      <c r="E86" s="6"/>
      <c r="F86" s="46"/>
      <c r="G86" s="6"/>
    </row>
    <row x14ac:dyDescent="0.25" r="87" customHeight="1" ht="14.25">
      <c r="A87" s="6"/>
      <c r="B87" s="6"/>
      <c r="C87" s="11"/>
      <c r="D87" s="11"/>
      <c r="E87" s="6"/>
      <c r="F87" s="46"/>
      <c r="G87" s="6"/>
    </row>
    <row x14ac:dyDescent="0.25" r="88" customHeight="1" ht="14.25">
      <c r="A88" s="6"/>
      <c r="B88" s="6"/>
      <c r="C88" s="11"/>
      <c r="D88" s="11"/>
      <c r="E88" s="6"/>
      <c r="F88" s="46"/>
      <c r="G88" s="6"/>
    </row>
    <row x14ac:dyDescent="0.25" r="89" customHeight="1" ht="14.25">
      <c r="A89" s="6"/>
      <c r="B89" s="6"/>
      <c r="C89" s="11"/>
      <c r="D89" s="11"/>
      <c r="E89" s="6"/>
      <c r="F89" s="46"/>
      <c r="G89" s="6"/>
    </row>
    <row x14ac:dyDescent="0.25" r="90" customHeight="1" ht="14.25">
      <c r="A90" s="6"/>
      <c r="B90" s="6"/>
      <c r="C90" s="11"/>
      <c r="D90" s="11"/>
      <c r="E90" s="6"/>
      <c r="F90" s="46"/>
      <c r="G90" s="6"/>
    </row>
    <row x14ac:dyDescent="0.25" r="91" customHeight="1" ht="14.25">
      <c r="A91" s="6"/>
      <c r="B91" s="6"/>
      <c r="C91" s="11"/>
      <c r="D91" s="11"/>
      <c r="E91" s="6"/>
      <c r="F91" s="46"/>
      <c r="G91" s="6"/>
    </row>
    <row x14ac:dyDescent="0.25" r="92" customHeight="1" ht="14.25">
      <c r="A92" s="6"/>
      <c r="B92" s="6"/>
      <c r="C92" s="11"/>
      <c r="D92" s="11"/>
      <c r="E92" s="6"/>
      <c r="F92" s="46"/>
      <c r="G92" s="6"/>
    </row>
    <row x14ac:dyDescent="0.25" r="93" customHeight="1" ht="14.25">
      <c r="A93" s="6"/>
      <c r="B93" s="6"/>
      <c r="C93" s="11"/>
      <c r="D93" s="11"/>
      <c r="E93" s="6"/>
      <c r="F93" s="46"/>
      <c r="G93" s="6"/>
    </row>
    <row x14ac:dyDescent="0.25" r="94" customHeight="1" ht="14.25">
      <c r="A94" s="6"/>
      <c r="B94" s="6"/>
      <c r="C94" s="11"/>
      <c r="D94" s="11"/>
      <c r="E94" s="6"/>
      <c r="F94" s="46"/>
      <c r="G94" s="6"/>
    </row>
    <row x14ac:dyDescent="0.25" r="95" customHeight="1" ht="14.25">
      <c r="A95" s="6"/>
      <c r="B95" s="6"/>
      <c r="C95" s="11"/>
      <c r="D95" s="11"/>
      <c r="E95" s="6"/>
      <c r="F95" s="46"/>
      <c r="G95" s="6"/>
    </row>
    <row x14ac:dyDescent="0.25" r="96" customHeight="1" ht="14.25">
      <c r="A96" s="6"/>
      <c r="B96" s="6"/>
      <c r="C96" s="11"/>
      <c r="D96" s="11"/>
      <c r="E96" s="6"/>
      <c r="F96" s="46"/>
      <c r="G96" s="6"/>
    </row>
    <row x14ac:dyDescent="0.25" r="97" customHeight="1" ht="14.25">
      <c r="A97" s="6"/>
      <c r="B97" s="6"/>
      <c r="C97" s="11"/>
      <c r="D97" s="11"/>
      <c r="E97" s="6"/>
      <c r="F97" s="46"/>
      <c r="G97" s="6"/>
    </row>
    <row x14ac:dyDescent="0.25" r="98" customHeight="1" ht="14.25">
      <c r="A98" s="6"/>
      <c r="B98" s="6"/>
      <c r="C98" s="11"/>
      <c r="D98" s="11"/>
      <c r="E98" s="6"/>
      <c r="F98" s="46"/>
      <c r="G98" s="6"/>
    </row>
    <row x14ac:dyDescent="0.25" r="99" customHeight="1" ht="14.25">
      <c r="A99" s="6"/>
      <c r="B99" s="6"/>
      <c r="C99" s="11"/>
      <c r="D99" s="11"/>
      <c r="E99" s="6"/>
      <c r="F99" s="46"/>
      <c r="G99" s="6"/>
    </row>
    <row x14ac:dyDescent="0.25" r="100" customHeight="1" ht="14.25">
      <c r="A100" s="6"/>
      <c r="B100" s="6"/>
      <c r="C100" s="11"/>
      <c r="D100" s="11"/>
      <c r="E100" s="6"/>
      <c r="F100" s="46"/>
      <c r="G100" s="6"/>
    </row>
    <row x14ac:dyDescent="0.25" r="101" customHeight="1" ht="14.25">
      <c r="A101" s="6"/>
      <c r="B101" s="6"/>
      <c r="C101" s="11"/>
      <c r="D101" s="11"/>
      <c r="E101" s="6"/>
      <c r="F101" s="46"/>
      <c r="G101" s="6"/>
    </row>
    <row x14ac:dyDescent="0.25" r="102" customHeight="1" ht="14.25">
      <c r="A102" s="6"/>
      <c r="B102" s="6"/>
      <c r="C102" s="11"/>
      <c r="D102" s="11"/>
      <c r="E102" s="6"/>
      <c r="F102" s="46"/>
      <c r="G102" s="6"/>
    </row>
    <row x14ac:dyDescent="0.25" r="103" customHeight="1" ht="14.25">
      <c r="A103" s="6"/>
      <c r="B103" s="6"/>
      <c r="C103" s="11"/>
      <c r="D103" s="11"/>
      <c r="E103" s="6"/>
      <c r="F103" s="46"/>
      <c r="G103" s="6"/>
    </row>
    <row x14ac:dyDescent="0.25" r="104" customHeight="1" ht="14.25">
      <c r="A104" s="6"/>
      <c r="B104" s="6"/>
      <c r="C104" s="11"/>
      <c r="D104" s="11"/>
      <c r="E104" s="6"/>
      <c r="F104" s="46"/>
      <c r="G104" s="6"/>
    </row>
    <row x14ac:dyDescent="0.25" r="105" customHeight="1" ht="14.25">
      <c r="A105" s="6"/>
      <c r="B105" s="6"/>
      <c r="C105" s="11"/>
      <c r="D105" s="11"/>
      <c r="E105" s="6"/>
      <c r="F105" s="46"/>
      <c r="G105" s="6"/>
    </row>
    <row x14ac:dyDescent="0.25" r="106" customHeight="1" ht="14.25">
      <c r="A106" s="6"/>
      <c r="B106" s="6"/>
      <c r="C106" s="11"/>
      <c r="D106" s="11"/>
      <c r="E106" s="6"/>
      <c r="F106" s="46"/>
      <c r="G106" s="6"/>
    </row>
    <row x14ac:dyDescent="0.25" r="107" customHeight="1" ht="14.25">
      <c r="A107" s="6"/>
      <c r="B107" s="6"/>
      <c r="C107" s="11"/>
      <c r="D107" s="11"/>
      <c r="E107" s="6"/>
      <c r="F107" s="46"/>
      <c r="G107" s="6"/>
    </row>
    <row x14ac:dyDescent="0.25" r="108" customHeight="1" ht="14.25">
      <c r="A108" s="6"/>
      <c r="B108" s="6"/>
      <c r="C108" s="11"/>
      <c r="D108" s="11"/>
      <c r="E108" s="6"/>
      <c r="F108" s="46"/>
      <c r="G108" s="6"/>
    </row>
    <row x14ac:dyDescent="0.25" r="109" customHeight="1" ht="14.25">
      <c r="A109" s="6"/>
      <c r="B109" s="6"/>
      <c r="C109" s="11"/>
      <c r="D109" s="11"/>
      <c r="E109" s="6"/>
      <c r="F109" s="46"/>
      <c r="G109" s="6"/>
    </row>
    <row x14ac:dyDescent="0.25" r="110" customHeight="1" ht="14.25">
      <c r="A110" s="6"/>
      <c r="B110" s="6"/>
      <c r="C110" s="11"/>
      <c r="D110" s="11"/>
      <c r="E110" s="6"/>
      <c r="F110" s="46"/>
      <c r="G110" s="6"/>
    </row>
    <row x14ac:dyDescent="0.25" r="111" customHeight="1" ht="14.25">
      <c r="A111" s="6"/>
      <c r="B111" s="6"/>
      <c r="C111" s="11"/>
      <c r="D111" s="11"/>
      <c r="E111" s="6"/>
      <c r="F111" s="46"/>
      <c r="G111" s="6"/>
    </row>
    <row x14ac:dyDescent="0.25" r="112" customHeight="1" ht="14.25">
      <c r="A112" s="6"/>
      <c r="B112" s="6"/>
      <c r="C112" s="11"/>
      <c r="D112" s="11"/>
      <c r="E112" s="6"/>
      <c r="F112" s="46"/>
      <c r="G112" s="6"/>
    </row>
    <row x14ac:dyDescent="0.25" r="113" customHeight="1" ht="14.25">
      <c r="A113" s="6"/>
      <c r="B113" s="6"/>
      <c r="C113" s="11"/>
      <c r="D113" s="11"/>
      <c r="E113" s="6"/>
      <c r="F113" s="46"/>
      <c r="G113" s="6"/>
    </row>
    <row x14ac:dyDescent="0.25" r="114" customHeight="1" ht="14.25">
      <c r="A114" s="6"/>
      <c r="B114" s="6"/>
      <c r="C114" s="11"/>
      <c r="D114" s="11"/>
      <c r="E114" s="6"/>
      <c r="F114" s="46"/>
      <c r="G114" s="6"/>
    </row>
    <row x14ac:dyDescent="0.25" r="115" customHeight="1" ht="14.25">
      <c r="A115" s="6"/>
      <c r="B115" s="6"/>
      <c r="C115" s="11"/>
      <c r="D115" s="11"/>
      <c r="E115" s="6"/>
      <c r="F115" s="46"/>
      <c r="G115" s="6"/>
    </row>
    <row x14ac:dyDescent="0.25" r="116" customHeight="1" ht="14.25">
      <c r="A116" s="6"/>
      <c r="B116" s="6"/>
      <c r="C116" s="11"/>
      <c r="D116" s="11"/>
      <c r="E116" s="6"/>
      <c r="F116" s="46"/>
      <c r="G116" s="6"/>
    </row>
    <row x14ac:dyDescent="0.25" r="117" customHeight="1" ht="14.25">
      <c r="A117" s="6"/>
      <c r="B117" s="6"/>
      <c r="C117" s="11"/>
      <c r="D117" s="11"/>
      <c r="E117" s="6"/>
      <c r="F117" s="46"/>
      <c r="G117" s="6"/>
    </row>
    <row x14ac:dyDescent="0.25" r="118" customHeight="1" ht="14.25">
      <c r="A118" s="6"/>
      <c r="B118" s="6"/>
      <c r="C118" s="11"/>
      <c r="D118" s="11"/>
      <c r="E118" s="6"/>
      <c r="F118" s="46"/>
      <c r="G118" s="6"/>
    </row>
    <row x14ac:dyDescent="0.25" r="119" customHeight="1" ht="14.25">
      <c r="A119" s="6"/>
      <c r="B119" s="6"/>
      <c r="C119" s="11"/>
      <c r="D119" s="11"/>
      <c r="E119" s="6"/>
      <c r="F119" s="46"/>
      <c r="G119" s="6"/>
    </row>
    <row x14ac:dyDescent="0.25" r="120" customHeight="1" ht="14.25">
      <c r="A120" s="6"/>
      <c r="B120" s="6"/>
      <c r="C120" s="11"/>
      <c r="D120" s="11"/>
      <c r="E120" s="6"/>
      <c r="F120" s="46"/>
      <c r="G120" s="6"/>
    </row>
    <row x14ac:dyDescent="0.25" r="121" customHeight="1" ht="14.25">
      <c r="A121" s="6"/>
      <c r="B121" s="6"/>
      <c r="C121" s="11"/>
      <c r="D121" s="11"/>
      <c r="E121" s="6"/>
      <c r="F121" s="46"/>
      <c r="G121" s="6"/>
    </row>
    <row x14ac:dyDescent="0.25" r="122" customHeight="1" ht="14.25">
      <c r="A122" s="6"/>
      <c r="B122" s="6"/>
      <c r="C122" s="11"/>
      <c r="D122" s="11"/>
      <c r="E122" s="6"/>
      <c r="F122" s="46"/>
      <c r="G122" s="6"/>
    </row>
    <row x14ac:dyDescent="0.25" r="123" customHeight="1" ht="14.25">
      <c r="A123" s="6"/>
      <c r="B123" s="6"/>
      <c r="C123" s="11"/>
      <c r="D123" s="11"/>
      <c r="E123" s="6"/>
      <c r="F123" s="46"/>
      <c r="G123" s="6"/>
    </row>
    <row x14ac:dyDescent="0.25" r="124" customHeight="1" ht="14.25">
      <c r="A124" s="6"/>
      <c r="B124" s="6"/>
      <c r="C124" s="11"/>
      <c r="D124" s="11"/>
      <c r="E124" s="6"/>
      <c r="F124" s="46"/>
      <c r="G124" s="6"/>
    </row>
    <row x14ac:dyDescent="0.25" r="125" customHeight="1" ht="14.25">
      <c r="A125" s="6"/>
      <c r="B125" s="6"/>
      <c r="C125" s="11"/>
      <c r="D125" s="11"/>
      <c r="E125" s="6"/>
      <c r="F125" s="46"/>
      <c r="G125" s="6"/>
    </row>
    <row x14ac:dyDescent="0.25" r="126" customHeight="1" ht="14.25">
      <c r="A126" s="6"/>
      <c r="B126" s="6"/>
      <c r="C126" s="11"/>
      <c r="D126" s="11"/>
      <c r="E126" s="6"/>
      <c r="F126" s="46"/>
      <c r="G126" s="6"/>
    </row>
    <row x14ac:dyDescent="0.25" r="127" customHeight="1" ht="14.25">
      <c r="A127" s="6"/>
      <c r="B127" s="6"/>
      <c r="C127" s="11"/>
      <c r="D127" s="11"/>
      <c r="E127" s="6"/>
      <c r="F127" s="46"/>
      <c r="G127" s="6"/>
    </row>
    <row x14ac:dyDescent="0.25" r="128" customHeight="1" ht="14.25">
      <c r="A128" s="6"/>
      <c r="B128" s="6"/>
      <c r="C128" s="11"/>
      <c r="D128" s="11"/>
      <c r="E128" s="6"/>
      <c r="F128" s="46"/>
      <c r="G128" s="6"/>
    </row>
    <row x14ac:dyDescent="0.25" r="129" customHeight="1" ht="14.25">
      <c r="A129" s="6"/>
      <c r="B129" s="6"/>
      <c r="C129" s="11"/>
      <c r="D129" s="11"/>
      <c r="E129" s="6"/>
      <c r="F129" s="46"/>
      <c r="G129" s="6"/>
    </row>
    <row x14ac:dyDescent="0.25" r="130" customHeight="1" ht="14.25">
      <c r="A130" s="6"/>
      <c r="B130" s="6"/>
      <c r="C130" s="11"/>
      <c r="D130" s="11"/>
      <c r="E130" s="6"/>
      <c r="F130" s="46"/>
      <c r="G130" s="6"/>
    </row>
    <row x14ac:dyDescent="0.25" r="131" customHeight="1" ht="14.25">
      <c r="A131" s="6"/>
      <c r="B131" s="6"/>
      <c r="C131" s="11"/>
      <c r="D131" s="11"/>
      <c r="E131" s="6"/>
      <c r="F131" s="46"/>
      <c r="G131" s="6"/>
    </row>
    <row x14ac:dyDescent="0.25" r="132" customHeight="1" ht="14.25">
      <c r="A132" s="6"/>
      <c r="B132" s="6"/>
      <c r="C132" s="11"/>
      <c r="D132" s="11"/>
      <c r="E132" s="6"/>
      <c r="F132" s="46"/>
      <c r="G132" s="6"/>
    </row>
    <row x14ac:dyDescent="0.25" r="133" customHeight="1" ht="14.25">
      <c r="A133" s="6"/>
      <c r="B133" s="6"/>
      <c r="C133" s="11"/>
      <c r="D133" s="11"/>
      <c r="E133" s="6"/>
      <c r="F133" s="46"/>
      <c r="G133" s="6"/>
    </row>
    <row x14ac:dyDescent="0.25" r="134" customHeight="1" ht="14.25">
      <c r="A134" s="6"/>
      <c r="B134" s="6"/>
      <c r="C134" s="11"/>
      <c r="D134" s="11"/>
      <c r="E134" s="6"/>
      <c r="F134" s="46"/>
      <c r="G134" s="6"/>
    </row>
    <row x14ac:dyDescent="0.25" r="135" customHeight="1" ht="14.25">
      <c r="A135" s="6"/>
      <c r="B135" s="6"/>
      <c r="C135" s="11"/>
      <c r="D135" s="11"/>
      <c r="E135" s="6"/>
      <c r="F135" s="46"/>
      <c r="G135" s="6"/>
    </row>
    <row x14ac:dyDescent="0.25" r="136" customHeight="1" ht="14.25">
      <c r="A136" s="6"/>
      <c r="B136" s="6"/>
      <c r="C136" s="11"/>
      <c r="D136" s="11"/>
      <c r="E136" s="6"/>
      <c r="F136" s="46"/>
      <c r="G136" s="6"/>
    </row>
    <row x14ac:dyDescent="0.25" r="137" customHeight="1" ht="14.25">
      <c r="A137" s="6"/>
      <c r="B137" s="6"/>
      <c r="C137" s="11"/>
      <c r="D137" s="11"/>
      <c r="E137" s="6"/>
      <c r="F137" s="46"/>
      <c r="G137" s="6"/>
    </row>
    <row x14ac:dyDescent="0.25" r="138" customHeight="1" ht="14.25">
      <c r="A138" s="6"/>
      <c r="B138" s="6"/>
      <c r="C138" s="11"/>
      <c r="D138" s="11"/>
      <c r="E138" s="6"/>
      <c r="F138" s="46"/>
      <c r="G138" s="6"/>
    </row>
    <row x14ac:dyDescent="0.25" r="139" customHeight="1" ht="14.25">
      <c r="A139" s="6"/>
      <c r="B139" s="6"/>
      <c r="C139" s="11"/>
      <c r="D139" s="11"/>
      <c r="E139" s="6"/>
      <c r="F139" s="46"/>
      <c r="G139" s="6"/>
    </row>
    <row x14ac:dyDescent="0.25" r="140" customHeight="1" ht="14.25">
      <c r="A140" s="6"/>
      <c r="B140" s="6"/>
      <c r="C140" s="11"/>
      <c r="D140" s="11"/>
      <c r="E140" s="6"/>
      <c r="F140" s="46"/>
      <c r="G140" s="6"/>
    </row>
    <row x14ac:dyDescent="0.25" r="141" customHeight="1" ht="14.25">
      <c r="A141" s="6"/>
      <c r="B141" s="6"/>
      <c r="C141" s="11"/>
      <c r="D141" s="11"/>
      <c r="E141" s="6"/>
      <c r="F141" s="46"/>
      <c r="G141" s="6"/>
    </row>
    <row x14ac:dyDescent="0.25" r="142" customHeight="1" ht="14.25">
      <c r="A142" s="6"/>
      <c r="B142" s="6"/>
      <c r="C142" s="11"/>
      <c r="D142" s="11"/>
      <c r="E142" s="6"/>
      <c r="F142" s="46"/>
      <c r="G142" s="6"/>
    </row>
    <row x14ac:dyDescent="0.25" r="143" customHeight="1" ht="14.25">
      <c r="A143" s="6"/>
      <c r="B143" s="6"/>
      <c r="C143" s="11"/>
      <c r="D143" s="11"/>
      <c r="E143" s="6"/>
      <c r="F143" s="46"/>
      <c r="G143" s="6"/>
    </row>
    <row x14ac:dyDescent="0.25" r="144" customHeight="1" ht="14.25">
      <c r="A144" s="6"/>
      <c r="B144" s="6"/>
      <c r="C144" s="11"/>
      <c r="D144" s="11"/>
      <c r="E144" s="6"/>
      <c r="F144" s="46"/>
      <c r="G144" s="6"/>
    </row>
    <row x14ac:dyDescent="0.25" r="145" customHeight="1" ht="14.25">
      <c r="A145" s="6"/>
      <c r="B145" s="6"/>
      <c r="C145" s="11"/>
      <c r="D145" s="11"/>
      <c r="E145" s="6"/>
      <c r="F145" s="46"/>
      <c r="G145" s="6"/>
    </row>
    <row x14ac:dyDescent="0.25" r="146" customHeight="1" ht="14.25">
      <c r="A146" s="6"/>
      <c r="B146" s="6"/>
      <c r="C146" s="11"/>
      <c r="D146" s="11"/>
      <c r="E146" s="6"/>
      <c r="F146" s="46"/>
      <c r="G146" s="6"/>
    </row>
    <row x14ac:dyDescent="0.25" r="147" customHeight="1" ht="14.25">
      <c r="A147" s="6"/>
      <c r="B147" s="6"/>
      <c r="C147" s="11"/>
      <c r="D147" s="11"/>
      <c r="E147" s="6"/>
      <c r="F147" s="46"/>
      <c r="G147" s="6"/>
    </row>
    <row x14ac:dyDescent="0.25" r="148" customHeight="1" ht="14.25">
      <c r="A148" s="6"/>
      <c r="B148" s="6"/>
      <c r="C148" s="11"/>
      <c r="D148" s="11"/>
      <c r="E148" s="6"/>
      <c r="F148" s="46"/>
      <c r="G148" s="6"/>
    </row>
    <row x14ac:dyDescent="0.25" r="149" customHeight="1" ht="14.25">
      <c r="A149" s="6"/>
      <c r="B149" s="6"/>
      <c r="C149" s="11"/>
      <c r="D149" s="11"/>
      <c r="E149" s="6"/>
      <c r="F149" s="46"/>
      <c r="G149" s="6"/>
    </row>
    <row x14ac:dyDescent="0.25" r="150" customHeight="1" ht="14.25">
      <c r="A150" s="6"/>
      <c r="B150" s="6"/>
      <c r="C150" s="11"/>
      <c r="D150" s="11"/>
      <c r="E150" s="6"/>
      <c r="F150" s="46"/>
      <c r="G150" s="6"/>
    </row>
    <row x14ac:dyDescent="0.25" r="151" customHeight="1" ht="14.25">
      <c r="A151" s="6"/>
      <c r="B151" s="6"/>
      <c r="C151" s="11"/>
      <c r="D151" s="11"/>
      <c r="E151" s="6"/>
      <c r="F151" s="46"/>
      <c r="G151" s="6"/>
    </row>
    <row x14ac:dyDescent="0.25" r="152" customHeight="1" ht="14.25">
      <c r="A152" s="6"/>
      <c r="B152" s="6"/>
      <c r="C152" s="11"/>
      <c r="D152" s="11"/>
      <c r="E152" s="6"/>
      <c r="F152" s="46"/>
      <c r="G152" s="6"/>
    </row>
    <row x14ac:dyDescent="0.25" r="153" customHeight="1" ht="14.25">
      <c r="A153" s="6"/>
      <c r="B153" s="6"/>
      <c r="C153" s="11"/>
      <c r="D153" s="11"/>
      <c r="E153" s="6"/>
      <c r="F153" s="46"/>
      <c r="G153" s="6"/>
    </row>
    <row x14ac:dyDescent="0.25" r="154" customHeight="1" ht="14.25">
      <c r="A154" s="6"/>
      <c r="B154" s="6"/>
      <c r="C154" s="11"/>
      <c r="D154" s="11"/>
      <c r="E154" s="6"/>
      <c r="F154" s="46"/>
      <c r="G154" s="6"/>
    </row>
    <row x14ac:dyDescent="0.25" r="155" customHeight="1" ht="14.25">
      <c r="A155" s="6"/>
      <c r="B155" s="6"/>
      <c r="C155" s="11"/>
      <c r="D155" s="11"/>
      <c r="E155" s="6"/>
      <c r="F155" s="46"/>
      <c r="G155" s="6"/>
    </row>
    <row x14ac:dyDescent="0.25" r="156" customHeight="1" ht="14.25">
      <c r="A156" s="6"/>
      <c r="B156" s="6"/>
      <c r="C156" s="11"/>
      <c r="D156" s="11"/>
      <c r="E156" s="6"/>
      <c r="F156" s="46"/>
      <c r="G156" s="6"/>
    </row>
    <row x14ac:dyDescent="0.25" r="157" customHeight="1" ht="14.25">
      <c r="A157" s="6"/>
      <c r="B157" s="6"/>
      <c r="C157" s="11"/>
      <c r="D157" s="11"/>
      <c r="E157" s="6"/>
      <c r="F157" s="46"/>
      <c r="G157" s="6"/>
    </row>
    <row x14ac:dyDescent="0.25" r="158" customHeight="1" ht="14.25">
      <c r="A158" s="6"/>
      <c r="B158" s="6"/>
      <c r="C158" s="11"/>
      <c r="D158" s="11"/>
      <c r="E158" s="6"/>
      <c r="F158" s="46"/>
      <c r="G158" s="6"/>
    </row>
    <row x14ac:dyDescent="0.25" r="159" customHeight="1" ht="14.25">
      <c r="A159" s="6"/>
      <c r="B159" s="6"/>
      <c r="C159" s="11"/>
      <c r="D159" s="11"/>
      <c r="E159" s="6"/>
      <c r="F159" s="46"/>
      <c r="G159" s="6"/>
    </row>
    <row x14ac:dyDescent="0.25" r="160" customHeight="1" ht="14.25">
      <c r="A160" s="6"/>
      <c r="B160" s="6"/>
      <c r="C160" s="11"/>
      <c r="D160" s="11"/>
      <c r="E160" s="6"/>
      <c r="F160" s="46"/>
      <c r="G160" s="6"/>
    </row>
    <row x14ac:dyDescent="0.25" r="161" customHeight="1" ht="14.25">
      <c r="A161" s="6"/>
      <c r="B161" s="6"/>
      <c r="C161" s="11"/>
      <c r="D161" s="11"/>
      <c r="E161" s="6"/>
      <c r="F161" s="46"/>
      <c r="G161" s="6"/>
    </row>
    <row x14ac:dyDescent="0.25" r="162" customHeight="1" ht="14.25">
      <c r="A162" s="6"/>
      <c r="B162" s="6"/>
      <c r="C162" s="11"/>
      <c r="D162" s="11"/>
      <c r="E162" s="6"/>
      <c r="F162" s="46"/>
      <c r="G162" s="6"/>
    </row>
    <row x14ac:dyDescent="0.25" r="163" customHeight="1" ht="14.25">
      <c r="A163" s="6"/>
      <c r="B163" s="6"/>
      <c r="C163" s="11"/>
      <c r="D163" s="11"/>
      <c r="E163" s="6"/>
      <c r="F163" s="46"/>
      <c r="G163" s="6"/>
    </row>
    <row x14ac:dyDescent="0.25" r="164" customHeight="1" ht="14.25">
      <c r="A164" s="6"/>
      <c r="B164" s="6"/>
      <c r="C164" s="11"/>
      <c r="D164" s="11"/>
      <c r="E164" s="6"/>
      <c r="F164" s="46"/>
      <c r="G164" s="6"/>
    </row>
    <row x14ac:dyDescent="0.25" r="165" customHeight="1" ht="14.25">
      <c r="A165" s="6"/>
      <c r="B165" s="6"/>
      <c r="C165" s="11"/>
      <c r="D165" s="11"/>
      <c r="E165" s="6"/>
      <c r="F165" s="46"/>
      <c r="G165" s="6"/>
    </row>
    <row x14ac:dyDescent="0.25" r="166" customHeight="1" ht="14.25">
      <c r="A166" s="6"/>
      <c r="B166" s="6"/>
      <c r="C166" s="11"/>
      <c r="D166" s="11"/>
      <c r="E166" s="6"/>
      <c r="F166" s="46"/>
      <c r="G166" s="6"/>
    </row>
    <row x14ac:dyDescent="0.25" r="167" customHeight="1" ht="14.25">
      <c r="A167" s="6"/>
      <c r="B167" s="6"/>
      <c r="C167" s="11"/>
      <c r="D167" s="11"/>
      <c r="E167" s="6"/>
      <c r="F167" s="46"/>
      <c r="G167" s="6"/>
    </row>
    <row x14ac:dyDescent="0.25" r="168" customHeight="1" ht="14.25">
      <c r="A168" s="6"/>
      <c r="B168" s="6"/>
      <c r="C168" s="11"/>
      <c r="D168" s="11"/>
      <c r="E168" s="6"/>
      <c r="F168" s="46"/>
      <c r="G168" s="6"/>
    </row>
    <row x14ac:dyDescent="0.25" r="169" customHeight="1" ht="14.25">
      <c r="A169" s="6"/>
      <c r="B169" s="6"/>
      <c r="C169" s="11"/>
      <c r="D169" s="11"/>
      <c r="E169" s="6"/>
      <c r="F169" s="46"/>
      <c r="G169" s="6"/>
    </row>
    <row x14ac:dyDescent="0.25" r="170" customHeight="1" ht="14.25">
      <c r="A170" s="6"/>
      <c r="B170" s="6"/>
      <c r="C170" s="11"/>
      <c r="D170" s="11"/>
      <c r="E170" s="6"/>
      <c r="F170" s="46"/>
      <c r="G170" s="6"/>
    </row>
    <row x14ac:dyDescent="0.25" r="171" customHeight="1" ht="14.25">
      <c r="A171" s="6"/>
      <c r="B171" s="6"/>
      <c r="C171" s="11"/>
      <c r="D171" s="11"/>
      <c r="E171" s="6"/>
      <c r="F171" s="46"/>
      <c r="G171" s="6"/>
    </row>
    <row x14ac:dyDescent="0.25" r="172" customHeight="1" ht="14.25">
      <c r="A172" s="6"/>
      <c r="B172" s="6"/>
      <c r="C172" s="11"/>
      <c r="D172" s="11"/>
      <c r="E172" s="6"/>
      <c r="F172" s="46"/>
      <c r="G172" s="6"/>
    </row>
    <row x14ac:dyDescent="0.25" r="173" customHeight="1" ht="14.25">
      <c r="A173" s="6"/>
      <c r="B173" s="6"/>
      <c r="C173" s="11"/>
      <c r="D173" s="11"/>
      <c r="E173" s="6"/>
      <c r="F173" s="46"/>
      <c r="G173" s="6"/>
    </row>
    <row x14ac:dyDescent="0.25" r="174" customHeight="1" ht="14.25">
      <c r="A174" s="6"/>
      <c r="B174" s="6"/>
      <c r="C174" s="11"/>
      <c r="D174" s="11"/>
      <c r="E174" s="6"/>
      <c r="F174" s="46"/>
      <c r="G174" s="6"/>
    </row>
    <row x14ac:dyDescent="0.25" r="175" customHeight="1" ht="14.25">
      <c r="A175" s="6"/>
      <c r="B175" s="6"/>
      <c r="C175" s="11"/>
      <c r="D175" s="11"/>
      <c r="E175" s="6"/>
      <c r="F175" s="46"/>
      <c r="G175" s="6"/>
    </row>
    <row x14ac:dyDescent="0.25" r="176" customHeight="1" ht="14.25">
      <c r="A176" s="6"/>
      <c r="B176" s="6"/>
      <c r="C176" s="11"/>
      <c r="D176" s="11"/>
      <c r="E176" s="6"/>
      <c r="F176" s="46"/>
      <c r="G176" s="6"/>
    </row>
    <row x14ac:dyDescent="0.25" r="177" customHeight="1" ht="14.25">
      <c r="A177" s="6"/>
      <c r="B177" s="6"/>
      <c r="C177" s="11"/>
      <c r="D177" s="11"/>
      <c r="E177" s="6"/>
      <c r="F177" s="46"/>
      <c r="G177" s="6"/>
    </row>
    <row x14ac:dyDescent="0.25" r="178" customHeight="1" ht="14.25">
      <c r="A178" s="6"/>
      <c r="B178" s="6"/>
      <c r="C178" s="11"/>
      <c r="D178" s="11"/>
      <c r="E178" s="6"/>
      <c r="F178" s="46"/>
      <c r="G178" s="6"/>
    </row>
    <row x14ac:dyDescent="0.25" r="179" customHeight="1" ht="14.25">
      <c r="A179" s="6"/>
      <c r="B179" s="6"/>
      <c r="C179" s="11"/>
      <c r="D179" s="11"/>
      <c r="E179" s="6"/>
      <c r="F179" s="46"/>
      <c r="G179" s="6"/>
    </row>
    <row x14ac:dyDescent="0.25" r="180" customHeight="1" ht="14.25">
      <c r="A180" s="6"/>
      <c r="B180" s="6"/>
      <c r="C180" s="11"/>
      <c r="D180" s="11"/>
      <c r="E180" s="6"/>
      <c r="F180" s="46"/>
      <c r="G180" s="6"/>
    </row>
    <row x14ac:dyDescent="0.25" r="181" customHeight="1" ht="14.25">
      <c r="A181" s="6"/>
      <c r="B181" s="6"/>
      <c r="C181" s="11"/>
      <c r="D181" s="11"/>
      <c r="E181" s="6"/>
      <c r="F181" s="46"/>
      <c r="G181" s="6"/>
    </row>
    <row x14ac:dyDescent="0.25" r="182" customHeight="1" ht="14.25">
      <c r="A182" s="6"/>
      <c r="B182" s="6"/>
      <c r="C182" s="11"/>
      <c r="D182" s="11"/>
      <c r="E182" s="6"/>
      <c r="F182" s="46"/>
      <c r="G182" s="6"/>
    </row>
    <row x14ac:dyDescent="0.25" r="183" customHeight="1" ht="14.25">
      <c r="A183" s="6"/>
      <c r="B183" s="6"/>
      <c r="C183" s="11"/>
      <c r="D183" s="11"/>
      <c r="E183" s="6"/>
      <c r="F183" s="46"/>
      <c r="G183" s="6"/>
    </row>
    <row x14ac:dyDescent="0.25" r="184" customHeight="1" ht="14.25">
      <c r="A184" s="6"/>
      <c r="B184" s="6"/>
      <c r="C184" s="11"/>
      <c r="D184" s="11"/>
      <c r="E184" s="6"/>
      <c r="F184" s="46"/>
      <c r="G184" s="6"/>
    </row>
    <row x14ac:dyDescent="0.25" r="185" customHeight="1" ht="14.25">
      <c r="A185" s="6"/>
      <c r="B185" s="6"/>
      <c r="C185" s="11"/>
      <c r="D185" s="11"/>
      <c r="E185" s="6"/>
      <c r="F185" s="46"/>
      <c r="G185" s="6"/>
    </row>
    <row x14ac:dyDescent="0.25" r="186" customHeight="1" ht="14.25">
      <c r="A186" s="6"/>
      <c r="B186" s="6"/>
      <c r="C186" s="11"/>
      <c r="D186" s="11"/>
      <c r="E186" s="6"/>
      <c r="F186" s="46"/>
      <c r="G186" s="6"/>
    </row>
    <row x14ac:dyDescent="0.25" r="187" customHeight="1" ht="14.25">
      <c r="A187" s="6"/>
      <c r="B187" s="6"/>
      <c r="C187" s="11"/>
      <c r="D187" s="11"/>
      <c r="E187" s="6"/>
      <c r="F187" s="46"/>
      <c r="G187" s="6"/>
    </row>
    <row x14ac:dyDescent="0.25" r="188" customHeight="1" ht="14.25">
      <c r="A188" s="6"/>
      <c r="B188" s="6"/>
      <c r="C188" s="11"/>
      <c r="D188" s="11"/>
      <c r="E188" s="6"/>
      <c r="F188" s="46"/>
      <c r="G188" s="6"/>
    </row>
    <row x14ac:dyDescent="0.25" r="189" customHeight="1" ht="14.25">
      <c r="A189" s="6"/>
      <c r="B189" s="6"/>
      <c r="C189" s="11"/>
      <c r="D189" s="11"/>
      <c r="E189" s="6"/>
      <c r="F189" s="46"/>
      <c r="G189" s="6"/>
    </row>
    <row x14ac:dyDescent="0.25" r="190" customHeight="1" ht="14.25">
      <c r="A190" s="6"/>
      <c r="B190" s="6"/>
      <c r="C190" s="11"/>
      <c r="D190" s="11"/>
      <c r="E190" s="6"/>
      <c r="F190" s="46"/>
      <c r="G190" s="6"/>
    </row>
    <row x14ac:dyDescent="0.25" r="191" customHeight="1" ht="14.25">
      <c r="A191" s="6"/>
      <c r="B191" s="6"/>
      <c r="C191" s="11"/>
      <c r="D191" s="11"/>
      <c r="E191" s="6"/>
      <c r="F191" s="46"/>
      <c r="G191" s="6"/>
    </row>
    <row x14ac:dyDescent="0.25" r="192" customHeight="1" ht="14.25">
      <c r="A192" s="6"/>
      <c r="B192" s="6"/>
      <c r="C192" s="11"/>
      <c r="D192" s="11"/>
      <c r="E192" s="6"/>
      <c r="F192" s="46"/>
      <c r="G192" s="6"/>
    </row>
    <row x14ac:dyDescent="0.25" r="193" customHeight="1" ht="14.25">
      <c r="A193" s="6"/>
      <c r="B193" s="6"/>
      <c r="C193" s="11"/>
      <c r="D193" s="11"/>
      <c r="E193" s="6"/>
      <c r="F193" s="46"/>
      <c r="G193" s="6"/>
    </row>
    <row x14ac:dyDescent="0.25" r="194" customHeight="1" ht="14.25">
      <c r="A194" s="6"/>
      <c r="B194" s="6"/>
      <c r="C194" s="11"/>
      <c r="D194" s="11"/>
      <c r="E194" s="6"/>
      <c r="F194" s="46"/>
      <c r="G194" s="6"/>
    </row>
    <row x14ac:dyDescent="0.25" r="195" customHeight="1" ht="14.25">
      <c r="A195" s="6"/>
      <c r="B195" s="6"/>
      <c r="C195" s="11"/>
      <c r="D195" s="11"/>
      <c r="E195" s="6"/>
      <c r="F195" s="46"/>
      <c r="G195" s="6"/>
    </row>
    <row x14ac:dyDescent="0.25" r="196" customHeight="1" ht="14.25">
      <c r="A196" s="6"/>
      <c r="B196" s="6"/>
      <c r="C196" s="11"/>
      <c r="D196" s="11"/>
      <c r="E196" s="6"/>
      <c r="F196" s="46"/>
      <c r="G196" s="6"/>
    </row>
    <row x14ac:dyDescent="0.25" r="197" customHeight="1" ht="14.25">
      <c r="A197" s="6"/>
      <c r="B197" s="6"/>
      <c r="C197" s="11"/>
      <c r="D197" s="11"/>
      <c r="E197" s="6"/>
      <c r="F197" s="46"/>
      <c r="G197" s="6"/>
    </row>
    <row x14ac:dyDescent="0.25" r="198" customHeight="1" ht="14.25">
      <c r="A198" s="6"/>
      <c r="B198" s="6"/>
      <c r="C198" s="11"/>
      <c r="D198" s="11"/>
      <c r="E198" s="6"/>
      <c r="F198" s="46"/>
      <c r="G198" s="6"/>
    </row>
    <row x14ac:dyDescent="0.25" r="199" customHeight="1" ht="14.25">
      <c r="A199" s="6"/>
      <c r="B199" s="6"/>
      <c r="C199" s="11"/>
      <c r="D199" s="11"/>
      <c r="E199" s="6"/>
      <c r="F199" s="46"/>
      <c r="G199" s="6"/>
    </row>
    <row x14ac:dyDescent="0.25" r="200" customHeight="1" ht="14.25">
      <c r="A200" s="6"/>
      <c r="B200" s="6"/>
      <c r="C200" s="11"/>
      <c r="D200" s="11"/>
      <c r="E200" s="6"/>
      <c r="F200" s="46"/>
      <c r="G200" s="6"/>
    </row>
    <row x14ac:dyDescent="0.25" r="201" customHeight="1" ht="14.25">
      <c r="A201" s="6"/>
      <c r="B201" s="6"/>
      <c r="C201" s="11"/>
      <c r="D201" s="11"/>
      <c r="E201" s="6"/>
      <c r="F201" s="46"/>
      <c r="G201" s="6"/>
    </row>
    <row x14ac:dyDescent="0.25" r="202" customHeight="1" ht="14.25">
      <c r="A202" s="6"/>
      <c r="B202" s="6"/>
      <c r="C202" s="11"/>
      <c r="D202" s="11"/>
      <c r="E202" s="6"/>
      <c r="F202" s="46"/>
      <c r="G202" s="6"/>
    </row>
    <row x14ac:dyDescent="0.25" r="203" customHeight="1" ht="14.25">
      <c r="A203" s="6"/>
      <c r="B203" s="6"/>
      <c r="C203" s="11"/>
      <c r="D203" s="11"/>
      <c r="E203" s="6"/>
      <c r="F203" s="46"/>
      <c r="G203" s="6"/>
    </row>
    <row x14ac:dyDescent="0.25" r="204" customHeight="1" ht="14.25">
      <c r="A204" s="6"/>
      <c r="B204" s="6"/>
      <c r="C204" s="11"/>
      <c r="D204" s="11"/>
      <c r="E204" s="6"/>
      <c r="F204" s="46"/>
      <c r="G204" s="6"/>
    </row>
    <row x14ac:dyDescent="0.25" r="205" customHeight="1" ht="14.25">
      <c r="A205" s="6"/>
      <c r="B205" s="6"/>
      <c r="C205" s="11"/>
      <c r="D205" s="11"/>
      <c r="E205" s="6"/>
      <c r="F205" s="46"/>
      <c r="G205" s="6"/>
    </row>
    <row x14ac:dyDescent="0.25" r="206" customHeight="1" ht="14.25">
      <c r="A206" s="6"/>
      <c r="B206" s="6"/>
      <c r="C206" s="11"/>
      <c r="D206" s="11"/>
      <c r="E206" s="6"/>
      <c r="F206" s="46"/>
      <c r="G206" s="6"/>
    </row>
    <row x14ac:dyDescent="0.25" r="207" customHeight="1" ht="14.25">
      <c r="A207" s="6"/>
      <c r="B207" s="6"/>
      <c r="C207" s="11"/>
      <c r="D207" s="11"/>
      <c r="E207" s="6"/>
      <c r="F207" s="46"/>
      <c r="G207" s="6"/>
    </row>
    <row x14ac:dyDescent="0.25" r="208" customHeight="1" ht="14.25">
      <c r="A208" s="6"/>
      <c r="B208" s="6"/>
      <c r="C208" s="11"/>
      <c r="D208" s="11"/>
      <c r="E208" s="6"/>
      <c r="F208" s="46"/>
      <c r="G208" s="6"/>
    </row>
    <row x14ac:dyDescent="0.25" r="209" customHeight="1" ht="14.25">
      <c r="A209" s="6"/>
      <c r="B209" s="6"/>
      <c r="C209" s="11"/>
      <c r="D209" s="11"/>
      <c r="E209" s="6"/>
      <c r="F209" s="46"/>
      <c r="G209" s="6"/>
    </row>
    <row x14ac:dyDescent="0.25" r="210" customHeight="1" ht="14.25">
      <c r="A210" s="6"/>
      <c r="B210" s="6"/>
      <c r="C210" s="11"/>
      <c r="D210" s="11"/>
      <c r="E210" s="6"/>
      <c r="F210" s="46"/>
      <c r="G210" s="6"/>
    </row>
    <row x14ac:dyDescent="0.25" r="211" customHeight="1" ht="14.25">
      <c r="A211" s="6"/>
      <c r="B211" s="6"/>
      <c r="C211" s="11"/>
      <c r="D211" s="11"/>
      <c r="E211" s="6"/>
      <c r="F211" s="46"/>
      <c r="G211" s="6"/>
    </row>
    <row x14ac:dyDescent="0.25" r="212" customHeight="1" ht="14.25">
      <c r="A212" s="6"/>
      <c r="B212" s="6"/>
      <c r="C212" s="11"/>
      <c r="D212" s="11"/>
      <c r="E212" s="6"/>
      <c r="F212" s="46"/>
      <c r="G212" s="6"/>
    </row>
    <row x14ac:dyDescent="0.25" r="213" customHeight="1" ht="14.25">
      <c r="A213" s="6"/>
      <c r="B213" s="6"/>
      <c r="C213" s="11"/>
      <c r="D213" s="11"/>
      <c r="E213" s="6"/>
      <c r="F213" s="46"/>
      <c r="G213" s="6"/>
    </row>
    <row x14ac:dyDescent="0.25" r="214" customHeight="1" ht="14.25">
      <c r="A214" s="6"/>
      <c r="B214" s="6"/>
      <c r="C214" s="11"/>
      <c r="D214" s="11"/>
      <c r="E214" s="6"/>
      <c r="F214" s="46"/>
      <c r="G214" s="6"/>
    </row>
    <row x14ac:dyDescent="0.25" r="215" customHeight="1" ht="14.25">
      <c r="A215" s="6"/>
      <c r="B215" s="6"/>
      <c r="C215" s="11"/>
      <c r="D215" s="11"/>
      <c r="E215" s="6"/>
      <c r="F215" s="46"/>
      <c r="G215" s="6"/>
    </row>
    <row x14ac:dyDescent="0.25" r="216" customHeight="1" ht="14.25">
      <c r="A216" s="6"/>
      <c r="B216" s="6"/>
      <c r="C216" s="11"/>
      <c r="D216" s="11"/>
      <c r="E216" s="6"/>
      <c r="F216" s="46"/>
      <c r="G216" s="6"/>
    </row>
    <row x14ac:dyDescent="0.25" r="217" customHeight="1" ht="14.25">
      <c r="A217" s="6"/>
      <c r="B217" s="6"/>
      <c r="C217" s="11"/>
      <c r="D217" s="11"/>
      <c r="E217" s="6"/>
      <c r="F217" s="46"/>
      <c r="G217" s="6"/>
    </row>
    <row x14ac:dyDescent="0.25" r="218" customHeight="1" ht="14.25">
      <c r="A218" s="6"/>
      <c r="B218" s="6"/>
      <c r="C218" s="11"/>
      <c r="D218" s="11"/>
      <c r="E218" s="6"/>
      <c r="F218" s="46"/>
      <c r="G218" s="6"/>
    </row>
    <row x14ac:dyDescent="0.25" r="219" customHeight="1" ht="14.25">
      <c r="A219" s="6"/>
      <c r="B219" s="6"/>
      <c r="C219" s="11"/>
      <c r="D219" s="11"/>
      <c r="E219" s="6"/>
      <c r="F219" s="46"/>
      <c r="G219" s="6"/>
    </row>
    <row x14ac:dyDescent="0.25" r="220" customHeight="1" ht="14.25">
      <c r="A220" s="6"/>
      <c r="B220" s="6"/>
      <c r="C220" s="11"/>
      <c r="D220" s="11"/>
      <c r="E220" s="6"/>
      <c r="F220" s="46"/>
      <c r="G220" s="6"/>
    </row>
    <row x14ac:dyDescent="0.25" r="221" customHeight="1" ht="14.25">
      <c r="A221" s="6"/>
      <c r="B221" s="6"/>
      <c r="C221" s="11"/>
      <c r="D221" s="11"/>
      <c r="E221" s="6"/>
      <c r="F221" s="46"/>
      <c r="G221" s="6"/>
    </row>
    <row x14ac:dyDescent="0.25" r="222" customHeight="1" ht="14.25">
      <c r="A222" s="6"/>
      <c r="B222" s="6"/>
      <c r="C222" s="11"/>
      <c r="D222" s="11"/>
      <c r="E222" s="6"/>
      <c r="F222" s="46"/>
      <c r="G222" s="6"/>
    </row>
    <row x14ac:dyDescent="0.25" r="223" customHeight="1" ht="14.25">
      <c r="A223" s="6"/>
      <c r="B223" s="6"/>
      <c r="C223" s="11"/>
      <c r="D223" s="11"/>
      <c r="E223" s="6"/>
      <c r="F223" s="46"/>
      <c r="G223" s="6"/>
    </row>
    <row x14ac:dyDescent="0.25" r="224" customHeight="1" ht="14.25">
      <c r="A224" s="6"/>
      <c r="B224" s="6"/>
      <c r="C224" s="11"/>
      <c r="D224" s="11"/>
      <c r="E224" s="6"/>
      <c r="F224" s="46"/>
      <c r="G224" s="6"/>
    </row>
    <row x14ac:dyDescent="0.25" r="225" customHeight="1" ht="14.25">
      <c r="A225" s="6"/>
      <c r="B225" s="6"/>
      <c r="C225" s="11"/>
      <c r="D225" s="11"/>
      <c r="E225" s="6"/>
      <c r="F225" s="46"/>
      <c r="G225" s="6"/>
    </row>
    <row x14ac:dyDescent="0.25" r="226" customHeight="1" ht="14.25">
      <c r="A226" s="6"/>
      <c r="B226" s="6"/>
      <c r="C226" s="11"/>
      <c r="D226" s="11"/>
      <c r="E226" s="6"/>
      <c r="F226" s="46"/>
      <c r="G226" s="6"/>
    </row>
    <row x14ac:dyDescent="0.25" r="227" customHeight="1" ht="14.25">
      <c r="A227" s="6"/>
      <c r="B227" s="6"/>
      <c r="C227" s="11"/>
      <c r="D227" s="11"/>
      <c r="E227" s="6"/>
      <c r="F227" s="46"/>
      <c r="G227" s="6"/>
    </row>
    <row x14ac:dyDescent="0.25" r="228" customHeight="1" ht="14.25">
      <c r="A228" s="6"/>
      <c r="B228" s="6"/>
      <c r="C228" s="11"/>
      <c r="D228" s="11"/>
      <c r="E228" s="6"/>
      <c r="F228" s="46"/>
      <c r="G228" s="6"/>
    </row>
    <row x14ac:dyDescent="0.25" r="229" customHeight="1" ht="14.25">
      <c r="A229" s="6"/>
      <c r="B229" s="6"/>
      <c r="C229" s="11"/>
      <c r="D229" s="11"/>
      <c r="E229" s="6"/>
      <c r="F229" s="46"/>
      <c r="G229" s="6"/>
    </row>
    <row x14ac:dyDescent="0.25" r="230" customHeight="1" ht="14.25">
      <c r="A230" s="6"/>
      <c r="B230" s="6"/>
      <c r="C230" s="11"/>
      <c r="D230" s="11"/>
      <c r="E230" s="6"/>
      <c r="F230" s="46"/>
      <c r="G230" s="6"/>
    </row>
    <row x14ac:dyDescent="0.25" r="231" customHeight="1" ht="14.25">
      <c r="A231" s="6"/>
      <c r="B231" s="6"/>
      <c r="C231" s="11"/>
      <c r="D231" s="11"/>
      <c r="E231" s="6"/>
      <c r="F231" s="46"/>
      <c r="G231" s="6"/>
    </row>
    <row x14ac:dyDescent="0.25" r="232" customHeight="1" ht="14.25">
      <c r="A232" s="6"/>
      <c r="B232" s="6"/>
      <c r="C232" s="11"/>
      <c r="D232" s="11"/>
      <c r="E232" s="6"/>
      <c r="F232" s="46"/>
      <c r="G232" s="6"/>
    </row>
    <row x14ac:dyDescent="0.25" r="233" customHeight="1" ht="14.25">
      <c r="A233" s="6"/>
      <c r="B233" s="6"/>
      <c r="C233" s="11"/>
      <c r="D233" s="11"/>
      <c r="E233" s="6"/>
      <c r="F233" s="46"/>
      <c r="G233" s="6"/>
    </row>
    <row x14ac:dyDescent="0.25" r="234" customHeight="1" ht="14.25">
      <c r="A234" s="6"/>
      <c r="B234" s="6"/>
      <c r="C234" s="11"/>
      <c r="D234" s="11"/>
      <c r="E234" s="6"/>
      <c r="F234" s="46"/>
      <c r="G234" s="6"/>
    </row>
    <row x14ac:dyDescent="0.25" r="235" customHeight="1" ht="14.25">
      <c r="A235" s="6"/>
      <c r="B235" s="6"/>
      <c r="C235" s="11"/>
      <c r="D235" s="11"/>
      <c r="E235" s="6"/>
      <c r="F235" s="46"/>
      <c r="G235" s="6"/>
    </row>
    <row x14ac:dyDescent="0.25" r="236" customHeight="1" ht="14.25">
      <c r="A236" s="6"/>
      <c r="B236" s="6"/>
      <c r="C236" s="11"/>
      <c r="D236" s="11"/>
      <c r="E236" s="6"/>
      <c r="F236" s="46"/>
      <c r="G236" s="6"/>
    </row>
    <row x14ac:dyDescent="0.25" r="237" customHeight="1" ht="14.25">
      <c r="A237" s="6"/>
      <c r="B237" s="6"/>
      <c r="C237" s="11"/>
      <c r="D237" s="11"/>
      <c r="E237" s="6"/>
      <c r="F237" s="46"/>
      <c r="G237" s="6"/>
    </row>
    <row x14ac:dyDescent="0.25" r="238" customHeight="1" ht="14.25">
      <c r="A238" s="6"/>
      <c r="B238" s="6"/>
      <c r="C238" s="11"/>
      <c r="D238" s="11"/>
      <c r="E238" s="6"/>
      <c r="F238" s="46"/>
      <c r="G238" s="6"/>
    </row>
    <row x14ac:dyDescent="0.25" r="239" customHeight="1" ht="14.25">
      <c r="A239" s="6"/>
      <c r="B239" s="6"/>
      <c r="C239" s="11"/>
      <c r="D239" s="11"/>
      <c r="E239" s="6"/>
      <c r="F239" s="46"/>
      <c r="G239" s="6"/>
    </row>
    <row x14ac:dyDescent="0.25" r="240" customHeight="1" ht="14.25">
      <c r="A240" s="6"/>
      <c r="B240" s="6"/>
      <c r="C240" s="11"/>
      <c r="D240" s="11"/>
      <c r="E240" s="6"/>
      <c r="F240" s="46"/>
      <c r="G240" s="6"/>
    </row>
    <row x14ac:dyDescent="0.25" r="241" customHeight="1" ht="14.25">
      <c r="A241" s="6"/>
      <c r="B241" s="6"/>
      <c r="C241" s="11"/>
      <c r="D241" s="11"/>
      <c r="E241" s="6"/>
      <c r="F241" s="46"/>
      <c r="G241" s="6"/>
    </row>
    <row x14ac:dyDescent="0.25" r="242" customHeight="1" ht="14.25">
      <c r="A242" s="6"/>
      <c r="B242" s="6"/>
      <c r="C242" s="11"/>
      <c r="D242" s="11"/>
      <c r="E242" s="6"/>
      <c r="F242" s="46"/>
      <c r="G242" s="6"/>
    </row>
    <row x14ac:dyDescent="0.25" r="243" customHeight="1" ht="14.25">
      <c r="A243" s="6"/>
      <c r="B243" s="6"/>
      <c r="C243" s="11"/>
      <c r="D243" s="11"/>
      <c r="E243" s="6"/>
      <c r="F243" s="46"/>
      <c r="G243" s="6"/>
    </row>
    <row x14ac:dyDescent="0.25" r="244" customHeight="1" ht="14.25">
      <c r="A244" s="6"/>
      <c r="B244" s="6"/>
      <c r="C244" s="11"/>
      <c r="D244" s="11"/>
      <c r="E244" s="6"/>
      <c r="F244" s="46"/>
      <c r="G244" s="6"/>
    </row>
    <row x14ac:dyDescent="0.25" r="245" customHeight="1" ht="14.25">
      <c r="A245" s="6"/>
      <c r="B245" s="6"/>
      <c r="C245" s="11"/>
      <c r="D245" s="11"/>
      <c r="E245" s="6"/>
      <c r="F245" s="46"/>
      <c r="G245" s="6"/>
    </row>
    <row x14ac:dyDescent="0.25" r="246" customHeight="1" ht="14.25">
      <c r="A246" s="6"/>
      <c r="B246" s="6"/>
      <c r="C246" s="11"/>
      <c r="D246" s="11"/>
      <c r="E246" s="6"/>
      <c r="F246" s="46"/>
      <c r="G246" s="6"/>
    </row>
    <row x14ac:dyDescent="0.25" r="247" customHeight="1" ht="14.25">
      <c r="A247" s="6"/>
      <c r="B247" s="6"/>
      <c r="C247" s="11"/>
      <c r="D247" s="11"/>
      <c r="E247" s="6"/>
      <c r="F247" s="46"/>
      <c r="G247" s="6"/>
    </row>
    <row x14ac:dyDescent="0.25" r="248" customHeight="1" ht="14.25">
      <c r="A248" s="6"/>
      <c r="B248" s="6"/>
      <c r="C248" s="11"/>
      <c r="D248" s="11"/>
      <c r="E248" s="6"/>
      <c r="F248" s="46"/>
      <c r="G248" s="6"/>
    </row>
    <row x14ac:dyDescent="0.25" r="249" customHeight="1" ht="14.25">
      <c r="A249" s="6"/>
      <c r="B249" s="6"/>
      <c r="C249" s="11"/>
      <c r="D249" s="11"/>
      <c r="E249" s="6"/>
      <c r="F249" s="46"/>
      <c r="G249" s="6"/>
    </row>
    <row x14ac:dyDescent="0.25" r="250" customHeight="1" ht="14.25">
      <c r="A250" s="6"/>
      <c r="B250" s="6"/>
      <c r="C250" s="11"/>
      <c r="D250" s="11"/>
      <c r="E250" s="6"/>
      <c r="F250" s="46"/>
      <c r="G250" s="6"/>
    </row>
    <row x14ac:dyDescent="0.25" r="251" customHeight="1" ht="14.25">
      <c r="A251" s="6"/>
      <c r="B251" s="6"/>
      <c r="C251" s="11"/>
      <c r="D251" s="11"/>
      <c r="E251" s="6"/>
      <c r="F251" s="46"/>
      <c r="G251" s="6"/>
    </row>
    <row x14ac:dyDescent="0.25" r="252" customHeight="1" ht="14.25">
      <c r="A252" s="6"/>
      <c r="B252" s="6"/>
      <c r="C252" s="11"/>
      <c r="D252" s="11"/>
      <c r="E252" s="6"/>
      <c r="F252" s="46"/>
      <c r="G252" s="6"/>
    </row>
    <row x14ac:dyDescent="0.25" r="253" customHeight="1" ht="14.25">
      <c r="A253" s="6"/>
      <c r="B253" s="6"/>
      <c r="C253" s="11"/>
      <c r="D253" s="11"/>
      <c r="E253" s="6"/>
      <c r="F253" s="46"/>
      <c r="G253" s="6"/>
    </row>
    <row x14ac:dyDescent="0.25" r="254" customHeight="1" ht="14.25">
      <c r="A254" s="6"/>
      <c r="B254" s="6"/>
      <c r="C254" s="11"/>
      <c r="D254" s="11"/>
      <c r="E254" s="6"/>
      <c r="F254" s="46"/>
      <c r="G254" s="6"/>
    </row>
    <row x14ac:dyDescent="0.25" r="255" customHeight="1" ht="14.25">
      <c r="A255" s="6"/>
      <c r="B255" s="6"/>
      <c r="C255" s="11"/>
      <c r="D255" s="11"/>
      <c r="E255" s="6"/>
      <c r="F255" s="46"/>
      <c r="G255" s="6"/>
    </row>
    <row x14ac:dyDescent="0.25" r="256" customHeight="1" ht="14.25">
      <c r="A256" s="6"/>
      <c r="B256" s="6"/>
      <c r="C256" s="11"/>
      <c r="D256" s="11"/>
      <c r="E256" s="6"/>
      <c r="F256" s="46"/>
      <c r="G256" s="6"/>
    </row>
    <row x14ac:dyDescent="0.25" r="257" customHeight="1" ht="14.25">
      <c r="A257" s="6"/>
      <c r="B257" s="6"/>
      <c r="C257" s="11"/>
      <c r="D257" s="11"/>
      <c r="E257" s="6"/>
      <c r="F257" s="46"/>
      <c r="G257" s="6"/>
    </row>
    <row x14ac:dyDescent="0.25" r="258" customHeight="1" ht="14.25">
      <c r="A258" s="6"/>
      <c r="B258" s="6"/>
      <c r="C258" s="11"/>
      <c r="D258" s="11"/>
      <c r="E258" s="6"/>
      <c r="F258" s="46"/>
      <c r="G258" s="6"/>
    </row>
    <row x14ac:dyDescent="0.25" r="259" customHeight="1" ht="14.25">
      <c r="A259" s="6"/>
      <c r="B259" s="6"/>
      <c r="C259" s="11"/>
      <c r="D259" s="11"/>
      <c r="E259" s="6"/>
      <c r="F259" s="46"/>
      <c r="G259" s="6"/>
    </row>
    <row x14ac:dyDescent="0.25" r="260" customHeight="1" ht="14.25">
      <c r="A260" s="6"/>
      <c r="B260" s="6"/>
      <c r="C260" s="11"/>
      <c r="D260" s="11"/>
      <c r="E260" s="6"/>
      <c r="F260" s="46"/>
      <c r="G260" s="6"/>
    </row>
    <row x14ac:dyDescent="0.25" r="261" customHeight="1" ht="14.25">
      <c r="A261" s="6"/>
      <c r="B261" s="6"/>
      <c r="C261" s="11"/>
      <c r="D261" s="11"/>
      <c r="E261" s="6"/>
      <c r="F261" s="46"/>
      <c r="G261" s="6"/>
    </row>
    <row x14ac:dyDescent="0.25" r="262" customHeight="1" ht="14.25">
      <c r="A262" s="6"/>
      <c r="B262" s="6"/>
      <c r="C262" s="11"/>
      <c r="D262" s="11"/>
      <c r="E262" s="6"/>
      <c r="F262" s="46"/>
      <c r="G262" s="6"/>
    </row>
    <row x14ac:dyDescent="0.25" r="263" customHeight="1" ht="14.25">
      <c r="A263" s="6"/>
      <c r="B263" s="6"/>
      <c r="C263" s="11"/>
      <c r="D263" s="11"/>
      <c r="E263" s="6"/>
      <c r="F263" s="46"/>
      <c r="G263" s="6"/>
    </row>
    <row x14ac:dyDescent="0.25" r="264" customHeight="1" ht="14.25">
      <c r="A264" s="6"/>
      <c r="B264" s="6"/>
      <c r="C264" s="11"/>
      <c r="D264" s="11"/>
      <c r="E264" s="6"/>
      <c r="F264" s="46"/>
      <c r="G264" s="6"/>
    </row>
    <row x14ac:dyDescent="0.25" r="265" customHeight="1" ht="14.25">
      <c r="A265" s="6"/>
      <c r="B265" s="6"/>
      <c r="C265" s="11"/>
      <c r="D265" s="11"/>
      <c r="E265" s="6"/>
      <c r="F265" s="46"/>
      <c r="G265" s="6"/>
    </row>
    <row x14ac:dyDescent="0.25" r="266" customHeight="1" ht="14.25">
      <c r="A266" s="6"/>
      <c r="B266" s="6"/>
      <c r="C266" s="11"/>
      <c r="D266" s="11"/>
      <c r="E266" s="6"/>
      <c r="F266" s="46"/>
      <c r="G266" s="6"/>
    </row>
    <row x14ac:dyDescent="0.25" r="267" customHeight="1" ht="14.25">
      <c r="A267" s="6"/>
      <c r="B267" s="6"/>
      <c r="C267" s="11"/>
      <c r="D267" s="11"/>
      <c r="E267" s="6"/>
      <c r="F267" s="46"/>
      <c r="G267" s="6"/>
    </row>
    <row x14ac:dyDescent="0.25" r="268" customHeight="1" ht="14.25">
      <c r="A268" s="6"/>
      <c r="B268" s="6"/>
      <c r="C268" s="11"/>
      <c r="D268" s="11"/>
      <c r="E268" s="6"/>
      <c r="F268" s="46"/>
      <c r="G268" s="6"/>
    </row>
    <row x14ac:dyDescent="0.25" r="269" customHeight="1" ht="14.25">
      <c r="A269" s="6"/>
      <c r="B269" s="6"/>
      <c r="C269" s="11"/>
      <c r="D269" s="11"/>
      <c r="E269" s="6"/>
      <c r="F269" s="46"/>
      <c r="G269" s="6"/>
    </row>
    <row x14ac:dyDescent="0.25" r="270" customHeight="1" ht="14.25">
      <c r="A270" s="6"/>
      <c r="B270" s="6"/>
      <c r="C270" s="11"/>
      <c r="D270" s="11"/>
      <c r="E270" s="6"/>
      <c r="F270" s="46"/>
      <c r="G270" s="6"/>
    </row>
    <row x14ac:dyDescent="0.25" r="271" customHeight="1" ht="14.25">
      <c r="A271" s="6"/>
      <c r="B271" s="6"/>
      <c r="C271" s="11"/>
      <c r="D271" s="11"/>
      <c r="E271" s="6"/>
      <c r="F271" s="46"/>
      <c r="G271" s="6"/>
    </row>
    <row x14ac:dyDescent="0.25" r="272" customHeight="1" ht="14.25">
      <c r="A272" s="6"/>
      <c r="B272" s="6"/>
      <c r="C272" s="11"/>
      <c r="D272" s="11"/>
      <c r="E272" s="6"/>
      <c r="F272" s="46"/>
      <c r="G272" s="6"/>
    </row>
    <row x14ac:dyDescent="0.25" r="273" customHeight="1" ht="14.25">
      <c r="A273" s="6"/>
      <c r="B273" s="6"/>
      <c r="C273" s="11"/>
      <c r="D273" s="11"/>
      <c r="E273" s="6"/>
      <c r="F273" s="46"/>
      <c r="G273" s="6"/>
    </row>
    <row x14ac:dyDescent="0.25" r="274" customHeight="1" ht="14.25">
      <c r="A274" s="6"/>
      <c r="B274" s="6"/>
      <c r="C274" s="11"/>
      <c r="D274" s="11"/>
      <c r="E274" s="6"/>
      <c r="F274" s="46"/>
      <c r="G274" s="6"/>
    </row>
    <row x14ac:dyDescent="0.25" r="275" customHeight="1" ht="14.25">
      <c r="A275" s="6"/>
      <c r="B275" s="6"/>
      <c r="C275" s="11"/>
      <c r="D275" s="11"/>
      <c r="E275" s="6"/>
      <c r="F275" s="46"/>
      <c r="G275" s="6"/>
    </row>
    <row x14ac:dyDescent="0.25" r="276" customHeight="1" ht="14.25">
      <c r="A276" s="6"/>
      <c r="B276" s="6"/>
      <c r="C276" s="11"/>
      <c r="D276" s="11"/>
      <c r="E276" s="6"/>
      <c r="F276" s="46"/>
      <c r="G276" s="6"/>
    </row>
    <row x14ac:dyDescent="0.25" r="277" customHeight="1" ht="14.25">
      <c r="A277" s="6"/>
      <c r="B277" s="6"/>
      <c r="C277" s="11"/>
      <c r="D277" s="11"/>
      <c r="E277" s="6"/>
      <c r="F277" s="46"/>
      <c r="G277" s="6"/>
    </row>
    <row x14ac:dyDescent="0.25" r="278" customHeight="1" ht="14.25">
      <c r="A278" s="6"/>
      <c r="B278" s="6"/>
      <c r="C278" s="11"/>
      <c r="D278" s="11"/>
      <c r="E278" s="6"/>
      <c r="F278" s="46"/>
      <c r="G278" s="6"/>
    </row>
    <row x14ac:dyDescent="0.25" r="279" customHeight="1" ht="14.25">
      <c r="A279" s="6"/>
      <c r="B279" s="6"/>
      <c r="C279" s="11"/>
      <c r="D279" s="11"/>
      <c r="E279" s="6"/>
      <c r="F279" s="46"/>
      <c r="G279" s="6"/>
    </row>
    <row x14ac:dyDescent="0.25" r="280" customHeight="1" ht="14.25">
      <c r="A280" s="6"/>
      <c r="B280" s="6"/>
      <c r="C280" s="11"/>
      <c r="D280" s="11"/>
      <c r="E280" s="6"/>
      <c r="F280" s="46"/>
      <c r="G280" s="6"/>
    </row>
    <row x14ac:dyDescent="0.25" r="281" customHeight="1" ht="14.25">
      <c r="A281" s="6"/>
      <c r="B281" s="6"/>
      <c r="C281" s="11"/>
      <c r="D281" s="11"/>
      <c r="E281" s="6"/>
      <c r="F281" s="46"/>
      <c r="G281" s="6"/>
    </row>
    <row x14ac:dyDescent="0.25" r="282" customHeight="1" ht="14.25">
      <c r="A282" s="6"/>
      <c r="B282" s="6"/>
      <c r="C282" s="11"/>
      <c r="D282" s="11"/>
      <c r="E282" s="6"/>
      <c r="F282" s="46"/>
      <c r="G282" s="6"/>
    </row>
    <row x14ac:dyDescent="0.25" r="283" customHeight="1" ht="14.25">
      <c r="A283" s="6"/>
      <c r="B283" s="6"/>
      <c r="C283" s="11"/>
      <c r="D283" s="11"/>
      <c r="E283" s="6"/>
      <c r="F283" s="46"/>
      <c r="G283" s="6"/>
    </row>
    <row x14ac:dyDescent="0.25" r="284" customHeight="1" ht="14.25">
      <c r="A284" s="6"/>
      <c r="B284" s="6"/>
      <c r="C284" s="11"/>
      <c r="D284" s="11"/>
      <c r="E284" s="6"/>
      <c r="F284" s="46"/>
      <c r="G284" s="6"/>
    </row>
    <row x14ac:dyDescent="0.25" r="285" customHeight="1" ht="14.25">
      <c r="A285" s="6"/>
      <c r="B285" s="6"/>
      <c r="C285" s="11"/>
      <c r="D285" s="11"/>
      <c r="E285" s="6"/>
      <c r="F285" s="46"/>
      <c r="G285" s="6"/>
    </row>
    <row x14ac:dyDescent="0.25" r="286" customHeight="1" ht="14.25">
      <c r="A286" s="6"/>
      <c r="B286" s="6"/>
      <c r="C286" s="11"/>
      <c r="D286" s="11"/>
      <c r="E286" s="6"/>
      <c r="F286" s="46"/>
      <c r="G286" s="6"/>
    </row>
    <row x14ac:dyDescent="0.25" r="287" customHeight="1" ht="14.25">
      <c r="A287" s="6"/>
      <c r="B287" s="6"/>
      <c r="C287" s="11"/>
      <c r="D287" s="11"/>
      <c r="E287" s="6"/>
      <c r="F287" s="46"/>
      <c r="G287" s="6"/>
    </row>
    <row x14ac:dyDescent="0.25" r="288" customHeight="1" ht="14.25">
      <c r="A288" s="6"/>
      <c r="B288" s="6"/>
      <c r="C288" s="11"/>
      <c r="D288" s="11"/>
      <c r="E288" s="6"/>
      <c r="F288" s="46"/>
      <c r="G288" s="6"/>
    </row>
    <row x14ac:dyDescent="0.25" r="289" customHeight="1" ht="14.25">
      <c r="A289" s="6"/>
      <c r="B289" s="6"/>
      <c r="C289" s="11"/>
      <c r="D289" s="11"/>
      <c r="E289" s="6"/>
      <c r="F289" s="46"/>
      <c r="G289" s="6"/>
    </row>
    <row x14ac:dyDescent="0.25" r="290" customHeight="1" ht="14.25">
      <c r="A290" s="6"/>
      <c r="B290" s="6"/>
      <c r="C290" s="11"/>
      <c r="D290" s="11"/>
      <c r="E290" s="6"/>
      <c r="F290" s="46"/>
      <c r="G290" s="6"/>
    </row>
    <row x14ac:dyDescent="0.25" r="291" customHeight="1" ht="14.25">
      <c r="A291" s="6"/>
      <c r="B291" s="6"/>
      <c r="C291" s="11"/>
      <c r="D291" s="11"/>
      <c r="E291" s="6"/>
      <c r="F291" s="46"/>
      <c r="G291" s="6"/>
    </row>
    <row x14ac:dyDescent="0.25" r="292" customHeight="1" ht="14.25">
      <c r="A292" s="6"/>
      <c r="B292" s="6"/>
      <c r="C292" s="11"/>
      <c r="D292" s="11"/>
      <c r="E292" s="6"/>
      <c r="F292" s="46"/>
      <c r="G292" s="6"/>
    </row>
    <row x14ac:dyDescent="0.25" r="293" customHeight="1" ht="14.25">
      <c r="A293" s="6"/>
      <c r="B293" s="6"/>
      <c r="C293" s="11"/>
      <c r="D293" s="11"/>
      <c r="E293" s="6"/>
      <c r="F293" s="46"/>
      <c r="G293" s="6"/>
    </row>
    <row x14ac:dyDescent="0.25" r="294" customHeight="1" ht="14.25">
      <c r="A294" s="6"/>
      <c r="B294" s="6"/>
      <c r="C294" s="11"/>
      <c r="D294" s="11"/>
      <c r="E294" s="6"/>
      <c r="F294" s="46"/>
      <c r="G294" s="6"/>
    </row>
    <row x14ac:dyDescent="0.25" r="295" customHeight="1" ht="14.25">
      <c r="A295" s="6"/>
      <c r="B295" s="6"/>
      <c r="C295" s="11"/>
      <c r="D295" s="11"/>
      <c r="E295" s="6"/>
      <c r="F295" s="46"/>
      <c r="G295" s="6"/>
    </row>
    <row x14ac:dyDescent="0.25" r="296" customHeight="1" ht="14.25">
      <c r="A296" s="6"/>
      <c r="B296" s="6"/>
      <c r="C296" s="11"/>
      <c r="D296" s="11"/>
      <c r="E296" s="6"/>
      <c r="F296" s="46"/>
      <c r="G296" s="6"/>
    </row>
    <row x14ac:dyDescent="0.25" r="297" customHeight="1" ht="14.25">
      <c r="A297" s="6"/>
      <c r="B297" s="6"/>
      <c r="C297" s="11"/>
      <c r="D297" s="11"/>
      <c r="E297" s="6"/>
      <c r="F297" s="46"/>
      <c r="G297" s="6"/>
    </row>
    <row x14ac:dyDescent="0.25" r="298" customHeight="1" ht="14.25">
      <c r="A298" s="6"/>
      <c r="B298" s="6"/>
      <c r="C298" s="11"/>
      <c r="D298" s="11"/>
      <c r="E298" s="6"/>
      <c r="F298" s="46"/>
      <c r="G298" s="6"/>
    </row>
    <row x14ac:dyDescent="0.25" r="299" customHeight="1" ht="14.25">
      <c r="A299" s="6"/>
      <c r="B299" s="6"/>
      <c r="C299" s="11"/>
      <c r="D299" s="11"/>
      <c r="E299" s="6"/>
      <c r="F299" s="46"/>
      <c r="G299" s="6"/>
    </row>
    <row x14ac:dyDescent="0.25" r="300" customHeight="1" ht="14.25">
      <c r="A300" s="6"/>
      <c r="B300" s="6"/>
      <c r="C300" s="11"/>
      <c r="D300" s="11"/>
      <c r="E300" s="6"/>
      <c r="F300" s="46"/>
      <c r="G300" s="6"/>
    </row>
    <row x14ac:dyDescent="0.25" r="301" customHeight="1" ht="14.25">
      <c r="A301" s="6"/>
      <c r="B301" s="6"/>
      <c r="C301" s="11"/>
      <c r="D301" s="11"/>
      <c r="E301" s="6"/>
      <c r="F301" s="46"/>
      <c r="G301" s="6"/>
    </row>
    <row x14ac:dyDescent="0.25" r="302" customHeight="1" ht="14.25">
      <c r="A302" s="6"/>
      <c r="B302" s="6"/>
      <c r="C302" s="11"/>
      <c r="D302" s="11"/>
      <c r="E302" s="6"/>
      <c r="F302" s="46"/>
      <c r="G302" s="6"/>
    </row>
    <row x14ac:dyDescent="0.25" r="303" customHeight="1" ht="14.25">
      <c r="A303" s="6"/>
      <c r="B303" s="6"/>
      <c r="C303" s="11"/>
      <c r="D303" s="11"/>
      <c r="E303" s="6"/>
      <c r="F303" s="46"/>
      <c r="G303" s="6"/>
    </row>
    <row x14ac:dyDescent="0.25" r="304" customHeight="1" ht="14.25">
      <c r="A304" s="6"/>
      <c r="B304" s="6"/>
      <c r="C304" s="11"/>
      <c r="D304" s="11"/>
      <c r="E304" s="6"/>
      <c r="F304" s="46"/>
      <c r="G304" s="6"/>
    </row>
    <row x14ac:dyDescent="0.25" r="305" customHeight="1" ht="14.25">
      <c r="A305" s="6"/>
      <c r="B305" s="6"/>
      <c r="C305" s="11"/>
      <c r="D305" s="11"/>
      <c r="E305" s="6"/>
      <c r="F305" s="46"/>
      <c r="G305" s="6"/>
    </row>
    <row x14ac:dyDescent="0.25" r="306" customHeight="1" ht="14.25">
      <c r="A306" s="6"/>
      <c r="B306" s="6"/>
      <c r="C306" s="11"/>
      <c r="D306" s="11"/>
      <c r="E306" s="6"/>
      <c r="F306" s="46"/>
      <c r="G306" s="6"/>
    </row>
    <row x14ac:dyDescent="0.25" r="307" customHeight="1" ht="14.25">
      <c r="A307" s="6"/>
      <c r="B307" s="6"/>
      <c r="C307" s="11"/>
      <c r="D307" s="11"/>
      <c r="E307" s="6"/>
      <c r="F307" s="46"/>
      <c r="G307" s="6"/>
    </row>
    <row x14ac:dyDescent="0.25" r="308" customHeight="1" ht="14.25">
      <c r="A308" s="6"/>
      <c r="B308" s="6"/>
      <c r="C308" s="11"/>
      <c r="D308" s="11"/>
      <c r="E308" s="6"/>
      <c r="F308" s="46"/>
      <c r="G308" s="6"/>
    </row>
    <row x14ac:dyDescent="0.25" r="309" customHeight="1" ht="14.25">
      <c r="A309" s="6"/>
      <c r="B309" s="6"/>
      <c r="C309" s="11"/>
      <c r="D309" s="11"/>
      <c r="E309" s="6"/>
      <c r="F309" s="46"/>
      <c r="G309" s="6"/>
    </row>
    <row x14ac:dyDescent="0.25" r="310" customHeight="1" ht="14.25">
      <c r="A310" s="6"/>
      <c r="B310" s="6"/>
      <c r="C310" s="11"/>
      <c r="D310" s="11"/>
      <c r="E310" s="6"/>
      <c r="F310" s="46"/>
      <c r="G310" s="6"/>
    </row>
    <row x14ac:dyDescent="0.25" r="311" customHeight="1" ht="14.25">
      <c r="A311" s="6"/>
      <c r="B311" s="6"/>
      <c r="C311" s="11"/>
      <c r="D311" s="11"/>
      <c r="E311" s="6"/>
      <c r="F311" s="46"/>
      <c r="G311" s="6"/>
    </row>
    <row x14ac:dyDescent="0.25" r="312" customHeight="1" ht="14.25">
      <c r="A312" s="6"/>
      <c r="B312" s="6"/>
      <c r="C312" s="11"/>
      <c r="D312" s="11"/>
      <c r="E312" s="6"/>
      <c r="F312" s="46"/>
      <c r="G312" s="6"/>
    </row>
    <row x14ac:dyDescent="0.25" r="313" customHeight="1" ht="14.25">
      <c r="A313" s="6"/>
      <c r="B313" s="6"/>
      <c r="C313" s="11"/>
      <c r="D313" s="11"/>
      <c r="E313" s="6"/>
      <c r="F313" s="46"/>
      <c r="G313" s="6"/>
    </row>
    <row x14ac:dyDescent="0.25" r="314" customHeight="1" ht="14.25">
      <c r="A314" s="6"/>
      <c r="B314" s="6"/>
      <c r="C314" s="11"/>
      <c r="D314" s="11"/>
      <c r="E314" s="6"/>
      <c r="F314" s="46"/>
      <c r="G314" s="6"/>
    </row>
    <row x14ac:dyDescent="0.25" r="315" customHeight="1" ht="14.25">
      <c r="A315" s="6"/>
      <c r="B315" s="6"/>
      <c r="C315" s="11"/>
      <c r="D315" s="11"/>
      <c r="E315" s="6"/>
      <c r="F315" s="46"/>
      <c r="G315" s="6"/>
    </row>
    <row x14ac:dyDescent="0.25" r="316" customHeight="1" ht="14.25">
      <c r="A316" s="6"/>
      <c r="B316" s="6"/>
      <c r="C316" s="11"/>
      <c r="D316" s="11"/>
      <c r="E316" s="6"/>
      <c r="F316" s="46"/>
      <c r="G316" s="6"/>
    </row>
    <row x14ac:dyDescent="0.25" r="317" customHeight="1" ht="14.25">
      <c r="A317" s="6"/>
      <c r="B317" s="6"/>
      <c r="C317" s="11"/>
      <c r="D317" s="11"/>
      <c r="E317" s="6"/>
      <c r="F317" s="46"/>
      <c r="G317" s="6"/>
    </row>
    <row x14ac:dyDescent="0.25" r="318" customHeight="1" ht="14.25">
      <c r="A318" s="6"/>
      <c r="B318" s="6"/>
      <c r="C318" s="11"/>
      <c r="D318" s="11"/>
      <c r="E318" s="6"/>
      <c r="F318" s="46"/>
      <c r="G318" s="6"/>
    </row>
    <row x14ac:dyDescent="0.25" r="319" customHeight="1" ht="14.25">
      <c r="A319" s="6"/>
      <c r="B319" s="6"/>
      <c r="C319" s="11"/>
      <c r="D319" s="11"/>
      <c r="E319" s="6"/>
      <c r="F319" s="46"/>
      <c r="G319" s="6"/>
    </row>
    <row x14ac:dyDescent="0.25" r="320" customHeight="1" ht="14.25">
      <c r="A320" s="6"/>
      <c r="B320" s="6"/>
      <c r="C320" s="11"/>
      <c r="D320" s="11"/>
      <c r="E320" s="6"/>
      <c r="F320" s="46"/>
      <c r="G320" s="6"/>
    </row>
    <row x14ac:dyDescent="0.25" r="321" customHeight="1" ht="14.25">
      <c r="A321" s="6"/>
      <c r="B321" s="6"/>
      <c r="C321" s="11"/>
      <c r="D321" s="11"/>
      <c r="E321" s="6"/>
      <c r="F321" s="46"/>
      <c r="G321" s="6"/>
    </row>
    <row x14ac:dyDescent="0.25" r="322" customHeight="1" ht="14.25">
      <c r="A322" s="6"/>
      <c r="B322" s="6"/>
      <c r="C322" s="11"/>
      <c r="D322" s="11"/>
      <c r="E322" s="6"/>
      <c r="F322" s="46"/>
      <c r="G322" s="6"/>
    </row>
    <row x14ac:dyDescent="0.25" r="323" customHeight="1" ht="14.25">
      <c r="A323" s="6"/>
      <c r="B323" s="6"/>
      <c r="C323" s="11"/>
      <c r="D323" s="11"/>
      <c r="E323" s="6"/>
      <c r="F323" s="46"/>
      <c r="G323" s="6"/>
    </row>
    <row x14ac:dyDescent="0.25" r="324" customHeight="1" ht="14.25">
      <c r="A324" s="6"/>
      <c r="B324" s="6"/>
      <c r="C324" s="11"/>
      <c r="D324" s="11"/>
      <c r="E324" s="6"/>
      <c r="F324" s="46"/>
      <c r="G324" s="6"/>
    </row>
    <row x14ac:dyDescent="0.25" r="325" customHeight="1" ht="14.25">
      <c r="A325" s="6"/>
      <c r="B325" s="6"/>
      <c r="C325" s="11"/>
      <c r="D325" s="11"/>
      <c r="E325" s="6"/>
      <c r="F325" s="46"/>
      <c r="G325" s="6"/>
    </row>
    <row x14ac:dyDescent="0.25" r="326" customHeight="1" ht="14.25">
      <c r="A326" s="6"/>
      <c r="B326" s="6"/>
      <c r="C326" s="11"/>
      <c r="D326" s="11"/>
      <c r="E326" s="6"/>
      <c r="F326" s="46"/>
      <c r="G326" s="6"/>
    </row>
    <row x14ac:dyDescent="0.25" r="327" customHeight="1" ht="14.25">
      <c r="A327" s="6"/>
      <c r="B327" s="6"/>
      <c r="C327" s="11"/>
      <c r="D327" s="11"/>
      <c r="E327" s="6"/>
      <c r="F327" s="46"/>
      <c r="G327" s="6"/>
    </row>
    <row x14ac:dyDescent="0.25" r="328" customHeight="1" ht="14.25">
      <c r="A328" s="6"/>
      <c r="B328" s="6"/>
      <c r="C328" s="11"/>
      <c r="D328" s="11"/>
      <c r="E328" s="6"/>
      <c r="F328" s="46"/>
      <c r="G328" s="6"/>
    </row>
    <row x14ac:dyDescent="0.25" r="329" customHeight="1" ht="14.25">
      <c r="A329" s="6"/>
      <c r="B329" s="6"/>
      <c r="C329" s="11"/>
      <c r="D329" s="11"/>
      <c r="E329" s="6"/>
      <c r="F329" s="46"/>
      <c r="G329" s="6"/>
    </row>
    <row x14ac:dyDescent="0.25" r="330" customHeight="1" ht="14.25">
      <c r="A330" s="6"/>
      <c r="B330" s="6"/>
      <c r="C330" s="11"/>
      <c r="D330" s="11"/>
      <c r="E330" s="6"/>
      <c r="F330" s="46"/>
      <c r="G330" s="6"/>
    </row>
    <row x14ac:dyDescent="0.25" r="331" customHeight="1" ht="14.25">
      <c r="A331" s="6"/>
      <c r="B331" s="6"/>
      <c r="C331" s="11"/>
      <c r="D331" s="11"/>
      <c r="E331" s="6"/>
      <c r="F331" s="46"/>
      <c r="G331" s="6"/>
    </row>
    <row x14ac:dyDescent="0.25" r="332" customHeight="1" ht="14.25">
      <c r="A332" s="6"/>
      <c r="B332" s="6"/>
      <c r="C332" s="11"/>
      <c r="D332" s="11"/>
      <c r="E332" s="6"/>
      <c r="F332" s="46"/>
      <c r="G332" s="6"/>
    </row>
    <row x14ac:dyDescent="0.25" r="333" customHeight="1" ht="14.25">
      <c r="A333" s="6"/>
      <c r="B333" s="6"/>
      <c r="C333" s="11"/>
      <c r="D333" s="11"/>
      <c r="E333" s="6"/>
      <c r="F333" s="46"/>
      <c r="G333" s="6"/>
    </row>
    <row x14ac:dyDescent="0.25" r="334" customHeight="1" ht="14.25">
      <c r="A334" s="6"/>
      <c r="B334" s="6"/>
      <c r="C334" s="11"/>
      <c r="D334" s="11"/>
      <c r="E334" s="6"/>
      <c r="F334" s="46"/>
      <c r="G334" s="6"/>
    </row>
    <row x14ac:dyDescent="0.25" r="335" customHeight="1" ht="14.25">
      <c r="A335" s="6"/>
      <c r="B335" s="6"/>
      <c r="C335" s="11"/>
      <c r="D335" s="11"/>
      <c r="E335" s="6"/>
      <c r="F335" s="46"/>
      <c r="G335" s="6"/>
    </row>
    <row x14ac:dyDescent="0.25" r="336" customHeight="1" ht="14.25">
      <c r="A336" s="6"/>
      <c r="B336" s="6"/>
      <c r="C336" s="11"/>
      <c r="D336" s="11"/>
      <c r="E336" s="6"/>
      <c r="F336" s="46"/>
      <c r="G336" s="6"/>
    </row>
    <row x14ac:dyDescent="0.25" r="337" customHeight="1" ht="14.25">
      <c r="A337" s="6"/>
      <c r="B337" s="6"/>
      <c r="C337" s="11"/>
      <c r="D337" s="11"/>
      <c r="E337" s="6"/>
      <c r="F337" s="46"/>
      <c r="G337" s="6"/>
    </row>
    <row x14ac:dyDescent="0.25" r="338" customHeight="1" ht="14.25">
      <c r="A338" s="6"/>
      <c r="B338" s="6"/>
      <c r="C338" s="11"/>
      <c r="D338" s="11"/>
      <c r="E338" s="6"/>
      <c r="F338" s="46"/>
      <c r="G338" s="6"/>
    </row>
    <row x14ac:dyDescent="0.25" r="339" customHeight="1" ht="14.25">
      <c r="A339" s="6"/>
      <c r="B339" s="6"/>
      <c r="C339" s="11"/>
      <c r="D339" s="11"/>
      <c r="E339" s="6"/>
      <c r="F339" s="46"/>
      <c r="G339" s="6"/>
    </row>
    <row x14ac:dyDescent="0.25" r="340" customHeight="1" ht="14.25">
      <c r="A340" s="6"/>
      <c r="B340" s="6"/>
      <c r="C340" s="11"/>
      <c r="D340" s="11"/>
      <c r="E340" s="6"/>
      <c r="F340" s="46"/>
      <c r="G340" s="6"/>
    </row>
    <row x14ac:dyDescent="0.25" r="341" customHeight="1" ht="14.25">
      <c r="A341" s="6"/>
      <c r="B341" s="6"/>
      <c r="C341" s="11"/>
      <c r="D341" s="11"/>
      <c r="E341" s="6"/>
      <c r="F341" s="46"/>
      <c r="G341" s="6"/>
    </row>
    <row x14ac:dyDescent="0.25" r="342" customHeight="1" ht="14.25">
      <c r="A342" s="6"/>
      <c r="B342" s="6"/>
      <c r="C342" s="11"/>
      <c r="D342" s="11"/>
      <c r="E342" s="6"/>
      <c r="F342" s="46"/>
      <c r="G342" s="6"/>
    </row>
    <row x14ac:dyDescent="0.25" r="343" customHeight="1" ht="14.25">
      <c r="A343" s="6"/>
      <c r="B343" s="6"/>
      <c r="C343" s="11"/>
      <c r="D343" s="11"/>
      <c r="E343" s="6"/>
      <c r="F343" s="46"/>
      <c r="G343" s="6"/>
    </row>
    <row x14ac:dyDescent="0.25" r="344" customHeight="1" ht="14.25">
      <c r="A344" s="6"/>
      <c r="B344" s="6"/>
      <c r="C344" s="11"/>
      <c r="D344" s="11"/>
      <c r="E344" s="6"/>
      <c r="F344" s="46"/>
      <c r="G344" s="6"/>
    </row>
    <row x14ac:dyDescent="0.25" r="345" customHeight="1" ht="14.25">
      <c r="A345" s="6"/>
      <c r="B345" s="6"/>
      <c r="C345" s="11"/>
      <c r="D345" s="11"/>
      <c r="E345" s="6"/>
      <c r="F345" s="46"/>
      <c r="G345" s="6"/>
    </row>
    <row x14ac:dyDescent="0.25" r="346" customHeight="1" ht="14.25">
      <c r="A346" s="6"/>
      <c r="B346" s="6"/>
      <c r="C346" s="11"/>
      <c r="D346" s="11"/>
      <c r="E346" s="6"/>
      <c r="F346" s="46"/>
      <c r="G346" s="6"/>
    </row>
    <row x14ac:dyDescent="0.25" r="347" customHeight="1" ht="14.25">
      <c r="A347" s="6"/>
      <c r="B347" s="6"/>
      <c r="C347" s="11"/>
      <c r="D347" s="11"/>
      <c r="E347" s="6"/>
      <c r="F347" s="46"/>
      <c r="G347" s="6"/>
    </row>
    <row x14ac:dyDescent="0.25" r="348" customHeight="1" ht="14.25">
      <c r="A348" s="6"/>
      <c r="B348" s="6"/>
      <c r="C348" s="11"/>
      <c r="D348" s="11"/>
      <c r="E348" s="6"/>
      <c r="F348" s="46"/>
      <c r="G348" s="6"/>
    </row>
    <row x14ac:dyDescent="0.25" r="349" customHeight="1" ht="14.25">
      <c r="A349" s="6"/>
      <c r="B349" s="6"/>
      <c r="C349" s="11"/>
      <c r="D349" s="11"/>
      <c r="E349" s="6"/>
      <c r="F349" s="46"/>
      <c r="G349" s="6"/>
    </row>
    <row x14ac:dyDescent="0.25" r="350" customHeight="1" ht="14.25">
      <c r="A350" s="6"/>
      <c r="B350" s="6"/>
      <c r="C350" s="11"/>
      <c r="D350" s="11"/>
      <c r="E350" s="6"/>
      <c r="F350" s="46"/>
      <c r="G350" s="6"/>
    </row>
    <row x14ac:dyDescent="0.25" r="351" customHeight="1" ht="14.25">
      <c r="A351" s="6"/>
      <c r="B351" s="6"/>
      <c r="C351" s="11"/>
      <c r="D351" s="11"/>
      <c r="E351" s="6"/>
      <c r="F351" s="46"/>
      <c r="G351" s="6"/>
    </row>
    <row x14ac:dyDescent="0.25" r="352" customHeight="1" ht="14.25">
      <c r="A352" s="6"/>
      <c r="B352" s="6"/>
      <c r="C352" s="11"/>
      <c r="D352" s="11"/>
      <c r="E352" s="6"/>
      <c r="F352" s="46"/>
      <c r="G352" s="6"/>
    </row>
    <row x14ac:dyDescent="0.25" r="353" customHeight="1" ht="14.25">
      <c r="A353" s="6"/>
      <c r="B353" s="6"/>
      <c r="C353" s="11"/>
      <c r="D353" s="11"/>
      <c r="E353" s="6"/>
      <c r="F353" s="46"/>
      <c r="G353" s="6"/>
    </row>
    <row x14ac:dyDescent="0.25" r="354" customHeight="1" ht="14.25">
      <c r="A354" s="6"/>
      <c r="B354" s="6"/>
      <c r="C354" s="11"/>
      <c r="D354" s="11"/>
      <c r="E354" s="6"/>
      <c r="F354" s="46"/>
      <c r="G354" s="6"/>
    </row>
    <row x14ac:dyDescent="0.25" r="355" customHeight="1" ht="14.25">
      <c r="A355" s="6"/>
      <c r="B355" s="6"/>
      <c r="C355" s="11"/>
      <c r="D355" s="11"/>
      <c r="E355" s="6"/>
      <c r="F355" s="46"/>
      <c r="G355" s="6"/>
    </row>
    <row x14ac:dyDescent="0.25" r="356" customHeight="1" ht="14.25">
      <c r="A356" s="6"/>
      <c r="B356" s="6"/>
      <c r="C356" s="11"/>
      <c r="D356" s="11"/>
      <c r="E356" s="6"/>
      <c r="F356" s="46"/>
      <c r="G356" s="6"/>
    </row>
    <row x14ac:dyDescent="0.25" r="357" customHeight="1" ht="14.25">
      <c r="A357" s="6"/>
      <c r="B357" s="6"/>
      <c r="C357" s="11"/>
      <c r="D357" s="11"/>
      <c r="E357" s="6"/>
      <c r="F357" s="46"/>
      <c r="G357" s="6"/>
    </row>
    <row x14ac:dyDescent="0.25" r="358" customHeight="1" ht="14.25">
      <c r="A358" s="6"/>
      <c r="B358" s="6"/>
      <c r="C358" s="11"/>
      <c r="D358" s="11"/>
      <c r="E358" s="6"/>
      <c r="F358" s="46"/>
      <c r="G358" s="6"/>
    </row>
    <row x14ac:dyDescent="0.25" r="359" customHeight="1" ht="14.25">
      <c r="A359" s="6"/>
      <c r="B359" s="6"/>
      <c r="C359" s="11"/>
      <c r="D359" s="11"/>
      <c r="E359" s="6"/>
      <c r="F359" s="46"/>
      <c r="G359" s="6"/>
    </row>
    <row x14ac:dyDescent="0.25" r="360" customHeight="1" ht="14.25">
      <c r="A360" s="6"/>
      <c r="B360" s="6"/>
      <c r="C360" s="11"/>
      <c r="D360" s="11"/>
      <c r="E360" s="6"/>
      <c r="F360" s="46"/>
      <c r="G360" s="6"/>
    </row>
    <row x14ac:dyDescent="0.25" r="361" customHeight="1" ht="14.25">
      <c r="A361" s="6"/>
      <c r="B361" s="6"/>
      <c r="C361" s="11"/>
      <c r="D361" s="11"/>
      <c r="E361" s="6"/>
      <c r="F361" s="46"/>
      <c r="G361" s="6"/>
    </row>
    <row x14ac:dyDescent="0.25" r="362" customHeight="1" ht="14.25">
      <c r="A362" s="6"/>
      <c r="B362" s="6"/>
      <c r="C362" s="11"/>
      <c r="D362" s="11"/>
      <c r="E362" s="6"/>
      <c r="F362" s="46"/>
      <c r="G362" s="6"/>
    </row>
    <row x14ac:dyDescent="0.25" r="363" customHeight="1" ht="14.25">
      <c r="A363" s="6"/>
      <c r="B363" s="6"/>
      <c r="C363" s="11"/>
      <c r="D363" s="11"/>
      <c r="E363" s="6"/>
      <c r="F363" s="46"/>
      <c r="G363" s="6"/>
    </row>
    <row x14ac:dyDescent="0.25" r="364" customHeight="1" ht="14.25">
      <c r="A364" s="6"/>
      <c r="B364" s="6"/>
      <c r="C364" s="11"/>
      <c r="D364" s="11"/>
      <c r="E364" s="6"/>
      <c r="F364" s="46"/>
      <c r="G364" s="6"/>
    </row>
    <row x14ac:dyDescent="0.25" r="365" customHeight="1" ht="14.25">
      <c r="A365" s="6"/>
      <c r="B365" s="6"/>
      <c r="C365" s="11"/>
      <c r="D365" s="11"/>
      <c r="E365" s="6"/>
      <c r="F365" s="46"/>
      <c r="G365" s="6"/>
    </row>
    <row x14ac:dyDescent="0.25" r="366" customHeight="1" ht="14.25">
      <c r="A366" s="6"/>
      <c r="B366" s="6"/>
      <c r="C366" s="11"/>
      <c r="D366" s="11"/>
      <c r="E366" s="6"/>
      <c r="F366" s="46"/>
      <c r="G366" s="6"/>
    </row>
    <row x14ac:dyDescent="0.25" r="367" customHeight="1" ht="14.25">
      <c r="A367" s="6"/>
      <c r="B367" s="6"/>
      <c r="C367" s="11"/>
      <c r="D367" s="11"/>
      <c r="E367" s="6"/>
      <c r="F367" s="46"/>
      <c r="G367" s="6"/>
    </row>
    <row x14ac:dyDescent="0.25" r="368" customHeight="1" ht="14.25">
      <c r="A368" s="6"/>
      <c r="B368" s="6"/>
      <c r="C368" s="11"/>
      <c r="D368" s="11"/>
      <c r="E368" s="6"/>
      <c r="F368" s="46"/>
      <c r="G368" s="6"/>
    </row>
    <row x14ac:dyDescent="0.25" r="369" customHeight="1" ht="14.25">
      <c r="A369" s="6"/>
      <c r="B369" s="6"/>
      <c r="C369" s="11"/>
      <c r="D369" s="11"/>
      <c r="E369" s="6"/>
      <c r="F369" s="46"/>
      <c r="G369" s="6"/>
    </row>
    <row x14ac:dyDescent="0.25" r="370" customHeight="1" ht="14.25">
      <c r="A370" s="6"/>
      <c r="B370" s="6"/>
      <c r="C370" s="11"/>
      <c r="D370" s="11"/>
      <c r="E370" s="6"/>
      <c r="F370" s="46"/>
      <c r="G370" s="6"/>
    </row>
    <row x14ac:dyDescent="0.25" r="371" customHeight="1" ht="14.25">
      <c r="A371" s="6"/>
      <c r="B371" s="6"/>
      <c r="C371" s="11"/>
      <c r="D371" s="11"/>
      <c r="E371" s="6"/>
      <c r="F371" s="46"/>
      <c r="G371" s="6"/>
    </row>
    <row x14ac:dyDescent="0.25" r="372" customHeight="1" ht="14.25">
      <c r="A372" s="6"/>
      <c r="B372" s="6"/>
      <c r="C372" s="11"/>
      <c r="D372" s="11"/>
      <c r="E372" s="6"/>
      <c r="F372" s="46"/>
      <c r="G372" s="6"/>
    </row>
    <row x14ac:dyDescent="0.25" r="373" customHeight="1" ht="14.25">
      <c r="A373" s="6"/>
      <c r="B373" s="6"/>
      <c r="C373" s="11"/>
      <c r="D373" s="11"/>
      <c r="E373" s="6"/>
      <c r="F373" s="46"/>
      <c r="G373" s="6"/>
    </row>
    <row x14ac:dyDescent="0.25" r="374" customHeight="1" ht="14.25">
      <c r="A374" s="6"/>
      <c r="B374" s="6"/>
      <c r="C374" s="11"/>
      <c r="D374" s="11"/>
      <c r="E374" s="6"/>
      <c r="F374" s="46"/>
      <c r="G374" s="6"/>
    </row>
    <row x14ac:dyDescent="0.25" r="375" customHeight="1" ht="14.25">
      <c r="A375" s="6"/>
      <c r="B375" s="6"/>
      <c r="C375" s="11"/>
      <c r="D375" s="11"/>
      <c r="E375" s="6"/>
      <c r="F375" s="46"/>
      <c r="G375" s="6"/>
    </row>
    <row x14ac:dyDescent="0.25" r="376" customHeight="1" ht="14.25">
      <c r="A376" s="6"/>
      <c r="B376" s="6"/>
      <c r="C376" s="11"/>
      <c r="D376" s="11"/>
      <c r="E376" s="6"/>
      <c r="F376" s="46"/>
      <c r="G376" s="6"/>
    </row>
    <row x14ac:dyDescent="0.25" r="377" customHeight="1" ht="14.25">
      <c r="A377" s="6"/>
      <c r="B377" s="6"/>
      <c r="C377" s="11"/>
      <c r="D377" s="11"/>
      <c r="E377" s="6"/>
      <c r="F377" s="46"/>
      <c r="G377" s="6"/>
    </row>
    <row x14ac:dyDescent="0.25" r="378" customHeight="1" ht="14.25">
      <c r="A378" s="6"/>
      <c r="B378" s="6"/>
      <c r="C378" s="11"/>
      <c r="D378" s="11"/>
      <c r="E378" s="6"/>
      <c r="F378" s="46"/>
      <c r="G378" s="6"/>
    </row>
    <row x14ac:dyDescent="0.25" r="379" customHeight="1" ht="14.25">
      <c r="A379" s="6"/>
      <c r="B379" s="6"/>
      <c r="C379" s="11"/>
      <c r="D379" s="11"/>
      <c r="E379" s="6"/>
      <c r="F379" s="46"/>
      <c r="G379" s="6"/>
    </row>
    <row x14ac:dyDescent="0.25" r="380" customHeight="1" ht="14.25">
      <c r="A380" s="6"/>
      <c r="B380" s="6"/>
      <c r="C380" s="11"/>
      <c r="D380" s="11"/>
      <c r="E380" s="6"/>
      <c r="F380" s="46"/>
      <c r="G380" s="6"/>
    </row>
    <row x14ac:dyDescent="0.25" r="381" customHeight="1" ht="14.25">
      <c r="A381" s="6"/>
      <c r="B381" s="6"/>
      <c r="C381" s="11"/>
      <c r="D381" s="11"/>
      <c r="E381" s="6"/>
      <c r="F381" s="46"/>
      <c r="G381" s="6"/>
    </row>
    <row x14ac:dyDescent="0.25" r="382" customHeight="1" ht="14.25">
      <c r="A382" s="6"/>
      <c r="B382" s="6"/>
      <c r="C382" s="11"/>
      <c r="D382" s="11"/>
      <c r="E382" s="6"/>
      <c r="F382" s="46"/>
      <c r="G382" s="6"/>
    </row>
    <row x14ac:dyDescent="0.25" r="383" customHeight="1" ht="14.25">
      <c r="A383" s="6"/>
      <c r="B383" s="6"/>
      <c r="C383" s="11"/>
      <c r="D383" s="11"/>
      <c r="E383" s="6"/>
      <c r="F383" s="46"/>
      <c r="G383" s="6"/>
    </row>
    <row x14ac:dyDescent="0.25" r="384" customHeight="1" ht="14.25">
      <c r="A384" s="6"/>
      <c r="B384" s="6"/>
      <c r="C384" s="11"/>
      <c r="D384" s="11"/>
      <c r="E384" s="6"/>
      <c r="F384" s="46"/>
      <c r="G384" s="6"/>
    </row>
    <row x14ac:dyDescent="0.25" r="385" customHeight="1" ht="14.25">
      <c r="A385" s="6"/>
      <c r="B385" s="6"/>
      <c r="C385" s="11"/>
      <c r="D385" s="11"/>
      <c r="E385" s="6"/>
      <c r="F385" s="46"/>
      <c r="G385" s="6"/>
    </row>
    <row x14ac:dyDescent="0.25" r="386" customHeight="1" ht="14.25">
      <c r="A386" s="6"/>
      <c r="B386" s="6"/>
      <c r="C386" s="11"/>
      <c r="D386" s="11"/>
      <c r="E386" s="6"/>
      <c r="F386" s="46"/>
      <c r="G386" s="6"/>
    </row>
    <row x14ac:dyDescent="0.25" r="387" customHeight="1" ht="14.25">
      <c r="A387" s="6"/>
      <c r="B387" s="6"/>
      <c r="C387" s="11"/>
      <c r="D387" s="11"/>
      <c r="E387" s="6"/>
      <c r="F387" s="46"/>
      <c r="G387" s="6"/>
    </row>
    <row x14ac:dyDescent="0.25" r="388" customHeight="1" ht="14.25">
      <c r="A388" s="6"/>
      <c r="B388" s="6"/>
      <c r="C388" s="11"/>
      <c r="D388" s="11"/>
      <c r="E388" s="6"/>
      <c r="F388" s="46"/>
      <c r="G388" s="6"/>
    </row>
    <row x14ac:dyDescent="0.25" r="389" customHeight="1" ht="14.25">
      <c r="A389" s="6"/>
      <c r="B389" s="6"/>
      <c r="C389" s="11"/>
      <c r="D389" s="11"/>
      <c r="E389" s="6"/>
      <c r="F389" s="46"/>
      <c r="G389" s="6"/>
    </row>
    <row x14ac:dyDescent="0.25" r="390" customHeight="1" ht="14.25">
      <c r="A390" s="6"/>
      <c r="B390" s="6"/>
      <c r="C390" s="11"/>
      <c r="D390" s="11"/>
      <c r="E390" s="6"/>
      <c r="F390" s="46"/>
      <c r="G390" s="6"/>
    </row>
    <row x14ac:dyDescent="0.25" r="391" customHeight="1" ht="14.25">
      <c r="A391" s="6"/>
      <c r="B391" s="6"/>
      <c r="C391" s="11"/>
      <c r="D391" s="11"/>
      <c r="E391" s="6"/>
      <c r="F391" s="46"/>
      <c r="G391" s="6"/>
    </row>
    <row x14ac:dyDescent="0.25" r="392" customHeight="1" ht="14.25">
      <c r="A392" s="6"/>
      <c r="B392" s="6"/>
      <c r="C392" s="11"/>
      <c r="D392" s="11"/>
      <c r="E392" s="6"/>
      <c r="F392" s="46"/>
      <c r="G392" s="6"/>
    </row>
    <row x14ac:dyDescent="0.25" r="393" customHeight="1" ht="14.25">
      <c r="A393" s="6"/>
      <c r="B393" s="6"/>
      <c r="C393" s="11"/>
      <c r="D393" s="11"/>
      <c r="E393" s="6"/>
      <c r="F393" s="46"/>
      <c r="G393" s="6"/>
    </row>
    <row x14ac:dyDescent="0.25" r="394" customHeight="1" ht="14.25">
      <c r="A394" s="6"/>
      <c r="B394" s="6"/>
      <c r="C394" s="11"/>
      <c r="D394" s="11"/>
      <c r="E394" s="6"/>
      <c r="F394" s="46"/>
      <c r="G394" s="6"/>
    </row>
    <row x14ac:dyDescent="0.25" r="395" customHeight="1" ht="14.25">
      <c r="A395" s="6"/>
      <c r="B395" s="6"/>
      <c r="C395" s="11"/>
      <c r="D395" s="11"/>
      <c r="E395" s="6"/>
      <c r="F395" s="46"/>
      <c r="G395" s="6"/>
    </row>
    <row x14ac:dyDescent="0.25" r="396" customHeight="1" ht="14.25">
      <c r="A396" s="6"/>
      <c r="B396" s="6"/>
      <c r="C396" s="11"/>
      <c r="D396" s="11"/>
      <c r="E396" s="6"/>
      <c r="F396" s="46"/>
      <c r="G396" s="6"/>
    </row>
    <row x14ac:dyDescent="0.25" r="397" customHeight="1" ht="14.25">
      <c r="A397" s="6"/>
      <c r="B397" s="6"/>
      <c r="C397" s="11"/>
      <c r="D397" s="11"/>
      <c r="E397" s="6"/>
      <c r="F397" s="46"/>
      <c r="G397" s="6"/>
    </row>
    <row x14ac:dyDescent="0.25" r="398" customHeight="1" ht="14.25">
      <c r="A398" s="6"/>
      <c r="B398" s="6"/>
      <c r="C398" s="11"/>
      <c r="D398" s="11"/>
      <c r="E398" s="6"/>
      <c r="F398" s="46"/>
      <c r="G398" s="6"/>
    </row>
    <row x14ac:dyDescent="0.25" r="399" customHeight="1" ht="14.25">
      <c r="A399" s="6"/>
      <c r="B399" s="6"/>
      <c r="C399" s="11"/>
      <c r="D399" s="11"/>
      <c r="E399" s="6"/>
      <c r="F399" s="46"/>
      <c r="G399" s="6"/>
    </row>
    <row x14ac:dyDescent="0.25" r="400" customHeight="1" ht="14.25">
      <c r="A400" s="6"/>
      <c r="B400" s="6"/>
      <c r="C400" s="11"/>
      <c r="D400" s="11"/>
      <c r="E400" s="6"/>
      <c r="F400" s="46"/>
      <c r="G400" s="6"/>
    </row>
    <row x14ac:dyDescent="0.25" r="401" customHeight="1" ht="14.25">
      <c r="A401" s="6"/>
      <c r="B401" s="6"/>
      <c r="C401" s="11"/>
      <c r="D401" s="11"/>
      <c r="E401" s="6"/>
      <c r="F401" s="46"/>
      <c r="G401" s="6"/>
    </row>
    <row x14ac:dyDescent="0.25" r="402" customHeight="1" ht="14.25">
      <c r="A402" s="6"/>
      <c r="B402" s="6"/>
      <c r="C402" s="11"/>
      <c r="D402" s="11"/>
      <c r="E402" s="6"/>
      <c r="F402" s="46"/>
      <c r="G402" s="6"/>
    </row>
    <row x14ac:dyDescent="0.25" r="403" customHeight="1" ht="14.25">
      <c r="A403" s="6"/>
      <c r="B403" s="6"/>
      <c r="C403" s="11"/>
      <c r="D403" s="11"/>
      <c r="E403" s="6"/>
      <c r="F403" s="46"/>
      <c r="G403" s="6"/>
    </row>
    <row x14ac:dyDescent="0.25" r="404" customHeight="1" ht="14.25">
      <c r="A404" s="6"/>
      <c r="B404" s="6"/>
      <c r="C404" s="11"/>
      <c r="D404" s="11"/>
      <c r="E404" s="6"/>
      <c r="F404" s="46"/>
      <c r="G404" s="6"/>
    </row>
    <row x14ac:dyDescent="0.25" r="405" customHeight="1" ht="14.25">
      <c r="A405" s="6"/>
      <c r="B405" s="6"/>
      <c r="C405" s="11"/>
      <c r="D405" s="11"/>
      <c r="E405" s="6"/>
      <c r="F405" s="46"/>
      <c r="G405" s="6"/>
    </row>
    <row x14ac:dyDescent="0.25" r="406" customHeight="1" ht="14.25">
      <c r="A406" s="6"/>
      <c r="B406" s="6"/>
      <c r="C406" s="11"/>
      <c r="D406" s="11"/>
      <c r="E406" s="6"/>
      <c r="F406" s="46"/>
      <c r="G406" s="6"/>
    </row>
    <row x14ac:dyDescent="0.25" r="407" customHeight="1" ht="14.25">
      <c r="A407" s="6"/>
      <c r="B407" s="6"/>
      <c r="C407" s="11"/>
      <c r="D407" s="11"/>
      <c r="E407" s="6"/>
      <c r="F407" s="46"/>
      <c r="G407" s="6"/>
    </row>
    <row x14ac:dyDescent="0.25" r="408" customHeight="1" ht="14.25">
      <c r="A408" s="6"/>
      <c r="B408" s="6"/>
      <c r="C408" s="11"/>
      <c r="D408" s="11"/>
      <c r="E408" s="6"/>
      <c r="F408" s="46"/>
      <c r="G408" s="6"/>
    </row>
    <row x14ac:dyDescent="0.25" r="409" customHeight="1" ht="14.25">
      <c r="A409" s="6"/>
      <c r="B409" s="6"/>
      <c r="C409" s="11"/>
      <c r="D409" s="11"/>
      <c r="E409" s="6"/>
      <c r="F409" s="46"/>
      <c r="G409" s="6"/>
    </row>
    <row x14ac:dyDescent="0.25" r="410" customHeight="1" ht="14.25">
      <c r="A410" s="6"/>
      <c r="B410" s="6"/>
      <c r="C410" s="11"/>
      <c r="D410" s="11"/>
      <c r="E410" s="6"/>
      <c r="F410" s="46"/>
      <c r="G410" s="6"/>
    </row>
    <row x14ac:dyDescent="0.25" r="411" customHeight="1" ht="14.25">
      <c r="A411" s="6"/>
      <c r="B411" s="6"/>
      <c r="C411" s="11"/>
      <c r="D411" s="11"/>
      <c r="E411" s="6"/>
      <c r="F411" s="46"/>
      <c r="G411" s="6"/>
    </row>
    <row x14ac:dyDescent="0.25" r="412" customHeight="1" ht="14.25">
      <c r="A412" s="6"/>
      <c r="B412" s="6"/>
      <c r="C412" s="11"/>
      <c r="D412" s="11"/>
      <c r="E412" s="6"/>
      <c r="F412" s="46"/>
      <c r="G412" s="6"/>
    </row>
    <row x14ac:dyDescent="0.25" r="413" customHeight="1" ht="14.25">
      <c r="A413" s="6"/>
      <c r="B413" s="6"/>
      <c r="C413" s="11"/>
      <c r="D413" s="11"/>
      <c r="E413" s="6"/>
      <c r="F413" s="46"/>
      <c r="G413" s="6"/>
    </row>
    <row x14ac:dyDescent="0.25" r="414" customHeight="1" ht="14.25">
      <c r="A414" s="6"/>
      <c r="B414" s="6"/>
      <c r="C414" s="11"/>
      <c r="D414" s="11"/>
      <c r="E414" s="6"/>
      <c r="F414" s="46"/>
      <c r="G414" s="6"/>
    </row>
    <row x14ac:dyDescent="0.25" r="415" customHeight="1" ht="14.25">
      <c r="A415" s="6"/>
      <c r="B415" s="6"/>
      <c r="C415" s="11"/>
      <c r="D415" s="11"/>
      <c r="E415" s="6"/>
      <c r="F415" s="46"/>
      <c r="G415" s="6"/>
    </row>
    <row x14ac:dyDescent="0.25" r="416" customHeight="1" ht="14.25">
      <c r="A416" s="6"/>
      <c r="B416" s="6"/>
      <c r="C416" s="11"/>
      <c r="D416" s="11"/>
      <c r="E416" s="6"/>
      <c r="F416" s="46"/>
      <c r="G416" s="6"/>
    </row>
    <row x14ac:dyDescent="0.25" r="417" customHeight="1" ht="14.25">
      <c r="A417" s="6"/>
      <c r="B417" s="6"/>
      <c r="C417" s="11"/>
      <c r="D417" s="11"/>
      <c r="E417" s="6"/>
      <c r="F417" s="46"/>
      <c r="G417" s="6"/>
    </row>
    <row x14ac:dyDescent="0.25" r="418" customHeight="1" ht="14.25">
      <c r="A418" s="6"/>
      <c r="B418" s="6"/>
      <c r="C418" s="11"/>
      <c r="D418" s="11"/>
      <c r="E418" s="6"/>
      <c r="F418" s="46"/>
      <c r="G418" s="6"/>
    </row>
    <row x14ac:dyDescent="0.25" r="419" customHeight="1" ht="14.25">
      <c r="A419" s="6"/>
      <c r="B419" s="6"/>
      <c r="C419" s="11"/>
      <c r="D419" s="11"/>
      <c r="E419" s="6"/>
      <c r="F419" s="46"/>
      <c r="G419" s="6"/>
    </row>
    <row x14ac:dyDescent="0.25" r="420" customHeight="1" ht="14.25">
      <c r="A420" s="6"/>
      <c r="B420" s="6"/>
      <c r="C420" s="11"/>
      <c r="D420" s="11"/>
      <c r="E420" s="6"/>
      <c r="F420" s="46"/>
      <c r="G420" s="6"/>
    </row>
    <row x14ac:dyDescent="0.25" r="421" customHeight="1" ht="14.25">
      <c r="A421" s="6"/>
      <c r="B421" s="6"/>
      <c r="C421" s="11"/>
      <c r="D421" s="11"/>
      <c r="E421" s="6"/>
      <c r="F421" s="46"/>
      <c r="G421" s="6"/>
    </row>
    <row x14ac:dyDescent="0.25" r="422" customHeight="1" ht="14.25">
      <c r="A422" s="6"/>
      <c r="B422" s="6"/>
      <c r="C422" s="11"/>
      <c r="D422" s="11"/>
      <c r="E422" s="6"/>
      <c r="F422" s="46"/>
      <c r="G422" s="6"/>
    </row>
    <row x14ac:dyDescent="0.25" r="423" customHeight="1" ht="14.25">
      <c r="A423" s="6"/>
      <c r="B423" s="6"/>
      <c r="C423" s="11"/>
      <c r="D423" s="11"/>
      <c r="E423" s="6"/>
      <c r="F423" s="46"/>
      <c r="G423" s="6"/>
    </row>
    <row x14ac:dyDescent="0.25" r="424" customHeight="1" ht="14.25">
      <c r="A424" s="6"/>
      <c r="B424" s="6"/>
      <c r="C424" s="11"/>
      <c r="D424" s="11"/>
      <c r="E424" s="6"/>
      <c r="F424" s="46"/>
      <c r="G424" s="6"/>
    </row>
    <row x14ac:dyDescent="0.25" r="425" customHeight="1" ht="14.25">
      <c r="A425" s="6"/>
      <c r="B425" s="6"/>
      <c r="C425" s="11"/>
      <c r="D425" s="11"/>
      <c r="E425" s="6"/>
      <c r="F425" s="46"/>
      <c r="G425" s="6"/>
    </row>
    <row x14ac:dyDescent="0.25" r="426" customHeight="1" ht="14.25">
      <c r="A426" s="6"/>
      <c r="B426" s="6"/>
      <c r="C426" s="11"/>
      <c r="D426" s="11"/>
      <c r="E426" s="6"/>
      <c r="F426" s="46"/>
      <c r="G426" s="6"/>
    </row>
    <row x14ac:dyDescent="0.25" r="427" customHeight="1" ht="14.25">
      <c r="A427" s="6"/>
      <c r="B427" s="6"/>
      <c r="C427" s="11"/>
      <c r="D427" s="11"/>
      <c r="E427" s="6"/>
      <c r="F427" s="46"/>
      <c r="G427" s="6"/>
    </row>
    <row x14ac:dyDescent="0.25" r="428" customHeight="1" ht="14.25">
      <c r="A428" s="6"/>
      <c r="B428" s="6"/>
      <c r="C428" s="11"/>
      <c r="D428" s="11"/>
      <c r="E428" s="6"/>
      <c r="F428" s="46"/>
      <c r="G428" s="6"/>
    </row>
    <row x14ac:dyDescent="0.25" r="429" customHeight="1" ht="14.25">
      <c r="A429" s="6"/>
      <c r="B429" s="6"/>
      <c r="C429" s="11"/>
      <c r="D429" s="11"/>
      <c r="E429" s="6"/>
      <c r="F429" s="46"/>
      <c r="G429" s="6"/>
    </row>
    <row x14ac:dyDescent="0.25" r="430" customHeight="1" ht="14.25">
      <c r="A430" s="6"/>
      <c r="B430" s="6"/>
      <c r="C430" s="11"/>
      <c r="D430" s="11"/>
      <c r="E430" s="6"/>
      <c r="F430" s="46"/>
      <c r="G430" s="6"/>
    </row>
    <row x14ac:dyDescent="0.25" r="431" customHeight="1" ht="14.25">
      <c r="A431" s="6"/>
      <c r="B431" s="6"/>
      <c r="C431" s="11"/>
      <c r="D431" s="11"/>
      <c r="E431" s="6"/>
      <c r="F431" s="46"/>
      <c r="G431" s="6"/>
    </row>
    <row x14ac:dyDescent="0.25" r="432" customHeight="1" ht="14.25">
      <c r="A432" s="6"/>
      <c r="B432" s="6"/>
      <c r="C432" s="11"/>
      <c r="D432" s="11"/>
      <c r="E432" s="6"/>
      <c r="F432" s="46"/>
      <c r="G432" s="6"/>
    </row>
    <row x14ac:dyDescent="0.25" r="433" customHeight="1" ht="14.25">
      <c r="A433" s="6"/>
      <c r="B433" s="6"/>
      <c r="C433" s="11"/>
      <c r="D433" s="11"/>
      <c r="E433" s="6"/>
      <c r="F433" s="46"/>
      <c r="G433" s="6"/>
    </row>
    <row x14ac:dyDescent="0.25" r="434" customHeight="1" ht="14.25">
      <c r="A434" s="6"/>
      <c r="B434" s="6"/>
      <c r="C434" s="11"/>
      <c r="D434" s="11"/>
      <c r="E434" s="6"/>
      <c r="F434" s="46"/>
      <c r="G434" s="6"/>
    </row>
    <row x14ac:dyDescent="0.25" r="435" customHeight="1" ht="14.25">
      <c r="A435" s="6"/>
      <c r="B435" s="6"/>
      <c r="C435" s="11"/>
      <c r="D435" s="11"/>
      <c r="E435" s="6"/>
      <c r="F435" s="46"/>
      <c r="G435" s="6"/>
    </row>
    <row x14ac:dyDescent="0.25" r="436" customHeight="1" ht="14.25">
      <c r="A436" s="6"/>
      <c r="B436" s="6"/>
      <c r="C436" s="11"/>
      <c r="D436" s="11"/>
      <c r="E436" s="6"/>
      <c r="F436" s="46"/>
      <c r="G436" s="6"/>
    </row>
    <row x14ac:dyDescent="0.25" r="437" customHeight="1" ht="14.25">
      <c r="A437" s="6"/>
      <c r="B437" s="6"/>
      <c r="C437" s="11"/>
      <c r="D437" s="11"/>
      <c r="E437" s="6"/>
      <c r="F437" s="46"/>
      <c r="G437" s="6"/>
    </row>
    <row x14ac:dyDescent="0.25" r="438" customHeight="1" ht="14.25">
      <c r="A438" s="6"/>
      <c r="B438" s="6"/>
      <c r="C438" s="11"/>
      <c r="D438" s="11"/>
      <c r="E438" s="6"/>
      <c r="F438" s="46"/>
      <c r="G438" s="6"/>
    </row>
    <row x14ac:dyDescent="0.25" r="439" customHeight="1" ht="14.25">
      <c r="A439" s="6"/>
      <c r="B439" s="6"/>
      <c r="C439" s="11"/>
      <c r="D439" s="11"/>
      <c r="E439" s="6"/>
      <c r="F439" s="46"/>
      <c r="G439" s="6"/>
    </row>
    <row x14ac:dyDescent="0.25" r="440" customHeight="1" ht="14.25">
      <c r="A440" s="6"/>
      <c r="B440" s="6"/>
      <c r="C440" s="11"/>
      <c r="D440" s="11"/>
      <c r="E440" s="6"/>
      <c r="F440" s="46"/>
      <c r="G440" s="6"/>
    </row>
    <row x14ac:dyDescent="0.25" r="441" customHeight="1" ht="14.25">
      <c r="A441" s="6"/>
      <c r="B441" s="6"/>
      <c r="C441" s="11"/>
      <c r="D441" s="11"/>
      <c r="E441" s="6"/>
      <c r="F441" s="46"/>
      <c r="G441" s="6"/>
    </row>
    <row x14ac:dyDescent="0.25" r="442" customHeight="1" ht="14.25">
      <c r="A442" s="6"/>
      <c r="B442" s="6"/>
      <c r="C442" s="11"/>
      <c r="D442" s="11"/>
      <c r="E442" s="6"/>
      <c r="F442" s="46"/>
      <c r="G442" s="6"/>
    </row>
    <row x14ac:dyDescent="0.25" r="443" customHeight="1" ht="14.25">
      <c r="A443" s="6"/>
      <c r="B443" s="6"/>
      <c r="C443" s="11"/>
      <c r="D443" s="11"/>
      <c r="E443" s="6"/>
      <c r="F443" s="46"/>
      <c r="G443" s="6"/>
    </row>
    <row x14ac:dyDescent="0.25" r="444" customHeight="1" ht="14.25">
      <c r="A444" s="6"/>
      <c r="B444" s="6"/>
      <c r="C444" s="11"/>
      <c r="D444" s="11"/>
      <c r="E444" s="6"/>
      <c r="F444" s="46"/>
      <c r="G444" s="6"/>
    </row>
    <row x14ac:dyDescent="0.25" r="445" customHeight="1" ht="14.25">
      <c r="A445" s="6"/>
      <c r="B445" s="6"/>
      <c r="C445" s="11"/>
      <c r="D445" s="11"/>
      <c r="E445" s="6"/>
      <c r="F445" s="46"/>
      <c r="G445" s="6"/>
    </row>
    <row x14ac:dyDescent="0.25" r="446" customHeight="1" ht="14.25">
      <c r="A446" s="6"/>
      <c r="B446" s="6"/>
      <c r="C446" s="11"/>
      <c r="D446" s="11"/>
      <c r="E446" s="6"/>
      <c r="F446" s="46"/>
      <c r="G446" s="6"/>
    </row>
    <row x14ac:dyDescent="0.25" r="447" customHeight="1" ht="14.25">
      <c r="A447" s="6"/>
      <c r="B447" s="6"/>
      <c r="C447" s="11"/>
      <c r="D447" s="11"/>
      <c r="E447" s="6"/>
      <c r="F447" s="46"/>
      <c r="G447" s="6"/>
    </row>
    <row x14ac:dyDescent="0.25" r="448" customHeight="1" ht="14.25">
      <c r="A448" s="6"/>
      <c r="B448" s="6"/>
      <c r="C448" s="11"/>
      <c r="D448" s="11"/>
      <c r="E448" s="6"/>
      <c r="F448" s="46"/>
      <c r="G448" s="6"/>
    </row>
    <row x14ac:dyDescent="0.25" r="449" customHeight="1" ht="14.25">
      <c r="A449" s="6"/>
      <c r="B449" s="6"/>
      <c r="C449" s="11"/>
      <c r="D449" s="11"/>
      <c r="E449" s="6"/>
      <c r="F449" s="46"/>
      <c r="G449" s="6"/>
    </row>
    <row x14ac:dyDescent="0.25" r="450" customHeight="1" ht="14.25">
      <c r="A450" s="6"/>
      <c r="B450" s="6"/>
      <c r="C450" s="11"/>
      <c r="D450" s="11"/>
      <c r="E450" s="6"/>
      <c r="F450" s="46"/>
      <c r="G450" s="6"/>
    </row>
    <row x14ac:dyDescent="0.25" r="451" customHeight="1" ht="14.25">
      <c r="A451" s="6"/>
      <c r="B451" s="6"/>
      <c r="C451" s="11"/>
      <c r="D451" s="11"/>
      <c r="E451" s="6"/>
      <c r="F451" s="46"/>
      <c r="G451" s="6"/>
    </row>
    <row x14ac:dyDescent="0.25" r="452" customHeight="1" ht="14.25">
      <c r="A452" s="6"/>
      <c r="B452" s="6"/>
      <c r="C452" s="11"/>
      <c r="D452" s="11"/>
      <c r="E452" s="6"/>
      <c r="F452" s="46"/>
      <c r="G452" s="6"/>
    </row>
    <row x14ac:dyDescent="0.25" r="453" customHeight="1" ht="14.25">
      <c r="A453" s="6"/>
      <c r="B453" s="6"/>
      <c r="C453" s="11"/>
      <c r="D453" s="11"/>
      <c r="E453" s="6"/>
      <c r="F453" s="46"/>
      <c r="G453" s="6"/>
    </row>
    <row x14ac:dyDescent="0.25" r="454" customHeight="1" ht="14.25">
      <c r="A454" s="6"/>
      <c r="B454" s="6"/>
      <c r="C454" s="11"/>
      <c r="D454" s="11"/>
      <c r="E454" s="6"/>
      <c r="F454" s="46"/>
      <c r="G454" s="6"/>
    </row>
    <row x14ac:dyDescent="0.25" r="455" customHeight="1" ht="14.25">
      <c r="A455" s="6"/>
      <c r="B455" s="6"/>
      <c r="C455" s="11"/>
      <c r="D455" s="11"/>
      <c r="E455" s="6"/>
      <c r="F455" s="46"/>
      <c r="G455" s="6"/>
    </row>
    <row x14ac:dyDescent="0.25" r="456" customHeight="1" ht="14.25">
      <c r="A456" s="6"/>
      <c r="B456" s="6"/>
      <c r="C456" s="11"/>
      <c r="D456" s="11"/>
      <c r="E456" s="6"/>
      <c r="F456" s="46"/>
      <c r="G456" s="6"/>
    </row>
    <row x14ac:dyDescent="0.25" r="457" customHeight="1" ht="14.25">
      <c r="A457" s="6"/>
      <c r="B457" s="6"/>
      <c r="C457" s="11"/>
      <c r="D457" s="11"/>
      <c r="E457" s="6"/>
      <c r="F457" s="46"/>
      <c r="G457" s="6"/>
    </row>
    <row x14ac:dyDescent="0.25" r="458" customHeight="1" ht="14.25">
      <c r="A458" s="6"/>
      <c r="B458" s="6"/>
      <c r="C458" s="11"/>
      <c r="D458" s="11"/>
      <c r="E458" s="6"/>
      <c r="F458" s="46"/>
      <c r="G458" s="6"/>
    </row>
    <row x14ac:dyDescent="0.25" r="459" customHeight="1" ht="14.25">
      <c r="A459" s="6"/>
      <c r="B459" s="6"/>
      <c r="C459" s="11"/>
      <c r="D459" s="11"/>
      <c r="E459" s="6"/>
      <c r="F459" s="46"/>
      <c r="G459" s="6"/>
    </row>
    <row x14ac:dyDescent="0.25" r="460" customHeight="1" ht="14.25">
      <c r="A460" s="6"/>
      <c r="B460" s="6"/>
      <c r="C460" s="11"/>
      <c r="D460" s="11"/>
      <c r="E460" s="6"/>
      <c r="F460" s="46"/>
      <c r="G460" s="6"/>
    </row>
    <row x14ac:dyDescent="0.25" r="461" customHeight="1" ht="14.25">
      <c r="A461" s="6"/>
      <c r="B461" s="6"/>
      <c r="C461" s="11"/>
      <c r="D461" s="11"/>
      <c r="E461" s="6"/>
      <c r="F461" s="46"/>
      <c r="G461" s="6"/>
    </row>
    <row x14ac:dyDescent="0.25" r="462" customHeight="1" ht="14.25">
      <c r="A462" s="6"/>
      <c r="B462" s="6"/>
      <c r="C462" s="11"/>
      <c r="D462" s="11"/>
      <c r="E462" s="6"/>
      <c r="F462" s="46"/>
      <c r="G462" s="6"/>
    </row>
    <row x14ac:dyDescent="0.25" r="463" customHeight="1" ht="14.25">
      <c r="A463" s="6"/>
      <c r="B463" s="6"/>
      <c r="C463" s="11"/>
      <c r="D463" s="11"/>
      <c r="E463" s="6"/>
      <c r="F463" s="46"/>
      <c r="G463" s="6"/>
    </row>
    <row x14ac:dyDescent="0.25" r="464" customHeight="1" ht="14.25">
      <c r="A464" s="6"/>
      <c r="B464" s="6"/>
      <c r="C464" s="11"/>
      <c r="D464" s="11"/>
      <c r="E464" s="6"/>
      <c r="F464" s="46"/>
      <c r="G464" s="6"/>
    </row>
    <row x14ac:dyDescent="0.25" r="465" customHeight="1" ht="14.25">
      <c r="A465" s="6"/>
      <c r="B465" s="6"/>
      <c r="C465" s="11"/>
      <c r="D465" s="11"/>
      <c r="E465" s="6"/>
      <c r="F465" s="46"/>
      <c r="G465" s="6"/>
    </row>
    <row x14ac:dyDescent="0.25" r="466" customHeight="1" ht="14.25">
      <c r="A466" s="6"/>
      <c r="B466" s="6"/>
      <c r="C466" s="11"/>
      <c r="D466" s="11"/>
      <c r="E466" s="6"/>
      <c r="F466" s="46"/>
      <c r="G466" s="6"/>
    </row>
    <row x14ac:dyDescent="0.25" r="467" customHeight="1" ht="14.25">
      <c r="A467" s="6"/>
      <c r="B467" s="6"/>
      <c r="C467" s="11"/>
      <c r="D467" s="11"/>
      <c r="E467" s="6"/>
      <c r="F467" s="46"/>
      <c r="G467" s="6"/>
    </row>
    <row x14ac:dyDescent="0.25" r="468" customHeight="1" ht="14.25">
      <c r="A468" s="6"/>
      <c r="B468" s="6"/>
      <c r="C468" s="11"/>
      <c r="D468" s="11"/>
      <c r="E468" s="6"/>
      <c r="F468" s="46"/>
      <c r="G468" s="6"/>
    </row>
    <row x14ac:dyDescent="0.25" r="469" customHeight="1" ht="14.25">
      <c r="A469" s="6"/>
      <c r="B469" s="6"/>
      <c r="C469" s="11"/>
      <c r="D469" s="11"/>
      <c r="E469" s="6"/>
      <c r="F469" s="46"/>
      <c r="G469" s="6"/>
    </row>
    <row x14ac:dyDescent="0.25" r="470" customHeight="1" ht="14.25">
      <c r="A470" s="6"/>
      <c r="B470" s="6"/>
      <c r="C470" s="11"/>
      <c r="D470" s="11"/>
      <c r="E470" s="6"/>
      <c r="F470" s="46"/>
      <c r="G470" s="6"/>
    </row>
    <row x14ac:dyDescent="0.25" r="471" customHeight="1" ht="14.25">
      <c r="A471" s="6"/>
      <c r="B471" s="6"/>
      <c r="C471" s="11"/>
      <c r="D471" s="11"/>
      <c r="E471" s="6"/>
      <c r="F471" s="46"/>
      <c r="G471" s="6"/>
    </row>
    <row x14ac:dyDescent="0.25" r="472" customHeight="1" ht="14.25">
      <c r="A472" s="6"/>
      <c r="B472" s="6"/>
      <c r="C472" s="11"/>
      <c r="D472" s="11"/>
      <c r="E472" s="6"/>
      <c r="F472" s="46"/>
      <c r="G472" s="6"/>
    </row>
    <row x14ac:dyDescent="0.25" r="473" customHeight="1" ht="14.25">
      <c r="A473" s="6"/>
      <c r="B473" s="6"/>
      <c r="C473" s="11"/>
      <c r="D473" s="11"/>
      <c r="E473" s="6"/>
      <c r="F473" s="46"/>
      <c r="G473" s="6"/>
    </row>
    <row x14ac:dyDescent="0.25" r="474" customHeight="1" ht="14.25">
      <c r="A474" s="6"/>
      <c r="B474" s="6"/>
      <c r="C474" s="11"/>
      <c r="D474" s="11"/>
      <c r="E474" s="6"/>
      <c r="F474" s="46"/>
      <c r="G474" s="6"/>
    </row>
    <row x14ac:dyDescent="0.25" r="475" customHeight="1" ht="14.25">
      <c r="A475" s="6"/>
      <c r="B475" s="6"/>
      <c r="C475" s="11"/>
      <c r="D475" s="11"/>
      <c r="E475" s="6"/>
      <c r="F475" s="46"/>
      <c r="G475" s="6"/>
    </row>
    <row x14ac:dyDescent="0.25" r="476" customHeight="1" ht="14.25">
      <c r="A476" s="6"/>
      <c r="B476" s="6"/>
      <c r="C476" s="11"/>
      <c r="D476" s="11"/>
      <c r="E476" s="6"/>
      <c r="F476" s="46"/>
      <c r="G476" s="6"/>
    </row>
    <row x14ac:dyDescent="0.25" r="477" customHeight="1" ht="14.25">
      <c r="A477" s="6"/>
      <c r="B477" s="6"/>
      <c r="C477" s="11"/>
      <c r="D477" s="11"/>
      <c r="E477" s="6"/>
      <c r="F477" s="46"/>
      <c r="G477" s="6"/>
    </row>
    <row x14ac:dyDescent="0.25" r="478" customHeight="1" ht="14.25">
      <c r="A478" s="6"/>
      <c r="B478" s="6"/>
      <c r="C478" s="11"/>
      <c r="D478" s="11"/>
      <c r="E478" s="6"/>
      <c r="F478" s="46"/>
      <c r="G478" s="6"/>
    </row>
    <row x14ac:dyDescent="0.25" r="479" customHeight="1" ht="14.25">
      <c r="A479" s="6"/>
      <c r="B479" s="6"/>
      <c r="C479" s="11"/>
      <c r="D479" s="11"/>
      <c r="E479" s="6"/>
      <c r="F479" s="46"/>
      <c r="G479" s="6"/>
    </row>
    <row x14ac:dyDescent="0.25" r="480" customHeight="1" ht="14.25">
      <c r="A480" s="6"/>
      <c r="B480" s="6"/>
      <c r="C480" s="11"/>
      <c r="D480" s="11"/>
      <c r="E480" s="6"/>
      <c r="F480" s="46"/>
      <c r="G480" s="6"/>
    </row>
    <row x14ac:dyDescent="0.25" r="481" customHeight="1" ht="14.25">
      <c r="A481" s="6"/>
      <c r="B481" s="6"/>
      <c r="C481" s="11"/>
      <c r="D481" s="11"/>
      <c r="E481" s="6"/>
      <c r="F481" s="46"/>
      <c r="G481" s="6"/>
    </row>
    <row x14ac:dyDescent="0.25" r="482" customHeight="1" ht="14.25">
      <c r="A482" s="6"/>
      <c r="B482" s="6"/>
      <c r="C482" s="11"/>
      <c r="D482" s="11"/>
      <c r="E482" s="6"/>
      <c r="F482" s="46"/>
      <c r="G482" s="6"/>
    </row>
    <row x14ac:dyDescent="0.25" r="483" customHeight="1" ht="14.25">
      <c r="A483" s="6"/>
      <c r="B483" s="6"/>
      <c r="C483" s="11"/>
      <c r="D483" s="11"/>
      <c r="E483" s="6"/>
      <c r="F483" s="46"/>
      <c r="G483" s="6"/>
    </row>
    <row x14ac:dyDescent="0.25" r="484" customHeight="1" ht="14.25">
      <c r="A484" s="6"/>
      <c r="B484" s="6"/>
      <c r="C484" s="11"/>
      <c r="D484" s="11"/>
      <c r="E484" s="6"/>
      <c r="F484" s="46"/>
      <c r="G484" s="6"/>
    </row>
    <row x14ac:dyDescent="0.25" r="485" customHeight="1" ht="14.25">
      <c r="A485" s="6"/>
      <c r="B485" s="6"/>
      <c r="C485" s="11"/>
      <c r="D485" s="11"/>
      <c r="E485" s="6"/>
      <c r="F485" s="46"/>
      <c r="G485" s="6"/>
    </row>
    <row x14ac:dyDescent="0.25" r="486" customHeight="1" ht="14.25">
      <c r="A486" s="6"/>
      <c r="B486" s="6"/>
      <c r="C486" s="11"/>
      <c r="D486" s="11"/>
      <c r="E486" s="6"/>
      <c r="F486" s="46"/>
      <c r="G486" s="6"/>
    </row>
    <row x14ac:dyDescent="0.25" r="487" customHeight="1" ht="14.25">
      <c r="A487" s="6"/>
      <c r="B487" s="6"/>
      <c r="C487" s="11"/>
      <c r="D487" s="11"/>
      <c r="E487" s="6"/>
      <c r="F487" s="46"/>
      <c r="G487" s="6"/>
    </row>
    <row x14ac:dyDescent="0.25" r="488" customHeight="1" ht="14.25">
      <c r="A488" s="6"/>
      <c r="B488" s="6"/>
      <c r="C488" s="11"/>
      <c r="D488" s="11"/>
      <c r="E488" s="6"/>
      <c r="F488" s="46"/>
      <c r="G488" s="6"/>
    </row>
    <row x14ac:dyDescent="0.25" r="489" customHeight="1" ht="14.25">
      <c r="A489" s="6"/>
      <c r="B489" s="6"/>
      <c r="C489" s="11"/>
      <c r="D489" s="11"/>
      <c r="E489" s="6"/>
      <c r="F489" s="46"/>
      <c r="G489" s="6"/>
    </row>
    <row x14ac:dyDescent="0.25" r="490" customHeight="1" ht="14.25">
      <c r="A490" s="6"/>
      <c r="B490" s="6"/>
      <c r="C490" s="11"/>
      <c r="D490" s="11"/>
      <c r="E490" s="6"/>
      <c r="F490" s="46"/>
      <c r="G490" s="6"/>
    </row>
    <row x14ac:dyDescent="0.25" r="491" customHeight="1" ht="14.25">
      <c r="A491" s="6"/>
      <c r="B491" s="6"/>
      <c r="C491" s="11"/>
      <c r="D491" s="11"/>
      <c r="E491" s="6"/>
      <c r="F491" s="46"/>
      <c r="G491" s="6"/>
    </row>
    <row x14ac:dyDescent="0.25" r="492" customHeight="1" ht="14.25">
      <c r="A492" s="6"/>
      <c r="B492" s="6"/>
      <c r="C492" s="11"/>
      <c r="D492" s="11"/>
      <c r="E492" s="6"/>
      <c r="F492" s="46"/>
      <c r="G492" s="6"/>
    </row>
    <row x14ac:dyDescent="0.25" r="493" customHeight="1" ht="14.25">
      <c r="A493" s="6"/>
      <c r="B493" s="6"/>
      <c r="C493" s="11"/>
      <c r="D493" s="11"/>
      <c r="E493" s="6"/>
      <c r="F493" s="46"/>
      <c r="G493" s="6"/>
    </row>
    <row x14ac:dyDescent="0.25" r="494" customHeight="1" ht="14.25">
      <c r="A494" s="6"/>
      <c r="B494" s="6"/>
      <c r="C494" s="11"/>
      <c r="D494" s="11"/>
      <c r="E494" s="6"/>
      <c r="F494" s="46"/>
      <c r="G494" s="6"/>
    </row>
    <row x14ac:dyDescent="0.25" r="495" customHeight="1" ht="14.25">
      <c r="A495" s="6"/>
      <c r="B495" s="6"/>
      <c r="C495" s="11"/>
      <c r="D495" s="11"/>
      <c r="E495" s="6"/>
      <c r="F495" s="46"/>
      <c r="G495" s="6"/>
    </row>
    <row x14ac:dyDescent="0.25" r="496" customHeight="1" ht="14.25">
      <c r="A496" s="6"/>
      <c r="B496" s="6"/>
      <c r="C496" s="11"/>
      <c r="D496" s="11"/>
      <c r="E496" s="6"/>
      <c r="F496" s="46"/>
      <c r="G496" s="6"/>
    </row>
    <row x14ac:dyDescent="0.25" r="497" customHeight="1" ht="14.25">
      <c r="A497" s="6"/>
      <c r="B497" s="6"/>
      <c r="C497" s="11"/>
      <c r="D497" s="11"/>
      <c r="E497" s="6"/>
      <c r="F497" s="46"/>
      <c r="G497" s="6"/>
    </row>
    <row x14ac:dyDescent="0.25" r="498" customHeight="1" ht="14.25">
      <c r="A498" s="6"/>
      <c r="B498" s="6"/>
      <c r="C498" s="11"/>
      <c r="D498" s="11"/>
      <c r="E498" s="6"/>
      <c r="F498" s="46"/>
      <c r="G498" s="6"/>
    </row>
    <row x14ac:dyDescent="0.25" r="499" customHeight="1" ht="14.25">
      <c r="A499" s="6"/>
      <c r="B499" s="6"/>
      <c r="C499" s="11"/>
      <c r="D499" s="11"/>
      <c r="E499" s="6"/>
      <c r="F499" s="46"/>
      <c r="G499" s="6"/>
    </row>
    <row x14ac:dyDescent="0.25" r="500" customHeight="1" ht="14.25">
      <c r="A500" s="6"/>
      <c r="B500" s="6"/>
      <c r="C500" s="11"/>
      <c r="D500" s="11"/>
      <c r="E500" s="6"/>
      <c r="F500" s="46"/>
      <c r="G500" s="6"/>
    </row>
    <row x14ac:dyDescent="0.25" r="501" customHeight="1" ht="14.25">
      <c r="A501" s="6"/>
      <c r="B501" s="6"/>
      <c r="C501" s="11"/>
      <c r="D501" s="11"/>
      <c r="E501" s="6"/>
      <c r="F501" s="46"/>
      <c r="G501" s="6"/>
    </row>
    <row x14ac:dyDescent="0.25" r="502" customHeight="1" ht="14.25">
      <c r="A502" s="6"/>
      <c r="B502" s="6"/>
      <c r="C502" s="11"/>
      <c r="D502" s="11"/>
      <c r="E502" s="6"/>
      <c r="F502" s="46"/>
      <c r="G502" s="6"/>
    </row>
    <row x14ac:dyDescent="0.25" r="503" customHeight="1" ht="14.25">
      <c r="A503" s="6"/>
      <c r="B503" s="6"/>
      <c r="C503" s="11"/>
      <c r="D503" s="11"/>
      <c r="E503" s="6"/>
      <c r="F503" s="46"/>
      <c r="G503" s="6"/>
    </row>
    <row x14ac:dyDescent="0.25" r="504" customHeight="1" ht="14.25">
      <c r="A504" s="6"/>
      <c r="B504" s="6"/>
      <c r="C504" s="11"/>
      <c r="D504" s="11"/>
      <c r="E504" s="6"/>
      <c r="F504" s="46"/>
      <c r="G504" s="6"/>
    </row>
    <row x14ac:dyDescent="0.25" r="505" customHeight="1" ht="14.25">
      <c r="A505" s="6"/>
      <c r="B505" s="6"/>
      <c r="C505" s="11"/>
      <c r="D505" s="11"/>
      <c r="E505" s="6"/>
      <c r="F505" s="46"/>
      <c r="G505" s="6"/>
    </row>
    <row x14ac:dyDescent="0.25" r="506" customHeight="1" ht="14.25">
      <c r="A506" s="6"/>
      <c r="B506" s="6"/>
      <c r="C506" s="11"/>
      <c r="D506" s="11"/>
      <c r="E506" s="6"/>
      <c r="F506" s="46"/>
      <c r="G506" s="6"/>
    </row>
    <row x14ac:dyDescent="0.25" r="507" customHeight="1" ht="14.25">
      <c r="A507" s="6"/>
      <c r="B507" s="6"/>
      <c r="C507" s="11"/>
      <c r="D507" s="11"/>
      <c r="E507" s="6"/>
      <c r="F507" s="46"/>
      <c r="G507" s="6"/>
    </row>
    <row x14ac:dyDescent="0.25" r="508" customHeight="1" ht="14.25">
      <c r="A508" s="6"/>
      <c r="B508" s="6"/>
      <c r="C508" s="11"/>
      <c r="D508" s="11"/>
      <c r="E508" s="6"/>
      <c r="F508" s="46"/>
      <c r="G508" s="6"/>
    </row>
    <row x14ac:dyDescent="0.25" r="509" customHeight="1" ht="14.25">
      <c r="A509" s="6"/>
      <c r="B509" s="6"/>
      <c r="C509" s="11"/>
      <c r="D509" s="11"/>
      <c r="E509" s="6"/>
      <c r="F509" s="46"/>
      <c r="G509" s="6"/>
    </row>
    <row x14ac:dyDescent="0.25" r="510" customHeight="1" ht="14.25">
      <c r="A510" s="6"/>
      <c r="B510" s="6"/>
      <c r="C510" s="11"/>
      <c r="D510" s="11"/>
      <c r="E510" s="6"/>
      <c r="F510" s="46"/>
      <c r="G510" s="6"/>
    </row>
    <row x14ac:dyDescent="0.25" r="511" customHeight="1" ht="14.25">
      <c r="A511" s="6"/>
      <c r="B511" s="6"/>
      <c r="C511" s="11"/>
      <c r="D511" s="11"/>
      <c r="E511" s="6"/>
      <c r="F511" s="46"/>
      <c r="G511" s="6"/>
    </row>
    <row x14ac:dyDescent="0.25" r="512" customHeight="1" ht="14.25">
      <c r="A512" s="6"/>
      <c r="B512" s="6"/>
      <c r="C512" s="11"/>
      <c r="D512" s="11"/>
      <c r="E512" s="6"/>
      <c r="F512" s="46"/>
      <c r="G512" s="6"/>
    </row>
    <row x14ac:dyDescent="0.25" r="513" customHeight="1" ht="14.25">
      <c r="A513" s="6"/>
      <c r="B513" s="6"/>
      <c r="C513" s="11"/>
      <c r="D513" s="11"/>
      <c r="E513" s="6"/>
      <c r="F513" s="46"/>
      <c r="G513" s="6"/>
    </row>
    <row x14ac:dyDescent="0.25" r="514" customHeight="1" ht="14.25">
      <c r="A514" s="6"/>
      <c r="B514" s="6"/>
      <c r="C514" s="11"/>
      <c r="D514" s="11"/>
      <c r="E514" s="6"/>
      <c r="F514" s="46"/>
      <c r="G514" s="6"/>
    </row>
    <row x14ac:dyDescent="0.25" r="515" customHeight="1" ht="14.25">
      <c r="A515" s="6"/>
      <c r="B515" s="6"/>
      <c r="C515" s="11"/>
      <c r="D515" s="11"/>
      <c r="E515" s="6"/>
      <c r="F515" s="46"/>
      <c r="G515" s="6"/>
    </row>
    <row x14ac:dyDescent="0.25" r="516" customHeight="1" ht="14.25">
      <c r="A516" s="6"/>
      <c r="B516" s="6"/>
      <c r="C516" s="11"/>
      <c r="D516" s="11"/>
      <c r="E516" s="6"/>
      <c r="F516" s="46"/>
      <c r="G516" s="6"/>
    </row>
    <row x14ac:dyDescent="0.25" r="517" customHeight="1" ht="14.25">
      <c r="A517" s="6"/>
      <c r="B517" s="6"/>
      <c r="C517" s="11"/>
      <c r="D517" s="11"/>
      <c r="E517" s="6"/>
      <c r="F517" s="46"/>
      <c r="G517" s="6"/>
    </row>
    <row x14ac:dyDescent="0.25" r="518" customHeight="1" ht="14.25">
      <c r="A518" s="6"/>
      <c r="B518" s="6"/>
      <c r="C518" s="11"/>
      <c r="D518" s="11"/>
      <c r="E518" s="6"/>
      <c r="F518" s="46"/>
      <c r="G518" s="6"/>
    </row>
    <row x14ac:dyDescent="0.25" r="519" customHeight="1" ht="14.25">
      <c r="A519" s="6"/>
      <c r="B519" s="6"/>
      <c r="C519" s="11"/>
      <c r="D519" s="11"/>
      <c r="E519" s="6"/>
      <c r="F519" s="46"/>
      <c r="G519" s="6"/>
    </row>
    <row x14ac:dyDescent="0.25" r="520" customHeight="1" ht="14.25">
      <c r="A520" s="6"/>
      <c r="B520" s="6"/>
      <c r="C520" s="11"/>
      <c r="D520" s="11"/>
      <c r="E520" s="6"/>
      <c r="F520" s="46"/>
      <c r="G520" s="6"/>
    </row>
    <row x14ac:dyDescent="0.25" r="521" customHeight="1" ht="14.25">
      <c r="A521" s="6"/>
      <c r="B521" s="6"/>
      <c r="C521" s="11"/>
      <c r="D521" s="11"/>
      <c r="E521" s="6"/>
      <c r="F521" s="46"/>
      <c r="G521" s="6"/>
    </row>
    <row x14ac:dyDescent="0.25" r="522" customHeight="1" ht="14.25">
      <c r="A522" s="6"/>
      <c r="B522" s="6"/>
      <c r="C522" s="11"/>
      <c r="D522" s="11"/>
      <c r="E522" s="6"/>
      <c r="F522" s="46"/>
      <c r="G522" s="6"/>
    </row>
    <row x14ac:dyDescent="0.25" r="523" customHeight="1" ht="14.25">
      <c r="A523" s="6"/>
      <c r="B523" s="6"/>
      <c r="C523" s="11"/>
      <c r="D523" s="11"/>
      <c r="E523" s="6"/>
      <c r="F523" s="46"/>
      <c r="G523" s="6"/>
    </row>
    <row x14ac:dyDescent="0.25" r="524" customHeight="1" ht="14.25">
      <c r="A524" s="6"/>
      <c r="B524" s="6"/>
      <c r="C524" s="11"/>
      <c r="D524" s="11"/>
      <c r="E524" s="6"/>
      <c r="F524" s="46"/>
      <c r="G524" s="6"/>
    </row>
    <row x14ac:dyDescent="0.25" r="525" customHeight="1" ht="14.25">
      <c r="A525" s="6"/>
      <c r="B525" s="6"/>
      <c r="C525" s="11"/>
      <c r="D525" s="11"/>
      <c r="E525" s="6"/>
      <c r="F525" s="46"/>
      <c r="G525" s="6"/>
    </row>
    <row x14ac:dyDescent="0.25" r="526" customHeight="1" ht="14.25">
      <c r="A526" s="6"/>
      <c r="B526" s="6"/>
      <c r="C526" s="11"/>
      <c r="D526" s="11"/>
      <c r="E526" s="6"/>
      <c r="F526" s="46"/>
      <c r="G526" s="6"/>
    </row>
    <row x14ac:dyDescent="0.25" r="527" customHeight="1" ht="14.25">
      <c r="A527" s="6"/>
      <c r="B527" s="6"/>
      <c r="C527" s="11"/>
      <c r="D527" s="11"/>
      <c r="E527" s="6"/>
      <c r="F527" s="46"/>
      <c r="G527" s="6"/>
    </row>
    <row x14ac:dyDescent="0.25" r="528" customHeight="1" ht="14.25">
      <c r="A528" s="6"/>
      <c r="B528" s="6"/>
      <c r="C528" s="11"/>
      <c r="D528" s="11"/>
      <c r="E528" s="6"/>
      <c r="F528" s="46"/>
      <c r="G528" s="6"/>
    </row>
    <row x14ac:dyDescent="0.25" r="529" customHeight="1" ht="14.25">
      <c r="A529" s="6"/>
      <c r="B529" s="6"/>
      <c r="C529" s="11"/>
      <c r="D529" s="11"/>
      <c r="E529" s="6"/>
      <c r="F529" s="46"/>
      <c r="G529" s="6"/>
    </row>
    <row x14ac:dyDescent="0.25" r="530" customHeight="1" ht="14.25">
      <c r="A530" s="6"/>
      <c r="B530" s="6"/>
      <c r="C530" s="11"/>
      <c r="D530" s="11"/>
      <c r="E530" s="6"/>
      <c r="F530" s="46"/>
      <c r="G530" s="6"/>
    </row>
    <row x14ac:dyDescent="0.25" r="531" customHeight="1" ht="14.25">
      <c r="A531" s="6"/>
      <c r="B531" s="6"/>
      <c r="C531" s="11"/>
      <c r="D531" s="11"/>
      <c r="E531" s="6"/>
      <c r="F531" s="46"/>
      <c r="G531" s="6"/>
    </row>
    <row x14ac:dyDescent="0.25" r="532" customHeight="1" ht="14.25">
      <c r="A532" s="6"/>
      <c r="B532" s="6"/>
      <c r="C532" s="11"/>
      <c r="D532" s="11"/>
      <c r="E532" s="6"/>
      <c r="F532" s="46"/>
      <c r="G532" s="6"/>
    </row>
    <row x14ac:dyDescent="0.25" r="533" customHeight="1" ht="14.25">
      <c r="A533" s="6"/>
      <c r="B533" s="6"/>
      <c r="C533" s="11"/>
      <c r="D533" s="11"/>
      <c r="E533" s="6"/>
      <c r="F533" s="46"/>
      <c r="G533" s="6"/>
    </row>
    <row x14ac:dyDescent="0.25" r="534" customHeight="1" ht="14.25">
      <c r="A534" s="6"/>
      <c r="B534" s="6"/>
      <c r="C534" s="11"/>
      <c r="D534" s="11"/>
      <c r="E534" s="6"/>
      <c r="F534" s="46"/>
      <c r="G534" s="6"/>
    </row>
    <row x14ac:dyDescent="0.25" r="535" customHeight="1" ht="14.25">
      <c r="A535" s="6"/>
      <c r="B535" s="6"/>
      <c r="C535" s="11"/>
      <c r="D535" s="11"/>
      <c r="E535" s="6"/>
      <c r="F535" s="46"/>
      <c r="G535" s="6"/>
    </row>
    <row x14ac:dyDescent="0.25" r="536" customHeight="1" ht="14.25">
      <c r="A536" s="6"/>
      <c r="B536" s="6"/>
      <c r="C536" s="11"/>
      <c r="D536" s="11"/>
      <c r="E536" s="6"/>
      <c r="F536" s="46"/>
      <c r="G536" s="6"/>
    </row>
    <row x14ac:dyDescent="0.25" r="537" customHeight="1" ht="14.25">
      <c r="A537" s="6"/>
      <c r="B537" s="6"/>
      <c r="C537" s="11"/>
      <c r="D537" s="11"/>
      <c r="E537" s="6"/>
      <c r="F537" s="46"/>
      <c r="G537" s="6"/>
    </row>
    <row x14ac:dyDescent="0.25" r="538" customHeight="1" ht="14.25">
      <c r="A538" s="6"/>
      <c r="B538" s="6"/>
      <c r="C538" s="11"/>
      <c r="D538" s="11"/>
      <c r="E538" s="6"/>
      <c r="F538" s="46"/>
      <c r="G538" s="6"/>
    </row>
    <row x14ac:dyDescent="0.25" r="539" customHeight="1" ht="14.25">
      <c r="A539" s="6"/>
      <c r="B539" s="6"/>
      <c r="C539" s="11"/>
      <c r="D539" s="11"/>
      <c r="E539" s="6"/>
      <c r="F539" s="46"/>
      <c r="G539" s="6"/>
    </row>
    <row x14ac:dyDescent="0.25" r="540" customHeight="1" ht="14.25">
      <c r="A540" s="6"/>
      <c r="B540" s="6"/>
      <c r="C540" s="11"/>
      <c r="D540" s="11"/>
      <c r="E540" s="6"/>
      <c r="F540" s="46"/>
      <c r="G540" s="6"/>
    </row>
    <row x14ac:dyDescent="0.25" r="541" customHeight="1" ht="14.25">
      <c r="A541" s="6"/>
      <c r="B541" s="6"/>
      <c r="C541" s="11"/>
      <c r="D541" s="11"/>
      <c r="E541" s="6"/>
      <c r="F541" s="46"/>
      <c r="G541" s="6"/>
    </row>
    <row x14ac:dyDescent="0.25" r="542" customHeight="1" ht="14.25">
      <c r="A542" s="6"/>
      <c r="B542" s="6"/>
      <c r="C542" s="11"/>
      <c r="D542" s="11"/>
      <c r="E542" s="6"/>
      <c r="F542" s="46"/>
      <c r="G542" s="6"/>
    </row>
    <row x14ac:dyDescent="0.25" r="543" customHeight="1" ht="14.25">
      <c r="A543" s="6"/>
      <c r="B543" s="6"/>
      <c r="C543" s="11"/>
      <c r="D543" s="11"/>
      <c r="E543" s="6"/>
      <c r="F543" s="46"/>
      <c r="G543" s="6"/>
    </row>
    <row x14ac:dyDescent="0.25" r="544" customHeight="1" ht="14.25">
      <c r="A544" s="6"/>
      <c r="B544" s="6"/>
      <c r="C544" s="11"/>
      <c r="D544" s="11"/>
      <c r="E544" s="6"/>
      <c r="F544" s="46"/>
      <c r="G544" s="6"/>
    </row>
    <row x14ac:dyDescent="0.25" r="545" customHeight="1" ht="14.25">
      <c r="A545" s="6"/>
      <c r="B545" s="6"/>
      <c r="C545" s="11"/>
      <c r="D545" s="11"/>
      <c r="E545" s="6"/>
      <c r="F545" s="46"/>
      <c r="G545" s="6"/>
    </row>
    <row x14ac:dyDescent="0.25" r="546" customHeight="1" ht="14.25">
      <c r="A546" s="6"/>
      <c r="B546" s="6"/>
      <c r="C546" s="11"/>
      <c r="D546" s="11"/>
      <c r="E546" s="6"/>
      <c r="F546" s="46"/>
      <c r="G546" s="6"/>
    </row>
    <row x14ac:dyDescent="0.25" r="547" customHeight="1" ht="14.25">
      <c r="A547" s="6"/>
      <c r="B547" s="6"/>
      <c r="C547" s="11"/>
      <c r="D547" s="11"/>
      <c r="E547" s="6"/>
      <c r="F547" s="46"/>
      <c r="G547" s="6"/>
    </row>
    <row x14ac:dyDescent="0.25" r="548" customHeight="1" ht="14.25">
      <c r="A548" s="6"/>
      <c r="B548" s="6"/>
      <c r="C548" s="11"/>
      <c r="D548" s="11"/>
      <c r="E548" s="6"/>
      <c r="F548" s="46"/>
      <c r="G548" s="6"/>
    </row>
    <row x14ac:dyDescent="0.25" r="549" customHeight="1" ht="14.25">
      <c r="A549" s="6"/>
      <c r="B549" s="6"/>
      <c r="C549" s="11"/>
      <c r="D549" s="11"/>
      <c r="E549" s="6"/>
      <c r="F549" s="46"/>
      <c r="G549" s="6"/>
    </row>
    <row x14ac:dyDescent="0.25" r="550" customHeight="1" ht="14.25">
      <c r="A550" s="6"/>
      <c r="B550" s="6"/>
      <c r="C550" s="11"/>
      <c r="D550" s="11"/>
      <c r="E550" s="6"/>
      <c r="F550" s="46"/>
      <c r="G550" s="6"/>
    </row>
    <row x14ac:dyDescent="0.25" r="551" customHeight="1" ht="14.25">
      <c r="A551" s="6"/>
      <c r="B551" s="6"/>
      <c r="C551" s="11"/>
      <c r="D551" s="11"/>
      <c r="E551" s="6"/>
      <c r="F551" s="46"/>
      <c r="G551" s="6"/>
    </row>
    <row x14ac:dyDescent="0.25" r="552" customHeight="1" ht="14.25">
      <c r="A552" s="6"/>
      <c r="B552" s="6"/>
      <c r="C552" s="11"/>
      <c r="D552" s="11"/>
      <c r="E552" s="6"/>
      <c r="F552" s="46"/>
      <c r="G552" s="6"/>
    </row>
    <row x14ac:dyDescent="0.25" r="553" customHeight="1" ht="14.25">
      <c r="A553" s="6"/>
      <c r="B553" s="6"/>
      <c r="C553" s="11"/>
      <c r="D553" s="11"/>
      <c r="E553" s="6"/>
      <c r="F553" s="46"/>
      <c r="G553" s="6"/>
    </row>
    <row x14ac:dyDescent="0.25" r="554" customHeight="1" ht="14.25">
      <c r="A554" s="6"/>
      <c r="B554" s="6"/>
      <c r="C554" s="11"/>
      <c r="D554" s="11"/>
      <c r="E554" s="6"/>
      <c r="F554" s="46"/>
      <c r="G554" s="6"/>
    </row>
    <row x14ac:dyDescent="0.25" r="555" customHeight="1" ht="14.25">
      <c r="A555" s="6"/>
      <c r="B555" s="6"/>
      <c r="C555" s="11"/>
      <c r="D555" s="11"/>
      <c r="E555" s="6"/>
      <c r="F555" s="46"/>
      <c r="G555" s="6"/>
    </row>
    <row x14ac:dyDescent="0.25" r="556" customHeight="1" ht="14.25">
      <c r="A556" s="6"/>
      <c r="B556" s="6"/>
      <c r="C556" s="11"/>
      <c r="D556" s="11"/>
      <c r="E556" s="6"/>
      <c r="F556" s="46"/>
      <c r="G556" s="6"/>
    </row>
    <row x14ac:dyDescent="0.25" r="557" customHeight="1" ht="14.25">
      <c r="A557" s="6"/>
      <c r="B557" s="6"/>
      <c r="C557" s="11"/>
      <c r="D557" s="11"/>
      <c r="E557" s="6"/>
      <c r="F557" s="46"/>
      <c r="G557" s="6"/>
    </row>
    <row x14ac:dyDescent="0.25" r="558" customHeight="1" ht="14.25">
      <c r="A558" s="6"/>
      <c r="B558" s="6"/>
      <c r="C558" s="11"/>
      <c r="D558" s="11"/>
      <c r="E558" s="6"/>
      <c r="F558" s="46"/>
      <c r="G558" s="6"/>
    </row>
    <row x14ac:dyDescent="0.25" r="559" customHeight="1" ht="14.25">
      <c r="A559" s="6"/>
      <c r="B559" s="6"/>
      <c r="C559" s="11"/>
      <c r="D559" s="11"/>
      <c r="E559" s="6"/>
      <c r="F559" s="46"/>
      <c r="G559" s="6"/>
    </row>
    <row x14ac:dyDescent="0.25" r="560" customHeight="1" ht="14.25">
      <c r="A560" s="6"/>
      <c r="B560" s="6"/>
      <c r="C560" s="11"/>
      <c r="D560" s="11"/>
      <c r="E560" s="6"/>
      <c r="F560" s="46"/>
      <c r="G560" s="6"/>
    </row>
    <row x14ac:dyDescent="0.25" r="561" customHeight="1" ht="14.25">
      <c r="A561" s="6"/>
      <c r="B561" s="6"/>
      <c r="C561" s="11"/>
      <c r="D561" s="11"/>
      <c r="E561" s="6"/>
      <c r="F561" s="46"/>
      <c r="G561" s="6"/>
    </row>
    <row x14ac:dyDescent="0.25" r="562" customHeight="1" ht="14.25">
      <c r="A562" s="6"/>
      <c r="B562" s="6"/>
      <c r="C562" s="11"/>
      <c r="D562" s="11"/>
      <c r="E562" s="6"/>
      <c r="F562" s="46"/>
      <c r="G562" s="6"/>
    </row>
    <row x14ac:dyDescent="0.25" r="563" customHeight="1" ht="14.25">
      <c r="A563" s="6"/>
      <c r="B563" s="6"/>
      <c r="C563" s="11"/>
      <c r="D563" s="11"/>
      <c r="E563" s="6"/>
      <c r="F563" s="46"/>
      <c r="G563" s="6"/>
    </row>
    <row x14ac:dyDescent="0.25" r="564" customHeight="1" ht="14.25">
      <c r="A564" s="6"/>
      <c r="B564" s="6"/>
      <c r="C564" s="11"/>
      <c r="D564" s="11"/>
      <c r="E564" s="6"/>
      <c r="F564" s="46"/>
      <c r="G564" s="6"/>
    </row>
    <row x14ac:dyDescent="0.25" r="565" customHeight="1" ht="14.25">
      <c r="A565" s="6"/>
      <c r="B565" s="6"/>
      <c r="C565" s="11"/>
      <c r="D565" s="11"/>
      <c r="E565" s="6"/>
      <c r="F565" s="46"/>
      <c r="G565" s="6"/>
    </row>
    <row x14ac:dyDescent="0.25" r="566" customHeight="1" ht="14.25">
      <c r="A566" s="6"/>
      <c r="B566" s="6"/>
      <c r="C566" s="11"/>
      <c r="D566" s="11"/>
      <c r="E566" s="6"/>
      <c r="F566" s="46"/>
      <c r="G566" s="6"/>
    </row>
    <row x14ac:dyDescent="0.25" r="567" customHeight="1" ht="14.25">
      <c r="A567" s="6"/>
      <c r="B567" s="6"/>
      <c r="C567" s="11"/>
      <c r="D567" s="11"/>
      <c r="E567" s="6"/>
      <c r="F567" s="46"/>
      <c r="G567" s="6"/>
    </row>
    <row x14ac:dyDescent="0.25" r="568" customHeight="1" ht="14.25">
      <c r="A568" s="6"/>
      <c r="B568" s="6"/>
      <c r="C568" s="11"/>
      <c r="D568" s="11"/>
      <c r="E568" s="6"/>
      <c r="F568" s="46"/>
      <c r="G568" s="6"/>
    </row>
    <row x14ac:dyDescent="0.25" r="569" customHeight="1" ht="14.25">
      <c r="A569" s="6"/>
      <c r="B569" s="6"/>
      <c r="C569" s="11"/>
      <c r="D569" s="11"/>
      <c r="E569" s="6"/>
      <c r="F569" s="46"/>
      <c r="G569" s="6"/>
    </row>
    <row x14ac:dyDescent="0.25" r="570" customHeight="1" ht="14.25">
      <c r="A570" s="6"/>
      <c r="B570" s="6"/>
      <c r="C570" s="11"/>
      <c r="D570" s="11"/>
      <c r="E570" s="6"/>
      <c r="F570" s="46"/>
      <c r="G570" s="6"/>
    </row>
    <row x14ac:dyDescent="0.25" r="571" customHeight="1" ht="14.25">
      <c r="A571" s="6"/>
      <c r="B571" s="6"/>
      <c r="C571" s="11"/>
      <c r="D571" s="11"/>
      <c r="E571" s="6"/>
      <c r="F571" s="46"/>
      <c r="G571" s="6"/>
    </row>
    <row x14ac:dyDescent="0.25" r="572" customHeight="1" ht="14.25">
      <c r="A572" s="6"/>
      <c r="B572" s="6"/>
      <c r="C572" s="11"/>
      <c r="D572" s="11"/>
      <c r="E572" s="6"/>
      <c r="F572" s="46"/>
      <c r="G572" s="6"/>
    </row>
    <row x14ac:dyDescent="0.25" r="573" customHeight="1" ht="14.25">
      <c r="A573" s="6"/>
      <c r="B573" s="6"/>
      <c r="C573" s="11"/>
      <c r="D573" s="11"/>
      <c r="E573" s="6"/>
      <c r="F573" s="46"/>
      <c r="G573" s="6"/>
    </row>
    <row x14ac:dyDescent="0.25" r="574" customHeight="1" ht="14.25">
      <c r="A574" s="6"/>
      <c r="B574" s="6"/>
      <c r="C574" s="11"/>
      <c r="D574" s="11"/>
      <c r="E574" s="6"/>
      <c r="F574" s="46"/>
      <c r="G574" s="6"/>
    </row>
    <row x14ac:dyDescent="0.25" r="575" customHeight="1" ht="14.25">
      <c r="A575" s="6"/>
      <c r="B575" s="6"/>
      <c r="C575" s="11"/>
      <c r="D575" s="11"/>
      <c r="E575" s="6"/>
      <c r="F575" s="46"/>
      <c r="G575" s="6"/>
    </row>
    <row x14ac:dyDescent="0.25" r="576" customHeight="1" ht="14.25">
      <c r="A576" s="6"/>
      <c r="B576" s="6"/>
      <c r="C576" s="11"/>
      <c r="D576" s="11"/>
      <c r="E576" s="6"/>
      <c r="F576" s="46"/>
      <c r="G576" s="6"/>
    </row>
    <row x14ac:dyDescent="0.25" r="577" customHeight="1" ht="14.25">
      <c r="A577" s="6"/>
      <c r="B577" s="6"/>
      <c r="C577" s="11"/>
      <c r="D577" s="11"/>
      <c r="E577" s="6"/>
      <c r="F577" s="46"/>
      <c r="G577" s="6"/>
    </row>
    <row x14ac:dyDescent="0.25" r="578" customHeight="1" ht="14.25">
      <c r="A578" s="6"/>
      <c r="B578" s="6"/>
      <c r="C578" s="11"/>
      <c r="D578" s="11"/>
      <c r="E578" s="6"/>
      <c r="F578" s="46"/>
      <c r="G578" s="6"/>
    </row>
    <row x14ac:dyDescent="0.25" r="579" customHeight="1" ht="14.25">
      <c r="A579" s="6"/>
      <c r="B579" s="6"/>
      <c r="C579" s="11"/>
      <c r="D579" s="11"/>
      <c r="E579" s="6"/>
      <c r="F579" s="46"/>
      <c r="G579" s="6"/>
    </row>
    <row x14ac:dyDescent="0.25" r="580" customHeight="1" ht="14.25">
      <c r="A580" s="6"/>
      <c r="B580" s="6"/>
      <c r="C580" s="11"/>
      <c r="D580" s="11"/>
      <c r="E580" s="6"/>
      <c r="F580" s="46"/>
      <c r="G580" s="6"/>
    </row>
    <row x14ac:dyDescent="0.25" r="581" customHeight="1" ht="14.25">
      <c r="A581" s="6"/>
      <c r="B581" s="6"/>
      <c r="C581" s="11"/>
      <c r="D581" s="11"/>
      <c r="E581" s="6"/>
      <c r="F581" s="46"/>
      <c r="G581" s="6"/>
    </row>
    <row x14ac:dyDescent="0.25" r="582" customHeight="1" ht="14.25">
      <c r="A582" s="6"/>
      <c r="B582" s="6"/>
      <c r="C582" s="11"/>
      <c r="D582" s="11"/>
      <c r="E582" s="6"/>
      <c r="F582" s="46"/>
      <c r="G582" s="6"/>
    </row>
    <row x14ac:dyDescent="0.25" r="583" customHeight="1" ht="14.25">
      <c r="A583" s="6"/>
      <c r="B583" s="6"/>
      <c r="C583" s="11"/>
      <c r="D583" s="11"/>
      <c r="E583" s="6"/>
      <c r="F583" s="46"/>
      <c r="G583" s="6"/>
    </row>
    <row x14ac:dyDescent="0.25" r="584" customHeight="1" ht="14.25">
      <c r="A584" s="6"/>
      <c r="B584" s="6"/>
      <c r="C584" s="11"/>
      <c r="D584" s="11"/>
      <c r="E584" s="6"/>
      <c r="F584" s="46"/>
      <c r="G584" s="6"/>
    </row>
    <row x14ac:dyDescent="0.25" r="585" customHeight="1" ht="14.25">
      <c r="A585" s="6"/>
      <c r="B585" s="6"/>
      <c r="C585" s="11"/>
      <c r="D585" s="11"/>
      <c r="E585" s="6"/>
      <c r="F585" s="46"/>
      <c r="G585" s="6"/>
    </row>
    <row x14ac:dyDescent="0.25" r="586" customHeight="1" ht="14.25">
      <c r="A586" s="6"/>
      <c r="B586" s="6"/>
      <c r="C586" s="11"/>
      <c r="D586" s="11"/>
      <c r="E586" s="6"/>
      <c r="F586" s="46"/>
      <c r="G586" s="6"/>
    </row>
    <row x14ac:dyDescent="0.25" r="587" customHeight="1" ht="14.25">
      <c r="A587" s="6"/>
      <c r="B587" s="6"/>
      <c r="C587" s="11"/>
      <c r="D587" s="11"/>
      <c r="E587" s="6"/>
      <c r="F587" s="46"/>
      <c r="G587" s="6"/>
    </row>
    <row x14ac:dyDescent="0.25" r="588" customHeight="1" ht="14.25">
      <c r="A588" s="6"/>
      <c r="B588" s="6"/>
      <c r="C588" s="11"/>
      <c r="D588" s="11"/>
      <c r="E588" s="6"/>
      <c r="F588" s="46"/>
      <c r="G588" s="6"/>
    </row>
    <row x14ac:dyDescent="0.25" r="589" customHeight="1" ht="14.25">
      <c r="A589" s="6"/>
      <c r="B589" s="6"/>
      <c r="C589" s="11"/>
      <c r="D589" s="11"/>
      <c r="E589" s="6"/>
      <c r="F589" s="46"/>
      <c r="G589" s="6"/>
    </row>
    <row x14ac:dyDescent="0.25" r="590" customHeight="1" ht="14.25">
      <c r="A590" s="6"/>
      <c r="B590" s="6"/>
      <c r="C590" s="11"/>
      <c r="D590" s="11"/>
      <c r="E590" s="6"/>
      <c r="F590" s="46"/>
      <c r="G590" s="6"/>
    </row>
    <row x14ac:dyDescent="0.25" r="591" customHeight="1" ht="14.25">
      <c r="A591" s="6"/>
      <c r="B591" s="6"/>
      <c r="C591" s="11"/>
      <c r="D591" s="11"/>
      <c r="E591" s="6"/>
      <c r="F591" s="46"/>
      <c r="G591" s="6"/>
    </row>
    <row x14ac:dyDescent="0.25" r="592" customHeight="1" ht="14.25">
      <c r="A592" s="6"/>
      <c r="B592" s="6"/>
      <c r="C592" s="11"/>
      <c r="D592" s="11"/>
      <c r="E592" s="6"/>
      <c r="F592" s="46"/>
      <c r="G592" s="6"/>
    </row>
    <row x14ac:dyDescent="0.25" r="593" customHeight="1" ht="14.25">
      <c r="A593" s="6"/>
      <c r="B593" s="6"/>
      <c r="C593" s="11"/>
      <c r="D593" s="11"/>
      <c r="E593" s="6"/>
      <c r="F593" s="46"/>
      <c r="G593" s="6"/>
    </row>
    <row x14ac:dyDescent="0.25" r="594" customHeight="1" ht="14.25">
      <c r="A594" s="6"/>
      <c r="B594" s="6"/>
      <c r="C594" s="11"/>
      <c r="D594" s="11"/>
      <c r="E594" s="6"/>
      <c r="F594" s="46"/>
      <c r="G594" s="6"/>
    </row>
    <row x14ac:dyDescent="0.25" r="595" customHeight="1" ht="14.25">
      <c r="A595" s="6"/>
      <c r="B595" s="6"/>
      <c r="C595" s="11"/>
      <c r="D595" s="11"/>
      <c r="E595" s="6"/>
      <c r="F595" s="46"/>
      <c r="G595" s="6"/>
    </row>
    <row x14ac:dyDescent="0.25" r="596" customHeight="1" ht="14.25">
      <c r="A596" s="6"/>
      <c r="B596" s="6"/>
      <c r="C596" s="11"/>
      <c r="D596" s="11"/>
      <c r="E596" s="6"/>
      <c r="F596" s="46"/>
      <c r="G596" s="6"/>
    </row>
    <row x14ac:dyDescent="0.25" r="597" customHeight="1" ht="14.25">
      <c r="A597" s="6"/>
      <c r="B597" s="6"/>
      <c r="C597" s="11"/>
      <c r="D597" s="11"/>
      <c r="E597" s="6"/>
      <c r="F597" s="46"/>
      <c r="G597" s="6"/>
    </row>
    <row x14ac:dyDescent="0.25" r="598" customHeight="1" ht="14.25">
      <c r="A598" s="6"/>
      <c r="B598" s="6"/>
      <c r="C598" s="11"/>
      <c r="D598" s="11"/>
      <c r="E598" s="6"/>
      <c r="F598" s="46"/>
      <c r="G598" s="6"/>
    </row>
    <row x14ac:dyDescent="0.25" r="599" customHeight="1" ht="14.25">
      <c r="A599" s="6"/>
      <c r="B599" s="6"/>
      <c r="C599" s="11"/>
      <c r="D599" s="11"/>
      <c r="E599" s="6"/>
      <c r="F599" s="46"/>
      <c r="G599" s="6"/>
    </row>
    <row x14ac:dyDescent="0.25" r="600" customHeight="1" ht="14.25">
      <c r="A600" s="6"/>
      <c r="B600" s="6"/>
      <c r="C600" s="11"/>
      <c r="D600" s="11"/>
      <c r="E600" s="6"/>
      <c r="F600" s="46"/>
      <c r="G600" s="6"/>
    </row>
    <row x14ac:dyDescent="0.25" r="601" customHeight="1" ht="14.25">
      <c r="A601" s="6"/>
      <c r="B601" s="6"/>
      <c r="C601" s="11"/>
      <c r="D601" s="11"/>
      <c r="E601" s="6"/>
      <c r="F601" s="46"/>
      <c r="G601" s="6"/>
    </row>
    <row x14ac:dyDescent="0.25" r="602" customHeight="1" ht="14.25">
      <c r="A602" s="6"/>
      <c r="B602" s="6"/>
      <c r="C602" s="11"/>
      <c r="D602" s="11"/>
      <c r="E602" s="6"/>
      <c r="F602" s="46"/>
      <c r="G602" s="6"/>
    </row>
    <row x14ac:dyDescent="0.25" r="603" customHeight="1" ht="14.25">
      <c r="A603" s="6"/>
      <c r="B603" s="6"/>
      <c r="C603" s="11"/>
      <c r="D603" s="11"/>
      <c r="E603" s="6"/>
      <c r="F603" s="46"/>
      <c r="G603" s="6"/>
    </row>
    <row x14ac:dyDescent="0.25" r="604" customHeight="1" ht="14.25">
      <c r="A604" s="6"/>
      <c r="B604" s="6"/>
      <c r="C604" s="11"/>
      <c r="D604" s="11"/>
      <c r="E604" s="6"/>
      <c r="F604" s="46"/>
      <c r="G604" s="6"/>
    </row>
    <row x14ac:dyDescent="0.25" r="605" customHeight="1" ht="14.25">
      <c r="A605" s="6"/>
      <c r="B605" s="6"/>
      <c r="C605" s="11"/>
      <c r="D605" s="11"/>
      <c r="E605" s="6"/>
      <c r="F605" s="46"/>
      <c r="G605" s="6"/>
    </row>
    <row x14ac:dyDescent="0.25" r="606" customHeight="1" ht="14.25">
      <c r="A606" s="6"/>
      <c r="B606" s="6"/>
      <c r="C606" s="11"/>
      <c r="D606" s="11"/>
      <c r="E606" s="6"/>
      <c r="F606" s="46"/>
      <c r="G606" s="6"/>
    </row>
    <row x14ac:dyDescent="0.25" r="607" customHeight="1" ht="14.25">
      <c r="A607" s="6"/>
      <c r="B607" s="6"/>
      <c r="C607" s="11"/>
      <c r="D607" s="11"/>
      <c r="E607" s="6"/>
      <c r="F607" s="46"/>
      <c r="G607" s="6"/>
    </row>
    <row x14ac:dyDescent="0.25" r="608" customHeight="1" ht="14.25">
      <c r="A608" s="6"/>
      <c r="B608" s="6"/>
      <c r="C608" s="11"/>
      <c r="D608" s="11"/>
      <c r="E608" s="6"/>
      <c r="F608" s="46"/>
      <c r="G608" s="6"/>
    </row>
    <row x14ac:dyDescent="0.25" r="609" customHeight="1" ht="14.25">
      <c r="A609" s="6"/>
      <c r="B609" s="6"/>
      <c r="C609" s="11"/>
      <c r="D609" s="11"/>
      <c r="E609" s="6"/>
      <c r="F609" s="46"/>
      <c r="G609" s="6"/>
    </row>
    <row x14ac:dyDescent="0.25" r="610" customHeight="1" ht="14.25">
      <c r="A610" s="6"/>
      <c r="B610" s="6"/>
      <c r="C610" s="11"/>
      <c r="D610" s="11"/>
      <c r="E610" s="6"/>
      <c r="F610" s="46"/>
      <c r="G610" s="6"/>
    </row>
    <row x14ac:dyDescent="0.25" r="611" customHeight="1" ht="14.25">
      <c r="A611" s="6"/>
      <c r="B611" s="6"/>
      <c r="C611" s="11"/>
      <c r="D611" s="11"/>
      <c r="E611" s="6"/>
      <c r="F611" s="46"/>
      <c r="G611" s="6"/>
    </row>
    <row x14ac:dyDescent="0.25" r="612" customHeight="1" ht="14.25">
      <c r="A612" s="6"/>
      <c r="B612" s="6"/>
      <c r="C612" s="11"/>
      <c r="D612" s="11"/>
      <c r="E612" s="6"/>
      <c r="F612" s="46"/>
      <c r="G612" s="6"/>
    </row>
    <row x14ac:dyDescent="0.25" r="613" customHeight="1" ht="14.25">
      <c r="A613" s="6"/>
      <c r="B613" s="6"/>
      <c r="C613" s="11"/>
      <c r="D613" s="11"/>
      <c r="E613" s="6"/>
      <c r="F613" s="46"/>
      <c r="G613" s="6"/>
    </row>
    <row x14ac:dyDescent="0.25" r="614" customHeight="1" ht="14.25">
      <c r="A614" s="6"/>
      <c r="B614" s="6"/>
      <c r="C614" s="11"/>
      <c r="D614" s="11"/>
      <c r="E614" s="6"/>
      <c r="F614" s="46"/>
      <c r="G614" s="6"/>
    </row>
    <row x14ac:dyDescent="0.25" r="615" customHeight="1" ht="14.25">
      <c r="A615" s="6"/>
      <c r="B615" s="6"/>
      <c r="C615" s="11"/>
      <c r="D615" s="11"/>
      <c r="E615" s="6"/>
      <c r="F615" s="46"/>
      <c r="G615" s="6"/>
    </row>
    <row x14ac:dyDescent="0.25" r="616" customHeight="1" ht="14.25">
      <c r="A616" s="6"/>
      <c r="B616" s="6"/>
      <c r="C616" s="11"/>
      <c r="D616" s="11"/>
      <c r="E616" s="6"/>
      <c r="F616" s="46"/>
      <c r="G616" s="6"/>
    </row>
    <row x14ac:dyDescent="0.25" r="617" customHeight="1" ht="14.25">
      <c r="A617" s="6"/>
      <c r="B617" s="6"/>
      <c r="C617" s="11"/>
      <c r="D617" s="11"/>
      <c r="E617" s="6"/>
      <c r="F617" s="46"/>
      <c r="G617" s="6"/>
    </row>
    <row x14ac:dyDescent="0.25" r="618" customHeight="1" ht="14.25">
      <c r="A618" s="6"/>
      <c r="B618" s="6"/>
      <c r="C618" s="11"/>
      <c r="D618" s="11"/>
      <c r="E618" s="6"/>
      <c r="F618" s="46"/>
      <c r="G618" s="6"/>
    </row>
    <row x14ac:dyDescent="0.25" r="619" customHeight="1" ht="14.25">
      <c r="A619" s="6"/>
      <c r="B619" s="6"/>
      <c r="C619" s="11"/>
      <c r="D619" s="11"/>
      <c r="E619" s="6"/>
      <c r="F619" s="46"/>
      <c r="G619" s="6"/>
    </row>
    <row x14ac:dyDescent="0.25" r="620" customHeight="1" ht="14.25">
      <c r="A620" s="6"/>
      <c r="B620" s="6"/>
      <c r="C620" s="11"/>
      <c r="D620" s="11"/>
      <c r="E620" s="6"/>
      <c r="F620" s="46"/>
      <c r="G620" s="6"/>
    </row>
    <row x14ac:dyDescent="0.25" r="621" customHeight="1" ht="14.25">
      <c r="A621" s="6"/>
      <c r="B621" s="6"/>
      <c r="C621" s="11"/>
      <c r="D621" s="11"/>
      <c r="E621" s="6"/>
      <c r="F621" s="46"/>
      <c r="G621" s="6"/>
    </row>
    <row x14ac:dyDescent="0.25" r="622" customHeight="1" ht="14.25">
      <c r="A622" s="6"/>
      <c r="B622" s="6"/>
      <c r="C622" s="11"/>
      <c r="D622" s="11"/>
      <c r="E622" s="6"/>
      <c r="F622" s="46"/>
      <c r="G622" s="6"/>
    </row>
    <row x14ac:dyDescent="0.25" r="623" customHeight="1" ht="14.25">
      <c r="A623" s="6"/>
      <c r="B623" s="6"/>
      <c r="C623" s="11"/>
      <c r="D623" s="11"/>
      <c r="E623" s="6"/>
      <c r="F623" s="46"/>
      <c r="G623" s="6"/>
    </row>
    <row x14ac:dyDescent="0.25" r="624" customHeight="1" ht="14.25">
      <c r="A624" s="6"/>
      <c r="B624" s="6"/>
      <c r="C624" s="11"/>
      <c r="D624" s="11"/>
      <c r="E624" s="6"/>
      <c r="F624" s="46"/>
      <c r="G624" s="6"/>
    </row>
    <row x14ac:dyDescent="0.25" r="625" customHeight="1" ht="14.25">
      <c r="A625" s="6"/>
      <c r="B625" s="6"/>
      <c r="C625" s="11"/>
      <c r="D625" s="11"/>
      <c r="E625" s="6"/>
      <c r="F625" s="46"/>
      <c r="G625" s="6"/>
    </row>
    <row x14ac:dyDescent="0.25" r="626" customHeight="1" ht="14.25">
      <c r="A626" s="6"/>
      <c r="B626" s="6"/>
      <c r="C626" s="11"/>
      <c r="D626" s="11"/>
      <c r="E626" s="6"/>
      <c r="F626" s="46"/>
      <c r="G626" s="6"/>
    </row>
    <row x14ac:dyDescent="0.25" r="627" customHeight="1" ht="14.25">
      <c r="A627" s="6"/>
      <c r="B627" s="6"/>
      <c r="C627" s="11"/>
      <c r="D627" s="11"/>
      <c r="E627" s="6"/>
      <c r="F627" s="46"/>
      <c r="G627" s="6"/>
    </row>
    <row x14ac:dyDescent="0.25" r="628" customHeight="1" ht="14.25">
      <c r="A628" s="6"/>
      <c r="B628" s="6"/>
      <c r="C628" s="11"/>
      <c r="D628" s="11"/>
      <c r="E628" s="6"/>
      <c r="F628" s="46"/>
      <c r="G628" s="6"/>
    </row>
    <row x14ac:dyDescent="0.25" r="629" customHeight="1" ht="14.25">
      <c r="A629" s="6"/>
      <c r="B629" s="6"/>
      <c r="C629" s="11"/>
      <c r="D629" s="11"/>
      <c r="E629" s="6"/>
      <c r="F629" s="46"/>
      <c r="G629" s="6"/>
    </row>
    <row x14ac:dyDescent="0.25" r="630" customHeight="1" ht="14.25">
      <c r="A630" s="6"/>
      <c r="B630" s="6"/>
      <c r="C630" s="11"/>
      <c r="D630" s="11"/>
      <c r="E630" s="6"/>
      <c r="F630" s="46"/>
      <c r="G630" s="6"/>
    </row>
    <row x14ac:dyDescent="0.25" r="631" customHeight="1" ht="14.25">
      <c r="A631" s="6"/>
      <c r="B631" s="6"/>
      <c r="C631" s="11"/>
      <c r="D631" s="11"/>
      <c r="E631" s="6"/>
      <c r="F631" s="46"/>
      <c r="G631" s="6"/>
    </row>
    <row x14ac:dyDescent="0.25" r="632" customHeight="1" ht="14.25">
      <c r="A632" s="6"/>
      <c r="B632" s="6"/>
      <c r="C632" s="11"/>
      <c r="D632" s="11"/>
      <c r="E632" s="6"/>
      <c r="F632" s="46"/>
      <c r="G632" s="6"/>
    </row>
    <row x14ac:dyDescent="0.25" r="633" customHeight="1" ht="14.25">
      <c r="A633" s="6"/>
      <c r="B633" s="6"/>
      <c r="C633" s="11"/>
      <c r="D633" s="11"/>
      <c r="E633" s="6"/>
      <c r="F633" s="46"/>
      <c r="G633" s="6"/>
    </row>
    <row x14ac:dyDescent="0.25" r="634" customHeight="1" ht="14.25">
      <c r="A634" s="6"/>
      <c r="B634" s="6"/>
      <c r="C634" s="11"/>
      <c r="D634" s="11"/>
      <c r="E634" s="6"/>
      <c r="F634" s="46"/>
      <c r="G634" s="6"/>
    </row>
    <row x14ac:dyDescent="0.25" r="635" customHeight="1" ht="14.25">
      <c r="A635" s="6"/>
      <c r="B635" s="6"/>
      <c r="C635" s="11"/>
      <c r="D635" s="11"/>
      <c r="E635" s="6"/>
      <c r="F635" s="46"/>
      <c r="G635" s="6"/>
    </row>
    <row x14ac:dyDescent="0.25" r="636" customHeight="1" ht="14.25">
      <c r="A636" s="6"/>
      <c r="B636" s="6"/>
      <c r="C636" s="11"/>
      <c r="D636" s="11"/>
      <c r="E636" s="6"/>
      <c r="F636" s="46"/>
      <c r="G636" s="6"/>
    </row>
    <row x14ac:dyDescent="0.25" r="637" customHeight="1" ht="14.25">
      <c r="A637" s="6"/>
      <c r="B637" s="6"/>
      <c r="C637" s="11"/>
      <c r="D637" s="11"/>
      <c r="E637" s="6"/>
      <c r="F637" s="46"/>
      <c r="G637" s="6"/>
    </row>
    <row x14ac:dyDescent="0.25" r="638" customHeight="1" ht="14.25">
      <c r="A638" s="6"/>
      <c r="B638" s="6"/>
      <c r="C638" s="11"/>
      <c r="D638" s="11"/>
      <c r="E638" s="6"/>
      <c r="F638" s="46"/>
      <c r="G638" s="6"/>
    </row>
    <row x14ac:dyDescent="0.25" r="639" customHeight="1" ht="14.25">
      <c r="A639" s="6"/>
      <c r="B639" s="6"/>
      <c r="C639" s="11"/>
      <c r="D639" s="11"/>
      <c r="E639" s="6"/>
      <c r="F639" s="46"/>
      <c r="G639" s="6"/>
    </row>
    <row x14ac:dyDescent="0.25" r="640" customHeight="1" ht="14.25">
      <c r="A640" s="6"/>
      <c r="B640" s="6"/>
      <c r="C640" s="11"/>
      <c r="D640" s="11"/>
      <c r="E640" s="6"/>
      <c r="F640" s="46"/>
      <c r="G640" s="6"/>
    </row>
    <row x14ac:dyDescent="0.25" r="641" customHeight="1" ht="14.25">
      <c r="A641" s="6"/>
      <c r="B641" s="6"/>
      <c r="C641" s="11"/>
      <c r="D641" s="11"/>
      <c r="E641" s="6"/>
      <c r="F641" s="46"/>
      <c r="G641" s="6"/>
    </row>
    <row x14ac:dyDescent="0.25" r="642" customHeight="1" ht="14.25">
      <c r="A642" s="6"/>
      <c r="B642" s="6"/>
      <c r="C642" s="11"/>
      <c r="D642" s="11"/>
      <c r="E642" s="6"/>
      <c r="F642" s="46"/>
      <c r="G642" s="6"/>
    </row>
    <row x14ac:dyDescent="0.25" r="643" customHeight="1" ht="14.25">
      <c r="A643" s="6"/>
      <c r="B643" s="6"/>
      <c r="C643" s="11"/>
      <c r="D643" s="11"/>
      <c r="E643" s="6"/>
      <c r="F643" s="46"/>
      <c r="G643" s="6"/>
    </row>
    <row x14ac:dyDescent="0.25" r="644" customHeight="1" ht="14.25">
      <c r="A644" s="6"/>
      <c r="B644" s="6"/>
      <c r="C644" s="11"/>
      <c r="D644" s="11"/>
      <c r="E644" s="6"/>
      <c r="F644" s="46"/>
      <c r="G644" s="6"/>
    </row>
    <row x14ac:dyDescent="0.25" r="645" customHeight="1" ht="14.25">
      <c r="A645" s="6"/>
      <c r="B645" s="6"/>
      <c r="C645" s="11"/>
      <c r="D645" s="11"/>
      <c r="E645" s="6"/>
      <c r="F645" s="46"/>
      <c r="G645" s="6"/>
    </row>
    <row x14ac:dyDescent="0.25" r="646" customHeight="1" ht="14.25">
      <c r="A646" s="6"/>
      <c r="B646" s="6"/>
      <c r="C646" s="11"/>
      <c r="D646" s="11"/>
      <c r="E646" s="6"/>
      <c r="F646" s="46"/>
      <c r="G646" s="6"/>
    </row>
    <row x14ac:dyDescent="0.25" r="647" customHeight="1" ht="14.25">
      <c r="A647" s="6"/>
      <c r="B647" s="6"/>
      <c r="C647" s="11"/>
      <c r="D647" s="11"/>
      <c r="E647" s="6"/>
      <c r="F647" s="46"/>
      <c r="G647" s="6"/>
    </row>
    <row x14ac:dyDescent="0.25" r="648" customHeight="1" ht="14.25">
      <c r="A648" s="6"/>
      <c r="B648" s="6"/>
      <c r="C648" s="11"/>
      <c r="D648" s="11"/>
      <c r="E648" s="6"/>
      <c r="F648" s="46"/>
      <c r="G648" s="6"/>
    </row>
    <row x14ac:dyDescent="0.25" r="649" customHeight="1" ht="14.25">
      <c r="A649" s="6"/>
      <c r="B649" s="6"/>
      <c r="C649" s="11"/>
      <c r="D649" s="11"/>
      <c r="E649" s="6"/>
      <c r="F649" s="46"/>
      <c r="G649" s="6"/>
    </row>
    <row x14ac:dyDescent="0.25" r="650" customHeight="1" ht="14.25">
      <c r="A650" s="6"/>
      <c r="B650" s="6"/>
      <c r="C650" s="11"/>
      <c r="D650" s="11"/>
      <c r="E650" s="6"/>
      <c r="F650" s="46"/>
      <c r="G650" s="6"/>
    </row>
    <row x14ac:dyDescent="0.25" r="651" customHeight="1" ht="14.25">
      <c r="A651" s="6"/>
      <c r="B651" s="6"/>
      <c r="C651" s="11"/>
      <c r="D651" s="11"/>
      <c r="E651" s="6"/>
      <c r="F651" s="46"/>
      <c r="G651" s="6"/>
    </row>
    <row x14ac:dyDescent="0.25" r="652" customHeight="1" ht="14.25">
      <c r="A652" s="6"/>
      <c r="B652" s="6"/>
      <c r="C652" s="11"/>
      <c r="D652" s="11"/>
      <c r="E652" s="6"/>
      <c r="F652" s="46"/>
      <c r="G652" s="6"/>
    </row>
    <row x14ac:dyDescent="0.25" r="653" customHeight="1" ht="14.25">
      <c r="A653" s="6"/>
      <c r="B653" s="6"/>
      <c r="C653" s="11"/>
      <c r="D653" s="11"/>
      <c r="E653" s="6"/>
      <c r="F653" s="46"/>
      <c r="G653" s="6"/>
    </row>
    <row x14ac:dyDescent="0.25" r="654" customHeight="1" ht="14.25">
      <c r="A654" s="6"/>
      <c r="B654" s="6"/>
      <c r="C654" s="11"/>
      <c r="D654" s="11"/>
      <c r="E654" s="6"/>
      <c r="F654" s="46"/>
      <c r="G654" s="6"/>
    </row>
    <row x14ac:dyDescent="0.25" r="655" customHeight="1" ht="14.25">
      <c r="A655" s="6"/>
      <c r="B655" s="6"/>
      <c r="C655" s="11"/>
      <c r="D655" s="11"/>
      <c r="E655" s="6"/>
      <c r="F655" s="46"/>
      <c r="G655" s="6"/>
    </row>
    <row x14ac:dyDescent="0.25" r="656" customHeight="1" ht="14.25">
      <c r="A656" s="6"/>
      <c r="B656" s="6"/>
      <c r="C656" s="11"/>
      <c r="D656" s="11"/>
      <c r="E656" s="6"/>
      <c r="F656" s="46"/>
      <c r="G656" s="6"/>
    </row>
    <row x14ac:dyDescent="0.25" r="657" customHeight="1" ht="14.25">
      <c r="A657" s="6"/>
      <c r="B657" s="6"/>
      <c r="C657" s="11"/>
      <c r="D657" s="11"/>
      <c r="E657" s="6"/>
      <c r="F657" s="46"/>
      <c r="G657" s="6"/>
    </row>
    <row x14ac:dyDescent="0.25" r="658" customHeight="1" ht="14.25">
      <c r="A658" s="6"/>
      <c r="B658" s="6"/>
      <c r="C658" s="11"/>
      <c r="D658" s="11"/>
      <c r="E658" s="6"/>
      <c r="F658" s="46"/>
      <c r="G658" s="6"/>
    </row>
    <row x14ac:dyDescent="0.25" r="659" customHeight="1" ht="14.25">
      <c r="A659" s="6"/>
      <c r="B659" s="6"/>
      <c r="C659" s="11"/>
      <c r="D659" s="11"/>
      <c r="E659" s="6"/>
      <c r="F659" s="46"/>
      <c r="G659" s="6"/>
    </row>
    <row x14ac:dyDescent="0.25" r="660" customHeight="1" ht="14.25">
      <c r="A660" s="6"/>
      <c r="B660" s="6"/>
      <c r="C660" s="11"/>
      <c r="D660" s="11"/>
      <c r="E660" s="6"/>
      <c r="F660" s="46"/>
      <c r="G660" s="6"/>
    </row>
    <row x14ac:dyDescent="0.25" r="661" customHeight="1" ht="14.25">
      <c r="A661" s="6"/>
      <c r="B661" s="6"/>
      <c r="C661" s="11"/>
      <c r="D661" s="11"/>
      <c r="E661" s="6"/>
      <c r="F661" s="46"/>
      <c r="G661" s="6"/>
    </row>
    <row x14ac:dyDescent="0.25" r="662" customHeight="1" ht="14.25">
      <c r="A662" s="6"/>
      <c r="B662" s="6"/>
      <c r="C662" s="11"/>
      <c r="D662" s="11"/>
      <c r="E662" s="6"/>
      <c r="F662" s="46"/>
      <c r="G662" s="6"/>
    </row>
    <row x14ac:dyDescent="0.25" r="663" customHeight="1" ht="14.25">
      <c r="A663" s="6"/>
      <c r="B663" s="6"/>
      <c r="C663" s="11"/>
      <c r="D663" s="11"/>
      <c r="E663" s="6"/>
      <c r="F663" s="46"/>
      <c r="G663" s="6"/>
    </row>
    <row x14ac:dyDescent="0.25" r="664" customHeight="1" ht="14.25">
      <c r="A664" s="6"/>
      <c r="B664" s="6"/>
      <c r="C664" s="11"/>
      <c r="D664" s="11"/>
      <c r="E664" s="6"/>
      <c r="F664" s="46"/>
      <c r="G664" s="6"/>
    </row>
    <row x14ac:dyDescent="0.25" r="665" customHeight="1" ht="14.25">
      <c r="A665" s="6"/>
      <c r="B665" s="6"/>
      <c r="C665" s="11"/>
      <c r="D665" s="11"/>
      <c r="E665" s="6"/>
      <c r="F665" s="46"/>
      <c r="G665" s="6"/>
    </row>
    <row x14ac:dyDescent="0.25" r="666" customHeight="1" ht="14.25">
      <c r="A666" s="6"/>
      <c r="B666" s="6"/>
      <c r="C666" s="11"/>
      <c r="D666" s="11"/>
      <c r="E666" s="6"/>
      <c r="F666" s="46"/>
      <c r="G666" s="6"/>
    </row>
    <row x14ac:dyDescent="0.25" r="667" customHeight="1" ht="14.25">
      <c r="A667" s="6"/>
      <c r="B667" s="6"/>
      <c r="C667" s="11"/>
      <c r="D667" s="11"/>
      <c r="E667" s="6"/>
      <c r="F667" s="46"/>
      <c r="G667" s="6"/>
    </row>
    <row x14ac:dyDescent="0.25" r="668" customHeight="1" ht="14.25">
      <c r="A668" s="6"/>
      <c r="B668" s="6"/>
      <c r="C668" s="11"/>
      <c r="D668" s="11"/>
      <c r="E668" s="6"/>
      <c r="F668" s="46"/>
      <c r="G668" s="6"/>
    </row>
    <row x14ac:dyDescent="0.25" r="669" customHeight="1" ht="14.25">
      <c r="A669" s="6"/>
      <c r="B669" s="6"/>
      <c r="C669" s="11"/>
      <c r="D669" s="11"/>
      <c r="E669" s="6"/>
      <c r="F669" s="46"/>
      <c r="G669" s="6"/>
    </row>
    <row x14ac:dyDescent="0.25" r="670" customHeight="1" ht="14.25">
      <c r="A670" s="6"/>
      <c r="B670" s="6"/>
      <c r="C670" s="11"/>
      <c r="D670" s="11"/>
      <c r="E670" s="6"/>
      <c r="F670" s="46"/>
      <c r="G670" s="6"/>
    </row>
    <row x14ac:dyDescent="0.25" r="671" customHeight="1" ht="14.25">
      <c r="A671" s="6"/>
      <c r="B671" s="6"/>
      <c r="C671" s="11"/>
      <c r="D671" s="11"/>
      <c r="E671" s="6"/>
      <c r="F671" s="46"/>
      <c r="G671" s="6"/>
    </row>
    <row x14ac:dyDescent="0.25" r="672" customHeight="1" ht="14.25">
      <c r="A672" s="6"/>
      <c r="B672" s="6"/>
      <c r="C672" s="11"/>
      <c r="D672" s="11"/>
      <c r="E672" s="6"/>
      <c r="F672" s="46"/>
      <c r="G672" s="6"/>
    </row>
    <row x14ac:dyDescent="0.25" r="673" customHeight="1" ht="14.25">
      <c r="A673" s="6"/>
      <c r="B673" s="6"/>
      <c r="C673" s="11"/>
      <c r="D673" s="11"/>
      <c r="E673" s="6"/>
      <c r="F673" s="46"/>
      <c r="G673" s="6"/>
    </row>
    <row x14ac:dyDescent="0.25" r="674" customHeight="1" ht="14.25">
      <c r="A674" s="6"/>
      <c r="B674" s="6"/>
      <c r="C674" s="11"/>
      <c r="D674" s="11"/>
      <c r="E674" s="6"/>
      <c r="F674" s="46"/>
      <c r="G674" s="6"/>
    </row>
    <row x14ac:dyDescent="0.25" r="675" customHeight="1" ht="14.25">
      <c r="A675" s="6"/>
      <c r="B675" s="6"/>
      <c r="C675" s="11"/>
      <c r="D675" s="11"/>
      <c r="E675" s="6"/>
      <c r="F675" s="46"/>
      <c r="G675" s="6"/>
    </row>
    <row x14ac:dyDescent="0.25" r="676" customHeight="1" ht="14.25">
      <c r="A676" s="6"/>
      <c r="B676" s="6"/>
      <c r="C676" s="11"/>
      <c r="D676" s="11"/>
      <c r="E676" s="6"/>
      <c r="F676" s="46"/>
      <c r="G676" s="6"/>
    </row>
    <row x14ac:dyDescent="0.25" r="677" customHeight="1" ht="14.25">
      <c r="A677" s="6"/>
      <c r="B677" s="6"/>
      <c r="C677" s="11"/>
      <c r="D677" s="11"/>
      <c r="E677" s="6"/>
      <c r="F677" s="46"/>
      <c r="G677" s="6"/>
    </row>
    <row x14ac:dyDescent="0.25" r="678" customHeight="1" ht="14.25">
      <c r="A678" s="6"/>
      <c r="B678" s="6"/>
      <c r="C678" s="11"/>
      <c r="D678" s="11"/>
      <c r="E678" s="6"/>
      <c r="F678" s="46"/>
      <c r="G678" s="6"/>
    </row>
    <row x14ac:dyDescent="0.25" r="679" customHeight="1" ht="14.25">
      <c r="A679" s="6"/>
      <c r="B679" s="6"/>
      <c r="C679" s="11"/>
      <c r="D679" s="11"/>
      <c r="E679" s="6"/>
      <c r="F679" s="46"/>
      <c r="G679" s="6"/>
    </row>
    <row x14ac:dyDescent="0.25" r="680" customHeight="1" ht="14.25">
      <c r="A680" s="6"/>
      <c r="B680" s="6"/>
      <c r="C680" s="11"/>
      <c r="D680" s="11"/>
      <c r="E680" s="6"/>
      <c r="F680" s="46"/>
      <c r="G680" s="6"/>
    </row>
    <row x14ac:dyDescent="0.25" r="681" customHeight="1" ht="14.25">
      <c r="A681" s="6"/>
      <c r="B681" s="6"/>
      <c r="C681" s="11"/>
      <c r="D681" s="11"/>
      <c r="E681" s="6"/>
      <c r="F681" s="46"/>
      <c r="G681" s="6"/>
    </row>
    <row x14ac:dyDescent="0.25" r="682" customHeight="1" ht="14.25">
      <c r="A682" s="6"/>
      <c r="B682" s="6"/>
      <c r="C682" s="11"/>
      <c r="D682" s="11"/>
      <c r="E682" s="6"/>
      <c r="F682" s="46"/>
      <c r="G682" s="6"/>
    </row>
    <row x14ac:dyDescent="0.25" r="683" customHeight="1" ht="14.25">
      <c r="A683" s="6"/>
      <c r="B683" s="6"/>
      <c r="C683" s="11"/>
      <c r="D683" s="11"/>
      <c r="E683" s="6"/>
      <c r="F683" s="46"/>
      <c r="G683" s="6"/>
    </row>
    <row x14ac:dyDescent="0.25" r="684" customHeight="1" ht="14.25">
      <c r="A684" s="6"/>
      <c r="B684" s="6"/>
      <c r="C684" s="11"/>
      <c r="D684" s="11"/>
      <c r="E684" s="6"/>
      <c r="F684" s="46"/>
      <c r="G684" s="6"/>
    </row>
    <row x14ac:dyDescent="0.25" r="685" customHeight="1" ht="14.25">
      <c r="A685" s="6"/>
      <c r="B685" s="6"/>
      <c r="C685" s="11"/>
      <c r="D685" s="11"/>
      <c r="E685" s="6"/>
      <c r="F685" s="46"/>
      <c r="G685" s="6"/>
    </row>
    <row x14ac:dyDescent="0.25" r="686" customHeight="1" ht="14.25">
      <c r="A686" s="6"/>
      <c r="B686" s="6"/>
      <c r="C686" s="11"/>
      <c r="D686" s="11"/>
      <c r="E686" s="6"/>
      <c r="F686" s="46"/>
      <c r="G686" s="6"/>
    </row>
    <row x14ac:dyDescent="0.25" r="687" customHeight="1" ht="14.25">
      <c r="A687" s="6"/>
      <c r="B687" s="6"/>
      <c r="C687" s="11"/>
      <c r="D687" s="11"/>
      <c r="E687" s="6"/>
      <c r="F687" s="46"/>
      <c r="G687" s="6"/>
    </row>
    <row x14ac:dyDescent="0.25" r="688" customHeight="1" ht="14.25">
      <c r="A688" s="6"/>
      <c r="B688" s="6"/>
      <c r="C688" s="11"/>
      <c r="D688" s="11"/>
      <c r="E688" s="6"/>
      <c r="F688" s="46"/>
      <c r="G688" s="6"/>
    </row>
    <row x14ac:dyDescent="0.25" r="689" customHeight="1" ht="14.25">
      <c r="A689" s="6"/>
      <c r="B689" s="6"/>
      <c r="C689" s="11"/>
      <c r="D689" s="11"/>
      <c r="E689" s="6"/>
      <c r="F689" s="46"/>
      <c r="G689" s="6"/>
    </row>
    <row x14ac:dyDescent="0.25" r="690" customHeight="1" ht="14.25">
      <c r="A690" s="6"/>
      <c r="B690" s="6"/>
      <c r="C690" s="11"/>
      <c r="D690" s="11"/>
      <c r="E690" s="6"/>
      <c r="F690" s="46"/>
      <c r="G690" s="6"/>
    </row>
    <row x14ac:dyDescent="0.25" r="691" customHeight="1" ht="14.25">
      <c r="A691" s="6"/>
      <c r="B691" s="6"/>
      <c r="C691" s="11"/>
      <c r="D691" s="11"/>
      <c r="E691" s="6"/>
      <c r="F691" s="46"/>
      <c r="G691" s="6"/>
    </row>
    <row x14ac:dyDescent="0.25" r="692" customHeight="1" ht="14.25">
      <c r="A692" s="6"/>
      <c r="B692" s="6"/>
      <c r="C692" s="11"/>
      <c r="D692" s="11"/>
      <c r="E692" s="6"/>
      <c r="F692" s="46"/>
      <c r="G692" s="6"/>
    </row>
    <row x14ac:dyDescent="0.25" r="693" customHeight="1" ht="14.25">
      <c r="A693" s="6"/>
      <c r="B693" s="6"/>
      <c r="C693" s="11"/>
      <c r="D693" s="11"/>
      <c r="E693" s="6"/>
      <c r="F693" s="46"/>
      <c r="G693" s="6"/>
    </row>
    <row x14ac:dyDescent="0.25" r="694" customHeight="1" ht="14.25">
      <c r="A694" s="6"/>
      <c r="B694" s="6"/>
      <c r="C694" s="11"/>
      <c r="D694" s="11"/>
      <c r="E694" s="6"/>
      <c r="F694" s="46"/>
      <c r="G694" s="6"/>
    </row>
    <row x14ac:dyDescent="0.25" r="695" customHeight="1" ht="14.25">
      <c r="A695" s="6"/>
      <c r="B695" s="6"/>
      <c r="C695" s="11"/>
      <c r="D695" s="11"/>
      <c r="E695" s="6"/>
      <c r="F695" s="46"/>
      <c r="G695" s="6"/>
    </row>
    <row x14ac:dyDescent="0.25" r="696" customHeight="1" ht="14.25">
      <c r="A696" s="6"/>
      <c r="B696" s="6"/>
      <c r="C696" s="11"/>
      <c r="D696" s="11"/>
      <c r="E696" s="6"/>
      <c r="F696" s="46"/>
      <c r="G696" s="6"/>
    </row>
    <row x14ac:dyDescent="0.25" r="697" customHeight="1" ht="14.25">
      <c r="A697" s="6"/>
      <c r="B697" s="6"/>
      <c r="C697" s="11"/>
      <c r="D697" s="11"/>
      <c r="E697" s="6"/>
      <c r="F697" s="46"/>
      <c r="G697" s="6"/>
    </row>
    <row x14ac:dyDescent="0.25" r="698" customHeight="1" ht="14.25">
      <c r="A698" s="6"/>
      <c r="B698" s="6"/>
      <c r="C698" s="11"/>
      <c r="D698" s="11"/>
      <c r="E698" s="6"/>
      <c r="F698" s="46"/>
      <c r="G698" s="6"/>
    </row>
    <row x14ac:dyDescent="0.25" r="699" customHeight="1" ht="14.25">
      <c r="A699" s="6"/>
      <c r="B699" s="6"/>
      <c r="C699" s="11"/>
      <c r="D699" s="11"/>
      <c r="E699" s="6"/>
      <c r="F699" s="46"/>
      <c r="G699" s="6"/>
    </row>
    <row x14ac:dyDescent="0.25" r="700" customHeight="1" ht="14.25">
      <c r="A700" s="6"/>
      <c r="B700" s="6"/>
      <c r="C700" s="11"/>
      <c r="D700" s="11"/>
      <c r="E700" s="6"/>
      <c r="F700" s="46"/>
      <c r="G700" s="6"/>
    </row>
    <row x14ac:dyDescent="0.25" r="701" customHeight="1" ht="14.25">
      <c r="A701" s="6"/>
      <c r="B701" s="6"/>
      <c r="C701" s="11"/>
      <c r="D701" s="11"/>
      <c r="E701" s="6"/>
      <c r="F701" s="46"/>
      <c r="G701" s="6"/>
    </row>
    <row x14ac:dyDescent="0.25" r="702" customHeight="1" ht="14.25">
      <c r="A702" s="6"/>
      <c r="B702" s="6"/>
      <c r="C702" s="11"/>
      <c r="D702" s="11"/>
      <c r="E702" s="6"/>
      <c r="F702" s="46"/>
      <c r="G702" s="6"/>
    </row>
    <row x14ac:dyDescent="0.25" r="703" customHeight="1" ht="14.25">
      <c r="A703" s="6"/>
      <c r="B703" s="6"/>
      <c r="C703" s="11"/>
      <c r="D703" s="11"/>
      <c r="E703" s="6"/>
      <c r="F703" s="46"/>
      <c r="G703" s="6"/>
    </row>
    <row x14ac:dyDescent="0.25" r="704" customHeight="1" ht="14.25">
      <c r="A704" s="6"/>
      <c r="B704" s="6"/>
      <c r="C704" s="11"/>
      <c r="D704" s="11"/>
      <c r="E704" s="6"/>
      <c r="F704" s="46"/>
      <c r="G704" s="6"/>
    </row>
    <row x14ac:dyDescent="0.25" r="705" customHeight="1" ht="14.25">
      <c r="A705" s="6"/>
      <c r="B705" s="6"/>
      <c r="C705" s="11"/>
      <c r="D705" s="11"/>
      <c r="E705" s="6"/>
      <c r="F705" s="46"/>
      <c r="G705" s="6"/>
    </row>
    <row x14ac:dyDescent="0.25" r="706" customHeight="1" ht="14.25">
      <c r="A706" s="6"/>
      <c r="B706" s="6"/>
      <c r="C706" s="11"/>
      <c r="D706" s="11"/>
      <c r="E706" s="6"/>
      <c r="F706" s="46"/>
      <c r="G706" s="6"/>
    </row>
    <row x14ac:dyDescent="0.25" r="707" customHeight="1" ht="14.25">
      <c r="A707" s="6"/>
      <c r="B707" s="6"/>
      <c r="C707" s="11"/>
      <c r="D707" s="11"/>
      <c r="E707" s="6"/>
      <c r="F707" s="46"/>
      <c r="G707" s="6"/>
    </row>
    <row x14ac:dyDescent="0.25" r="708" customHeight="1" ht="14.25">
      <c r="A708" s="6"/>
      <c r="B708" s="6"/>
      <c r="C708" s="11"/>
      <c r="D708" s="11"/>
      <c r="E708" s="6"/>
      <c r="F708" s="46"/>
      <c r="G708" s="6"/>
    </row>
    <row x14ac:dyDescent="0.25" r="709" customHeight="1" ht="14.25">
      <c r="A709" s="6"/>
      <c r="B709" s="6"/>
      <c r="C709" s="11"/>
      <c r="D709" s="11"/>
      <c r="E709" s="6"/>
      <c r="F709" s="46"/>
      <c r="G709" s="6"/>
    </row>
    <row x14ac:dyDescent="0.25" r="710" customHeight="1" ht="14.25">
      <c r="A710" s="6"/>
      <c r="B710" s="6"/>
      <c r="C710" s="11"/>
      <c r="D710" s="11"/>
      <c r="E710" s="6"/>
      <c r="F710" s="46"/>
      <c r="G710" s="6"/>
    </row>
    <row x14ac:dyDescent="0.25" r="711" customHeight="1" ht="14.25">
      <c r="A711" s="6"/>
      <c r="B711" s="6"/>
      <c r="C711" s="11"/>
      <c r="D711" s="11"/>
      <c r="E711" s="6"/>
      <c r="F711" s="46"/>
      <c r="G711" s="6"/>
    </row>
    <row x14ac:dyDescent="0.25" r="712" customHeight="1" ht="14.25">
      <c r="A712" s="6"/>
      <c r="B712" s="6"/>
      <c r="C712" s="11"/>
      <c r="D712" s="11"/>
      <c r="E712" s="6"/>
      <c r="F712" s="46"/>
      <c r="G712" s="6"/>
    </row>
    <row x14ac:dyDescent="0.25" r="713" customHeight="1" ht="14.25">
      <c r="A713" s="6"/>
      <c r="B713" s="6"/>
      <c r="C713" s="11"/>
      <c r="D713" s="11"/>
      <c r="E713" s="6"/>
      <c r="F713" s="46"/>
      <c r="G713" s="6"/>
    </row>
    <row x14ac:dyDescent="0.25" r="714" customHeight="1" ht="14.25">
      <c r="A714" s="6"/>
      <c r="B714" s="6"/>
      <c r="C714" s="11"/>
      <c r="D714" s="11"/>
      <c r="E714" s="6"/>
      <c r="F714" s="46"/>
      <c r="G714" s="6"/>
    </row>
    <row x14ac:dyDescent="0.25" r="715" customHeight="1" ht="14.25">
      <c r="A715" s="6"/>
      <c r="B715" s="6"/>
      <c r="C715" s="11"/>
      <c r="D715" s="11"/>
      <c r="E715" s="6"/>
      <c r="F715" s="46"/>
      <c r="G715" s="6"/>
    </row>
    <row x14ac:dyDescent="0.25" r="716" customHeight="1" ht="14.25">
      <c r="A716" s="6"/>
      <c r="B716" s="6"/>
      <c r="C716" s="11"/>
      <c r="D716" s="11"/>
      <c r="E716" s="6"/>
      <c r="F716" s="46"/>
      <c r="G716" s="6"/>
    </row>
    <row x14ac:dyDescent="0.25" r="717" customHeight="1" ht="14.25">
      <c r="A717" s="6"/>
      <c r="B717" s="6"/>
      <c r="C717" s="11"/>
      <c r="D717" s="11"/>
      <c r="E717" s="6"/>
      <c r="F717" s="46"/>
      <c r="G717" s="6"/>
    </row>
    <row x14ac:dyDescent="0.25" r="718" customHeight="1" ht="14.25">
      <c r="A718" s="6"/>
      <c r="B718" s="6"/>
      <c r="C718" s="11"/>
      <c r="D718" s="11"/>
      <c r="E718" s="6"/>
      <c r="F718" s="46"/>
      <c r="G718" s="6"/>
    </row>
    <row x14ac:dyDescent="0.25" r="719" customHeight="1" ht="14.25">
      <c r="A719" s="6"/>
      <c r="B719" s="6"/>
      <c r="C719" s="11"/>
      <c r="D719" s="11"/>
      <c r="E719" s="6"/>
      <c r="F719" s="46"/>
      <c r="G719" s="6"/>
    </row>
    <row x14ac:dyDescent="0.25" r="720" customHeight="1" ht="14.25">
      <c r="A720" s="6"/>
      <c r="B720" s="6"/>
      <c r="C720" s="11"/>
      <c r="D720" s="11"/>
      <c r="E720" s="6"/>
      <c r="F720" s="46"/>
      <c r="G720" s="6"/>
    </row>
    <row x14ac:dyDescent="0.25" r="721" customHeight="1" ht="14.25">
      <c r="A721" s="6"/>
      <c r="B721" s="6"/>
      <c r="C721" s="11"/>
      <c r="D721" s="11"/>
      <c r="E721" s="6"/>
      <c r="F721" s="46"/>
      <c r="G721" s="6"/>
    </row>
    <row x14ac:dyDescent="0.25" r="722" customHeight="1" ht="14.25">
      <c r="A722" s="6"/>
      <c r="B722" s="6"/>
      <c r="C722" s="11"/>
      <c r="D722" s="11"/>
      <c r="E722" s="6"/>
      <c r="F722" s="46"/>
      <c r="G722" s="6"/>
    </row>
    <row x14ac:dyDescent="0.25" r="723" customHeight="1" ht="14.25">
      <c r="A723" s="6"/>
      <c r="B723" s="6"/>
      <c r="C723" s="11"/>
      <c r="D723" s="11"/>
      <c r="E723" s="6"/>
      <c r="F723" s="46"/>
      <c r="G723" s="6"/>
    </row>
    <row x14ac:dyDescent="0.25" r="724" customHeight="1" ht="14.25">
      <c r="A724" s="6"/>
      <c r="B724" s="6"/>
      <c r="C724" s="11"/>
      <c r="D724" s="11"/>
      <c r="E724" s="6"/>
      <c r="F724" s="46"/>
      <c r="G724" s="6"/>
    </row>
    <row x14ac:dyDescent="0.25" r="725" customHeight="1" ht="14.25">
      <c r="A725" s="6"/>
      <c r="B725" s="6"/>
      <c r="C725" s="11"/>
      <c r="D725" s="11"/>
      <c r="E725" s="6"/>
      <c r="F725" s="46"/>
      <c r="G725" s="6"/>
    </row>
    <row x14ac:dyDescent="0.25" r="726" customHeight="1" ht="14.25">
      <c r="A726" s="6"/>
      <c r="B726" s="6"/>
      <c r="C726" s="11"/>
      <c r="D726" s="11"/>
      <c r="E726" s="6"/>
      <c r="F726" s="46"/>
      <c r="G726" s="6"/>
    </row>
    <row x14ac:dyDescent="0.25" r="727" customHeight="1" ht="14.25">
      <c r="A727" s="6"/>
      <c r="B727" s="6"/>
      <c r="C727" s="11"/>
      <c r="D727" s="11"/>
      <c r="E727" s="6"/>
      <c r="F727" s="46"/>
      <c r="G727" s="6"/>
    </row>
    <row x14ac:dyDescent="0.25" r="728" customHeight="1" ht="14.25">
      <c r="A728" s="6"/>
      <c r="B728" s="6"/>
      <c r="C728" s="11"/>
      <c r="D728" s="11"/>
      <c r="E728" s="6"/>
      <c r="F728" s="46"/>
      <c r="G728" s="6"/>
    </row>
    <row x14ac:dyDescent="0.25" r="729" customHeight="1" ht="14.25">
      <c r="A729" s="6"/>
      <c r="B729" s="6"/>
      <c r="C729" s="11"/>
      <c r="D729" s="11"/>
      <c r="E729" s="6"/>
      <c r="F729" s="46"/>
      <c r="G729" s="6"/>
    </row>
    <row x14ac:dyDescent="0.25" r="730" customHeight="1" ht="14.25">
      <c r="A730" s="6"/>
      <c r="B730" s="6"/>
      <c r="C730" s="11"/>
      <c r="D730" s="11"/>
      <c r="E730" s="6"/>
      <c r="F730" s="46"/>
      <c r="G730" s="6"/>
    </row>
    <row x14ac:dyDescent="0.25" r="731" customHeight="1" ht="14.25">
      <c r="A731" s="6"/>
      <c r="B731" s="6"/>
      <c r="C731" s="11"/>
      <c r="D731" s="11"/>
      <c r="E731" s="6"/>
      <c r="F731" s="46"/>
      <c r="G731" s="6"/>
    </row>
    <row x14ac:dyDescent="0.25" r="732" customHeight="1" ht="14.25">
      <c r="A732" s="6"/>
      <c r="B732" s="6"/>
      <c r="C732" s="11"/>
      <c r="D732" s="11"/>
      <c r="E732" s="6"/>
      <c r="F732" s="46"/>
      <c r="G732" s="6"/>
    </row>
    <row x14ac:dyDescent="0.25" r="733" customHeight="1" ht="14.25">
      <c r="A733" s="6"/>
      <c r="B733" s="6"/>
      <c r="C733" s="11"/>
      <c r="D733" s="11"/>
      <c r="E733" s="6"/>
      <c r="F733" s="46"/>
      <c r="G733" s="6"/>
    </row>
    <row x14ac:dyDescent="0.25" r="734" customHeight="1" ht="14.25">
      <c r="A734" s="6"/>
      <c r="B734" s="6"/>
      <c r="C734" s="11"/>
      <c r="D734" s="11"/>
      <c r="E734" s="6"/>
      <c r="F734" s="46"/>
      <c r="G734" s="6"/>
    </row>
    <row x14ac:dyDescent="0.25" r="735" customHeight="1" ht="14.25">
      <c r="A735" s="6"/>
      <c r="B735" s="6"/>
      <c r="C735" s="11"/>
      <c r="D735" s="11"/>
      <c r="E735" s="6"/>
      <c r="F735" s="46"/>
      <c r="G735" s="6"/>
    </row>
    <row x14ac:dyDescent="0.25" r="736" customHeight="1" ht="14.25">
      <c r="A736" s="6"/>
      <c r="B736" s="6"/>
      <c r="C736" s="11"/>
      <c r="D736" s="11"/>
      <c r="E736" s="6"/>
      <c r="F736" s="46"/>
      <c r="G736" s="6"/>
    </row>
    <row x14ac:dyDescent="0.25" r="737" customHeight="1" ht="14.25">
      <c r="A737" s="6"/>
      <c r="B737" s="6"/>
      <c r="C737" s="11"/>
      <c r="D737" s="11"/>
      <c r="E737" s="6"/>
      <c r="F737" s="46"/>
      <c r="G737" s="6"/>
    </row>
    <row x14ac:dyDescent="0.25" r="738" customHeight="1" ht="14.25">
      <c r="A738" s="6"/>
      <c r="B738" s="6"/>
      <c r="C738" s="11"/>
      <c r="D738" s="11"/>
      <c r="E738" s="6"/>
      <c r="F738" s="46"/>
      <c r="G738" s="6"/>
    </row>
    <row x14ac:dyDescent="0.25" r="739" customHeight="1" ht="14.25">
      <c r="A739" s="6"/>
      <c r="B739" s="6"/>
      <c r="C739" s="11"/>
      <c r="D739" s="11"/>
      <c r="E739" s="6"/>
      <c r="F739" s="46"/>
      <c r="G739" s="6"/>
    </row>
    <row x14ac:dyDescent="0.25" r="740" customHeight="1" ht="14.25">
      <c r="A740" s="6"/>
      <c r="B740" s="6"/>
      <c r="C740" s="11"/>
      <c r="D740" s="11"/>
      <c r="E740" s="6"/>
      <c r="F740" s="46"/>
      <c r="G740" s="6"/>
    </row>
    <row x14ac:dyDescent="0.25" r="741" customHeight="1" ht="14.25">
      <c r="A741" s="6"/>
      <c r="B741" s="6"/>
      <c r="C741" s="11"/>
      <c r="D741" s="11"/>
      <c r="E741" s="6"/>
      <c r="F741" s="46"/>
      <c r="G741" s="6"/>
    </row>
    <row x14ac:dyDescent="0.25" r="742" customHeight="1" ht="14.25">
      <c r="A742" s="6"/>
      <c r="B742" s="6"/>
      <c r="C742" s="11"/>
      <c r="D742" s="11"/>
      <c r="E742" s="6"/>
      <c r="F742" s="46"/>
      <c r="G742" s="6"/>
    </row>
    <row x14ac:dyDescent="0.25" r="743" customHeight="1" ht="14.25">
      <c r="A743" s="6"/>
      <c r="B743" s="6"/>
      <c r="C743" s="11"/>
      <c r="D743" s="11"/>
      <c r="E743" s="6"/>
      <c r="F743" s="46"/>
      <c r="G743" s="6"/>
    </row>
    <row x14ac:dyDescent="0.25" r="744" customHeight="1" ht="14.25">
      <c r="A744" s="6"/>
      <c r="B744" s="6"/>
      <c r="C744" s="11"/>
      <c r="D744" s="11"/>
      <c r="E744" s="6"/>
      <c r="F744" s="46"/>
      <c r="G744" s="6"/>
    </row>
    <row x14ac:dyDescent="0.25" r="745" customHeight="1" ht="14.25">
      <c r="A745" s="6"/>
      <c r="B745" s="6"/>
      <c r="C745" s="11"/>
      <c r="D745" s="11"/>
      <c r="E745" s="6"/>
      <c r="F745" s="46"/>
      <c r="G745" s="6"/>
    </row>
    <row x14ac:dyDescent="0.25" r="746" customHeight="1" ht="14.25">
      <c r="A746" s="6"/>
      <c r="B746" s="6"/>
      <c r="C746" s="11"/>
      <c r="D746" s="11"/>
      <c r="E746" s="6"/>
      <c r="F746" s="46"/>
      <c r="G746" s="6"/>
    </row>
    <row x14ac:dyDescent="0.25" r="747" customHeight="1" ht="14.25">
      <c r="A747" s="6"/>
      <c r="B747" s="6"/>
      <c r="C747" s="11"/>
      <c r="D747" s="11"/>
      <c r="E747" s="6"/>
      <c r="F747" s="46"/>
      <c r="G747" s="6"/>
    </row>
    <row x14ac:dyDescent="0.25" r="748" customHeight="1" ht="14.25">
      <c r="A748" s="6"/>
      <c r="B748" s="6"/>
      <c r="C748" s="11"/>
      <c r="D748" s="11"/>
      <c r="E748" s="6"/>
      <c r="F748" s="46"/>
      <c r="G748" s="6"/>
    </row>
    <row x14ac:dyDescent="0.25" r="749" customHeight="1" ht="14.25">
      <c r="A749" s="6"/>
      <c r="B749" s="6"/>
      <c r="C749" s="11"/>
      <c r="D749" s="11"/>
      <c r="E749" s="6"/>
      <c r="F749" s="46"/>
      <c r="G749" s="6"/>
    </row>
    <row x14ac:dyDescent="0.25" r="750" customHeight="1" ht="14.25">
      <c r="A750" s="6"/>
      <c r="B750" s="6"/>
      <c r="C750" s="11"/>
      <c r="D750" s="11"/>
      <c r="E750" s="6"/>
      <c r="F750" s="46"/>
      <c r="G750" s="6"/>
    </row>
    <row x14ac:dyDescent="0.25" r="751" customHeight="1" ht="14.25">
      <c r="A751" s="6"/>
      <c r="B751" s="6"/>
      <c r="C751" s="11"/>
      <c r="D751" s="11"/>
      <c r="E751" s="6"/>
      <c r="F751" s="46"/>
      <c r="G751" s="6"/>
    </row>
    <row x14ac:dyDescent="0.25" r="752" customHeight="1" ht="14.25">
      <c r="A752" s="6"/>
      <c r="B752" s="6"/>
      <c r="C752" s="11"/>
      <c r="D752" s="11"/>
      <c r="E752" s="6"/>
      <c r="F752" s="46"/>
      <c r="G752" s="6"/>
    </row>
    <row x14ac:dyDescent="0.25" r="753" customHeight="1" ht="14.25">
      <c r="A753" s="6"/>
      <c r="B753" s="6"/>
      <c r="C753" s="11"/>
      <c r="D753" s="11"/>
      <c r="E753" s="6"/>
      <c r="F753" s="46"/>
      <c r="G753" s="6"/>
    </row>
    <row x14ac:dyDescent="0.25" r="754" customHeight="1" ht="14.25">
      <c r="A754" s="6"/>
      <c r="B754" s="6"/>
      <c r="C754" s="11"/>
      <c r="D754" s="11"/>
      <c r="E754" s="6"/>
      <c r="F754" s="46"/>
      <c r="G754" s="6"/>
    </row>
    <row x14ac:dyDescent="0.25" r="755" customHeight="1" ht="14.25">
      <c r="A755" s="6"/>
      <c r="B755" s="6"/>
      <c r="C755" s="11"/>
      <c r="D755" s="11"/>
      <c r="E755" s="6"/>
      <c r="F755" s="46"/>
      <c r="G755" s="6"/>
    </row>
    <row x14ac:dyDescent="0.25" r="756" customHeight="1" ht="14.25">
      <c r="A756" s="6"/>
      <c r="B756" s="6"/>
      <c r="C756" s="11"/>
      <c r="D756" s="11"/>
      <c r="E756" s="6"/>
      <c r="F756" s="46"/>
      <c r="G756" s="6"/>
    </row>
    <row x14ac:dyDescent="0.25" r="757" customHeight="1" ht="14.25">
      <c r="A757" s="6"/>
      <c r="B757" s="6"/>
      <c r="C757" s="11"/>
      <c r="D757" s="11"/>
      <c r="E757" s="6"/>
      <c r="F757" s="46"/>
      <c r="G757" s="6"/>
    </row>
    <row x14ac:dyDescent="0.25" r="758" customHeight="1" ht="14.25">
      <c r="A758" s="6"/>
      <c r="B758" s="6"/>
      <c r="C758" s="11"/>
      <c r="D758" s="11"/>
      <c r="E758" s="6"/>
      <c r="F758" s="46"/>
      <c r="G758" s="6"/>
    </row>
    <row x14ac:dyDescent="0.25" r="759" customHeight="1" ht="14.25">
      <c r="A759" s="6"/>
      <c r="B759" s="6"/>
      <c r="C759" s="11"/>
      <c r="D759" s="11"/>
      <c r="E759" s="6"/>
      <c r="F759" s="46"/>
      <c r="G759" s="6"/>
    </row>
    <row x14ac:dyDescent="0.25" r="760" customHeight="1" ht="14.25">
      <c r="A760" s="6"/>
      <c r="B760" s="6"/>
      <c r="C760" s="11"/>
      <c r="D760" s="11"/>
      <c r="E760" s="6"/>
      <c r="F760" s="46"/>
      <c r="G760" s="6"/>
    </row>
    <row x14ac:dyDescent="0.25" r="761" customHeight="1" ht="14.25">
      <c r="A761" s="6"/>
      <c r="B761" s="6"/>
      <c r="C761" s="11"/>
      <c r="D761" s="11"/>
      <c r="E761" s="6"/>
      <c r="F761" s="46"/>
      <c r="G761" s="6"/>
    </row>
    <row x14ac:dyDescent="0.25" r="762" customHeight="1" ht="14.25">
      <c r="A762" s="6"/>
      <c r="B762" s="6"/>
      <c r="C762" s="11"/>
      <c r="D762" s="11"/>
      <c r="E762" s="6"/>
      <c r="F762" s="46"/>
      <c r="G762" s="6"/>
    </row>
    <row x14ac:dyDescent="0.25" r="763" customHeight="1" ht="14.25">
      <c r="A763" s="6"/>
      <c r="B763" s="6"/>
      <c r="C763" s="11"/>
      <c r="D763" s="11"/>
      <c r="E763" s="6"/>
      <c r="F763" s="46"/>
      <c r="G763" s="6"/>
    </row>
    <row x14ac:dyDescent="0.25" r="764" customHeight="1" ht="14.25">
      <c r="A764" s="6"/>
      <c r="B764" s="6"/>
      <c r="C764" s="11"/>
      <c r="D764" s="11"/>
      <c r="E764" s="6"/>
      <c r="F764" s="46"/>
      <c r="G764" s="6"/>
    </row>
    <row x14ac:dyDescent="0.25" r="765" customHeight="1" ht="14.25">
      <c r="A765" s="6"/>
      <c r="B765" s="6"/>
      <c r="C765" s="11"/>
      <c r="D765" s="11"/>
      <c r="E765" s="6"/>
      <c r="F765" s="46"/>
      <c r="G765" s="6"/>
    </row>
    <row x14ac:dyDescent="0.25" r="766" customHeight="1" ht="14.25">
      <c r="A766" s="6"/>
      <c r="B766" s="6"/>
      <c r="C766" s="11"/>
      <c r="D766" s="11"/>
      <c r="E766" s="6"/>
      <c r="F766" s="46"/>
      <c r="G766" s="6"/>
    </row>
    <row x14ac:dyDescent="0.25" r="767" customHeight="1" ht="14.25">
      <c r="A767" s="6"/>
      <c r="B767" s="6"/>
      <c r="C767" s="11"/>
      <c r="D767" s="11"/>
      <c r="E767" s="6"/>
      <c r="F767" s="46"/>
      <c r="G767" s="6"/>
    </row>
    <row x14ac:dyDescent="0.25" r="768" customHeight="1" ht="14.25">
      <c r="A768" s="6"/>
      <c r="B768" s="6"/>
      <c r="C768" s="11"/>
      <c r="D768" s="11"/>
      <c r="E768" s="6"/>
      <c r="F768" s="46"/>
      <c r="G768" s="6"/>
    </row>
    <row x14ac:dyDescent="0.25" r="769" customHeight="1" ht="14.25">
      <c r="A769" s="6"/>
      <c r="B769" s="6"/>
      <c r="C769" s="11"/>
      <c r="D769" s="11"/>
      <c r="E769" s="6"/>
      <c r="F769" s="46"/>
      <c r="G769" s="6"/>
    </row>
    <row x14ac:dyDescent="0.25" r="770" customHeight="1" ht="14.25">
      <c r="A770" s="6"/>
      <c r="B770" s="6"/>
      <c r="C770" s="11"/>
      <c r="D770" s="11"/>
      <c r="E770" s="6"/>
      <c r="F770" s="46"/>
      <c r="G770" s="6"/>
    </row>
    <row x14ac:dyDescent="0.25" r="771" customHeight="1" ht="14.25">
      <c r="A771" s="6"/>
      <c r="B771" s="6"/>
      <c r="C771" s="11"/>
      <c r="D771" s="11"/>
      <c r="E771" s="6"/>
      <c r="F771" s="46"/>
      <c r="G771" s="6"/>
    </row>
    <row x14ac:dyDescent="0.25" r="772" customHeight="1" ht="14.25">
      <c r="A772" s="6"/>
      <c r="B772" s="6"/>
      <c r="C772" s="11"/>
      <c r="D772" s="11"/>
      <c r="E772" s="6"/>
      <c r="F772" s="46"/>
      <c r="G772" s="6"/>
    </row>
    <row x14ac:dyDescent="0.25" r="773" customHeight="1" ht="14.25">
      <c r="A773" s="6"/>
      <c r="B773" s="6"/>
      <c r="C773" s="11"/>
      <c r="D773" s="11"/>
      <c r="E773" s="6"/>
      <c r="F773" s="46"/>
      <c r="G773" s="6"/>
    </row>
    <row x14ac:dyDescent="0.25" r="774" customHeight="1" ht="14.25">
      <c r="A774" s="6"/>
      <c r="B774" s="6"/>
      <c r="C774" s="11"/>
      <c r="D774" s="11"/>
      <c r="E774" s="6"/>
      <c r="F774" s="46"/>
      <c r="G774" s="6"/>
    </row>
    <row x14ac:dyDescent="0.25" r="775" customHeight="1" ht="14.25">
      <c r="A775" s="6"/>
      <c r="B775" s="6"/>
      <c r="C775" s="11"/>
      <c r="D775" s="11"/>
      <c r="E775" s="6"/>
      <c r="F775" s="46"/>
      <c r="G775" s="6"/>
    </row>
    <row x14ac:dyDescent="0.25" r="776" customHeight="1" ht="14.25">
      <c r="A776" s="6"/>
      <c r="B776" s="6"/>
      <c r="C776" s="11"/>
      <c r="D776" s="11"/>
      <c r="E776" s="6"/>
      <c r="F776" s="46"/>
      <c r="G776" s="6"/>
    </row>
    <row x14ac:dyDescent="0.25" r="777" customHeight="1" ht="14.25">
      <c r="A777" s="6"/>
      <c r="B777" s="6"/>
      <c r="C777" s="11"/>
      <c r="D777" s="11"/>
      <c r="E777" s="6"/>
      <c r="F777" s="46"/>
      <c r="G777" s="6"/>
    </row>
    <row x14ac:dyDescent="0.25" r="778" customHeight="1" ht="14.25">
      <c r="A778" s="6"/>
      <c r="B778" s="6"/>
      <c r="C778" s="11"/>
      <c r="D778" s="11"/>
      <c r="E778" s="6"/>
      <c r="F778" s="46"/>
      <c r="G778" s="6"/>
    </row>
    <row x14ac:dyDescent="0.25" r="779" customHeight="1" ht="14.25">
      <c r="A779" s="6"/>
      <c r="B779" s="6"/>
      <c r="C779" s="11"/>
      <c r="D779" s="11"/>
      <c r="E779" s="6"/>
      <c r="F779" s="46"/>
      <c r="G779" s="6"/>
    </row>
    <row x14ac:dyDescent="0.25" r="780" customHeight="1" ht="14.25">
      <c r="A780" s="6"/>
      <c r="B780" s="6"/>
      <c r="C780" s="11"/>
      <c r="D780" s="11"/>
      <c r="E780" s="6"/>
      <c r="F780" s="46"/>
      <c r="G780" s="6"/>
    </row>
    <row x14ac:dyDescent="0.25" r="781" customHeight="1" ht="14.25">
      <c r="A781" s="6"/>
      <c r="B781" s="6"/>
      <c r="C781" s="11"/>
      <c r="D781" s="11"/>
      <c r="E781" s="6"/>
      <c r="F781" s="46"/>
      <c r="G781" s="6"/>
    </row>
    <row x14ac:dyDescent="0.25" r="782" customHeight="1" ht="14.25">
      <c r="A782" s="6"/>
      <c r="B782" s="6"/>
      <c r="C782" s="11"/>
      <c r="D782" s="11"/>
      <c r="E782" s="6"/>
      <c r="F782" s="46"/>
      <c r="G782" s="6"/>
    </row>
    <row x14ac:dyDescent="0.25" r="783" customHeight="1" ht="14.25">
      <c r="A783" s="6"/>
      <c r="B783" s="6"/>
      <c r="C783" s="11"/>
      <c r="D783" s="11"/>
      <c r="E783" s="6"/>
      <c r="F783" s="46"/>
      <c r="G783" s="6"/>
    </row>
    <row x14ac:dyDescent="0.25" r="784" customHeight="1" ht="14.25">
      <c r="A784" s="6"/>
      <c r="B784" s="6"/>
      <c r="C784" s="11"/>
      <c r="D784" s="11"/>
      <c r="E784" s="6"/>
      <c r="F784" s="46"/>
      <c r="G784" s="6"/>
    </row>
    <row x14ac:dyDescent="0.25" r="785" customHeight="1" ht="14.25">
      <c r="A785" s="6"/>
      <c r="B785" s="6"/>
      <c r="C785" s="11"/>
      <c r="D785" s="11"/>
      <c r="E785" s="6"/>
      <c r="F785" s="46"/>
      <c r="G785" s="6"/>
    </row>
    <row x14ac:dyDescent="0.25" r="786" customHeight="1" ht="14.25">
      <c r="A786" s="6"/>
      <c r="B786" s="6"/>
      <c r="C786" s="11"/>
      <c r="D786" s="11"/>
      <c r="E786" s="6"/>
      <c r="F786" s="46"/>
      <c r="G786" s="6"/>
    </row>
    <row x14ac:dyDescent="0.25" r="787" customHeight="1" ht="14.25">
      <c r="A787" s="6"/>
      <c r="B787" s="6"/>
      <c r="C787" s="11"/>
      <c r="D787" s="11"/>
      <c r="E787" s="6"/>
      <c r="F787" s="46"/>
      <c r="G787" s="6"/>
    </row>
    <row x14ac:dyDescent="0.25" r="788" customHeight="1" ht="14.25">
      <c r="A788" s="6"/>
      <c r="B788" s="6"/>
      <c r="C788" s="11"/>
      <c r="D788" s="11"/>
      <c r="E788" s="6"/>
      <c r="F788" s="46"/>
      <c r="G788" s="6"/>
    </row>
    <row x14ac:dyDescent="0.25" r="789" customHeight="1" ht="14.25">
      <c r="A789" s="6"/>
      <c r="B789" s="6"/>
      <c r="C789" s="11"/>
      <c r="D789" s="11"/>
      <c r="E789" s="6"/>
      <c r="F789" s="46"/>
      <c r="G789" s="6"/>
    </row>
    <row x14ac:dyDescent="0.25" r="790" customHeight="1" ht="14.25">
      <c r="A790" s="6"/>
      <c r="B790" s="6"/>
      <c r="C790" s="11"/>
      <c r="D790" s="11"/>
      <c r="E790" s="6"/>
      <c r="F790" s="46"/>
      <c r="G790" s="6"/>
    </row>
    <row x14ac:dyDescent="0.25" r="791" customHeight="1" ht="14.25">
      <c r="A791" s="6"/>
      <c r="B791" s="6"/>
      <c r="C791" s="11"/>
      <c r="D791" s="11"/>
      <c r="E791" s="6"/>
      <c r="F791" s="46"/>
      <c r="G791" s="6"/>
    </row>
    <row x14ac:dyDescent="0.25" r="792" customHeight="1" ht="14.25">
      <c r="A792" s="6"/>
      <c r="B792" s="6"/>
      <c r="C792" s="11"/>
      <c r="D792" s="11"/>
      <c r="E792" s="6"/>
      <c r="F792" s="46"/>
      <c r="G792" s="6"/>
    </row>
    <row x14ac:dyDescent="0.25" r="793" customHeight="1" ht="14.25">
      <c r="A793" s="6"/>
      <c r="B793" s="6"/>
      <c r="C793" s="11"/>
      <c r="D793" s="11"/>
      <c r="E793" s="6"/>
      <c r="F793" s="46"/>
      <c r="G793" s="6"/>
    </row>
    <row x14ac:dyDescent="0.25" r="794" customHeight="1" ht="14.25">
      <c r="A794" s="6"/>
      <c r="B794" s="6"/>
      <c r="C794" s="11"/>
      <c r="D794" s="11"/>
      <c r="E794" s="6"/>
      <c r="F794" s="46"/>
      <c r="G794" s="6"/>
    </row>
    <row x14ac:dyDescent="0.25" r="795" customHeight="1" ht="14.25">
      <c r="A795" s="6"/>
      <c r="B795" s="6"/>
      <c r="C795" s="11"/>
      <c r="D795" s="11"/>
      <c r="E795" s="6"/>
      <c r="F795" s="46"/>
      <c r="G795" s="6"/>
    </row>
    <row x14ac:dyDescent="0.25" r="796" customHeight="1" ht="14.25">
      <c r="A796" s="6"/>
      <c r="B796" s="6"/>
      <c r="C796" s="11"/>
      <c r="D796" s="11"/>
      <c r="E796" s="6"/>
      <c r="F796" s="46"/>
      <c r="G796" s="6"/>
    </row>
    <row x14ac:dyDescent="0.25" r="797" customHeight="1" ht="14.25">
      <c r="A797" s="6"/>
      <c r="B797" s="6"/>
      <c r="C797" s="11"/>
      <c r="D797" s="11"/>
      <c r="E797" s="6"/>
      <c r="F797" s="46"/>
      <c r="G797" s="6"/>
    </row>
    <row x14ac:dyDescent="0.25" r="798" customHeight="1" ht="14.25">
      <c r="A798" s="6"/>
      <c r="B798" s="6"/>
      <c r="C798" s="11"/>
      <c r="D798" s="11"/>
      <c r="E798" s="6"/>
      <c r="F798" s="46"/>
      <c r="G798" s="6"/>
    </row>
    <row x14ac:dyDescent="0.25" r="799" customHeight="1" ht="14.25">
      <c r="A799" s="6"/>
      <c r="B799" s="6"/>
      <c r="C799" s="11"/>
      <c r="D799" s="11"/>
      <c r="E799" s="6"/>
      <c r="F799" s="46"/>
      <c r="G799" s="6"/>
    </row>
    <row x14ac:dyDescent="0.25" r="800" customHeight="1" ht="14.25">
      <c r="A800" s="6"/>
      <c r="B800" s="6"/>
      <c r="C800" s="11"/>
      <c r="D800" s="11"/>
      <c r="E800" s="6"/>
      <c r="F800" s="46"/>
      <c r="G800" s="6"/>
    </row>
    <row x14ac:dyDescent="0.25" r="801" customHeight="1" ht="14.25">
      <c r="A801" s="6"/>
      <c r="B801" s="6"/>
      <c r="C801" s="11"/>
      <c r="D801" s="11"/>
      <c r="E801" s="6"/>
      <c r="F801" s="46"/>
      <c r="G801" s="6"/>
    </row>
    <row x14ac:dyDescent="0.25" r="802" customHeight="1" ht="14.25">
      <c r="A802" s="6"/>
      <c r="B802" s="6"/>
      <c r="C802" s="11"/>
      <c r="D802" s="11"/>
      <c r="E802" s="6"/>
      <c r="F802" s="46"/>
      <c r="G802" s="6"/>
    </row>
    <row x14ac:dyDescent="0.25" r="803" customHeight="1" ht="14.25">
      <c r="A803" s="6"/>
      <c r="B803" s="6"/>
      <c r="C803" s="11"/>
      <c r="D803" s="11"/>
      <c r="E803" s="6"/>
      <c r="F803" s="46"/>
      <c r="G803" s="6"/>
    </row>
    <row x14ac:dyDescent="0.25" r="804" customHeight="1" ht="14.25">
      <c r="A804" s="6"/>
      <c r="B804" s="6"/>
      <c r="C804" s="11"/>
      <c r="D804" s="11"/>
      <c r="E804" s="6"/>
      <c r="F804" s="46"/>
      <c r="G804" s="6"/>
    </row>
    <row x14ac:dyDescent="0.25" r="805" customHeight="1" ht="14.25">
      <c r="A805" s="6"/>
      <c r="B805" s="6"/>
      <c r="C805" s="11"/>
      <c r="D805" s="11"/>
      <c r="E805" s="6"/>
      <c r="F805" s="46"/>
      <c r="G805" s="6"/>
    </row>
    <row x14ac:dyDescent="0.25" r="806" customHeight="1" ht="14.25">
      <c r="A806" s="6"/>
      <c r="B806" s="6"/>
      <c r="C806" s="11"/>
      <c r="D806" s="11"/>
      <c r="E806" s="6"/>
      <c r="F806" s="46"/>
      <c r="G806" s="6"/>
    </row>
    <row x14ac:dyDescent="0.25" r="807" customHeight="1" ht="14.25">
      <c r="A807" s="6"/>
      <c r="B807" s="6"/>
      <c r="C807" s="11"/>
      <c r="D807" s="11"/>
      <c r="E807" s="6"/>
      <c r="F807" s="46"/>
      <c r="G807" s="6"/>
    </row>
    <row x14ac:dyDescent="0.25" r="808" customHeight="1" ht="14.25">
      <c r="A808" s="6"/>
      <c r="B808" s="6"/>
      <c r="C808" s="11"/>
      <c r="D808" s="11"/>
      <c r="E808" s="6"/>
      <c r="F808" s="46"/>
      <c r="G808" s="6"/>
    </row>
    <row x14ac:dyDescent="0.25" r="809" customHeight="1" ht="14.25">
      <c r="A809" s="6"/>
      <c r="B809" s="6"/>
      <c r="C809" s="11"/>
      <c r="D809" s="11"/>
      <c r="E809" s="6"/>
      <c r="F809" s="46"/>
      <c r="G809" s="6"/>
    </row>
    <row x14ac:dyDescent="0.25" r="810" customHeight="1" ht="14.25">
      <c r="A810" s="6"/>
      <c r="B810" s="6"/>
      <c r="C810" s="11"/>
      <c r="D810" s="11"/>
      <c r="E810" s="6"/>
      <c r="F810" s="46"/>
      <c r="G810" s="6"/>
    </row>
    <row x14ac:dyDescent="0.25" r="811" customHeight="1" ht="14.25">
      <c r="A811" s="6"/>
      <c r="B811" s="6"/>
      <c r="C811" s="11"/>
      <c r="D811" s="11"/>
      <c r="E811" s="6"/>
      <c r="F811" s="46"/>
      <c r="G811" s="6"/>
    </row>
    <row x14ac:dyDescent="0.25" r="812" customHeight="1" ht="14.25">
      <c r="A812" s="6"/>
      <c r="B812" s="6"/>
      <c r="C812" s="11"/>
      <c r="D812" s="11"/>
      <c r="E812" s="6"/>
      <c r="F812" s="46"/>
      <c r="G812" s="6"/>
    </row>
    <row x14ac:dyDescent="0.25" r="813" customHeight="1" ht="14.25">
      <c r="A813" s="6"/>
      <c r="B813" s="6"/>
      <c r="C813" s="11"/>
      <c r="D813" s="11"/>
      <c r="E813" s="6"/>
      <c r="F813" s="46"/>
      <c r="G813" s="6"/>
    </row>
    <row x14ac:dyDescent="0.25" r="814" customHeight="1" ht="14.25">
      <c r="A814" s="6"/>
      <c r="B814" s="6"/>
      <c r="C814" s="11"/>
      <c r="D814" s="11"/>
      <c r="E814" s="6"/>
      <c r="F814" s="46"/>
      <c r="G814" s="6"/>
    </row>
    <row x14ac:dyDescent="0.25" r="815" customHeight="1" ht="14.25">
      <c r="A815" s="6"/>
      <c r="B815" s="6"/>
      <c r="C815" s="11"/>
      <c r="D815" s="11"/>
      <c r="E815" s="6"/>
      <c r="F815" s="46"/>
      <c r="G815" s="6"/>
    </row>
    <row x14ac:dyDescent="0.25" r="816" customHeight="1" ht="14.25">
      <c r="A816" s="6"/>
      <c r="B816" s="6"/>
      <c r="C816" s="11"/>
      <c r="D816" s="11"/>
      <c r="E816" s="6"/>
      <c r="F816" s="46"/>
      <c r="G816" s="6"/>
    </row>
    <row x14ac:dyDescent="0.25" r="817" customHeight="1" ht="14.25">
      <c r="A817" s="6"/>
      <c r="B817" s="6"/>
      <c r="C817" s="11"/>
      <c r="D817" s="11"/>
      <c r="E817" s="6"/>
      <c r="F817" s="46"/>
      <c r="G817" s="6"/>
    </row>
    <row x14ac:dyDescent="0.25" r="818" customHeight="1" ht="14.25">
      <c r="A818" s="6"/>
      <c r="B818" s="6"/>
      <c r="C818" s="11"/>
      <c r="D818" s="11"/>
      <c r="E818" s="6"/>
      <c r="F818" s="46"/>
      <c r="G818" s="6"/>
    </row>
    <row x14ac:dyDescent="0.25" r="819" customHeight="1" ht="14.25">
      <c r="A819" s="6"/>
      <c r="B819" s="6"/>
      <c r="C819" s="11"/>
      <c r="D819" s="11"/>
      <c r="E819" s="6"/>
      <c r="F819" s="46"/>
      <c r="G819" s="6"/>
    </row>
    <row x14ac:dyDescent="0.25" r="820" customHeight="1" ht="14.25">
      <c r="A820" s="6"/>
      <c r="B820" s="6"/>
      <c r="C820" s="11"/>
      <c r="D820" s="11"/>
      <c r="E820" s="6"/>
      <c r="F820" s="46"/>
      <c r="G820" s="6"/>
    </row>
    <row x14ac:dyDescent="0.25" r="821" customHeight="1" ht="14.25">
      <c r="A821" s="6"/>
      <c r="B821" s="6"/>
      <c r="C821" s="11"/>
      <c r="D821" s="11"/>
      <c r="E821" s="6"/>
      <c r="F821" s="46"/>
      <c r="G821" s="6"/>
    </row>
    <row x14ac:dyDescent="0.25" r="822" customHeight="1" ht="14.25">
      <c r="A822" s="6"/>
      <c r="B822" s="6"/>
      <c r="C822" s="11"/>
      <c r="D822" s="11"/>
      <c r="E822" s="6"/>
      <c r="F822" s="46"/>
      <c r="G822" s="6"/>
    </row>
    <row x14ac:dyDescent="0.25" r="823" customHeight="1" ht="14.25">
      <c r="A823" s="6"/>
      <c r="B823" s="6"/>
      <c r="C823" s="11"/>
      <c r="D823" s="11"/>
      <c r="E823" s="6"/>
      <c r="F823" s="46"/>
      <c r="G823" s="6"/>
    </row>
    <row x14ac:dyDescent="0.25" r="824" customHeight="1" ht="14.25">
      <c r="A824" s="6"/>
      <c r="B824" s="6"/>
      <c r="C824" s="11"/>
      <c r="D824" s="11"/>
      <c r="E824" s="6"/>
      <c r="F824" s="46"/>
      <c r="G824" s="6"/>
    </row>
    <row x14ac:dyDescent="0.25" r="825" customHeight="1" ht="14.25">
      <c r="A825" s="6"/>
      <c r="B825" s="6"/>
      <c r="C825" s="11"/>
      <c r="D825" s="11"/>
      <c r="E825" s="6"/>
      <c r="F825" s="46"/>
      <c r="G825" s="6"/>
    </row>
    <row x14ac:dyDescent="0.25" r="826" customHeight="1" ht="14.25">
      <c r="A826" s="6"/>
      <c r="B826" s="6"/>
      <c r="C826" s="11"/>
      <c r="D826" s="11"/>
      <c r="E826" s="6"/>
      <c r="F826" s="46"/>
      <c r="G826" s="6"/>
    </row>
    <row x14ac:dyDescent="0.25" r="827" customHeight="1" ht="14.25">
      <c r="A827" s="6"/>
      <c r="B827" s="6"/>
      <c r="C827" s="11"/>
      <c r="D827" s="11"/>
      <c r="E827" s="6"/>
      <c r="F827" s="46"/>
      <c r="G827" s="6"/>
    </row>
    <row x14ac:dyDescent="0.25" r="828" customHeight="1" ht="14.25">
      <c r="A828" s="6"/>
      <c r="B828" s="6"/>
      <c r="C828" s="11"/>
      <c r="D828" s="11"/>
      <c r="E828" s="6"/>
      <c r="F828" s="46"/>
      <c r="G828" s="6"/>
    </row>
    <row x14ac:dyDescent="0.25" r="829" customHeight="1" ht="14.25">
      <c r="A829" s="6"/>
      <c r="B829" s="6"/>
      <c r="C829" s="11"/>
      <c r="D829" s="11"/>
      <c r="E829" s="6"/>
      <c r="F829" s="46"/>
      <c r="G829" s="6"/>
    </row>
    <row x14ac:dyDescent="0.25" r="830" customHeight="1" ht="14.25">
      <c r="A830" s="6"/>
      <c r="B830" s="6"/>
      <c r="C830" s="11"/>
      <c r="D830" s="11"/>
      <c r="E830" s="6"/>
      <c r="F830" s="46"/>
      <c r="G830" s="6"/>
    </row>
    <row x14ac:dyDescent="0.25" r="831" customHeight="1" ht="14.25">
      <c r="A831" s="6"/>
      <c r="B831" s="6"/>
      <c r="C831" s="11"/>
      <c r="D831" s="11"/>
      <c r="E831" s="6"/>
      <c r="F831" s="46"/>
      <c r="G831" s="6"/>
    </row>
    <row x14ac:dyDescent="0.25" r="832" customHeight="1" ht="14.25">
      <c r="A832" s="6"/>
      <c r="B832" s="6"/>
      <c r="C832" s="11"/>
      <c r="D832" s="11"/>
      <c r="E832" s="6"/>
      <c r="F832" s="46"/>
      <c r="G832" s="6"/>
    </row>
    <row x14ac:dyDescent="0.25" r="833" customHeight="1" ht="14.25">
      <c r="A833" s="6"/>
      <c r="B833" s="6"/>
      <c r="C833" s="11"/>
      <c r="D833" s="11"/>
      <c r="E833" s="6"/>
      <c r="F833" s="46"/>
      <c r="G833" s="6"/>
    </row>
    <row x14ac:dyDescent="0.25" r="834" customHeight="1" ht="14.25">
      <c r="A834" s="6"/>
      <c r="B834" s="6"/>
      <c r="C834" s="11"/>
      <c r="D834" s="11"/>
      <c r="E834" s="6"/>
      <c r="F834" s="46"/>
      <c r="G834" s="6"/>
    </row>
    <row x14ac:dyDescent="0.25" r="835" customHeight="1" ht="14.25">
      <c r="A835" s="6"/>
      <c r="B835" s="6"/>
      <c r="C835" s="11"/>
      <c r="D835" s="11"/>
      <c r="E835" s="6"/>
      <c r="F835" s="46"/>
      <c r="G835" s="6"/>
    </row>
    <row x14ac:dyDescent="0.25" r="836" customHeight="1" ht="14.25">
      <c r="A836" s="6"/>
      <c r="B836" s="6"/>
      <c r="C836" s="11"/>
      <c r="D836" s="11"/>
      <c r="E836" s="6"/>
      <c r="F836" s="46"/>
      <c r="G836" s="6"/>
    </row>
    <row x14ac:dyDescent="0.25" r="837" customHeight="1" ht="14.25">
      <c r="A837" s="6"/>
      <c r="B837" s="6"/>
      <c r="C837" s="11"/>
      <c r="D837" s="11"/>
      <c r="E837" s="6"/>
      <c r="F837" s="46"/>
      <c r="G837" s="6"/>
    </row>
    <row x14ac:dyDescent="0.25" r="838" customHeight="1" ht="14.25">
      <c r="A838" s="6"/>
      <c r="B838" s="6"/>
      <c r="C838" s="11"/>
      <c r="D838" s="11"/>
      <c r="E838" s="6"/>
      <c r="F838" s="46"/>
      <c r="G838" s="6"/>
    </row>
    <row x14ac:dyDescent="0.25" r="839" customHeight="1" ht="14.25">
      <c r="A839" s="6"/>
      <c r="B839" s="6"/>
      <c r="C839" s="11"/>
      <c r="D839" s="11"/>
      <c r="E839" s="6"/>
      <c r="F839" s="46"/>
      <c r="G839" s="6"/>
    </row>
    <row x14ac:dyDescent="0.25" r="840" customHeight="1" ht="14.25">
      <c r="A840" s="6"/>
      <c r="B840" s="6"/>
      <c r="C840" s="11"/>
      <c r="D840" s="11"/>
      <c r="E840" s="6"/>
      <c r="F840" s="46"/>
      <c r="G840" s="6"/>
    </row>
    <row x14ac:dyDescent="0.25" r="841" customHeight="1" ht="14.25">
      <c r="A841" s="6"/>
      <c r="B841" s="6"/>
      <c r="C841" s="11"/>
      <c r="D841" s="11"/>
      <c r="E841" s="6"/>
      <c r="F841" s="46"/>
      <c r="G841" s="6"/>
    </row>
    <row x14ac:dyDescent="0.25" r="842" customHeight="1" ht="14.25">
      <c r="A842" s="6"/>
      <c r="B842" s="6"/>
      <c r="C842" s="11"/>
      <c r="D842" s="11"/>
      <c r="E842" s="6"/>
      <c r="F842" s="46"/>
      <c r="G842" s="6"/>
    </row>
    <row x14ac:dyDescent="0.25" r="843" customHeight="1" ht="14.25">
      <c r="A843" s="6"/>
      <c r="B843" s="6"/>
      <c r="C843" s="11"/>
      <c r="D843" s="11"/>
      <c r="E843" s="6"/>
      <c r="F843" s="46"/>
      <c r="G843" s="6"/>
    </row>
    <row x14ac:dyDescent="0.25" r="844" customHeight="1" ht="14.25">
      <c r="A844" s="6"/>
      <c r="B844" s="6"/>
      <c r="C844" s="11"/>
      <c r="D844" s="11"/>
      <c r="E844" s="6"/>
      <c r="F844" s="46"/>
      <c r="G844" s="6"/>
    </row>
    <row x14ac:dyDescent="0.25" r="845" customHeight="1" ht="14.25">
      <c r="A845" s="6"/>
      <c r="B845" s="6"/>
      <c r="C845" s="11"/>
      <c r="D845" s="11"/>
      <c r="E845" s="6"/>
      <c r="F845" s="46"/>
      <c r="G845" s="6"/>
    </row>
    <row x14ac:dyDescent="0.25" r="846" customHeight="1" ht="14.25">
      <c r="A846" s="6"/>
      <c r="B846" s="6"/>
      <c r="C846" s="11"/>
      <c r="D846" s="11"/>
      <c r="E846" s="6"/>
      <c r="F846" s="46"/>
      <c r="G846" s="6"/>
    </row>
    <row x14ac:dyDescent="0.25" r="847" customHeight="1" ht="14.25">
      <c r="A847" s="6"/>
      <c r="B847" s="6"/>
      <c r="C847" s="11"/>
      <c r="D847" s="11"/>
      <c r="E847" s="6"/>
      <c r="F847" s="46"/>
      <c r="G847" s="6"/>
    </row>
    <row x14ac:dyDescent="0.25" r="848" customHeight="1" ht="14.25">
      <c r="A848" s="6"/>
      <c r="B848" s="6"/>
      <c r="C848" s="11"/>
      <c r="D848" s="11"/>
      <c r="E848" s="6"/>
      <c r="F848" s="46"/>
      <c r="G848" s="6"/>
    </row>
    <row x14ac:dyDescent="0.25" r="849" customHeight="1" ht="14.25">
      <c r="A849" s="6"/>
      <c r="B849" s="6"/>
      <c r="C849" s="11"/>
      <c r="D849" s="11"/>
      <c r="E849" s="6"/>
      <c r="F849" s="46"/>
      <c r="G849" s="6"/>
    </row>
    <row x14ac:dyDescent="0.25" r="850" customHeight="1" ht="14.25">
      <c r="A850" s="6"/>
      <c r="B850" s="6"/>
      <c r="C850" s="11"/>
      <c r="D850" s="11"/>
      <c r="E850" s="6"/>
      <c r="F850" s="46"/>
      <c r="G850" s="6"/>
    </row>
    <row x14ac:dyDescent="0.25" r="851" customHeight="1" ht="14.25">
      <c r="A851" s="6"/>
      <c r="B851" s="6"/>
      <c r="C851" s="11"/>
      <c r="D851" s="11"/>
      <c r="E851" s="6"/>
      <c r="F851" s="46"/>
      <c r="G851" s="6"/>
    </row>
    <row x14ac:dyDescent="0.25" r="852" customHeight="1" ht="14.25">
      <c r="A852" s="6"/>
      <c r="B852" s="6"/>
      <c r="C852" s="11"/>
      <c r="D852" s="11"/>
      <c r="E852" s="6"/>
      <c r="F852" s="46"/>
      <c r="G852" s="6"/>
    </row>
    <row x14ac:dyDescent="0.25" r="853" customHeight="1" ht="14.25">
      <c r="A853" s="6"/>
      <c r="B853" s="6"/>
      <c r="C853" s="11"/>
      <c r="D853" s="11"/>
      <c r="E853" s="6"/>
      <c r="F853" s="46"/>
      <c r="G853" s="6"/>
    </row>
    <row x14ac:dyDescent="0.25" r="854" customHeight="1" ht="14.25">
      <c r="A854" s="6"/>
      <c r="B854" s="6"/>
      <c r="C854" s="11"/>
      <c r="D854" s="11"/>
      <c r="E854" s="6"/>
      <c r="F854" s="46"/>
      <c r="G854" s="6"/>
    </row>
    <row x14ac:dyDescent="0.25" r="855" customHeight="1" ht="14.25">
      <c r="A855" s="6"/>
      <c r="B855" s="6"/>
      <c r="C855" s="11"/>
      <c r="D855" s="11"/>
      <c r="E855" s="6"/>
      <c r="F855" s="46"/>
      <c r="G855" s="6"/>
    </row>
    <row x14ac:dyDescent="0.25" r="856" customHeight="1" ht="14.25">
      <c r="A856" s="6"/>
      <c r="B856" s="6"/>
      <c r="C856" s="11"/>
      <c r="D856" s="11"/>
      <c r="E856" s="6"/>
      <c r="F856" s="46"/>
      <c r="G856" s="6"/>
    </row>
    <row x14ac:dyDescent="0.25" r="857" customHeight="1" ht="14.25">
      <c r="A857" s="6"/>
      <c r="B857" s="6"/>
      <c r="C857" s="11"/>
      <c r="D857" s="11"/>
      <c r="E857" s="6"/>
      <c r="F857" s="46"/>
      <c r="G857" s="6"/>
    </row>
    <row x14ac:dyDescent="0.25" r="858" customHeight="1" ht="14.25">
      <c r="A858" s="6"/>
      <c r="B858" s="6"/>
      <c r="C858" s="11"/>
      <c r="D858" s="11"/>
      <c r="E858" s="6"/>
      <c r="F858" s="46"/>
      <c r="G858" s="6"/>
    </row>
    <row x14ac:dyDescent="0.25" r="859" customHeight="1" ht="14.25">
      <c r="A859" s="6"/>
      <c r="B859" s="6"/>
      <c r="C859" s="11"/>
      <c r="D859" s="11"/>
      <c r="E859" s="6"/>
      <c r="F859" s="46"/>
      <c r="G859" s="6"/>
    </row>
    <row x14ac:dyDescent="0.25" r="860" customHeight="1" ht="14.25">
      <c r="A860" s="6"/>
      <c r="B860" s="6"/>
      <c r="C860" s="11"/>
      <c r="D860" s="11"/>
      <c r="E860" s="6"/>
      <c r="F860" s="46"/>
      <c r="G860" s="6"/>
    </row>
    <row x14ac:dyDescent="0.25" r="861" customHeight="1" ht="14.25">
      <c r="A861" s="6"/>
      <c r="B861" s="6"/>
      <c r="C861" s="11"/>
      <c r="D861" s="11"/>
      <c r="E861" s="6"/>
      <c r="F861" s="46"/>
      <c r="G861" s="6"/>
    </row>
    <row x14ac:dyDescent="0.25" r="862" customHeight="1" ht="14.25">
      <c r="A862" s="6"/>
      <c r="B862" s="6"/>
      <c r="C862" s="11"/>
      <c r="D862" s="11"/>
      <c r="E862" s="6"/>
      <c r="F862" s="46"/>
      <c r="G862" s="6"/>
    </row>
    <row x14ac:dyDescent="0.25" r="863" customHeight="1" ht="14.25">
      <c r="A863" s="6"/>
      <c r="B863" s="6"/>
      <c r="C863" s="11"/>
      <c r="D863" s="11"/>
      <c r="E863" s="6"/>
      <c r="F863" s="46"/>
      <c r="G863" s="6"/>
    </row>
    <row x14ac:dyDescent="0.25" r="864" customHeight="1" ht="14.25">
      <c r="A864" s="6"/>
      <c r="B864" s="6"/>
      <c r="C864" s="11"/>
      <c r="D864" s="11"/>
      <c r="E864" s="6"/>
      <c r="F864" s="46"/>
      <c r="G864" s="6"/>
    </row>
    <row x14ac:dyDescent="0.25" r="865" customHeight="1" ht="14.25">
      <c r="A865" s="6"/>
      <c r="B865" s="6"/>
      <c r="C865" s="11"/>
      <c r="D865" s="11"/>
      <c r="E865" s="6"/>
      <c r="F865" s="46"/>
      <c r="G865" s="6"/>
    </row>
    <row x14ac:dyDescent="0.25" r="866" customHeight="1" ht="14.25">
      <c r="A866" s="6"/>
      <c r="B866" s="6"/>
      <c r="C866" s="11"/>
      <c r="D866" s="11"/>
      <c r="E866" s="6"/>
      <c r="F866" s="46"/>
      <c r="G866" s="6"/>
    </row>
    <row x14ac:dyDescent="0.25" r="867" customHeight="1" ht="14.25">
      <c r="A867" s="6"/>
      <c r="B867" s="6"/>
      <c r="C867" s="11"/>
      <c r="D867" s="11"/>
      <c r="E867" s="6"/>
      <c r="F867" s="46"/>
      <c r="G867" s="6"/>
    </row>
    <row x14ac:dyDescent="0.25" r="868" customHeight="1" ht="14.25">
      <c r="A868" s="6"/>
      <c r="B868" s="6"/>
      <c r="C868" s="11"/>
      <c r="D868" s="11"/>
      <c r="E868" s="6"/>
      <c r="F868" s="46"/>
      <c r="G868" s="6"/>
    </row>
    <row x14ac:dyDescent="0.25" r="869" customHeight="1" ht="14.25">
      <c r="A869" s="6"/>
      <c r="B869" s="6"/>
      <c r="C869" s="11"/>
      <c r="D869" s="11"/>
      <c r="E869" s="6"/>
      <c r="F869" s="46"/>
      <c r="G869" s="6"/>
    </row>
    <row x14ac:dyDescent="0.25" r="870" customHeight="1" ht="14.25">
      <c r="A870" s="6"/>
      <c r="B870" s="6"/>
      <c r="C870" s="11"/>
      <c r="D870" s="11"/>
      <c r="E870" s="6"/>
      <c r="F870" s="46"/>
      <c r="G870" s="6"/>
    </row>
    <row x14ac:dyDescent="0.25" r="871" customHeight="1" ht="14.25">
      <c r="A871" s="6"/>
      <c r="B871" s="6"/>
      <c r="C871" s="11"/>
      <c r="D871" s="11"/>
      <c r="E871" s="6"/>
      <c r="F871" s="46"/>
      <c r="G871" s="6"/>
    </row>
    <row x14ac:dyDescent="0.25" r="872" customHeight="1" ht="14.25">
      <c r="A872" s="6"/>
      <c r="B872" s="6"/>
      <c r="C872" s="11"/>
      <c r="D872" s="11"/>
      <c r="E872" s="6"/>
      <c r="F872" s="46"/>
      <c r="G872" s="6"/>
    </row>
    <row x14ac:dyDescent="0.25" r="873" customHeight="1" ht="14.25">
      <c r="A873" s="6"/>
      <c r="B873" s="6"/>
      <c r="C873" s="11"/>
      <c r="D873" s="11"/>
      <c r="E873" s="6"/>
      <c r="F873" s="46"/>
      <c r="G873" s="6"/>
    </row>
    <row x14ac:dyDescent="0.25" r="874" customHeight="1" ht="14.25">
      <c r="A874" s="6"/>
      <c r="B874" s="6"/>
      <c r="C874" s="11"/>
      <c r="D874" s="11"/>
      <c r="E874" s="6"/>
      <c r="F874" s="46"/>
      <c r="G874" s="6"/>
    </row>
    <row x14ac:dyDescent="0.25" r="875" customHeight="1" ht="14.25">
      <c r="A875" s="6"/>
      <c r="B875" s="6"/>
      <c r="C875" s="11"/>
      <c r="D875" s="11"/>
      <c r="E875" s="6"/>
      <c r="F875" s="46"/>
      <c r="G875" s="6"/>
    </row>
    <row x14ac:dyDescent="0.25" r="876" customHeight="1" ht="14.25">
      <c r="A876" s="6"/>
      <c r="B876" s="6"/>
      <c r="C876" s="11"/>
      <c r="D876" s="11"/>
      <c r="E876" s="6"/>
      <c r="F876" s="46"/>
      <c r="G876" s="6"/>
    </row>
    <row x14ac:dyDescent="0.25" r="877" customHeight="1" ht="14.25">
      <c r="A877" s="6"/>
      <c r="B877" s="6"/>
      <c r="C877" s="11"/>
      <c r="D877" s="11"/>
      <c r="E877" s="6"/>
      <c r="F877" s="46"/>
      <c r="G877" s="6"/>
    </row>
    <row x14ac:dyDescent="0.25" r="878" customHeight="1" ht="14.25">
      <c r="A878" s="6"/>
      <c r="B878" s="6"/>
      <c r="C878" s="11"/>
      <c r="D878" s="11"/>
      <c r="E878" s="6"/>
      <c r="F878" s="46"/>
      <c r="G878" s="6"/>
    </row>
    <row x14ac:dyDescent="0.25" r="879" customHeight="1" ht="14.25">
      <c r="A879" s="6"/>
      <c r="B879" s="6"/>
      <c r="C879" s="11"/>
      <c r="D879" s="11"/>
      <c r="E879" s="6"/>
      <c r="F879" s="46"/>
      <c r="G879" s="6"/>
    </row>
    <row x14ac:dyDescent="0.25" r="880" customHeight="1" ht="14.25">
      <c r="A880" s="6"/>
      <c r="B880" s="6"/>
      <c r="C880" s="11"/>
      <c r="D880" s="11"/>
      <c r="E880" s="6"/>
      <c r="F880" s="46"/>
      <c r="G880" s="6"/>
    </row>
    <row x14ac:dyDescent="0.25" r="881" customHeight="1" ht="14.25">
      <c r="A881" s="6"/>
      <c r="B881" s="6"/>
      <c r="C881" s="11"/>
      <c r="D881" s="11"/>
      <c r="E881" s="6"/>
      <c r="F881" s="46"/>
      <c r="G881" s="6"/>
    </row>
    <row x14ac:dyDescent="0.25" r="882" customHeight="1" ht="14.25">
      <c r="A882" s="6"/>
      <c r="B882" s="6"/>
      <c r="C882" s="11"/>
      <c r="D882" s="11"/>
      <c r="E882" s="6"/>
      <c r="F882" s="46"/>
      <c r="G882" s="6"/>
    </row>
    <row x14ac:dyDescent="0.25" r="883" customHeight="1" ht="14.25">
      <c r="A883" s="6"/>
      <c r="B883" s="6"/>
      <c r="C883" s="11"/>
      <c r="D883" s="11"/>
      <c r="E883" s="6"/>
      <c r="F883" s="46"/>
      <c r="G883" s="6"/>
    </row>
    <row x14ac:dyDescent="0.25" r="884" customHeight="1" ht="14.25">
      <c r="A884" s="6"/>
      <c r="B884" s="6"/>
      <c r="C884" s="11"/>
      <c r="D884" s="11"/>
      <c r="E884" s="6"/>
      <c r="F884" s="46"/>
      <c r="G884" s="6"/>
    </row>
    <row x14ac:dyDescent="0.25" r="885" customHeight="1" ht="14.25">
      <c r="A885" s="6"/>
      <c r="B885" s="6"/>
      <c r="C885" s="11"/>
      <c r="D885" s="11"/>
      <c r="E885" s="6"/>
      <c r="F885" s="46"/>
      <c r="G885" s="6"/>
    </row>
    <row x14ac:dyDescent="0.25" r="886" customHeight="1" ht="14.25">
      <c r="A886" s="6"/>
      <c r="B886" s="6"/>
      <c r="C886" s="11"/>
      <c r="D886" s="11"/>
      <c r="E886" s="6"/>
      <c r="F886" s="46"/>
      <c r="G886" s="6"/>
    </row>
    <row x14ac:dyDescent="0.25" r="887" customHeight="1" ht="14.25">
      <c r="A887" s="6"/>
      <c r="B887" s="6"/>
      <c r="C887" s="11"/>
      <c r="D887" s="11"/>
      <c r="E887" s="6"/>
      <c r="F887" s="46"/>
      <c r="G887" s="6"/>
    </row>
    <row x14ac:dyDescent="0.25" r="888" customHeight="1" ht="14.25">
      <c r="A888" s="6"/>
      <c r="B888" s="6"/>
      <c r="C888" s="11"/>
      <c r="D888" s="11"/>
      <c r="E888" s="6"/>
      <c r="F888" s="46"/>
      <c r="G888" s="6"/>
    </row>
    <row x14ac:dyDescent="0.25" r="889" customHeight="1" ht="14.25">
      <c r="A889" s="6"/>
      <c r="B889" s="6"/>
      <c r="C889" s="11"/>
      <c r="D889" s="11"/>
      <c r="E889" s="6"/>
      <c r="F889" s="46"/>
      <c r="G889" s="6"/>
    </row>
    <row x14ac:dyDescent="0.25" r="890" customHeight="1" ht="14.25">
      <c r="A890" s="6"/>
      <c r="B890" s="6"/>
      <c r="C890" s="11"/>
      <c r="D890" s="11"/>
      <c r="E890" s="6"/>
      <c r="F890" s="46"/>
      <c r="G890" s="6"/>
    </row>
    <row x14ac:dyDescent="0.25" r="891" customHeight="1" ht="14.25">
      <c r="A891" s="6"/>
      <c r="B891" s="6"/>
      <c r="C891" s="11"/>
      <c r="D891" s="11"/>
      <c r="E891" s="6"/>
      <c r="F891" s="46"/>
      <c r="G891" s="6"/>
    </row>
    <row x14ac:dyDescent="0.25" r="892" customHeight="1" ht="14.25">
      <c r="A892" s="6"/>
      <c r="B892" s="6"/>
      <c r="C892" s="11"/>
      <c r="D892" s="11"/>
      <c r="E892" s="6"/>
      <c r="F892" s="46"/>
      <c r="G892" s="6"/>
    </row>
    <row x14ac:dyDescent="0.25" r="893" customHeight="1" ht="14.25">
      <c r="A893" s="6"/>
      <c r="B893" s="6"/>
      <c r="C893" s="11"/>
      <c r="D893" s="11"/>
      <c r="E893" s="6"/>
      <c r="F893" s="46"/>
      <c r="G893" s="6"/>
    </row>
    <row x14ac:dyDescent="0.25" r="894" customHeight="1" ht="14.25">
      <c r="A894" s="6"/>
      <c r="B894" s="6"/>
      <c r="C894" s="11"/>
      <c r="D894" s="11"/>
      <c r="E894" s="6"/>
      <c r="F894" s="46"/>
      <c r="G894" s="6"/>
    </row>
    <row x14ac:dyDescent="0.25" r="895" customHeight="1" ht="14.25">
      <c r="A895" s="6"/>
      <c r="B895" s="6"/>
      <c r="C895" s="11"/>
      <c r="D895" s="11"/>
      <c r="E895" s="6"/>
      <c r="F895" s="46"/>
      <c r="G895" s="6"/>
    </row>
    <row x14ac:dyDescent="0.25" r="896" customHeight="1" ht="14.25">
      <c r="A896" s="6"/>
      <c r="B896" s="6"/>
      <c r="C896" s="11"/>
      <c r="D896" s="11"/>
      <c r="E896" s="6"/>
      <c r="F896" s="46"/>
      <c r="G896" s="6"/>
    </row>
    <row x14ac:dyDescent="0.25" r="897" customHeight="1" ht="14.25">
      <c r="A897" s="6"/>
      <c r="B897" s="6"/>
      <c r="C897" s="11"/>
      <c r="D897" s="11"/>
      <c r="E897" s="6"/>
      <c r="F897" s="46"/>
      <c r="G897" s="6"/>
    </row>
    <row x14ac:dyDescent="0.25" r="898" customHeight="1" ht="14.25">
      <c r="A898" s="6"/>
      <c r="B898" s="6"/>
      <c r="C898" s="11"/>
      <c r="D898" s="11"/>
      <c r="E898" s="6"/>
      <c r="F898" s="46"/>
      <c r="G898" s="6"/>
    </row>
    <row x14ac:dyDescent="0.25" r="899" customHeight="1" ht="14.25">
      <c r="A899" s="6"/>
      <c r="B899" s="6"/>
      <c r="C899" s="11"/>
      <c r="D899" s="11"/>
      <c r="E899" s="6"/>
      <c r="F899" s="46"/>
      <c r="G899" s="6"/>
    </row>
    <row x14ac:dyDescent="0.25" r="900" customHeight="1" ht="14.25">
      <c r="A900" s="6"/>
      <c r="B900" s="6"/>
      <c r="C900" s="11"/>
      <c r="D900" s="11"/>
      <c r="E900" s="6"/>
      <c r="F900" s="46"/>
      <c r="G900" s="6"/>
    </row>
    <row x14ac:dyDescent="0.25" r="901" customHeight="1" ht="14.25">
      <c r="A901" s="6"/>
      <c r="B901" s="6"/>
      <c r="C901" s="11"/>
      <c r="D901" s="11"/>
      <c r="E901" s="6"/>
      <c r="F901" s="46"/>
      <c r="G901" s="6"/>
    </row>
    <row x14ac:dyDescent="0.25" r="902" customHeight="1" ht="14.25">
      <c r="A902" s="6"/>
      <c r="B902" s="6"/>
      <c r="C902" s="11"/>
      <c r="D902" s="11"/>
      <c r="E902" s="6"/>
      <c r="F902" s="46"/>
      <c r="G902" s="6"/>
    </row>
    <row x14ac:dyDescent="0.25" r="903" customHeight="1" ht="14.25">
      <c r="A903" s="6"/>
      <c r="B903" s="6"/>
      <c r="C903" s="11"/>
      <c r="D903" s="11"/>
      <c r="E903" s="6"/>
      <c r="F903" s="46"/>
      <c r="G903" s="6"/>
    </row>
    <row x14ac:dyDescent="0.25" r="904" customHeight="1" ht="14.25">
      <c r="A904" s="6"/>
      <c r="B904" s="6"/>
      <c r="C904" s="11"/>
      <c r="D904" s="11"/>
      <c r="E904" s="6"/>
      <c r="F904" s="46"/>
      <c r="G904" s="6"/>
    </row>
    <row x14ac:dyDescent="0.25" r="905" customHeight="1" ht="14.25">
      <c r="A905" s="6"/>
      <c r="B905" s="6"/>
      <c r="C905" s="11"/>
      <c r="D905" s="11"/>
      <c r="E905" s="6"/>
      <c r="F905" s="46"/>
      <c r="G905" s="6"/>
    </row>
    <row x14ac:dyDescent="0.25" r="906" customHeight="1" ht="14.25">
      <c r="A906" s="6"/>
      <c r="B906" s="6"/>
      <c r="C906" s="11"/>
      <c r="D906" s="11"/>
      <c r="E906" s="6"/>
      <c r="F906" s="46"/>
      <c r="G906" s="6"/>
    </row>
    <row x14ac:dyDescent="0.25" r="907" customHeight="1" ht="14.25">
      <c r="A907" s="6"/>
      <c r="B907" s="6"/>
      <c r="C907" s="11"/>
      <c r="D907" s="11"/>
      <c r="E907" s="6"/>
      <c r="F907" s="46"/>
      <c r="G907" s="6"/>
    </row>
    <row x14ac:dyDescent="0.25" r="908" customHeight="1" ht="14.25">
      <c r="A908" s="6"/>
      <c r="B908" s="6"/>
      <c r="C908" s="11"/>
      <c r="D908" s="11"/>
      <c r="E908" s="6"/>
      <c r="F908" s="46"/>
      <c r="G908" s="6"/>
    </row>
    <row x14ac:dyDescent="0.25" r="909" customHeight="1" ht="14.25">
      <c r="A909" s="6"/>
      <c r="B909" s="6"/>
      <c r="C909" s="11"/>
      <c r="D909" s="11"/>
      <c r="E909" s="6"/>
      <c r="F909" s="46"/>
      <c r="G909" s="6"/>
    </row>
    <row x14ac:dyDescent="0.25" r="910" customHeight="1" ht="14.25">
      <c r="A910" s="6"/>
      <c r="B910" s="6"/>
      <c r="C910" s="11"/>
      <c r="D910" s="11"/>
      <c r="E910" s="6"/>
      <c r="F910" s="46"/>
      <c r="G910" s="6"/>
    </row>
    <row x14ac:dyDescent="0.25" r="911" customHeight="1" ht="14.25">
      <c r="A911" s="6"/>
      <c r="B911" s="6"/>
      <c r="C911" s="11"/>
      <c r="D911" s="11"/>
      <c r="E911" s="6"/>
      <c r="F911" s="46"/>
      <c r="G911" s="6"/>
    </row>
    <row x14ac:dyDescent="0.25" r="912" customHeight="1" ht="14.25">
      <c r="A912" s="6"/>
      <c r="B912" s="6"/>
      <c r="C912" s="11"/>
      <c r="D912" s="11"/>
      <c r="E912" s="6"/>
      <c r="F912" s="46"/>
      <c r="G912" s="6"/>
    </row>
    <row x14ac:dyDescent="0.25" r="913" customHeight="1" ht="14.25">
      <c r="A913" s="6"/>
      <c r="B913" s="6"/>
      <c r="C913" s="11"/>
      <c r="D913" s="11"/>
      <c r="E913" s="6"/>
      <c r="F913" s="46"/>
      <c r="G913" s="6"/>
    </row>
    <row x14ac:dyDescent="0.25" r="914" customHeight="1" ht="14.25">
      <c r="A914" s="6"/>
      <c r="B914" s="6"/>
      <c r="C914" s="11"/>
      <c r="D914" s="11"/>
      <c r="E914" s="6"/>
      <c r="F914" s="46"/>
      <c r="G914" s="6"/>
    </row>
    <row x14ac:dyDescent="0.25" r="915" customHeight="1" ht="14.25">
      <c r="A915" s="6"/>
      <c r="B915" s="6"/>
      <c r="C915" s="11"/>
      <c r="D915" s="11"/>
      <c r="E915" s="6"/>
      <c r="F915" s="46"/>
      <c r="G915" s="6"/>
    </row>
    <row x14ac:dyDescent="0.25" r="916" customHeight="1" ht="14.25">
      <c r="A916" s="6"/>
      <c r="B916" s="6"/>
      <c r="C916" s="11"/>
      <c r="D916" s="11"/>
      <c r="E916" s="6"/>
      <c r="F916" s="46"/>
      <c r="G916" s="6"/>
    </row>
    <row x14ac:dyDescent="0.25" r="917" customHeight="1" ht="14.25">
      <c r="A917" s="6"/>
      <c r="B917" s="6"/>
      <c r="C917" s="11"/>
      <c r="D917" s="11"/>
      <c r="E917" s="6"/>
      <c r="F917" s="46"/>
      <c r="G917" s="6"/>
    </row>
    <row x14ac:dyDescent="0.25" r="918" customHeight="1" ht="14.25">
      <c r="A918" s="6"/>
      <c r="B918" s="6"/>
      <c r="C918" s="11"/>
      <c r="D918" s="11"/>
      <c r="E918" s="6"/>
      <c r="F918" s="46"/>
      <c r="G918" s="6"/>
    </row>
    <row x14ac:dyDescent="0.25" r="919" customHeight="1" ht="14.25">
      <c r="A919" s="6"/>
      <c r="B919" s="6"/>
      <c r="C919" s="11"/>
      <c r="D919" s="11"/>
      <c r="E919" s="6"/>
      <c r="F919" s="46"/>
      <c r="G919" s="6"/>
    </row>
    <row x14ac:dyDescent="0.25" r="920" customHeight="1" ht="14.25">
      <c r="A920" s="6"/>
      <c r="B920" s="6"/>
      <c r="C920" s="11"/>
      <c r="D920" s="11"/>
      <c r="E920" s="6"/>
      <c r="F920" s="46"/>
      <c r="G920" s="6"/>
    </row>
    <row x14ac:dyDescent="0.25" r="921" customHeight="1" ht="14.25">
      <c r="A921" s="6"/>
      <c r="B921" s="6"/>
      <c r="C921" s="11"/>
      <c r="D921" s="11"/>
      <c r="E921" s="6"/>
      <c r="F921" s="46"/>
      <c r="G921" s="6"/>
    </row>
    <row x14ac:dyDescent="0.25" r="922" customHeight="1" ht="14.25">
      <c r="A922" s="6"/>
      <c r="B922" s="6"/>
      <c r="C922" s="11"/>
      <c r="D922" s="11"/>
      <c r="E922" s="6"/>
      <c r="F922" s="46"/>
      <c r="G922" s="6"/>
    </row>
    <row x14ac:dyDescent="0.25" r="923" customHeight="1" ht="14.25">
      <c r="A923" s="6"/>
      <c r="B923" s="6"/>
      <c r="C923" s="11"/>
      <c r="D923" s="11"/>
      <c r="E923" s="6"/>
      <c r="F923" s="46"/>
      <c r="G923" s="6"/>
    </row>
    <row x14ac:dyDescent="0.25" r="924" customHeight="1" ht="14.25">
      <c r="A924" s="6"/>
      <c r="B924" s="6"/>
      <c r="C924" s="11"/>
      <c r="D924" s="11"/>
      <c r="E924" s="6"/>
      <c r="F924" s="46"/>
      <c r="G924" s="6"/>
    </row>
    <row x14ac:dyDescent="0.25" r="925" customHeight="1" ht="14.25">
      <c r="A925" s="6"/>
      <c r="B925" s="6"/>
      <c r="C925" s="11"/>
      <c r="D925" s="11"/>
      <c r="E925" s="6"/>
      <c r="F925" s="46"/>
      <c r="G925" s="6"/>
    </row>
    <row x14ac:dyDescent="0.25" r="926" customHeight="1" ht="14.25">
      <c r="A926" s="6"/>
      <c r="B926" s="6"/>
      <c r="C926" s="11"/>
      <c r="D926" s="11"/>
      <c r="E926" s="6"/>
      <c r="F926" s="46"/>
      <c r="G926" s="6"/>
    </row>
    <row x14ac:dyDescent="0.25" r="927" customHeight="1" ht="14.25">
      <c r="A927" s="6"/>
      <c r="B927" s="6"/>
      <c r="C927" s="11"/>
      <c r="D927" s="11"/>
      <c r="E927" s="6"/>
      <c r="F927" s="46"/>
      <c r="G927" s="6"/>
    </row>
    <row x14ac:dyDescent="0.25" r="928" customHeight="1" ht="14.25">
      <c r="A928" s="6"/>
      <c r="B928" s="6"/>
      <c r="C928" s="11"/>
      <c r="D928" s="11"/>
      <c r="E928" s="6"/>
      <c r="F928" s="46"/>
      <c r="G928" s="6"/>
    </row>
    <row x14ac:dyDescent="0.25" r="929" customHeight="1" ht="14.25">
      <c r="A929" s="6"/>
      <c r="B929" s="6"/>
      <c r="C929" s="11"/>
      <c r="D929" s="11"/>
      <c r="E929" s="6"/>
      <c r="F929" s="46"/>
      <c r="G929" s="6"/>
    </row>
    <row x14ac:dyDescent="0.25" r="930" customHeight="1" ht="14.25">
      <c r="A930" s="6"/>
      <c r="B930" s="6"/>
      <c r="C930" s="11"/>
      <c r="D930" s="11"/>
      <c r="E930" s="6"/>
      <c r="F930" s="46"/>
      <c r="G930" s="6"/>
    </row>
    <row x14ac:dyDescent="0.25" r="931" customHeight="1" ht="14.25">
      <c r="A931" s="6"/>
      <c r="B931" s="6"/>
      <c r="C931" s="11"/>
      <c r="D931" s="11"/>
      <c r="E931" s="6"/>
      <c r="F931" s="46"/>
      <c r="G931" s="6"/>
    </row>
    <row x14ac:dyDescent="0.25" r="932" customHeight="1" ht="14.25">
      <c r="A932" s="6"/>
      <c r="B932" s="6"/>
      <c r="C932" s="11"/>
      <c r="D932" s="11"/>
      <c r="E932" s="6"/>
      <c r="F932" s="46"/>
      <c r="G932" s="6"/>
    </row>
    <row x14ac:dyDescent="0.25" r="933" customHeight="1" ht="14.25">
      <c r="A933" s="6"/>
      <c r="B933" s="6"/>
      <c r="C933" s="11"/>
      <c r="D933" s="11"/>
      <c r="E933" s="6"/>
      <c r="F933" s="46"/>
      <c r="G933" s="6"/>
    </row>
    <row x14ac:dyDescent="0.25" r="934" customHeight="1" ht="14.25">
      <c r="A934" s="6"/>
      <c r="B934" s="6"/>
      <c r="C934" s="11"/>
      <c r="D934" s="11"/>
      <c r="E934" s="6"/>
      <c r="F934" s="46"/>
      <c r="G934" s="6"/>
    </row>
    <row x14ac:dyDescent="0.25" r="935" customHeight="1" ht="14.25">
      <c r="A935" s="6"/>
      <c r="B935" s="6"/>
      <c r="C935" s="11"/>
      <c r="D935" s="11"/>
      <c r="E935" s="6"/>
      <c r="F935" s="46"/>
      <c r="G935" s="6"/>
    </row>
    <row x14ac:dyDescent="0.25" r="936" customHeight="1" ht="14.25">
      <c r="A936" s="6"/>
      <c r="B936" s="6"/>
      <c r="C936" s="11"/>
      <c r="D936" s="11"/>
      <c r="E936" s="6"/>
      <c r="F936" s="46"/>
      <c r="G936" s="6"/>
    </row>
    <row x14ac:dyDescent="0.25" r="937" customHeight="1" ht="14.25">
      <c r="A937" s="6"/>
      <c r="B937" s="6"/>
      <c r="C937" s="11"/>
      <c r="D937" s="11"/>
      <c r="E937" s="6"/>
      <c r="F937" s="46"/>
      <c r="G937" s="6"/>
    </row>
    <row x14ac:dyDescent="0.25" r="938" customHeight="1" ht="14.25">
      <c r="A938" s="6"/>
      <c r="B938" s="6"/>
      <c r="C938" s="11"/>
      <c r="D938" s="11"/>
      <c r="E938" s="6"/>
      <c r="F938" s="46"/>
      <c r="G938" s="6"/>
    </row>
    <row x14ac:dyDescent="0.25" r="939" customHeight="1" ht="14.25">
      <c r="A939" s="6"/>
      <c r="B939" s="6"/>
      <c r="C939" s="11"/>
      <c r="D939" s="11"/>
      <c r="E939" s="6"/>
      <c r="F939" s="46"/>
      <c r="G939" s="6"/>
    </row>
    <row x14ac:dyDescent="0.25" r="940" customHeight="1" ht="14.25">
      <c r="A940" s="6"/>
      <c r="B940" s="6"/>
      <c r="C940" s="11"/>
      <c r="D940" s="11"/>
      <c r="E940" s="6"/>
      <c r="F940" s="46"/>
      <c r="G940" s="6"/>
    </row>
    <row x14ac:dyDescent="0.25" r="941" customHeight="1" ht="14.25">
      <c r="A941" s="6"/>
      <c r="B941" s="6"/>
      <c r="C941" s="11"/>
      <c r="D941" s="11"/>
      <c r="E941" s="6"/>
      <c r="F941" s="46"/>
      <c r="G941" s="6"/>
    </row>
    <row x14ac:dyDescent="0.25" r="942" customHeight="1" ht="14.25">
      <c r="A942" s="6"/>
      <c r="B942" s="6"/>
      <c r="C942" s="11"/>
      <c r="D942" s="11"/>
      <c r="E942" s="6"/>
      <c r="F942" s="46"/>
      <c r="G942" s="6"/>
    </row>
    <row x14ac:dyDescent="0.25" r="943" customHeight="1" ht="14.25">
      <c r="A943" s="6"/>
      <c r="B943" s="6"/>
      <c r="C943" s="11"/>
      <c r="D943" s="11"/>
      <c r="E943" s="6"/>
      <c r="F943" s="46"/>
      <c r="G943" s="6"/>
    </row>
    <row x14ac:dyDescent="0.25" r="944" customHeight="1" ht="14.25">
      <c r="A944" s="6"/>
      <c r="B944" s="6"/>
      <c r="C944" s="11"/>
      <c r="D944" s="11"/>
      <c r="E944" s="6"/>
      <c r="F944" s="46"/>
      <c r="G944" s="6"/>
    </row>
    <row x14ac:dyDescent="0.25" r="945" customHeight="1" ht="14.25">
      <c r="A945" s="6"/>
      <c r="B945" s="6"/>
      <c r="C945" s="11"/>
      <c r="D945" s="11"/>
      <c r="E945" s="6"/>
      <c r="F945" s="46"/>
      <c r="G945" s="6"/>
    </row>
    <row x14ac:dyDescent="0.25" r="946" customHeight="1" ht="14.25">
      <c r="A946" s="6"/>
      <c r="B946" s="6"/>
      <c r="C946" s="11"/>
      <c r="D946" s="11"/>
      <c r="E946" s="6"/>
      <c r="F946" s="46"/>
      <c r="G946" s="6"/>
    </row>
    <row x14ac:dyDescent="0.25" r="947" customHeight="1" ht="14.25">
      <c r="A947" s="6"/>
      <c r="B947" s="6"/>
      <c r="C947" s="11"/>
      <c r="D947" s="11"/>
      <c r="E947" s="6"/>
      <c r="F947" s="46"/>
      <c r="G947" s="6"/>
    </row>
    <row x14ac:dyDescent="0.25" r="948" customHeight="1" ht="14.25">
      <c r="A948" s="6"/>
      <c r="B948" s="6"/>
      <c r="C948" s="11"/>
      <c r="D948" s="11"/>
      <c r="E948" s="6"/>
      <c r="F948" s="46"/>
      <c r="G948" s="6"/>
    </row>
    <row x14ac:dyDescent="0.25" r="949" customHeight="1" ht="14.25">
      <c r="A949" s="6"/>
      <c r="B949" s="6"/>
      <c r="C949" s="11"/>
      <c r="D949" s="11"/>
      <c r="E949" s="6"/>
      <c r="F949" s="46"/>
      <c r="G949" s="6"/>
    </row>
    <row x14ac:dyDescent="0.25" r="950" customHeight="1" ht="14.25">
      <c r="A950" s="6"/>
      <c r="B950" s="6"/>
      <c r="C950" s="11"/>
      <c r="D950" s="11"/>
      <c r="E950" s="6"/>
      <c r="F950" s="46"/>
      <c r="G950" s="6"/>
    </row>
    <row x14ac:dyDescent="0.25" r="951" customHeight="1" ht="14.25">
      <c r="A951" s="6"/>
      <c r="B951" s="6"/>
      <c r="C951" s="11"/>
      <c r="D951" s="11"/>
      <c r="E951" s="6"/>
      <c r="F951" s="46"/>
      <c r="G951" s="6"/>
    </row>
    <row x14ac:dyDescent="0.25" r="952" customHeight="1" ht="14.25">
      <c r="A952" s="6"/>
      <c r="B952" s="6"/>
      <c r="C952" s="11"/>
      <c r="D952" s="11"/>
      <c r="E952" s="6"/>
      <c r="F952" s="46"/>
      <c r="G952" s="6"/>
    </row>
    <row x14ac:dyDescent="0.25" r="953" customHeight="1" ht="14.25">
      <c r="A953" s="6"/>
      <c r="B953" s="6"/>
      <c r="C953" s="11"/>
      <c r="D953" s="11"/>
      <c r="E953" s="6"/>
      <c r="F953" s="46"/>
      <c r="G953" s="6"/>
    </row>
    <row x14ac:dyDescent="0.25" r="954" customHeight="1" ht="14.25">
      <c r="A954" s="6"/>
      <c r="B954" s="6"/>
      <c r="C954" s="11"/>
      <c r="D954" s="11"/>
      <c r="E954" s="6"/>
      <c r="F954" s="46"/>
      <c r="G954" s="6"/>
    </row>
    <row x14ac:dyDescent="0.25" r="955" customHeight="1" ht="14.25">
      <c r="A955" s="6"/>
      <c r="B955" s="6"/>
      <c r="C955" s="11"/>
      <c r="D955" s="11"/>
      <c r="E955" s="6"/>
      <c r="F955" s="46"/>
      <c r="G955" s="6"/>
    </row>
    <row x14ac:dyDescent="0.25" r="956" customHeight="1" ht="14.25">
      <c r="A956" s="6"/>
      <c r="B956" s="6"/>
      <c r="C956" s="11"/>
      <c r="D956" s="11"/>
      <c r="E956" s="6"/>
      <c r="F956" s="46"/>
      <c r="G956" s="6"/>
    </row>
    <row x14ac:dyDescent="0.25" r="957" customHeight="1" ht="14.25">
      <c r="A957" s="6"/>
      <c r="B957" s="6"/>
      <c r="C957" s="11"/>
      <c r="D957" s="11"/>
      <c r="E957" s="6"/>
      <c r="F957" s="46"/>
      <c r="G957" s="6"/>
    </row>
    <row x14ac:dyDescent="0.25" r="958" customHeight="1" ht="14.25">
      <c r="A958" s="6"/>
      <c r="B958" s="6"/>
      <c r="C958" s="11"/>
      <c r="D958" s="11"/>
      <c r="E958" s="6"/>
      <c r="F958" s="46"/>
      <c r="G958" s="6"/>
    </row>
    <row x14ac:dyDescent="0.25" r="959" customHeight="1" ht="14.25">
      <c r="A959" s="6"/>
      <c r="B959" s="6"/>
      <c r="C959" s="11"/>
      <c r="D959" s="11"/>
      <c r="E959" s="6"/>
      <c r="F959" s="46"/>
      <c r="G959" s="6"/>
    </row>
    <row x14ac:dyDescent="0.25" r="960" customHeight="1" ht="14.25">
      <c r="A960" s="6"/>
      <c r="B960" s="6"/>
      <c r="C960" s="11"/>
      <c r="D960" s="11"/>
      <c r="E960" s="6"/>
      <c r="F960" s="46"/>
      <c r="G960" s="6"/>
    </row>
    <row x14ac:dyDescent="0.25" r="961" customHeight="1" ht="14.25">
      <c r="A961" s="6"/>
      <c r="B961" s="6"/>
      <c r="C961" s="11"/>
      <c r="D961" s="11"/>
      <c r="E961" s="6"/>
      <c r="F961" s="46"/>
      <c r="G961" s="6"/>
    </row>
    <row x14ac:dyDescent="0.25" r="962" customHeight="1" ht="14.25">
      <c r="A962" s="6"/>
      <c r="B962" s="6"/>
      <c r="C962" s="11"/>
      <c r="D962" s="11"/>
      <c r="E962" s="6"/>
      <c r="F962" s="46"/>
      <c r="G962" s="6"/>
    </row>
    <row x14ac:dyDescent="0.25" r="963" customHeight="1" ht="14.25">
      <c r="A963" s="6"/>
      <c r="B963" s="6"/>
      <c r="C963" s="11"/>
      <c r="D963" s="11"/>
      <c r="E963" s="6"/>
      <c r="F963" s="46"/>
      <c r="G963" s="6"/>
    </row>
    <row x14ac:dyDescent="0.25" r="964" customHeight="1" ht="14.25">
      <c r="A964" s="6"/>
      <c r="B964" s="6"/>
      <c r="C964" s="11"/>
      <c r="D964" s="11"/>
      <c r="E964" s="6"/>
      <c r="F964" s="46"/>
      <c r="G964" s="6"/>
    </row>
    <row x14ac:dyDescent="0.25" r="965" customHeight="1" ht="14.25">
      <c r="A965" s="6"/>
      <c r="B965" s="6"/>
      <c r="C965" s="11"/>
      <c r="D965" s="11"/>
      <c r="E965" s="6"/>
      <c r="F965" s="46"/>
      <c r="G965" s="6"/>
    </row>
    <row x14ac:dyDescent="0.25" r="966" customHeight="1" ht="14.25">
      <c r="A966" s="6"/>
      <c r="B966" s="6"/>
      <c r="C966" s="11"/>
      <c r="D966" s="11"/>
      <c r="E966" s="6"/>
      <c r="F966" s="46"/>
      <c r="G966" s="6"/>
    </row>
    <row x14ac:dyDescent="0.25" r="967" customHeight="1" ht="14.25">
      <c r="A967" s="6"/>
      <c r="B967" s="6"/>
      <c r="C967" s="11"/>
      <c r="D967" s="11"/>
      <c r="E967" s="6"/>
      <c r="F967" s="46"/>
      <c r="G967" s="6"/>
    </row>
    <row x14ac:dyDescent="0.25" r="968" customHeight="1" ht="14.25">
      <c r="A968" s="6"/>
      <c r="B968" s="6"/>
      <c r="C968" s="11"/>
      <c r="D968" s="11"/>
      <c r="E968" s="6"/>
      <c r="F968" s="46"/>
      <c r="G968" s="6"/>
    </row>
    <row x14ac:dyDescent="0.25" r="969" customHeight="1" ht="14.25">
      <c r="A969" s="6"/>
      <c r="B969" s="6"/>
      <c r="C969" s="11"/>
      <c r="D969" s="11"/>
      <c r="E969" s="6"/>
      <c r="F969" s="46"/>
      <c r="G969" s="6"/>
    </row>
    <row x14ac:dyDescent="0.25" r="970" customHeight="1" ht="14.25">
      <c r="A970" s="6"/>
      <c r="B970" s="6"/>
      <c r="C970" s="11"/>
      <c r="D970" s="11"/>
      <c r="E970" s="6"/>
      <c r="F970" s="46"/>
      <c r="G970" s="6"/>
    </row>
    <row x14ac:dyDescent="0.25" r="971" customHeight="1" ht="14.25">
      <c r="A971" s="6"/>
      <c r="B971" s="6"/>
      <c r="C971" s="11"/>
      <c r="D971" s="11"/>
      <c r="E971" s="6"/>
      <c r="F971" s="46"/>
      <c r="G971" s="6"/>
    </row>
    <row x14ac:dyDescent="0.25" r="972" customHeight="1" ht="14.25">
      <c r="A972" s="6"/>
      <c r="B972" s="6"/>
      <c r="C972" s="11"/>
      <c r="D972" s="11"/>
      <c r="E972" s="6"/>
      <c r="F972" s="46"/>
      <c r="G972" s="6"/>
    </row>
    <row x14ac:dyDescent="0.25" r="973" customHeight="1" ht="14.25">
      <c r="A973" s="6"/>
      <c r="B973" s="6"/>
      <c r="C973" s="11"/>
      <c r="D973" s="11"/>
      <c r="E973" s="6"/>
      <c r="F973" s="46"/>
      <c r="G973" s="6"/>
    </row>
    <row x14ac:dyDescent="0.25" r="974" customHeight="1" ht="14.25">
      <c r="A974" s="6"/>
      <c r="B974" s="6"/>
      <c r="C974" s="11"/>
      <c r="D974" s="11"/>
      <c r="E974" s="6"/>
      <c r="F974" s="46"/>
      <c r="G974" s="6"/>
    </row>
    <row x14ac:dyDescent="0.25" r="975" customHeight="1" ht="14.25">
      <c r="A975" s="6"/>
      <c r="B975" s="6"/>
      <c r="C975" s="11"/>
      <c r="D975" s="11"/>
      <c r="E975" s="6"/>
      <c r="F975" s="46"/>
      <c r="G975" s="6"/>
    </row>
    <row x14ac:dyDescent="0.25" r="976" customHeight="1" ht="14.25">
      <c r="A976" s="6"/>
      <c r="B976" s="6"/>
      <c r="C976" s="11"/>
      <c r="D976" s="11"/>
      <c r="E976" s="6"/>
      <c r="F976" s="46"/>
      <c r="G976" s="6"/>
    </row>
    <row x14ac:dyDescent="0.25" r="977" customHeight="1" ht="14.25">
      <c r="A977" s="6"/>
      <c r="B977" s="6"/>
      <c r="C977" s="11"/>
      <c r="D977" s="11"/>
      <c r="E977" s="6"/>
      <c r="F977" s="46"/>
      <c r="G977" s="6"/>
    </row>
    <row x14ac:dyDescent="0.25" r="978" customHeight="1" ht="14.25">
      <c r="A978" s="6"/>
      <c r="B978" s="6"/>
      <c r="C978" s="11"/>
      <c r="D978" s="11"/>
      <c r="E978" s="6"/>
      <c r="F978" s="46"/>
      <c r="G978" s="6"/>
    </row>
    <row x14ac:dyDescent="0.25" r="979" customHeight="1" ht="14.25">
      <c r="A979" s="6"/>
      <c r="B979" s="6"/>
      <c r="C979" s="11"/>
      <c r="D979" s="11"/>
      <c r="E979" s="6"/>
      <c r="F979" s="46"/>
      <c r="G979" s="6"/>
    </row>
    <row x14ac:dyDescent="0.25" r="980" customHeight="1" ht="14.25">
      <c r="A980" s="6"/>
      <c r="B980" s="6"/>
      <c r="C980" s="11"/>
      <c r="D980" s="11"/>
      <c r="E980" s="6"/>
      <c r="F980" s="46"/>
      <c r="G980" s="6"/>
    </row>
    <row x14ac:dyDescent="0.25" r="981" customHeight="1" ht="14.25">
      <c r="A981" s="6"/>
      <c r="B981" s="6"/>
      <c r="C981" s="11"/>
      <c r="D981" s="11"/>
      <c r="E981" s="6"/>
      <c r="F981" s="46"/>
      <c r="G981" s="6"/>
    </row>
    <row x14ac:dyDescent="0.25" r="982" customHeight="1" ht="14.25">
      <c r="A982" s="6"/>
      <c r="B982" s="6"/>
      <c r="C982" s="11"/>
      <c r="D982" s="11"/>
      <c r="E982" s="6"/>
      <c r="F982" s="46"/>
      <c r="G982" s="6"/>
    </row>
    <row x14ac:dyDescent="0.25" r="983" customHeight="1" ht="14.25">
      <c r="A983" s="6"/>
      <c r="B983" s="6"/>
      <c r="C983" s="11"/>
      <c r="D983" s="11"/>
      <c r="E983" s="6"/>
      <c r="F983" s="46"/>
      <c r="G983" s="6"/>
    </row>
    <row x14ac:dyDescent="0.25" r="984" customHeight="1" ht="14.25">
      <c r="A984" s="6"/>
      <c r="B984" s="6"/>
      <c r="C984" s="11"/>
      <c r="D984" s="11"/>
      <c r="E984" s="6"/>
      <c r="F984" s="46"/>
      <c r="G984" s="6"/>
    </row>
    <row x14ac:dyDescent="0.25" r="985" customHeight="1" ht="14.25">
      <c r="A985" s="6"/>
      <c r="B985" s="6"/>
      <c r="C985" s="11"/>
      <c r="D985" s="11"/>
      <c r="E985" s="6"/>
      <c r="F985" s="46"/>
      <c r="G985" s="6"/>
    </row>
    <row x14ac:dyDescent="0.25" r="986" customHeight="1" ht="14.25">
      <c r="A986" s="6"/>
      <c r="B986" s="6"/>
      <c r="C986" s="11"/>
      <c r="D986" s="11"/>
      <c r="E986" s="6"/>
      <c r="F986" s="46"/>
      <c r="G986" s="6"/>
    </row>
    <row x14ac:dyDescent="0.25" r="987" customHeight="1" ht="14.25">
      <c r="A987" s="6"/>
      <c r="B987" s="6"/>
      <c r="C987" s="11"/>
      <c r="D987" s="11"/>
      <c r="E987" s="6"/>
      <c r="F987" s="46"/>
      <c r="G987" s="6"/>
    </row>
    <row x14ac:dyDescent="0.25" r="988" customHeight="1" ht="14.25">
      <c r="A988" s="6"/>
      <c r="B988" s="6"/>
      <c r="C988" s="11"/>
      <c r="D988" s="11"/>
      <c r="E988" s="6"/>
      <c r="F988" s="46"/>
      <c r="G988" s="6"/>
    </row>
    <row x14ac:dyDescent="0.25" r="989" customHeight="1" ht="14.25">
      <c r="A989" s="6"/>
      <c r="B989" s="6"/>
      <c r="C989" s="11"/>
      <c r="D989" s="11"/>
      <c r="E989" s="6"/>
      <c r="F989" s="46"/>
      <c r="G989" s="6"/>
    </row>
    <row x14ac:dyDescent="0.25" r="990" customHeight="1" ht="14.25">
      <c r="A990" s="6"/>
      <c r="B990" s="6"/>
      <c r="C990" s="11"/>
      <c r="D990" s="11"/>
      <c r="E990" s="6"/>
      <c r="F990" s="46"/>
      <c r="G990" s="6"/>
    </row>
    <row x14ac:dyDescent="0.25" r="991" customHeight="1" ht="14.25">
      <c r="A991" s="6"/>
      <c r="B991" s="6"/>
      <c r="C991" s="11"/>
      <c r="D991" s="11"/>
      <c r="E991" s="6"/>
      <c r="F991" s="46"/>
      <c r="G991" s="6"/>
    </row>
    <row x14ac:dyDescent="0.25" r="992" customHeight="1" ht="14.25">
      <c r="A992" s="6"/>
      <c r="B992" s="6"/>
      <c r="C992" s="11"/>
      <c r="D992" s="11"/>
      <c r="E992" s="6"/>
      <c r="F992" s="46"/>
      <c r="G992" s="6"/>
    </row>
    <row x14ac:dyDescent="0.25" r="993" customHeight="1" ht="14.25">
      <c r="A993" s="6"/>
      <c r="B993" s="6"/>
      <c r="C993" s="11"/>
      <c r="D993" s="11"/>
      <c r="E993" s="6"/>
      <c r="F993" s="46"/>
      <c r="G993" s="6"/>
    </row>
    <row x14ac:dyDescent="0.25" r="994" customHeight="1" ht="14.25">
      <c r="A994" s="6"/>
      <c r="B994" s="6"/>
      <c r="C994" s="11"/>
      <c r="D994" s="11"/>
      <c r="E994" s="6"/>
      <c r="F994" s="46"/>
      <c r="G994" s="6"/>
    </row>
    <row x14ac:dyDescent="0.25" r="995" customHeight="1" ht="14.25">
      <c r="A995" s="6"/>
      <c r="B995" s="6"/>
      <c r="C995" s="11"/>
      <c r="D995" s="11"/>
      <c r="E995" s="6"/>
      <c r="F995" s="46"/>
      <c r="G995" s="6"/>
    </row>
    <row x14ac:dyDescent="0.25" r="996" customHeight="1" ht="14.25">
      <c r="A996" s="6"/>
      <c r="B996" s="6"/>
      <c r="C996" s="11"/>
      <c r="D996" s="11"/>
      <c r="E996" s="6"/>
      <c r="F996" s="46"/>
      <c r="G996" s="6"/>
    </row>
    <row x14ac:dyDescent="0.25" r="997" customHeight="1" ht="14.25">
      <c r="A997" s="6"/>
      <c r="B997" s="6"/>
      <c r="C997" s="11"/>
      <c r="D997" s="11"/>
      <c r="E997" s="6"/>
      <c r="F997" s="46"/>
      <c r="G997" s="6"/>
    </row>
    <row x14ac:dyDescent="0.25" r="998" customHeight="1" ht="14.25">
      <c r="A998" s="6"/>
      <c r="B998" s="6"/>
      <c r="C998" s="11"/>
      <c r="D998" s="11"/>
      <c r="E998" s="6"/>
      <c r="F998" s="46"/>
      <c r="G998" s="6"/>
    </row>
    <row x14ac:dyDescent="0.25" r="999" customHeight="1" ht="14.25">
      <c r="A999" s="6"/>
      <c r="B999" s="6"/>
      <c r="C999" s="11"/>
      <c r="D999" s="11"/>
      <c r="E999" s="6"/>
      <c r="F999" s="46"/>
      <c r="G999" s="6"/>
    </row>
    <row x14ac:dyDescent="0.25" r="1000" customHeight="1" ht="14.25">
      <c r="A1000" s="6"/>
      <c r="B1000" s="6"/>
      <c r="C1000" s="11"/>
      <c r="D1000" s="11"/>
      <c r="E1000" s="6"/>
      <c r="F1000" s="46"/>
      <c r="G1000" s="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3" width="2.2907142857142855" customWidth="1" bestFit="1"/>
    <col min="2" max="2" style="27" width="5.433571428571429" customWidth="1" bestFit="1"/>
    <col min="3" max="3" style="13" width="22.005" customWidth="1" bestFit="1"/>
    <col min="4" max="4" style="13" width="83.57642857142856" customWidth="1" bestFit="1"/>
    <col min="5" max="5" style="13" width="13.719285714285713" customWidth="1" bestFit="1"/>
    <col min="6" max="6" style="13" width="5.719285714285714" customWidth="1" bestFit="1"/>
    <col min="7" max="7" style="13" width="8.719285714285713" customWidth="1" bestFit="1"/>
    <col min="8" max="8" style="13" width="8.719285714285713" customWidth="1" bestFit="1"/>
    <col min="9" max="9" style="13" width="8.719285714285713" customWidth="1" bestFit="1"/>
    <col min="10" max="10" style="13" width="8.719285714285713" customWidth="1" bestFit="1"/>
    <col min="11" max="11" style="13" width="8.719285714285713" customWidth="1" bestFit="1"/>
    <col min="12" max="12" style="13" width="8.719285714285713" customWidth="1" bestFit="1"/>
    <col min="13" max="13" style="13" width="8.719285714285713" customWidth="1" bestFit="1"/>
    <col min="14" max="14" style="13" width="8.719285714285713" customWidth="1" bestFit="1"/>
    <col min="15" max="15" style="13" width="8.719285714285713" customWidth="1" bestFit="1"/>
    <col min="16" max="16" style="13" width="8.719285714285713" customWidth="1" bestFit="1"/>
    <col min="17" max="17" style="13" width="8.719285714285713" customWidth="1" bestFit="1"/>
    <col min="18" max="18" style="13" width="8.719285714285713" customWidth="1" bestFit="1"/>
    <col min="19" max="19" style="13" width="8.719285714285713" customWidth="1" bestFit="1"/>
    <col min="20" max="20" style="13" width="8.719285714285713" customWidth="1" bestFit="1"/>
    <col min="21" max="21" style="13" width="8.719285714285713" customWidth="1" bestFit="1"/>
    <col min="22" max="22" style="13" width="8.719285714285713" customWidth="1" bestFit="1"/>
    <col min="23" max="23" style="13" width="8.719285714285713" customWidth="1" bestFit="1"/>
    <col min="24" max="24" style="13" width="8.719285714285713" customWidth="1" bestFit="1"/>
    <col min="25" max="25" style="13" width="8.719285714285713" customWidth="1" bestFit="1"/>
    <col min="26" max="26" style="13" width="14.147857142857141" customWidth="1" bestFit="1"/>
  </cols>
  <sheetData>
    <row x14ac:dyDescent="0.25" r="1" customHeight="1" ht="13.5">
      <c r="A1" s="14"/>
      <c r="B1" s="15"/>
      <c r="C1" s="14"/>
      <c r="D1" s="14"/>
      <c r="E1" s="14"/>
      <c r="F1" s="14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x14ac:dyDescent="0.25" r="2" customHeight="1" ht="24.75">
      <c r="A2" s="14"/>
      <c r="B2" s="16" t="s">
        <v>7</v>
      </c>
      <c r="C2" s="17"/>
      <c r="D2" s="17"/>
      <c r="E2" s="18"/>
      <c r="F2" s="14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x14ac:dyDescent="0.25" r="3" customHeight="1" ht="26.25">
      <c r="A3" s="14"/>
      <c r="B3" s="20" t="s">
        <v>8</v>
      </c>
      <c r="C3" s="21" t="s">
        <v>9</v>
      </c>
      <c r="D3" s="21" t="s">
        <v>10</v>
      </c>
      <c r="E3" s="21" t="s">
        <v>11</v>
      </c>
      <c r="F3" s="14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x14ac:dyDescent="0.25" r="4" customHeight="1" ht="15">
      <c r="A4" s="14"/>
      <c r="B4" s="22">
        <v>1</v>
      </c>
      <c r="C4" s="23"/>
      <c r="D4" s="24"/>
      <c r="E4" s="25"/>
      <c r="F4" s="14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x14ac:dyDescent="0.25" r="5" customHeight="1" ht="15">
      <c r="A5" s="14"/>
      <c r="B5" s="22">
        <f>B4+1</f>
      </c>
      <c r="C5" s="23"/>
      <c r="D5" s="24"/>
      <c r="E5" s="25"/>
      <c r="F5" s="14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x14ac:dyDescent="0.25" r="6" customHeight="1" ht="15">
      <c r="A6" s="14"/>
      <c r="B6" s="22">
        <f>B5+1</f>
      </c>
      <c r="C6" s="23"/>
      <c r="D6" s="24"/>
      <c r="E6" s="25"/>
      <c r="F6" s="14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x14ac:dyDescent="0.25" r="7" customHeight="1" ht="15">
      <c r="A7" s="14"/>
      <c r="B7" s="22">
        <f>B6+1</f>
      </c>
      <c r="C7" s="23"/>
      <c r="D7" s="23"/>
      <c r="E7" s="25"/>
      <c r="F7" s="14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x14ac:dyDescent="0.25" r="8" customHeight="1" ht="15">
      <c r="A8" s="14"/>
      <c r="B8" s="22">
        <f>B7+1</f>
      </c>
      <c r="C8" s="23"/>
      <c r="D8" s="23"/>
      <c r="E8" s="25"/>
      <c r="F8" s="14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x14ac:dyDescent="0.25" r="9" customHeight="1" ht="15">
      <c r="A9" s="14"/>
      <c r="B9" s="22">
        <f>B8+1</f>
      </c>
      <c r="C9" s="23"/>
      <c r="D9" s="23"/>
      <c r="E9" s="25"/>
      <c r="F9" s="14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x14ac:dyDescent="0.25" r="10" customHeight="1" ht="15">
      <c r="A10" s="14"/>
      <c r="B10" s="22">
        <f>B9+1</f>
      </c>
      <c r="C10" s="23"/>
      <c r="D10" s="23"/>
      <c r="E10" s="25"/>
      <c r="F10" s="14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x14ac:dyDescent="0.25" r="11" customHeight="1" ht="15">
      <c r="A11" s="14"/>
      <c r="B11" s="22">
        <f>B10+1</f>
      </c>
      <c r="C11" s="23"/>
      <c r="D11" s="23"/>
      <c r="E11" s="25"/>
      <c r="F11" s="14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x14ac:dyDescent="0.25" r="12" customHeight="1" ht="15">
      <c r="A12" s="14"/>
      <c r="B12" s="22">
        <f>B11+1</f>
      </c>
      <c r="C12" s="23"/>
      <c r="D12" s="23"/>
      <c r="E12" s="25"/>
      <c r="F12" s="14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x14ac:dyDescent="0.25" r="13" customHeight="1" ht="15">
      <c r="A13" s="14"/>
      <c r="B13" s="22">
        <f>B12+1</f>
      </c>
      <c r="C13" s="23"/>
      <c r="D13" s="23"/>
      <c r="E13" s="25"/>
      <c r="F13" s="14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x14ac:dyDescent="0.25" r="14" customHeight="1" ht="15">
      <c r="A14" s="14"/>
      <c r="B14" s="22">
        <f>B13+1</f>
      </c>
      <c r="C14" s="23"/>
      <c r="D14" s="23"/>
      <c r="E14" s="25"/>
      <c r="F14" s="14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x14ac:dyDescent="0.25" r="15" customHeight="1" ht="15">
      <c r="A15" s="14"/>
      <c r="B15" s="22">
        <f>B14+1</f>
      </c>
      <c r="C15" s="23"/>
      <c r="D15" s="23"/>
      <c r="E15" s="25"/>
      <c r="F15" s="14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x14ac:dyDescent="0.25" r="16" customHeight="1" ht="15">
      <c r="A16" s="14"/>
      <c r="B16" s="22">
        <f>B15+1</f>
      </c>
      <c r="C16" s="23"/>
      <c r="D16" s="23"/>
      <c r="E16" s="25"/>
      <c r="F16" s="14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x14ac:dyDescent="0.25" r="17" customHeight="1" ht="15">
      <c r="A17" s="14"/>
      <c r="B17" s="22">
        <f>B16+1</f>
      </c>
      <c r="C17" s="23"/>
      <c r="D17" s="23"/>
      <c r="E17" s="25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x14ac:dyDescent="0.25" r="18" customHeight="1" ht="15">
      <c r="A18" s="14"/>
      <c r="B18" s="22">
        <f>B17+1</f>
      </c>
      <c r="C18" s="23"/>
      <c r="D18" s="23"/>
      <c r="E18" s="25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x14ac:dyDescent="0.25" r="19" customHeight="1" ht="15">
      <c r="A19" s="14"/>
      <c r="B19" s="22">
        <f>B18+1</f>
      </c>
      <c r="C19" s="23"/>
      <c r="D19" s="23"/>
      <c r="E19" s="25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x14ac:dyDescent="0.25" r="20" customHeight="1" ht="15">
      <c r="A20" s="14"/>
      <c r="B20" s="22">
        <f>B19+1</f>
      </c>
      <c r="C20" s="23"/>
      <c r="D20" s="23"/>
      <c r="E20" s="2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x14ac:dyDescent="0.25" r="21" customHeight="1" ht="15">
      <c r="A21" s="14"/>
      <c r="B21" s="22">
        <f>B20+1</f>
      </c>
      <c r="C21" s="23"/>
      <c r="D21" s="23"/>
      <c r="E21" s="25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x14ac:dyDescent="0.25" r="22" customHeight="1" ht="15">
      <c r="A22" s="14"/>
      <c r="B22" s="22">
        <f>B21+1</f>
      </c>
      <c r="C22" s="23"/>
      <c r="D22" s="23"/>
      <c r="E22" s="25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x14ac:dyDescent="0.25" r="23" customHeight="1" ht="15">
      <c r="A23" s="14"/>
      <c r="B23" s="22">
        <f>B22+1</f>
      </c>
      <c r="C23" s="23"/>
      <c r="D23" s="23"/>
      <c r="E23" s="25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x14ac:dyDescent="0.25" r="24" customHeight="1" ht="15">
      <c r="A24" s="14"/>
      <c r="B24" s="22">
        <f>B23+1</f>
      </c>
      <c r="C24" s="23"/>
      <c r="D24" s="23"/>
      <c r="E24" s="25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x14ac:dyDescent="0.25" r="25" customHeight="1" ht="15">
      <c r="A25" s="14"/>
      <c r="B25" s="22">
        <f>B24+1</f>
      </c>
      <c r="C25" s="23"/>
      <c r="D25" s="23"/>
      <c r="E25" s="25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x14ac:dyDescent="0.25" r="26" customHeight="1" ht="15">
      <c r="A26" s="14"/>
      <c r="B26" s="22">
        <f>B25+1</f>
      </c>
      <c r="C26" s="23"/>
      <c r="D26" s="23"/>
      <c r="E26" s="25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x14ac:dyDescent="0.25" r="27" customHeight="1" ht="15">
      <c r="A27" s="14"/>
      <c r="B27" s="22">
        <f>B26+1</f>
      </c>
      <c r="C27" s="23"/>
      <c r="D27" s="23"/>
      <c r="E27" s="25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x14ac:dyDescent="0.25" r="28" customHeight="1" ht="15">
      <c r="A28" s="14"/>
      <c r="B28" s="22">
        <f>B27+1</f>
      </c>
      <c r="C28" s="23"/>
      <c r="D28" s="23"/>
      <c r="E28" s="25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x14ac:dyDescent="0.25" r="29" customHeight="1" ht="15">
      <c r="A29" s="14"/>
      <c r="B29" s="22">
        <f>B28+1</f>
      </c>
      <c r="C29" s="23"/>
      <c r="D29" s="23"/>
      <c r="E29" s="25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x14ac:dyDescent="0.25" r="30" customHeight="1" ht="15">
      <c r="A30" s="14"/>
      <c r="B30" s="22">
        <f>B29+1</f>
      </c>
      <c r="C30" s="23"/>
      <c r="D30" s="23"/>
      <c r="E30" s="25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x14ac:dyDescent="0.25" r="31" customHeight="1" ht="15">
      <c r="A31" s="14"/>
      <c r="B31" s="22">
        <f>B30+1</f>
      </c>
      <c r="C31" s="23"/>
      <c r="D31" s="23"/>
      <c r="E31" s="25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x14ac:dyDescent="0.25" r="32" customHeight="1" ht="15">
      <c r="A32" s="14"/>
      <c r="B32" s="22">
        <f>B31+1</f>
      </c>
      <c r="C32" s="23"/>
      <c r="D32" s="23"/>
      <c r="E32" s="25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x14ac:dyDescent="0.25" r="33" customHeight="1" ht="15">
      <c r="A33" s="14"/>
      <c r="B33" s="22">
        <f>B32+1</f>
      </c>
      <c r="C33" s="23"/>
      <c r="D33" s="23"/>
      <c r="E33" s="25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x14ac:dyDescent="0.25" r="34" customHeight="1" ht="15">
      <c r="A34" s="14"/>
      <c r="B34" s="22">
        <f>B33+1</f>
      </c>
      <c r="C34" s="23"/>
      <c r="D34" s="23"/>
      <c r="E34" s="25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x14ac:dyDescent="0.25" r="35" customHeight="1" ht="15">
      <c r="A35" s="14"/>
      <c r="B35" s="22">
        <f>B34+1</f>
      </c>
      <c r="C35" s="23"/>
      <c r="D35" s="23"/>
      <c r="E35" s="25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x14ac:dyDescent="0.25" r="36" customHeight="1" ht="15">
      <c r="A36" s="14"/>
      <c r="B36" s="22">
        <f>B35+1</f>
      </c>
      <c r="C36" s="23"/>
      <c r="D36" s="23"/>
      <c r="E36" s="25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x14ac:dyDescent="0.25" r="37" customHeight="1" ht="15">
      <c r="A37" s="14"/>
      <c r="B37" s="22">
        <f>B36+1</f>
      </c>
      <c r="C37" s="23"/>
      <c r="D37" s="23"/>
      <c r="E37" s="25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x14ac:dyDescent="0.25" r="38" customHeight="1" ht="15">
      <c r="A38" s="14"/>
      <c r="B38" s="22">
        <f>B37+1</f>
      </c>
      <c r="C38" s="23"/>
      <c r="D38" s="23"/>
      <c r="E38" s="25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x14ac:dyDescent="0.25" r="39" customHeight="1" ht="15">
      <c r="A39" s="14"/>
      <c r="B39" s="22">
        <f>B38+1</f>
      </c>
      <c r="C39" s="23"/>
      <c r="D39" s="23"/>
      <c r="E39" s="2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x14ac:dyDescent="0.25" r="40" customHeight="1" ht="15">
      <c r="A40" s="14"/>
      <c r="B40" s="22">
        <f>B39+1</f>
      </c>
      <c r="C40" s="23"/>
      <c r="D40" s="23"/>
      <c r="E40" s="25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x14ac:dyDescent="0.25" r="41" customHeight="1" ht="15">
      <c r="A41" s="14"/>
      <c r="B41" s="22">
        <f>B40+1</f>
      </c>
      <c r="C41" s="23"/>
      <c r="D41" s="23"/>
      <c r="E41" s="25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x14ac:dyDescent="0.25" r="42" customHeight="1" ht="15">
      <c r="A42" s="14"/>
      <c r="B42" s="22">
        <f>B41+1</f>
      </c>
      <c r="C42" s="23"/>
      <c r="D42" s="23"/>
      <c r="E42" s="25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x14ac:dyDescent="0.25" r="43" customHeight="1" ht="15">
      <c r="A43" s="14"/>
      <c r="B43" s="22">
        <f>B42+1</f>
      </c>
      <c r="C43" s="23"/>
      <c r="D43" s="23"/>
      <c r="E43" s="25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x14ac:dyDescent="0.25" r="44" customHeight="1" ht="15">
      <c r="A44" s="14"/>
      <c r="B44" s="22">
        <f>B43+1</f>
      </c>
      <c r="C44" s="23"/>
      <c r="D44" s="23"/>
      <c r="E44" s="25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x14ac:dyDescent="0.25" r="45" customHeight="1" ht="15">
      <c r="A45" s="14"/>
      <c r="B45" s="22">
        <f>B44+1</f>
      </c>
      <c r="C45" s="23"/>
      <c r="D45" s="23"/>
      <c r="E45" s="25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x14ac:dyDescent="0.25" r="46" customHeight="1" ht="15">
      <c r="A46" s="14"/>
      <c r="B46" s="22">
        <f>B45+1</f>
      </c>
      <c r="C46" s="23"/>
      <c r="D46" s="23"/>
      <c r="E46" s="25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x14ac:dyDescent="0.25" r="47" customHeight="1" ht="15">
      <c r="A47" s="14"/>
      <c r="B47" s="22">
        <f>B46+1</f>
      </c>
      <c r="C47" s="23"/>
      <c r="D47" s="23"/>
      <c r="E47" s="25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x14ac:dyDescent="0.25" r="48" customHeight="1" ht="15">
      <c r="A48" s="14"/>
      <c r="B48" s="22">
        <f>B47+1</f>
      </c>
      <c r="C48" s="23"/>
      <c r="D48" s="23"/>
      <c r="E48" s="25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x14ac:dyDescent="0.25" r="49" customHeight="1" ht="15">
      <c r="A49" s="14"/>
      <c r="B49" s="22">
        <f>B48+1</f>
      </c>
      <c r="C49" s="23"/>
      <c r="D49" s="23"/>
      <c r="E49" s="25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x14ac:dyDescent="0.25" r="50" customHeight="1" ht="15">
      <c r="A50" s="14"/>
      <c r="B50" s="22">
        <f>B49+1</f>
      </c>
      <c r="C50" s="23"/>
      <c r="D50" s="23"/>
      <c r="E50" s="25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x14ac:dyDescent="0.25" r="51" customHeight="1" ht="15">
      <c r="A51" s="14"/>
      <c r="B51" s="22">
        <f>B50+1</f>
      </c>
      <c r="C51" s="23"/>
      <c r="D51" s="23"/>
      <c r="E51" s="25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x14ac:dyDescent="0.25" r="52" customHeight="1" ht="15">
      <c r="A52" s="14"/>
      <c r="B52" s="22">
        <f>B51+1</f>
      </c>
      <c r="C52" s="23"/>
      <c r="D52" s="23"/>
      <c r="E52" s="25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x14ac:dyDescent="0.25" r="53" customHeight="1" ht="15">
      <c r="A53" s="14"/>
      <c r="B53" s="22">
        <f>B52+1</f>
      </c>
      <c r="C53" s="23"/>
      <c r="D53" s="23"/>
      <c r="E53" s="25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x14ac:dyDescent="0.25" r="54" customHeight="1" ht="15">
      <c r="A54" s="14"/>
      <c r="B54" s="22">
        <f>B53+1</f>
      </c>
      <c r="C54" s="23"/>
      <c r="D54" s="23"/>
      <c r="E54" s="25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x14ac:dyDescent="0.25" r="55" customHeight="1" ht="15">
      <c r="A55" s="14"/>
      <c r="B55" s="22">
        <f>B54+1</f>
      </c>
      <c r="C55" s="23"/>
      <c r="D55" s="23"/>
      <c r="E55" s="25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x14ac:dyDescent="0.25" r="56" customHeight="1" ht="15">
      <c r="A56" s="14"/>
      <c r="B56" s="22">
        <f>B55+1</f>
      </c>
      <c r="C56" s="23"/>
      <c r="D56" s="23"/>
      <c r="E56" s="25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x14ac:dyDescent="0.25" r="57" customHeight="1" ht="15">
      <c r="A57" s="14"/>
      <c r="B57" s="22">
        <f>B56+1</f>
      </c>
      <c r="C57" s="23"/>
      <c r="D57" s="23"/>
      <c r="E57" s="25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x14ac:dyDescent="0.25" r="58" customHeight="1" ht="15">
      <c r="A58" s="14"/>
      <c r="B58" s="22">
        <f>B57+1</f>
      </c>
      <c r="C58" s="23"/>
      <c r="D58" s="23"/>
      <c r="E58" s="25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x14ac:dyDescent="0.25" r="59" customHeight="1" ht="15">
      <c r="A59" s="14"/>
      <c r="B59" s="22">
        <f>B58+1</f>
      </c>
      <c r="C59" s="23"/>
      <c r="D59" s="23"/>
      <c r="E59" s="25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x14ac:dyDescent="0.25" r="60" customHeight="1" ht="15">
      <c r="A60" s="14"/>
      <c r="B60" s="22">
        <f>B59+1</f>
      </c>
      <c r="C60" s="23"/>
      <c r="D60" s="23"/>
      <c r="E60" s="25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x14ac:dyDescent="0.25" r="61" customHeight="1" ht="15">
      <c r="A61" s="14"/>
      <c r="B61" s="22">
        <f>B60+1</f>
      </c>
      <c r="C61" s="23"/>
      <c r="D61" s="23"/>
      <c r="E61" s="25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x14ac:dyDescent="0.25" r="62" customHeight="1" ht="15">
      <c r="A62" s="14"/>
      <c r="B62" s="22">
        <f>B61+1</f>
      </c>
      <c r="C62" s="23"/>
      <c r="D62" s="23"/>
      <c r="E62" s="25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x14ac:dyDescent="0.25" r="63" customHeight="1" ht="15">
      <c r="A63" s="14"/>
      <c r="B63" s="22">
        <f>B62+1</f>
      </c>
      <c r="C63" s="23"/>
      <c r="D63" s="23"/>
      <c r="E63" s="25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x14ac:dyDescent="0.25" r="64" customHeight="1" ht="15">
      <c r="A64" s="14"/>
      <c r="B64" s="22">
        <f>B63+1</f>
      </c>
      <c r="C64" s="23"/>
      <c r="D64" s="23"/>
      <c r="E64" s="25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x14ac:dyDescent="0.25" r="65" customHeight="1" ht="15">
      <c r="A65" s="14"/>
      <c r="B65" s="22">
        <f>B64+1</f>
      </c>
      <c r="C65" s="23"/>
      <c r="D65" s="23"/>
      <c r="E65" s="25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x14ac:dyDescent="0.25" r="66" customHeight="1" ht="15">
      <c r="A66" s="14"/>
      <c r="B66" s="22">
        <f>B65+1</f>
      </c>
      <c r="C66" s="23"/>
      <c r="D66" s="23"/>
      <c r="E66" s="25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x14ac:dyDescent="0.25" r="67" customHeight="1" ht="15">
      <c r="A67" s="14"/>
      <c r="B67" s="22">
        <f>B66+1</f>
      </c>
      <c r="C67" s="23"/>
      <c r="D67" s="23"/>
      <c r="E67" s="25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x14ac:dyDescent="0.25" r="68" customHeight="1" ht="15">
      <c r="A68" s="14"/>
      <c r="B68" s="22">
        <f>B67+1</f>
      </c>
      <c r="C68" s="23"/>
      <c r="D68" s="23"/>
      <c r="E68" s="25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x14ac:dyDescent="0.25" r="69" customHeight="1" ht="15">
      <c r="A69" s="14"/>
      <c r="B69" s="22">
        <f>B68+1</f>
      </c>
      <c r="C69" s="23"/>
      <c r="D69" s="23"/>
      <c r="E69" s="25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x14ac:dyDescent="0.25" r="70" customHeight="1" ht="15">
      <c r="A70" s="14"/>
      <c r="B70" s="22">
        <f>B69+1</f>
      </c>
      <c r="C70" s="23"/>
      <c r="D70" s="23"/>
      <c r="E70" s="25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x14ac:dyDescent="0.25" r="71" customHeight="1" ht="15">
      <c r="A71" s="14"/>
      <c r="B71" s="22">
        <f>B70+1</f>
      </c>
      <c r="C71" s="23"/>
      <c r="D71" s="23"/>
      <c r="E71" s="25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x14ac:dyDescent="0.25" r="72" customHeight="1" ht="15">
      <c r="A72" s="14"/>
      <c r="B72" s="22">
        <f>B71+1</f>
      </c>
      <c r="C72" s="23"/>
      <c r="D72" s="23"/>
      <c r="E72" s="25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x14ac:dyDescent="0.25" r="73" customHeight="1" ht="15">
      <c r="A73" s="14"/>
      <c r="B73" s="22">
        <f>B72+1</f>
      </c>
      <c r="C73" s="23"/>
      <c r="D73" s="23"/>
      <c r="E73" s="25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x14ac:dyDescent="0.25" r="74" customHeight="1" ht="15">
      <c r="A74" s="14"/>
      <c r="B74" s="22">
        <f>B73+1</f>
      </c>
      <c r="C74" s="23"/>
      <c r="D74" s="23"/>
      <c r="E74" s="25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x14ac:dyDescent="0.25" r="75" customHeight="1" ht="15">
      <c r="A75" s="14"/>
      <c r="B75" s="22">
        <f>B74+1</f>
      </c>
      <c r="C75" s="23"/>
      <c r="D75" s="23"/>
      <c r="E75" s="25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x14ac:dyDescent="0.25" r="76" customHeight="1" ht="15">
      <c r="A76" s="14"/>
      <c r="B76" s="22">
        <f>B75+1</f>
      </c>
      <c r="C76" s="23"/>
      <c r="D76" s="23"/>
      <c r="E76" s="25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x14ac:dyDescent="0.25" r="77" customHeight="1" ht="15">
      <c r="A77" s="14"/>
      <c r="B77" s="22">
        <f>B76+1</f>
      </c>
      <c r="C77" s="23"/>
      <c r="D77" s="23"/>
      <c r="E77" s="25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x14ac:dyDescent="0.25" r="78" customHeight="1" ht="15">
      <c r="A78" s="14"/>
      <c r="B78" s="22">
        <f>B77+1</f>
      </c>
      <c r="C78" s="23"/>
      <c r="D78" s="23"/>
      <c r="E78" s="25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x14ac:dyDescent="0.25" r="79" customHeight="1" ht="15">
      <c r="A79" s="14"/>
      <c r="B79" s="22">
        <f>B78+1</f>
      </c>
      <c r="C79" s="23"/>
      <c r="D79" s="23"/>
      <c r="E79" s="25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x14ac:dyDescent="0.25" r="80" customHeight="1" ht="15">
      <c r="A80" s="14"/>
      <c r="B80" s="22">
        <f>B79+1</f>
      </c>
      <c r="C80" s="23"/>
      <c r="D80" s="23"/>
      <c r="E80" s="25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x14ac:dyDescent="0.25" r="81" customHeight="1" ht="15">
      <c r="A81" s="14"/>
      <c r="B81" s="22">
        <f>B80+1</f>
      </c>
      <c r="C81" s="23"/>
      <c r="D81" s="23"/>
      <c r="E81" s="25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x14ac:dyDescent="0.25" r="82" customHeight="1" ht="15">
      <c r="A82" s="14"/>
      <c r="B82" s="22">
        <f>B81+1</f>
      </c>
      <c r="C82" s="23"/>
      <c r="D82" s="23"/>
      <c r="E82" s="25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x14ac:dyDescent="0.25" r="83" customHeight="1" ht="15">
      <c r="A83" s="14"/>
      <c r="B83" s="22">
        <f>B82+1</f>
      </c>
      <c r="C83" s="23"/>
      <c r="D83" s="23"/>
      <c r="E83" s="25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x14ac:dyDescent="0.25" r="84" customHeight="1" ht="15">
      <c r="A84" s="14"/>
      <c r="B84" s="22">
        <f>B83+1</f>
      </c>
      <c r="C84" s="23"/>
      <c r="D84" s="23"/>
      <c r="E84" s="25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x14ac:dyDescent="0.25" r="85" customHeight="1" ht="15">
      <c r="A85" s="14"/>
      <c r="B85" s="22">
        <f>B84+1</f>
      </c>
      <c r="C85" s="23"/>
      <c r="D85" s="23"/>
      <c r="E85" s="25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x14ac:dyDescent="0.25" r="86" customHeight="1" ht="15">
      <c r="A86" s="14"/>
      <c r="B86" s="22">
        <f>B85+1</f>
      </c>
      <c r="C86" s="23"/>
      <c r="D86" s="23"/>
      <c r="E86" s="25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x14ac:dyDescent="0.25" r="87" customHeight="1" ht="15">
      <c r="A87" s="14"/>
      <c r="B87" s="22">
        <f>B86+1</f>
      </c>
      <c r="C87" s="23"/>
      <c r="D87" s="24"/>
      <c r="E87" s="25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x14ac:dyDescent="0.25" r="88" customHeight="1" ht="15">
      <c r="A88" s="14"/>
      <c r="B88" s="22">
        <f>B87+1</f>
      </c>
      <c r="C88" s="23"/>
      <c r="D88" s="24"/>
      <c r="E88" s="25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x14ac:dyDescent="0.25" r="89" customHeight="1" ht="15">
      <c r="A89" s="14"/>
      <c r="B89" s="22">
        <f>B88+1</f>
      </c>
      <c r="C89" s="23"/>
      <c r="D89" s="23"/>
      <c r="E89" s="25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x14ac:dyDescent="0.25" r="90" customHeight="1" ht="15">
      <c r="A90" s="14"/>
      <c r="B90" s="22">
        <f>B89+1</f>
      </c>
      <c r="C90" s="23"/>
      <c r="D90" s="23"/>
      <c r="E90" s="25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x14ac:dyDescent="0.25" r="91" customHeight="1" ht="15">
      <c r="A91" s="14"/>
      <c r="B91" s="22">
        <f>B90+1</f>
      </c>
      <c r="C91" s="23"/>
      <c r="D91" s="23"/>
      <c r="E91" s="25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x14ac:dyDescent="0.25" r="92" customHeight="1" ht="15">
      <c r="A92" s="14"/>
      <c r="B92" s="22">
        <f>B91+1</f>
      </c>
      <c r="C92" s="23"/>
      <c r="D92" s="23"/>
      <c r="E92" s="25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x14ac:dyDescent="0.25" r="93" customHeight="1" ht="15">
      <c r="A93" s="14"/>
      <c r="B93" s="22">
        <f>B92+1</f>
      </c>
      <c r="C93" s="23"/>
      <c r="D93" s="23"/>
      <c r="E93" s="25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x14ac:dyDescent="0.25" r="94" customHeight="1" ht="15">
      <c r="A94" s="14"/>
      <c r="B94" s="22">
        <f>B93+1</f>
      </c>
      <c r="C94" s="23"/>
      <c r="D94" s="23"/>
      <c r="E94" s="25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x14ac:dyDescent="0.25" r="95" customHeight="1" ht="15">
      <c r="A95" s="14"/>
      <c r="B95" s="22">
        <f>B94+1</f>
      </c>
      <c r="C95" s="23"/>
      <c r="D95" s="23"/>
      <c r="E95" s="25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x14ac:dyDescent="0.25" r="96" customHeight="1" ht="15">
      <c r="A96" s="14"/>
      <c r="B96" s="22">
        <f>B95+1</f>
      </c>
      <c r="C96" s="23"/>
      <c r="D96" s="23"/>
      <c r="E96" s="25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x14ac:dyDescent="0.25" r="97" customHeight="1" ht="15">
      <c r="A97" s="14"/>
      <c r="B97" s="22">
        <f>B96+1</f>
      </c>
      <c r="C97" s="23"/>
      <c r="D97" s="23"/>
      <c r="E97" s="25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x14ac:dyDescent="0.25" r="98" customHeight="1" ht="15">
      <c r="A98" s="14"/>
      <c r="B98" s="22">
        <f>B97+1</f>
      </c>
      <c r="C98" s="23"/>
      <c r="D98" s="23"/>
      <c r="E98" s="25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x14ac:dyDescent="0.25" r="99" customHeight="1" ht="15">
      <c r="A99" s="14"/>
      <c r="B99" s="22">
        <f>B98+1</f>
      </c>
      <c r="C99" s="23"/>
      <c r="D99" s="23"/>
      <c r="E99" s="25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x14ac:dyDescent="0.25" r="100" customHeight="1" ht="15">
      <c r="A100" s="14"/>
      <c r="B100" s="22">
        <f>B99+1</f>
      </c>
      <c r="C100" s="23"/>
      <c r="D100" s="23"/>
      <c r="E100" s="25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x14ac:dyDescent="0.25" r="101" customHeight="1" ht="15">
      <c r="A101" s="14"/>
      <c r="B101" s="22">
        <f>B100+1</f>
      </c>
      <c r="C101" s="23"/>
      <c r="D101" s="23"/>
      <c r="E101" s="25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x14ac:dyDescent="0.25" r="102" customHeight="1" ht="15">
      <c r="A102" s="14"/>
      <c r="B102" s="22">
        <f>B101+1</f>
      </c>
      <c r="C102" s="23"/>
      <c r="D102" s="23"/>
      <c r="E102" s="25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x14ac:dyDescent="0.25" r="103" customHeight="1" ht="15">
      <c r="A103" s="14"/>
      <c r="B103" s="22">
        <f>B102+1</f>
      </c>
      <c r="C103" s="23"/>
      <c r="D103" s="23"/>
      <c r="E103" s="25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x14ac:dyDescent="0.25" r="104" customHeight="1" ht="15">
      <c r="A104" s="14"/>
      <c r="B104" s="22">
        <f>B103+1</f>
      </c>
      <c r="C104" s="23"/>
      <c r="D104" s="23"/>
      <c r="E104" s="25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x14ac:dyDescent="0.25" r="105" customHeight="1" ht="15">
      <c r="A105" s="14"/>
      <c r="B105" s="22">
        <f>B104+1</f>
      </c>
      <c r="C105" s="23"/>
      <c r="D105" s="23"/>
      <c r="E105" s="25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x14ac:dyDescent="0.25" r="106" customHeight="1" ht="15">
      <c r="A106" s="14"/>
      <c r="B106" s="22">
        <f>B105+1</f>
      </c>
      <c r="C106" s="23"/>
      <c r="D106" s="23"/>
      <c r="E106" s="25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x14ac:dyDescent="0.25" r="107" customHeight="1" ht="15">
      <c r="A107" s="14"/>
      <c r="B107" s="22">
        <f>B106+1</f>
      </c>
      <c r="C107" s="23"/>
      <c r="D107" s="23"/>
      <c r="E107" s="25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x14ac:dyDescent="0.25" r="108" customHeight="1" ht="15">
      <c r="A108" s="14"/>
      <c r="B108" s="22">
        <f>B107+1</f>
      </c>
      <c r="C108" s="23"/>
      <c r="D108" s="23"/>
      <c r="E108" s="25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x14ac:dyDescent="0.25" r="109" customHeight="1" ht="15">
      <c r="A109" s="14"/>
      <c r="B109" s="22">
        <f>B108+1</f>
      </c>
      <c r="C109" s="23"/>
      <c r="D109" s="23"/>
      <c r="E109" s="25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x14ac:dyDescent="0.25" r="110" customHeight="1" ht="15">
      <c r="A110" s="14"/>
      <c r="B110" s="22">
        <f>B109+1</f>
      </c>
      <c r="C110" s="23"/>
      <c r="D110" s="23"/>
      <c r="E110" s="25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x14ac:dyDescent="0.25" r="111" customHeight="1" ht="15">
      <c r="A111" s="14"/>
      <c r="B111" s="22">
        <f>B110+1</f>
      </c>
      <c r="C111" s="23"/>
      <c r="D111" s="23"/>
      <c r="E111" s="25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x14ac:dyDescent="0.25" r="112" customHeight="1" ht="15">
      <c r="A112" s="14"/>
      <c r="B112" s="22">
        <f>B111+1</f>
      </c>
      <c r="C112" s="23"/>
      <c r="D112" s="24"/>
      <c r="E112" s="25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x14ac:dyDescent="0.25" r="113" customHeight="1" ht="15">
      <c r="A113" s="14"/>
      <c r="B113" s="22">
        <f>B112+1</f>
      </c>
      <c r="C113" s="23"/>
      <c r="D113" s="23"/>
      <c r="E113" s="25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x14ac:dyDescent="0.25" r="114" customHeight="1" ht="15">
      <c r="A114" s="14"/>
      <c r="B114" s="22">
        <f>B113+1</f>
      </c>
      <c r="C114" s="23"/>
      <c r="D114" s="23"/>
      <c r="E114" s="25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x14ac:dyDescent="0.25" r="115" customHeight="1" ht="15">
      <c r="A115" s="14"/>
      <c r="B115" s="22">
        <f>B114+1</f>
      </c>
      <c r="C115" s="23"/>
      <c r="D115" s="23"/>
      <c r="E115" s="25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x14ac:dyDescent="0.25" r="116" customHeight="1" ht="15">
      <c r="A116" s="14"/>
      <c r="B116" s="22">
        <f>B115+1</f>
      </c>
      <c r="C116" s="23"/>
      <c r="D116" s="23"/>
      <c r="E116" s="25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x14ac:dyDescent="0.25" r="117" customHeight="1" ht="15">
      <c r="A117" s="14"/>
      <c r="B117" s="22">
        <f>B116+1</f>
      </c>
      <c r="C117" s="23"/>
      <c r="D117" s="23"/>
      <c r="E117" s="25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x14ac:dyDescent="0.25" r="118" customHeight="1" ht="15">
      <c r="A118" s="14"/>
      <c r="B118" s="22">
        <f>B117+1</f>
      </c>
      <c r="C118" s="23"/>
      <c r="D118" s="23"/>
      <c r="E118" s="25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x14ac:dyDescent="0.25" r="119" customHeight="1" ht="15">
      <c r="A119" s="14"/>
      <c r="B119" s="22">
        <f>B118+1</f>
      </c>
      <c r="C119" s="23"/>
      <c r="D119" s="23"/>
      <c r="E119" s="25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x14ac:dyDescent="0.25" r="120" customHeight="1" ht="15">
      <c r="A120" s="14"/>
      <c r="B120" s="22">
        <f>B119+1</f>
      </c>
      <c r="C120" s="23"/>
      <c r="D120" s="23"/>
      <c r="E120" s="25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x14ac:dyDescent="0.25" r="121" customHeight="1" ht="15">
      <c r="A121" s="14"/>
      <c r="B121" s="22">
        <f>B120+1</f>
      </c>
      <c r="C121" s="23"/>
      <c r="D121" s="23"/>
      <c r="E121" s="25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x14ac:dyDescent="0.25" r="122" customHeight="1" ht="15">
      <c r="A122" s="14"/>
      <c r="B122" s="22">
        <f>B121+1</f>
      </c>
      <c r="C122" s="23"/>
      <c r="D122" s="23"/>
      <c r="E122" s="25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x14ac:dyDescent="0.25" r="123" customHeight="1" ht="15">
      <c r="A123" s="14"/>
      <c r="B123" s="22">
        <f>B122+1</f>
      </c>
      <c r="C123" s="23"/>
      <c r="D123" s="23"/>
      <c r="E123" s="25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x14ac:dyDescent="0.25" r="124" customHeight="1" ht="15">
      <c r="A124" s="14"/>
      <c r="B124" s="22">
        <f>B123+1</f>
      </c>
      <c r="C124" s="23"/>
      <c r="D124" s="23"/>
      <c r="E124" s="25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x14ac:dyDescent="0.25" r="125" customHeight="1" ht="15">
      <c r="A125" s="14"/>
      <c r="B125" s="22">
        <f>B124+1</f>
      </c>
      <c r="C125" s="23"/>
      <c r="D125" s="23"/>
      <c r="E125" s="25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x14ac:dyDescent="0.25" r="126" customHeight="1" ht="15">
      <c r="A126" s="14"/>
      <c r="B126" s="22">
        <f>B125+1</f>
      </c>
      <c r="C126" s="23"/>
      <c r="D126" s="23"/>
      <c r="E126" s="25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x14ac:dyDescent="0.25" r="127" customHeight="1" ht="15">
      <c r="A127" s="14"/>
      <c r="B127" s="22">
        <f>B126+1</f>
      </c>
      <c r="C127" s="23"/>
      <c r="D127" s="23"/>
      <c r="E127" s="25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x14ac:dyDescent="0.25" r="128" customHeight="1" ht="15">
      <c r="A128" s="14"/>
      <c r="B128" s="22">
        <f>B127+1</f>
      </c>
      <c r="C128" s="23"/>
      <c r="D128" s="23"/>
      <c r="E128" s="25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x14ac:dyDescent="0.25" r="129" customHeight="1" ht="15">
      <c r="A129" s="14"/>
      <c r="B129" s="22">
        <f>B128+1</f>
      </c>
      <c r="C129" s="23"/>
      <c r="D129" s="23"/>
      <c r="E129" s="25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x14ac:dyDescent="0.25" r="130" customHeight="1" ht="15">
      <c r="A130" s="14"/>
      <c r="B130" s="22">
        <f>B129+1</f>
      </c>
      <c r="C130" s="23"/>
      <c r="D130" s="23"/>
      <c r="E130" s="25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x14ac:dyDescent="0.25" r="131" customHeight="1" ht="15">
      <c r="A131" s="14"/>
      <c r="B131" s="22">
        <f>B130+1</f>
      </c>
      <c r="C131" s="23"/>
      <c r="D131" s="23"/>
      <c r="E131" s="25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x14ac:dyDescent="0.25" r="132" customHeight="1" ht="15">
      <c r="A132" s="14"/>
      <c r="B132" s="22">
        <f>B131+1</f>
      </c>
      <c r="C132" s="23"/>
      <c r="D132" s="23"/>
      <c r="E132" s="25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x14ac:dyDescent="0.25" r="133" customHeight="1" ht="15.75">
      <c r="A133" s="14"/>
      <c r="B133" s="26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x14ac:dyDescent="0.25" r="134" customHeight="1" ht="15.75">
      <c r="A134" s="14"/>
      <c r="B134" s="26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x14ac:dyDescent="0.25" r="135" customHeight="1" ht="15.75">
      <c r="A135" s="14"/>
      <c r="B135" s="26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x14ac:dyDescent="0.25" r="136" customHeight="1" ht="15.75">
      <c r="A136" s="14"/>
      <c r="B136" s="26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x14ac:dyDescent="0.25" r="137" customHeight="1" ht="15.75">
      <c r="A137" s="14"/>
      <c r="B137" s="26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x14ac:dyDescent="0.25" r="138" customHeight="1" ht="15.75">
      <c r="A138" s="14"/>
      <c r="B138" s="26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x14ac:dyDescent="0.25" r="139" customHeight="1" ht="15.75">
      <c r="A139" s="14"/>
      <c r="B139" s="26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x14ac:dyDescent="0.25" r="140" customHeight="1" ht="15.75">
      <c r="A140" s="14"/>
      <c r="B140" s="26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x14ac:dyDescent="0.25" r="141" customHeight="1" ht="15.75">
      <c r="A141" s="14"/>
      <c r="B141" s="26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x14ac:dyDescent="0.25" r="142" customHeight="1" ht="15.75">
      <c r="A142" s="14"/>
      <c r="B142" s="26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x14ac:dyDescent="0.25" r="143" customHeight="1" ht="15.75">
      <c r="A143" s="14"/>
      <c r="B143" s="26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x14ac:dyDescent="0.25" r="144" customHeight="1" ht="15.75">
      <c r="A144" s="14"/>
      <c r="B144" s="26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x14ac:dyDescent="0.25" r="145" customHeight="1" ht="15.75">
      <c r="A145" s="14"/>
      <c r="B145" s="26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x14ac:dyDescent="0.25" r="146" customHeight="1" ht="15.75">
      <c r="A146" s="14"/>
      <c r="B146" s="26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x14ac:dyDescent="0.25" r="147" customHeight="1" ht="15.75">
      <c r="A147" s="14"/>
      <c r="B147" s="26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x14ac:dyDescent="0.25" r="148" customHeight="1" ht="15.75">
      <c r="A148" s="14"/>
      <c r="B148" s="26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x14ac:dyDescent="0.25" r="149" customHeight="1" ht="15.75">
      <c r="A149" s="14"/>
      <c r="B149" s="26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x14ac:dyDescent="0.25" r="150" customHeight="1" ht="15.75">
      <c r="A150" s="14"/>
      <c r="B150" s="26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x14ac:dyDescent="0.25" r="151" customHeight="1" ht="15.75">
      <c r="A151" s="14"/>
      <c r="B151" s="26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x14ac:dyDescent="0.25" r="152" customHeight="1" ht="15.75">
      <c r="A152" s="14"/>
      <c r="B152" s="26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x14ac:dyDescent="0.25" r="153" customHeight="1" ht="15.75">
      <c r="A153" s="14"/>
      <c r="B153" s="26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x14ac:dyDescent="0.25" r="154" customHeight="1" ht="15.75">
      <c r="A154" s="14"/>
      <c r="B154" s="26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x14ac:dyDescent="0.25" r="155" customHeight="1" ht="15.75">
      <c r="A155" s="14"/>
      <c r="B155" s="26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x14ac:dyDescent="0.25" r="156" customHeight="1" ht="15.75">
      <c r="A156" s="14"/>
      <c r="B156" s="26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x14ac:dyDescent="0.25" r="157" customHeight="1" ht="15.75">
      <c r="A157" s="14"/>
      <c r="B157" s="26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x14ac:dyDescent="0.25" r="158" customHeight="1" ht="15.75">
      <c r="A158" s="14"/>
      <c r="B158" s="26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x14ac:dyDescent="0.25" r="159" customHeight="1" ht="15.75">
      <c r="A159" s="14"/>
      <c r="B159" s="26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x14ac:dyDescent="0.25" r="160" customHeight="1" ht="15.75">
      <c r="A160" s="14"/>
      <c r="B160" s="26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x14ac:dyDescent="0.25" r="161" customHeight="1" ht="15.75">
      <c r="A161" s="14"/>
      <c r="B161" s="26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x14ac:dyDescent="0.25" r="162" customHeight="1" ht="15.75">
      <c r="A162" s="14"/>
      <c r="B162" s="26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x14ac:dyDescent="0.25" r="163" customHeight="1" ht="15.75">
      <c r="A163" s="14"/>
      <c r="B163" s="26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x14ac:dyDescent="0.25" r="164" customHeight="1" ht="15.75">
      <c r="A164" s="14"/>
      <c r="B164" s="26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x14ac:dyDescent="0.25" r="165" customHeight="1" ht="15.75">
      <c r="A165" s="14"/>
      <c r="B165" s="26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x14ac:dyDescent="0.25" r="166" customHeight="1" ht="15.75">
      <c r="A166" s="14"/>
      <c r="B166" s="26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x14ac:dyDescent="0.25" r="167" customHeight="1" ht="15.75">
      <c r="A167" s="14"/>
      <c r="B167" s="26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x14ac:dyDescent="0.25" r="168" customHeight="1" ht="15.75">
      <c r="A168" s="14"/>
      <c r="B168" s="26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x14ac:dyDescent="0.25" r="169" customHeight="1" ht="15.75">
      <c r="A169" s="14"/>
      <c r="B169" s="26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x14ac:dyDescent="0.25" r="170" customHeight="1" ht="15.75">
      <c r="A170" s="14"/>
      <c r="B170" s="26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x14ac:dyDescent="0.25" r="171" customHeight="1" ht="15.75">
      <c r="A171" s="14"/>
      <c r="B171" s="26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x14ac:dyDescent="0.25" r="172" customHeight="1" ht="15.75">
      <c r="A172" s="14"/>
      <c r="B172" s="26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x14ac:dyDescent="0.25" r="173" customHeight="1" ht="15.75">
      <c r="A173" s="14"/>
      <c r="B173" s="26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x14ac:dyDescent="0.25" r="174" customHeight="1" ht="15.75">
      <c r="A174" s="14"/>
      <c r="B174" s="26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x14ac:dyDescent="0.25" r="175" customHeight="1" ht="15.75">
      <c r="A175" s="14"/>
      <c r="B175" s="26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x14ac:dyDescent="0.25" r="176" customHeight="1" ht="15.75">
      <c r="A176" s="14"/>
      <c r="B176" s="26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x14ac:dyDescent="0.25" r="177" customHeight="1" ht="15.75">
      <c r="A177" s="14"/>
      <c r="B177" s="26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x14ac:dyDescent="0.25" r="178" customHeight="1" ht="15.75">
      <c r="A178" s="14"/>
      <c r="B178" s="26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x14ac:dyDescent="0.25" r="179" customHeight="1" ht="15.75">
      <c r="A179" s="14"/>
      <c r="B179" s="26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x14ac:dyDescent="0.25" r="180" customHeight="1" ht="15.75">
      <c r="A180" s="14"/>
      <c r="B180" s="26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x14ac:dyDescent="0.25" r="181" customHeight="1" ht="15.75">
      <c r="A181" s="14"/>
      <c r="B181" s="26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x14ac:dyDescent="0.25" r="182" customHeight="1" ht="15.75">
      <c r="A182" s="14"/>
      <c r="B182" s="26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x14ac:dyDescent="0.25" r="183" customHeight="1" ht="15.75">
      <c r="A183" s="14"/>
      <c r="B183" s="26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x14ac:dyDescent="0.25" r="184" customHeight="1" ht="15.75">
      <c r="A184" s="14"/>
      <c r="B184" s="26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x14ac:dyDescent="0.25" r="185" customHeight="1" ht="15.75">
      <c r="A185" s="14"/>
      <c r="B185" s="26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x14ac:dyDescent="0.25" r="186" customHeight="1" ht="15.75">
      <c r="A186" s="14"/>
      <c r="B186" s="26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x14ac:dyDescent="0.25" r="187" customHeight="1" ht="15.75">
      <c r="A187" s="14"/>
      <c r="B187" s="26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x14ac:dyDescent="0.25" r="188" customHeight="1" ht="15.75">
      <c r="A188" s="14"/>
      <c r="B188" s="26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x14ac:dyDescent="0.25" r="189" customHeight="1" ht="15.75">
      <c r="A189" s="14"/>
      <c r="B189" s="26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x14ac:dyDescent="0.25" r="190" customHeight="1" ht="15.75">
      <c r="A190" s="14"/>
      <c r="B190" s="26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x14ac:dyDescent="0.25" r="191" customHeight="1" ht="15.75">
      <c r="A191" s="14"/>
      <c r="B191" s="26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x14ac:dyDescent="0.25" r="192" customHeight="1" ht="15.75">
      <c r="A192" s="14"/>
      <c r="B192" s="26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x14ac:dyDescent="0.25" r="193" customHeight="1" ht="15.75">
      <c r="A193" s="14"/>
      <c r="B193" s="26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x14ac:dyDescent="0.25" r="194" customHeight="1" ht="15.75">
      <c r="A194" s="14"/>
      <c r="B194" s="26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x14ac:dyDescent="0.25" r="195" customHeight="1" ht="15.75">
      <c r="A195" s="14"/>
      <c r="B195" s="26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x14ac:dyDescent="0.25" r="196" customHeight="1" ht="15.75">
      <c r="A196" s="14"/>
      <c r="B196" s="26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x14ac:dyDescent="0.25" r="197" customHeight="1" ht="15.75">
      <c r="A197" s="14"/>
      <c r="B197" s="26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x14ac:dyDescent="0.25" r="198" customHeight="1" ht="15.75">
      <c r="A198" s="14"/>
      <c r="B198" s="26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x14ac:dyDescent="0.25" r="199" customHeight="1" ht="15.75">
      <c r="A199" s="14"/>
      <c r="B199" s="26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x14ac:dyDescent="0.25" r="200" customHeight="1" ht="15.75">
      <c r="A200" s="14"/>
      <c r="B200" s="26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x14ac:dyDescent="0.25" r="201" customHeight="1" ht="15.75">
      <c r="A201" s="14"/>
      <c r="B201" s="26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x14ac:dyDescent="0.25" r="202" customHeight="1" ht="15.75">
      <c r="A202" s="14"/>
      <c r="B202" s="26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x14ac:dyDescent="0.25" r="203" customHeight="1" ht="15.75">
      <c r="A203" s="14"/>
      <c r="B203" s="26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x14ac:dyDescent="0.25" r="204" customHeight="1" ht="15.75">
      <c r="A204" s="14"/>
      <c r="B204" s="26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x14ac:dyDescent="0.25" r="205" customHeight="1" ht="15.75">
      <c r="A205" s="14"/>
      <c r="B205" s="26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x14ac:dyDescent="0.25" r="206" customHeight="1" ht="15.75">
      <c r="A206" s="14"/>
      <c r="B206" s="26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x14ac:dyDescent="0.25" r="207" customHeight="1" ht="15.75">
      <c r="A207" s="14"/>
      <c r="B207" s="26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x14ac:dyDescent="0.25" r="208" customHeight="1" ht="15.75">
      <c r="A208" s="14"/>
      <c r="B208" s="26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x14ac:dyDescent="0.25" r="209" customHeight="1" ht="15.75">
      <c r="A209" s="14"/>
      <c r="B209" s="26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x14ac:dyDescent="0.25" r="210" customHeight="1" ht="15.75">
      <c r="A210" s="14"/>
      <c r="B210" s="26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x14ac:dyDescent="0.25" r="211" customHeight="1" ht="15.75">
      <c r="A211" s="14"/>
      <c r="B211" s="26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x14ac:dyDescent="0.25" r="212" customHeight="1" ht="15.75">
      <c r="A212" s="14"/>
      <c r="B212" s="26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x14ac:dyDescent="0.25" r="213" customHeight="1" ht="15.75">
      <c r="A213" s="14"/>
      <c r="B213" s="26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x14ac:dyDescent="0.25" r="214" customHeight="1" ht="15.75">
      <c r="A214" s="14"/>
      <c r="B214" s="26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x14ac:dyDescent="0.25" r="215" customHeight="1" ht="15.75">
      <c r="A215" s="14"/>
      <c r="B215" s="26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x14ac:dyDescent="0.25" r="216" customHeight="1" ht="15.75">
      <c r="A216" s="14"/>
      <c r="B216" s="26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x14ac:dyDescent="0.25" r="217" customHeight="1" ht="15.75">
      <c r="A217" s="14"/>
      <c r="B217" s="26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x14ac:dyDescent="0.25" r="218" customHeight="1" ht="15.75">
      <c r="A218" s="14"/>
      <c r="B218" s="26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x14ac:dyDescent="0.25" r="219" customHeight="1" ht="15.75">
      <c r="A219" s="14"/>
      <c r="B219" s="26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x14ac:dyDescent="0.25" r="220" customHeight="1" ht="15.75">
      <c r="A220" s="14"/>
      <c r="B220" s="26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x14ac:dyDescent="0.25" r="221" customHeight="1" ht="15.75">
      <c r="A221" s="14"/>
      <c r="B221" s="26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x14ac:dyDescent="0.25" r="222" customHeight="1" ht="15.75">
      <c r="A222" s="14"/>
      <c r="B222" s="26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x14ac:dyDescent="0.25" r="223" customHeight="1" ht="15.75">
      <c r="A223" s="14"/>
      <c r="B223" s="26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x14ac:dyDescent="0.25" r="224" customHeight="1" ht="15.75">
      <c r="A224" s="14"/>
      <c r="B224" s="26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x14ac:dyDescent="0.25" r="225" customHeight="1" ht="15.75">
      <c r="A225" s="14"/>
      <c r="B225" s="26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x14ac:dyDescent="0.25" r="226" customHeight="1" ht="15.75">
      <c r="A226" s="14"/>
      <c r="B226" s="26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x14ac:dyDescent="0.25" r="227" customHeight="1" ht="15.75">
      <c r="A227" s="14"/>
      <c r="B227" s="26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x14ac:dyDescent="0.25" r="228" customHeight="1" ht="15.75">
      <c r="A228" s="14"/>
      <c r="B228" s="26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x14ac:dyDescent="0.25" r="229" customHeight="1" ht="15.75">
      <c r="A229" s="14"/>
      <c r="B229" s="26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x14ac:dyDescent="0.25" r="230" customHeight="1" ht="15.75">
      <c r="A230" s="14"/>
      <c r="B230" s="26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x14ac:dyDescent="0.25" r="231" customHeight="1" ht="15.75">
      <c r="A231" s="14"/>
      <c r="B231" s="26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x14ac:dyDescent="0.25" r="232" customHeight="1" ht="15.75">
      <c r="A232" s="14"/>
      <c r="B232" s="26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x14ac:dyDescent="0.25" r="233" customHeight="1" ht="15.75">
      <c r="A233" s="14"/>
      <c r="B233" s="26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x14ac:dyDescent="0.25" r="234" customHeight="1" ht="15.75">
      <c r="A234" s="14"/>
      <c r="B234" s="26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x14ac:dyDescent="0.25" r="235" customHeight="1" ht="15.75">
      <c r="A235" s="14"/>
      <c r="B235" s="26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x14ac:dyDescent="0.25" r="236" customHeight="1" ht="15.75">
      <c r="A236" s="14"/>
      <c r="B236" s="26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x14ac:dyDescent="0.25" r="237" customHeight="1" ht="15.75">
      <c r="A237" s="14"/>
      <c r="B237" s="26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x14ac:dyDescent="0.25" r="238" customHeight="1" ht="15.75">
      <c r="A238" s="14"/>
      <c r="B238" s="26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x14ac:dyDescent="0.25" r="239" customHeight="1" ht="15.75">
      <c r="A239" s="14"/>
      <c r="B239" s="26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x14ac:dyDescent="0.25" r="240" customHeight="1" ht="15.75">
      <c r="A240" s="14"/>
      <c r="B240" s="26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x14ac:dyDescent="0.25" r="241" customHeight="1" ht="15.75">
      <c r="A241" s="14"/>
      <c r="B241" s="26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x14ac:dyDescent="0.25" r="242" customHeight="1" ht="15.75">
      <c r="A242" s="14"/>
      <c r="B242" s="26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x14ac:dyDescent="0.25" r="243" customHeight="1" ht="15.75">
      <c r="A243" s="14"/>
      <c r="B243" s="26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x14ac:dyDescent="0.25" r="244" customHeight="1" ht="15.75">
      <c r="A244" s="14"/>
      <c r="B244" s="26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x14ac:dyDescent="0.25" r="245" customHeight="1" ht="15.75">
      <c r="A245" s="14"/>
      <c r="B245" s="26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x14ac:dyDescent="0.25" r="246" customHeight="1" ht="15.75">
      <c r="A246" s="14"/>
      <c r="B246" s="26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x14ac:dyDescent="0.25" r="247" customHeight="1" ht="15.75">
      <c r="A247" s="14"/>
      <c r="B247" s="26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x14ac:dyDescent="0.25" r="248" customHeight="1" ht="15.75">
      <c r="A248" s="14"/>
      <c r="B248" s="26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x14ac:dyDescent="0.25" r="249" customHeight="1" ht="15.75">
      <c r="A249" s="14"/>
      <c r="B249" s="26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x14ac:dyDescent="0.25" r="250" customHeight="1" ht="15.75">
      <c r="A250" s="14"/>
      <c r="B250" s="26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x14ac:dyDescent="0.25" r="251" customHeight="1" ht="15.75">
      <c r="A251" s="14"/>
      <c r="B251" s="26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x14ac:dyDescent="0.25" r="252" customHeight="1" ht="15.75">
      <c r="A252" s="14"/>
      <c r="B252" s="26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x14ac:dyDescent="0.25" r="253" customHeight="1" ht="15.75">
      <c r="A253" s="14"/>
      <c r="B253" s="26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x14ac:dyDescent="0.25" r="254" customHeight="1" ht="15.75">
      <c r="A254" s="14"/>
      <c r="B254" s="26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x14ac:dyDescent="0.25" r="255" customHeight="1" ht="15.75">
      <c r="A255" s="14"/>
      <c r="B255" s="26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x14ac:dyDescent="0.25" r="256" customHeight="1" ht="15.75">
      <c r="A256" s="14"/>
      <c r="B256" s="26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x14ac:dyDescent="0.25" r="257" customHeight="1" ht="15.75">
      <c r="A257" s="14"/>
      <c r="B257" s="26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x14ac:dyDescent="0.25" r="258" customHeight="1" ht="15.75">
      <c r="A258" s="14"/>
      <c r="B258" s="26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x14ac:dyDescent="0.25" r="259" customHeight="1" ht="15.75">
      <c r="A259" s="14"/>
      <c r="B259" s="26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x14ac:dyDescent="0.25" r="260" customHeight="1" ht="15.75">
      <c r="A260" s="14"/>
      <c r="B260" s="26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x14ac:dyDescent="0.25" r="261" customHeight="1" ht="15.75">
      <c r="A261" s="14"/>
      <c r="B261" s="26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x14ac:dyDescent="0.25" r="262" customHeight="1" ht="15.75">
      <c r="A262" s="14"/>
      <c r="B262" s="26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x14ac:dyDescent="0.25" r="263" customHeight="1" ht="15.75">
      <c r="A263" s="14"/>
      <c r="B263" s="26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x14ac:dyDescent="0.25" r="264" customHeight="1" ht="15.75">
      <c r="A264" s="14"/>
      <c r="B264" s="26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x14ac:dyDescent="0.25" r="265" customHeight="1" ht="15.75">
      <c r="A265" s="14"/>
      <c r="B265" s="26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x14ac:dyDescent="0.25" r="266" customHeight="1" ht="15.75">
      <c r="A266" s="14"/>
      <c r="B266" s="26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x14ac:dyDescent="0.25" r="267" customHeight="1" ht="15.75">
      <c r="A267" s="14"/>
      <c r="B267" s="26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x14ac:dyDescent="0.25" r="268" customHeight="1" ht="15.75">
      <c r="A268" s="14"/>
      <c r="B268" s="26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x14ac:dyDescent="0.25" r="269" customHeight="1" ht="15.75">
      <c r="A269" s="14"/>
      <c r="B269" s="26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x14ac:dyDescent="0.25" r="270" customHeight="1" ht="15.75">
      <c r="A270" s="14"/>
      <c r="B270" s="26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x14ac:dyDescent="0.25" r="271" customHeight="1" ht="15.75">
      <c r="A271" s="14"/>
      <c r="B271" s="26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x14ac:dyDescent="0.25" r="272" customHeight="1" ht="15.75">
      <c r="A272" s="14"/>
      <c r="B272" s="26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x14ac:dyDescent="0.25" r="273" customHeight="1" ht="15.75">
      <c r="A273" s="14"/>
      <c r="B273" s="26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x14ac:dyDescent="0.25" r="274" customHeight="1" ht="15.75">
      <c r="A274" s="14"/>
      <c r="B274" s="26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x14ac:dyDescent="0.25" r="275" customHeight="1" ht="15.75">
      <c r="A275" s="14"/>
      <c r="B275" s="26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x14ac:dyDescent="0.25" r="276" customHeight="1" ht="15.75">
      <c r="A276" s="14"/>
      <c r="B276" s="26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x14ac:dyDescent="0.25" r="277" customHeight="1" ht="15.75">
      <c r="A277" s="14"/>
      <c r="B277" s="26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x14ac:dyDescent="0.25" r="278" customHeight="1" ht="15.75">
      <c r="A278" s="14"/>
      <c r="B278" s="26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x14ac:dyDescent="0.25" r="279" customHeight="1" ht="15.75">
      <c r="A279" s="14"/>
      <c r="B279" s="26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x14ac:dyDescent="0.25" r="280" customHeight="1" ht="15.75">
      <c r="A280" s="14"/>
      <c r="B280" s="26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x14ac:dyDescent="0.25" r="281" customHeight="1" ht="15.75">
      <c r="A281" s="14"/>
      <c r="B281" s="26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x14ac:dyDescent="0.25" r="282" customHeight="1" ht="15.75">
      <c r="A282" s="14"/>
      <c r="B282" s="26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x14ac:dyDescent="0.25" r="283" customHeight="1" ht="15.75">
      <c r="A283" s="14"/>
      <c r="B283" s="26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x14ac:dyDescent="0.25" r="284" customHeight="1" ht="15.75">
      <c r="A284" s="14"/>
      <c r="B284" s="26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x14ac:dyDescent="0.25" r="285" customHeight="1" ht="15.75">
      <c r="A285" s="14"/>
      <c r="B285" s="26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x14ac:dyDescent="0.25" r="286" customHeight="1" ht="15.75">
      <c r="A286" s="14"/>
      <c r="B286" s="26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x14ac:dyDescent="0.25" r="287" customHeight="1" ht="15.75">
      <c r="A287" s="14"/>
      <c r="B287" s="26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x14ac:dyDescent="0.25" r="288" customHeight="1" ht="15.75">
      <c r="A288" s="14"/>
      <c r="B288" s="26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x14ac:dyDescent="0.25" r="289" customHeight="1" ht="15.75">
      <c r="A289" s="14"/>
      <c r="B289" s="26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x14ac:dyDescent="0.25" r="290" customHeight="1" ht="15.75">
      <c r="A290" s="14"/>
      <c r="B290" s="26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x14ac:dyDescent="0.25" r="291" customHeight="1" ht="15.75">
      <c r="A291" s="14"/>
      <c r="B291" s="26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x14ac:dyDescent="0.25" r="292" customHeight="1" ht="15.75">
      <c r="A292" s="14"/>
      <c r="B292" s="26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x14ac:dyDescent="0.25" r="293" customHeight="1" ht="15.75">
      <c r="A293" s="14"/>
      <c r="B293" s="26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x14ac:dyDescent="0.25" r="294" customHeight="1" ht="15.75">
      <c r="A294" s="14"/>
      <c r="B294" s="26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x14ac:dyDescent="0.25" r="295" customHeight="1" ht="15.75">
      <c r="A295" s="14"/>
      <c r="B295" s="26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x14ac:dyDescent="0.25" r="296" customHeight="1" ht="15.75">
      <c r="A296" s="14"/>
      <c r="B296" s="26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x14ac:dyDescent="0.25" r="297" customHeight="1" ht="15.75">
      <c r="A297" s="14"/>
      <c r="B297" s="26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x14ac:dyDescent="0.25" r="298" customHeight="1" ht="15.75">
      <c r="A298" s="14"/>
      <c r="B298" s="26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x14ac:dyDescent="0.25" r="299" customHeight="1" ht="15.75">
      <c r="A299" s="14"/>
      <c r="B299" s="26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x14ac:dyDescent="0.25" r="300" customHeight="1" ht="15.75">
      <c r="A300" s="14"/>
      <c r="B300" s="26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x14ac:dyDescent="0.25" r="301" customHeight="1" ht="15.75">
      <c r="A301" s="14"/>
      <c r="B301" s="26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x14ac:dyDescent="0.25" r="302" customHeight="1" ht="15.75">
      <c r="A302" s="14"/>
      <c r="B302" s="26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x14ac:dyDescent="0.25" r="303" customHeight="1" ht="15.75">
      <c r="A303" s="14"/>
      <c r="B303" s="26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x14ac:dyDescent="0.25" r="304" customHeight="1" ht="15.75">
      <c r="A304" s="14"/>
      <c r="B304" s="26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x14ac:dyDescent="0.25" r="305" customHeight="1" ht="15.75">
      <c r="A305" s="14"/>
      <c r="B305" s="26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x14ac:dyDescent="0.25" r="306" customHeight="1" ht="15.75">
      <c r="A306" s="14"/>
      <c r="B306" s="26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x14ac:dyDescent="0.25" r="307" customHeight="1" ht="15.75">
      <c r="A307" s="14"/>
      <c r="B307" s="26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x14ac:dyDescent="0.25" r="308" customHeight="1" ht="15.75">
      <c r="A308" s="14"/>
      <c r="B308" s="26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x14ac:dyDescent="0.25" r="309" customHeight="1" ht="15.75">
      <c r="A309" s="14"/>
      <c r="B309" s="26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x14ac:dyDescent="0.25" r="310" customHeight="1" ht="15.75">
      <c r="A310" s="14"/>
      <c r="B310" s="26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x14ac:dyDescent="0.25" r="311" customHeight="1" ht="15.75">
      <c r="A311" s="14"/>
      <c r="B311" s="26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x14ac:dyDescent="0.25" r="312" customHeight="1" ht="15.75">
      <c r="A312" s="14"/>
      <c r="B312" s="26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x14ac:dyDescent="0.25" r="313" customHeight="1" ht="15.75">
      <c r="A313" s="14"/>
      <c r="B313" s="26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x14ac:dyDescent="0.25" r="314" customHeight="1" ht="15.75">
      <c r="A314" s="14"/>
      <c r="B314" s="26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x14ac:dyDescent="0.25" r="315" customHeight="1" ht="15.75">
      <c r="A315" s="14"/>
      <c r="B315" s="26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x14ac:dyDescent="0.25" r="316" customHeight="1" ht="15.75">
      <c r="A316" s="14"/>
      <c r="B316" s="26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x14ac:dyDescent="0.25" r="317" customHeight="1" ht="15.75">
      <c r="A317" s="14"/>
      <c r="B317" s="26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x14ac:dyDescent="0.25" r="318" customHeight="1" ht="15.75">
      <c r="A318" s="14"/>
      <c r="B318" s="26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x14ac:dyDescent="0.25" r="319" customHeight="1" ht="15.75">
      <c r="A319" s="14"/>
      <c r="B319" s="26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x14ac:dyDescent="0.25" r="320" customHeight="1" ht="15.75">
      <c r="A320" s="14"/>
      <c r="B320" s="26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x14ac:dyDescent="0.25" r="321" customHeight="1" ht="15.75">
      <c r="A321" s="14"/>
      <c r="B321" s="26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x14ac:dyDescent="0.25" r="322" customHeight="1" ht="15.75">
      <c r="A322" s="14"/>
      <c r="B322" s="26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x14ac:dyDescent="0.25" r="323" customHeight="1" ht="15.75">
      <c r="A323" s="14"/>
      <c r="B323" s="26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x14ac:dyDescent="0.25" r="324" customHeight="1" ht="15.75">
      <c r="A324" s="14"/>
      <c r="B324" s="26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x14ac:dyDescent="0.25" r="325" customHeight="1" ht="15.75">
      <c r="A325" s="14"/>
      <c r="B325" s="26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x14ac:dyDescent="0.25" r="326" customHeight="1" ht="15.75">
      <c r="A326" s="14"/>
      <c r="B326" s="26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x14ac:dyDescent="0.25" r="327" customHeight="1" ht="15.75">
      <c r="A327" s="14"/>
      <c r="B327" s="26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x14ac:dyDescent="0.25" r="328" customHeight="1" ht="15.75">
      <c r="A328" s="14"/>
      <c r="B328" s="26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x14ac:dyDescent="0.25" r="329" customHeight="1" ht="15.75">
      <c r="A329" s="14"/>
      <c r="B329" s="26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x14ac:dyDescent="0.25" r="330" customHeight="1" ht="15.75">
      <c r="A330" s="14"/>
      <c r="B330" s="26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x14ac:dyDescent="0.25" r="331" customHeight="1" ht="15.75">
      <c r="A331" s="14"/>
      <c r="B331" s="26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x14ac:dyDescent="0.25" r="332" customHeight="1" ht="15.75">
      <c r="A332" s="14"/>
      <c r="B332" s="26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x14ac:dyDescent="0.25" r="333" customHeight="1" ht="15.75">
      <c r="A333" s="11"/>
      <c r="B333" s="26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x14ac:dyDescent="0.25" r="334" customHeight="1" ht="15.75">
      <c r="A334" s="11"/>
      <c r="B334" s="26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x14ac:dyDescent="0.25" r="335" customHeight="1" ht="15.75">
      <c r="A335" s="11"/>
      <c r="B335" s="26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x14ac:dyDescent="0.25" r="336" customHeight="1" ht="15.75">
      <c r="A336" s="11"/>
      <c r="B336" s="26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x14ac:dyDescent="0.25" r="337" customHeight="1" ht="15.75">
      <c r="A337" s="11"/>
      <c r="B337" s="26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x14ac:dyDescent="0.25" r="338" customHeight="1" ht="15.75">
      <c r="A338" s="11"/>
      <c r="B338" s="26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x14ac:dyDescent="0.25" r="339" customHeight="1" ht="15.75">
      <c r="A339" s="11"/>
      <c r="B339" s="26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x14ac:dyDescent="0.25" r="340" customHeight="1" ht="15.75">
      <c r="A340" s="11"/>
      <c r="B340" s="26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x14ac:dyDescent="0.25" r="341" customHeight="1" ht="15.75">
      <c r="A341" s="11"/>
      <c r="B341" s="26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x14ac:dyDescent="0.25" r="342" customHeight="1" ht="15.75">
      <c r="A342" s="11"/>
      <c r="B342" s="26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x14ac:dyDescent="0.25" r="343" customHeight="1" ht="15.75">
      <c r="A343" s="11"/>
      <c r="B343" s="26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x14ac:dyDescent="0.25" r="344" customHeight="1" ht="15.75">
      <c r="A344" s="11"/>
      <c r="B344" s="26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x14ac:dyDescent="0.25" r="345" customHeight="1" ht="15.75">
      <c r="A345" s="11"/>
      <c r="B345" s="26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x14ac:dyDescent="0.25" r="346" customHeight="1" ht="15.75">
      <c r="A346" s="11"/>
      <c r="B346" s="26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x14ac:dyDescent="0.25" r="347" customHeight="1" ht="15.75">
      <c r="A347" s="11"/>
      <c r="B347" s="26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x14ac:dyDescent="0.25" r="348" customHeight="1" ht="15.75">
      <c r="A348" s="11"/>
      <c r="B348" s="26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x14ac:dyDescent="0.25" r="349" customHeight="1" ht="15.75">
      <c r="A349" s="11"/>
      <c r="B349" s="26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x14ac:dyDescent="0.25" r="350" customHeight="1" ht="15.75">
      <c r="A350" s="11"/>
      <c r="B350" s="26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x14ac:dyDescent="0.25" r="351" customHeight="1" ht="15.75">
      <c r="A351" s="11"/>
      <c r="B351" s="26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x14ac:dyDescent="0.25" r="352" customHeight="1" ht="15.75">
      <c r="A352" s="11"/>
      <c r="B352" s="26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x14ac:dyDescent="0.25" r="353" customHeight="1" ht="15.75">
      <c r="A353" s="11"/>
      <c r="B353" s="26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x14ac:dyDescent="0.25" r="354" customHeight="1" ht="15.75">
      <c r="A354" s="11"/>
      <c r="B354" s="26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x14ac:dyDescent="0.25" r="355" customHeight="1" ht="15.75">
      <c r="A355" s="11"/>
      <c r="B355" s="26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x14ac:dyDescent="0.25" r="356" customHeight="1" ht="15.75">
      <c r="A356" s="11"/>
      <c r="B356" s="26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x14ac:dyDescent="0.25" r="357" customHeight="1" ht="15.75">
      <c r="A357" s="11"/>
      <c r="B357" s="26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x14ac:dyDescent="0.25" r="358" customHeight="1" ht="15.75">
      <c r="A358" s="11"/>
      <c r="B358" s="26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x14ac:dyDescent="0.25" r="359" customHeight="1" ht="15.75">
      <c r="A359" s="11"/>
      <c r="B359" s="26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x14ac:dyDescent="0.25" r="360" customHeight="1" ht="15.75">
      <c r="A360" s="11"/>
      <c r="B360" s="26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x14ac:dyDescent="0.25" r="361" customHeight="1" ht="15.75">
      <c r="A361" s="11"/>
      <c r="B361" s="26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x14ac:dyDescent="0.25" r="362" customHeight="1" ht="15.75">
      <c r="A362" s="11"/>
      <c r="B362" s="26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x14ac:dyDescent="0.25" r="363" customHeight="1" ht="15.75">
      <c r="A363" s="11"/>
      <c r="B363" s="26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x14ac:dyDescent="0.25" r="364" customHeight="1" ht="15.75">
      <c r="A364" s="11"/>
      <c r="B364" s="26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x14ac:dyDescent="0.25" r="365" customHeight="1" ht="15.75">
      <c r="A365" s="11"/>
      <c r="B365" s="26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x14ac:dyDescent="0.25" r="366" customHeight="1" ht="15.75">
      <c r="A366" s="11"/>
      <c r="B366" s="26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x14ac:dyDescent="0.25" r="367" customHeight="1" ht="15.75">
      <c r="A367" s="11"/>
      <c r="B367" s="26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x14ac:dyDescent="0.25" r="368" customHeight="1" ht="15.75">
      <c r="A368" s="11"/>
      <c r="B368" s="26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x14ac:dyDescent="0.25" r="369" customHeight="1" ht="15.75">
      <c r="A369" s="11"/>
      <c r="B369" s="26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x14ac:dyDescent="0.25" r="370" customHeight="1" ht="15.75">
      <c r="A370" s="11"/>
      <c r="B370" s="26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x14ac:dyDescent="0.25" r="371" customHeight="1" ht="15.75">
      <c r="A371" s="11"/>
      <c r="B371" s="26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x14ac:dyDescent="0.25" r="372" customHeight="1" ht="15.75">
      <c r="A372" s="11"/>
      <c r="B372" s="26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x14ac:dyDescent="0.25" r="373" customHeight="1" ht="15.75">
      <c r="A373" s="11"/>
      <c r="B373" s="26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x14ac:dyDescent="0.25" r="374" customHeight="1" ht="15.75">
      <c r="A374" s="11"/>
      <c r="B374" s="26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x14ac:dyDescent="0.25" r="375" customHeight="1" ht="15.75">
      <c r="A375" s="11"/>
      <c r="B375" s="26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x14ac:dyDescent="0.25" r="376" customHeight="1" ht="15.75">
      <c r="A376" s="11"/>
      <c r="B376" s="26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x14ac:dyDescent="0.25" r="377" customHeight="1" ht="15.75">
      <c r="A377" s="11"/>
      <c r="B377" s="26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x14ac:dyDescent="0.25" r="378" customHeight="1" ht="15.75">
      <c r="A378" s="11"/>
      <c r="B378" s="26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x14ac:dyDescent="0.25" r="379" customHeight="1" ht="15.75">
      <c r="A379" s="11"/>
      <c r="B379" s="26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x14ac:dyDescent="0.25" r="380" customHeight="1" ht="15.75">
      <c r="A380" s="11"/>
      <c r="B380" s="26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x14ac:dyDescent="0.25" r="381" customHeight="1" ht="15.75">
      <c r="A381" s="11"/>
      <c r="B381" s="26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x14ac:dyDescent="0.25" r="382" customHeight="1" ht="15.75">
      <c r="A382" s="11"/>
      <c r="B382" s="26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x14ac:dyDescent="0.25" r="383" customHeight="1" ht="15.75">
      <c r="A383" s="11"/>
      <c r="B383" s="26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x14ac:dyDescent="0.25" r="384" customHeight="1" ht="15.75">
      <c r="A384" s="11"/>
      <c r="B384" s="26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x14ac:dyDescent="0.25" r="385" customHeight="1" ht="15.75">
      <c r="A385" s="11"/>
      <c r="B385" s="26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x14ac:dyDescent="0.25" r="386" customHeight="1" ht="15.75">
      <c r="A386" s="11"/>
      <c r="B386" s="26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x14ac:dyDescent="0.25" r="387" customHeight="1" ht="15.75">
      <c r="A387" s="11"/>
      <c r="B387" s="26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x14ac:dyDescent="0.25" r="388" customHeight="1" ht="15.75">
      <c r="A388" s="11"/>
      <c r="B388" s="26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x14ac:dyDescent="0.25" r="389" customHeight="1" ht="15.75">
      <c r="A389" s="11"/>
      <c r="B389" s="26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x14ac:dyDescent="0.25" r="390" customHeight="1" ht="15.75">
      <c r="A390" s="11"/>
      <c r="B390" s="26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x14ac:dyDescent="0.25" r="391" customHeight="1" ht="15.75">
      <c r="A391" s="11"/>
      <c r="B391" s="26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x14ac:dyDescent="0.25" r="392" customHeight="1" ht="15.75">
      <c r="A392" s="11"/>
      <c r="B392" s="26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x14ac:dyDescent="0.25" r="393" customHeight="1" ht="15.75">
      <c r="A393" s="11"/>
      <c r="B393" s="26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x14ac:dyDescent="0.25" r="394" customHeight="1" ht="15.75">
      <c r="A394" s="11"/>
      <c r="B394" s="26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x14ac:dyDescent="0.25" r="395" customHeight="1" ht="15.75">
      <c r="A395" s="11"/>
      <c r="B395" s="26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x14ac:dyDescent="0.25" r="396" customHeight="1" ht="15.75">
      <c r="A396" s="11"/>
      <c r="B396" s="26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x14ac:dyDescent="0.25" r="397" customHeight="1" ht="15.75">
      <c r="A397" s="11"/>
      <c r="B397" s="26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x14ac:dyDescent="0.25" r="398" customHeight="1" ht="15.75">
      <c r="A398" s="11"/>
      <c r="B398" s="26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x14ac:dyDescent="0.25" r="399" customHeight="1" ht="15.75">
      <c r="A399" s="11"/>
      <c r="B399" s="26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x14ac:dyDescent="0.25" r="400" customHeight="1" ht="15.75">
      <c r="A400" s="11"/>
      <c r="B400" s="26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x14ac:dyDescent="0.25" r="401" customHeight="1" ht="15.75">
      <c r="A401" s="11"/>
      <c r="B401" s="26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x14ac:dyDescent="0.25" r="402" customHeight="1" ht="15.75">
      <c r="A402" s="11"/>
      <c r="B402" s="26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x14ac:dyDescent="0.25" r="403" customHeight="1" ht="15.75">
      <c r="A403" s="11"/>
      <c r="B403" s="26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x14ac:dyDescent="0.25" r="404" customHeight="1" ht="15.75">
      <c r="A404" s="11"/>
      <c r="B404" s="26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x14ac:dyDescent="0.25" r="405" customHeight="1" ht="15.75">
      <c r="A405" s="11"/>
      <c r="B405" s="26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x14ac:dyDescent="0.25" r="406" customHeight="1" ht="15.75">
      <c r="A406" s="11"/>
      <c r="B406" s="26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x14ac:dyDescent="0.25" r="407" customHeight="1" ht="15.75">
      <c r="A407" s="11"/>
      <c r="B407" s="26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x14ac:dyDescent="0.25" r="408" customHeight="1" ht="15.75">
      <c r="A408" s="11"/>
      <c r="B408" s="26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x14ac:dyDescent="0.25" r="409" customHeight="1" ht="15.75">
      <c r="A409" s="11"/>
      <c r="B409" s="26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x14ac:dyDescent="0.25" r="410" customHeight="1" ht="15.75">
      <c r="A410" s="11"/>
      <c r="B410" s="26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x14ac:dyDescent="0.25" r="411" customHeight="1" ht="15.75">
      <c r="A411" s="11"/>
      <c r="B411" s="26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x14ac:dyDescent="0.25" r="412" customHeight="1" ht="15.75">
      <c r="A412" s="11"/>
      <c r="B412" s="26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x14ac:dyDescent="0.25" r="413" customHeight="1" ht="15.75">
      <c r="A413" s="11"/>
      <c r="B413" s="26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x14ac:dyDescent="0.25" r="414" customHeight="1" ht="15.75">
      <c r="A414" s="11"/>
      <c r="B414" s="26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x14ac:dyDescent="0.25" r="415" customHeight="1" ht="15.75">
      <c r="A415" s="11"/>
      <c r="B415" s="26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x14ac:dyDescent="0.25" r="416" customHeight="1" ht="15.75">
      <c r="A416" s="11"/>
      <c r="B416" s="26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x14ac:dyDescent="0.25" r="417" customHeight="1" ht="15.75">
      <c r="A417" s="11"/>
      <c r="B417" s="26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x14ac:dyDescent="0.25" r="418" customHeight="1" ht="15.75">
      <c r="A418" s="11"/>
      <c r="B418" s="26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x14ac:dyDescent="0.25" r="419" customHeight="1" ht="15.75">
      <c r="A419" s="11"/>
      <c r="B419" s="26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x14ac:dyDescent="0.25" r="420" customHeight="1" ht="15.75">
      <c r="A420" s="11"/>
      <c r="B420" s="26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x14ac:dyDescent="0.25" r="421" customHeight="1" ht="15.75">
      <c r="A421" s="11"/>
      <c r="B421" s="26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x14ac:dyDescent="0.25" r="422" customHeight="1" ht="15.75">
      <c r="A422" s="11"/>
      <c r="B422" s="26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x14ac:dyDescent="0.25" r="423" customHeight="1" ht="15.75">
      <c r="A423" s="11"/>
      <c r="B423" s="26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x14ac:dyDescent="0.25" r="424" customHeight="1" ht="15.75">
      <c r="A424" s="11"/>
      <c r="B424" s="26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x14ac:dyDescent="0.25" r="425" customHeight="1" ht="15.75">
      <c r="A425" s="11"/>
      <c r="B425" s="26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x14ac:dyDescent="0.25" r="426" customHeight="1" ht="15.75">
      <c r="A426" s="11"/>
      <c r="B426" s="26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x14ac:dyDescent="0.25" r="427" customHeight="1" ht="15.75">
      <c r="A427" s="11"/>
      <c r="B427" s="26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x14ac:dyDescent="0.25" r="428" customHeight="1" ht="15.75">
      <c r="A428" s="11"/>
      <c r="B428" s="26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x14ac:dyDescent="0.25" r="429" customHeight="1" ht="15.75">
      <c r="A429" s="11"/>
      <c r="B429" s="26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x14ac:dyDescent="0.25" r="430" customHeight="1" ht="15.75">
      <c r="A430" s="11"/>
      <c r="B430" s="26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x14ac:dyDescent="0.25" r="431" customHeight="1" ht="15.75">
      <c r="A431" s="11"/>
      <c r="B431" s="26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x14ac:dyDescent="0.25" r="432" customHeight="1" ht="15.75">
      <c r="A432" s="11"/>
      <c r="B432" s="26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x14ac:dyDescent="0.25" r="433" customHeight="1" ht="15.75">
      <c r="A433" s="11"/>
      <c r="B433" s="26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x14ac:dyDescent="0.25" r="434" customHeight="1" ht="15.75">
      <c r="A434" s="11"/>
      <c r="B434" s="26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x14ac:dyDescent="0.25" r="435" customHeight="1" ht="15.75">
      <c r="A435" s="11"/>
      <c r="B435" s="26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x14ac:dyDescent="0.25" r="436" customHeight="1" ht="15.75">
      <c r="A436" s="11"/>
      <c r="B436" s="26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x14ac:dyDescent="0.25" r="437" customHeight="1" ht="15.75">
      <c r="A437" s="11"/>
      <c r="B437" s="26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x14ac:dyDescent="0.25" r="438" customHeight="1" ht="15.75">
      <c r="A438" s="11"/>
      <c r="B438" s="26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x14ac:dyDescent="0.25" r="439" customHeight="1" ht="15.75">
      <c r="A439" s="11"/>
      <c r="B439" s="26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x14ac:dyDescent="0.25" r="440" customHeight="1" ht="15.75">
      <c r="A440" s="11"/>
      <c r="B440" s="26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x14ac:dyDescent="0.25" r="441" customHeight="1" ht="15.75">
      <c r="A441" s="11"/>
      <c r="B441" s="26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x14ac:dyDescent="0.25" r="442" customHeight="1" ht="15.75">
      <c r="A442" s="11"/>
      <c r="B442" s="26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x14ac:dyDescent="0.25" r="443" customHeight="1" ht="15.75">
      <c r="A443" s="11"/>
      <c r="B443" s="26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x14ac:dyDescent="0.25" r="444" customHeight="1" ht="15.75">
      <c r="A444" s="11"/>
      <c r="B444" s="26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x14ac:dyDescent="0.25" r="445" customHeight="1" ht="15.75">
      <c r="A445" s="11"/>
      <c r="B445" s="26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x14ac:dyDescent="0.25" r="446" customHeight="1" ht="15.75">
      <c r="A446" s="11"/>
      <c r="B446" s="26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x14ac:dyDescent="0.25" r="447" customHeight="1" ht="15.75">
      <c r="A447" s="11"/>
      <c r="B447" s="26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x14ac:dyDescent="0.25" r="448" customHeight="1" ht="15.75">
      <c r="A448" s="11"/>
      <c r="B448" s="26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x14ac:dyDescent="0.25" r="449" customHeight="1" ht="15.75">
      <c r="A449" s="11"/>
      <c r="B449" s="26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x14ac:dyDescent="0.25" r="450" customHeight="1" ht="15.75">
      <c r="A450" s="11"/>
      <c r="B450" s="26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x14ac:dyDescent="0.25" r="451" customHeight="1" ht="15.75">
      <c r="A451" s="11"/>
      <c r="B451" s="26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x14ac:dyDescent="0.25" r="452" customHeight="1" ht="15.75">
      <c r="A452" s="11"/>
      <c r="B452" s="26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x14ac:dyDescent="0.25" r="453" customHeight="1" ht="15.75">
      <c r="A453" s="11"/>
      <c r="B453" s="26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x14ac:dyDescent="0.25" r="454" customHeight="1" ht="15.75">
      <c r="A454" s="11"/>
      <c r="B454" s="26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x14ac:dyDescent="0.25" r="455" customHeight="1" ht="15.75">
      <c r="A455" s="11"/>
      <c r="B455" s="26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x14ac:dyDescent="0.25" r="456" customHeight="1" ht="15.75">
      <c r="A456" s="11"/>
      <c r="B456" s="26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x14ac:dyDescent="0.25" r="457" customHeight="1" ht="15.75">
      <c r="A457" s="11"/>
      <c r="B457" s="26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x14ac:dyDescent="0.25" r="458" customHeight="1" ht="15.75">
      <c r="A458" s="11"/>
      <c r="B458" s="26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x14ac:dyDescent="0.25" r="459" customHeight="1" ht="15.75">
      <c r="A459" s="11"/>
      <c r="B459" s="26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x14ac:dyDescent="0.25" r="460" customHeight="1" ht="15.75">
      <c r="A460" s="11"/>
      <c r="B460" s="26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x14ac:dyDescent="0.25" r="461" customHeight="1" ht="15.75">
      <c r="A461" s="11"/>
      <c r="B461" s="26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x14ac:dyDescent="0.25" r="462" customHeight="1" ht="15.75">
      <c r="A462" s="11"/>
      <c r="B462" s="26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x14ac:dyDescent="0.25" r="463" customHeight="1" ht="15.75">
      <c r="A463" s="11"/>
      <c r="B463" s="26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x14ac:dyDescent="0.25" r="464" customHeight="1" ht="15.75">
      <c r="A464" s="11"/>
      <c r="B464" s="26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x14ac:dyDescent="0.25" r="465" customHeight="1" ht="15.75">
      <c r="A465" s="11"/>
      <c r="B465" s="26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x14ac:dyDescent="0.25" r="466" customHeight="1" ht="15.75">
      <c r="A466" s="11"/>
      <c r="B466" s="26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x14ac:dyDescent="0.25" r="467" customHeight="1" ht="15.75">
      <c r="A467" s="11"/>
      <c r="B467" s="26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x14ac:dyDescent="0.25" r="468" customHeight="1" ht="15.75">
      <c r="A468" s="11"/>
      <c r="B468" s="26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x14ac:dyDescent="0.25" r="469" customHeight="1" ht="15.75">
      <c r="A469" s="11"/>
      <c r="B469" s="26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x14ac:dyDescent="0.25" r="470" customHeight="1" ht="15.75">
      <c r="A470" s="11"/>
      <c r="B470" s="26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x14ac:dyDescent="0.25" r="471" customHeight="1" ht="15.75">
      <c r="A471" s="11"/>
      <c r="B471" s="26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x14ac:dyDescent="0.25" r="472" customHeight="1" ht="15.75">
      <c r="A472" s="11"/>
      <c r="B472" s="26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x14ac:dyDescent="0.25" r="473" customHeight="1" ht="15.75">
      <c r="A473" s="11"/>
      <c r="B473" s="26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x14ac:dyDescent="0.25" r="474" customHeight="1" ht="15.75">
      <c r="A474" s="11"/>
      <c r="B474" s="26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x14ac:dyDescent="0.25" r="475" customHeight="1" ht="15.75">
      <c r="A475" s="11"/>
      <c r="B475" s="26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x14ac:dyDescent="0.25" r="476" customHeight="1" ht="15.75">
      <c r="A476" s="11"/>
      <c r="B476" s="26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x14ac:dyDescent="0.25" r="477" customHeight="1" ht="15.75">
      <c r="A477" s="11"/>
      <c r="B477" s="26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x14ac:dyDescent="0.25" r="478" customHeight="1" ht="15.75">
      <c r="A478" s="11"/>
      <c r="B478" s="26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x14ac:dyDescent="0.25" r="479" customHeight="1" ht="15.75">
      <c r="A479" s="11"/>
      <c r="B479" s="26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x14ac:dyDescent="0.25" r="480" customHeight="1" ht="15.75">
      <c r="A480" s="11"/>
      <c r="B480" s="26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x14ac:dyDescent="0.25" r="481" customHeight="1" ht="15.75">
      <c r="A481" s="11"/>
      <c r="B481" s="26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x14ac:dyDescent="0.25" r="482" customHeight="1" ht="15.75">
      <c r="A482" s="11"/>
      <c r="B482" s="26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x14ac:dyDescent="0.25" r="483" customHeight="1" ht="15.75">
      <c r="A483" s="11"/>
      <c r="B483" s="26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x14ac:dyDescent="0.25" r="484" customHeight="1" ht="15.75">
      <c r="A484" s="11"/>
      <c r="B484" s="26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x14ac:dyDescent="0.25" r="485" customHeight="1" ht="15.75">
      <c r="A485" s="11"/>
      <c r="B485" s="26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x14ac:dyDescent="0.25" r="486" customHeight="1" ht="15.75">
      <c r="A486" s="11"/>
      <c r="B486" s="26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x14ac:dyDescent="0.25" r="487" customHeight="1" ht="15.75">
      <c r="A487" s="11"/>
      <c r="B487" s="26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x14ac:dyDescent="0.25" r="488" customHeight="1" ht="15.75">
      <c r="A488" s="11"/>
      <c r="B488" s="26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x14ac:dyDescent="0.25" r="489" customHeight="1" ht="15.75">
      <c r="A489" s="11"/>
      <c r="B489" s="26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x14ac:dyDescent="0.25" r="490" customHeight="1" ht="15.75">
      <c r="A490" s="11"/>
      <c r="B490" s="26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x14ac:dyDescent="0.25" r="491" customHeight="1" ht="15.75">
      <c r="A491" s="11"/>
      <c r="B491" s="26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x14ac:dyDescent="0.25" r="492" customHeight="1" ht="15.75">
      <c r="A492" s="11"/>
      <c r="B492" s="26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x14ac:dyDescent="0.25" r="493" customHeight="1" ht="15.75">
      <c r="A493" s="11"/>
      <c r="B493" s="26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x14ac:dyDescent="0.25" r="494" customHeight="1" ht="15.75">
      <c r="A494" s="11"/>
      <c r="B494" s="26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x14ac:dyDescent="0.25" r="495" customHeight="1" ht="15.75">
      <c r="A495" s="11"/>
      <c r="B495" s="26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x14ac:dyDescent="0.25" r="496" customHeight="1" ht="15.75">
      <c r="A496" s="11"/>
      <c r="B496" s="26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x14ac:dyDescent="0.25" r="497" customHeight="1" ht="15.75">
      <c r="A497" s="11"/>
      <c r="B497" s="26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x14ac:dyDescent="0.25" r="498" customHeight="1" ht="15.75">
      <c r="A498" s="11"/>
      <c r="B498" s="26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x14ac:dyDescent="0.25" r="499" customHeight="1" ht="15.75">
      <c r="A499" s="11"/>
      <c r="B499" s="26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x14ac:dyDescent="0.25" r="500" customHeight="1" ht="15.75">
      <c r="A500" s="11"/>
      <c r="B500" s="26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x14ac:dyDescent="0.25" r="501" customHeight="1" ht="15.75">
      <c r="A501" s="11"/>
      <c r="B501" s="26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x14ac:dyDescent="0.25" r="502" customHeight="1" ht="15.75">
      <c r="A502" s="11"/>
      <c r="B502" s="26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x14ac:dyDescent="0.25" r="503" customHeight="1" ht="15.75">
      <c r="A503" s="11"/>
      <c r="B503" s="26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x14ac:dyDescent="0.25" r="504" customHeight="1" ht="15.75">
      <c r="A504" s="11"/>
      <c r="B504" s="26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x14ac:dyDescent="0.25" r="505" customHeight="1" ht="15.75">
      <c r="A505" s="11"/>
      <c r="B505" s="26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x14ac:dyDescent="0.25" r="506" customHeight="1" ht="15.75">
      <c r="A506" s="11"/>
      <c r="B506" s="26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x14ac:dyDescent="0.25" r="507" customHeight="1" ht="15.75">
      <c r="A507" s="11"/>
      <c r="B507" s="26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x14ac:dyDescent="0.25" r="508" customHeight="1" ht="15.75">
      <c r="A508" s="11"/>
      <c r="B508" s="26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x14ac:dyDescent="0.25" r="509" customHeight="1" ht="15.75">
      <c r="A509" s="11"/>
      <c r="B509" s="26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x14ac:dyDescent="0.25" r="510" customHeight="1" ht="15.75">
      <c r="A510" s="11"/>
      <c r="B510" s="26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x14ac:dyDescent="0.25" r="511" customHeight="1" ht="15.75">
      <c r="A511" s="11"/>
      <c r="B511" s="26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x14ac:dyDescent="0.25" r="512" customHeight="1" ht="15.75">
      <c r="A512" s="11"/>
      <c r="B512" s="26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x14ac:dyDescent="0.25" r="513" customHeight="1" ht="15.75">
      <c r="A513" s="11"/>
      <c r="B513" s="26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x14ac:dyDescent="0.25" r="514" customHeight="1" ht="15.75">
      <c r="A514" s="11"/>
      <c r="B514" s="26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x14ac:dyDescent="0.25" r="515" customHeight="1" ht="15.75">
      <c r="A515" s="11"/>
      <c r="B515" s="26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x14ac:dyDescent="0.25" r="516" customHeight="1" ht="15.75">
      <c r="A516" s="11"/>
      <c r="B516" s="26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x14ac:dyDescent="0.25" r="517" customHeight="1" ht="15.75">
      <c r="A517" s="11"/>
      <c r="B517" s="26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x14ac:dyDescent="0.25" r="518" customHeight="1" ht="15.75">
      <c r="A518" s="11"/>
      <c r="B518" s="26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x14ac:dyDescent="0.25" r="519" customHeight="1" ht="15.75">
      <c r="A519" s="11"/>
      <c r="B519" s="26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x14ac:dyDescent="0.25" r="520" customHeight="1" ht="15.75">
      <c r="A520" s="11"/>
      <c r="B520" s="26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x14ac:dyDescent="0.25" r="521" customHeight="1" ht="15.75">
      <c r="A521" s="11"/>
      <c r="B521" s="26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x14ac:dyDescent="0.25" r="522" customHeight="1" ht="15.75">
      <c r="A522" s="11"/>
      <c r="B522" s="26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x14ac:dyDescent="0.25" r="523" customHeight="1" ht="15.75">
      <c r="A523" s="11"/>
      <c r="B523" s="26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x14ac:dyDescent="0.25" r="524" customHeight="1" ht="15.75">
      <c r="A524" s="11"/>
      <c r="B524" s="26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x14ac:dyDescent="0.25" r="525" customHeight="1" ht="15.75">
      <c r="A525" s="11"/>
      <c r="B525" s="26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x14ac:dyDescent="0.25" r="526" customHeight="1" ht="15.75">
      <c r="A526" s="11"/>
      <c r="B526" s="26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x14ac:dyDescent="0.25" r="527" customHeight="1" ht="15.75">
      <c r="A527" s="11"/>
      <c r="B527" s="26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x14ac:dyDescent="0.25" r="528" customHeight="1" ht="15.75">
      <c r="A528" s="11"/>
      <c r="B528" s="26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x14ac:dyDescent="0.25" r="529" customHeight="1" ht="15.75">
      <c r="A529" s="11"/>
      <c r="B529" s="26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x14ac:dyDescent="0.25" r="530" customHeight="1" ht="15.75">
      <c r="A530" s="11"/>
      <c r="B530" s="26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x14ac:dyDescent="0.25" r="531" customHeight="1" ht="15.75">
      <c r="A531" s="11"/>
      <c r="B531" s="26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x14ac:dyDescent="0.25" r="532" customHeight="1" ht="15.75">
      <c r="A532" s="11"/>
      <c r="B532" s="26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x14ac:dyDescent="0.25" r="533" customHeight="1" ht="15.75">
      <c r="A533" s="11"/>
      <c r="B533" s="26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x14ac:dyDescent="0.25" r="534" customHeight="1" ht="15.75">
      <c r="A534" s="11"/>
      <c r="B534" s="26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x14ac:dyDescent="0.25" r="535" customHeight="1" ht="15.75">
      <c r="A535" s="11"/>
      <c r="B535" s="26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x14ac:dyDescent="0.25" r="536" customHeight="1" ht="15.75">
      <c r="A536" s="11"/>
      <c r="B536" s="26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x14ac:dyDescent="0.25" r="537" customHeight="1" ht="15.75">
      <c r="A537" s="11"/>
      <c r="B537" s="26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x14ac:dyDescent="0.25" r="538" customHeight="1" ht="15.75">
      <c r="A538" s="11"/>
      <c r="B538" s="26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x14ac:dyDescent="0.25" r="539" customHeight="1" ht="15.75">
      <c r="A539" s="11"/>
      <c r="B539" s="26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x14ac:dyDescent="0.25" r="540" customHeight="1" ht="15.75">
      <c r="A540" s="11"/>
      <c r="B540" s="26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x14ac:dyDescent="0.25" r="541" customHeight="1" ht="15.75">
      <c r="A541" s="11"/>
      <c r="B541" s="26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x14ac:dyDescent="0.25" r="542" customHeight="1" ht="15.75">
      <c r="A542" s="11"/>
      <c r="B542" s="26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x14ac:dyDescent="0.25" r="543" customHeight="1" ht="15.75">
      <c r="A543" s="11"/>
      <c r="B543" s="26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x14ac:dyDescent="0.25" r="544" customHeight="1" ht="15.75">
      <c r="A544" s="11"/>
      <c r="B544" s="26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x14ac:dyDescent="0.25" r="545" customHeight="1" ht="15.75">
      <c r="A545" s="11"/>
      <c r="B545" s="26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x14ac:dyDescent="0.25" r="546" customHeight="1" ht="15.75">
      <c r="A546" s="11"/>
      <c r="B546" s="26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x14ac:dyDescent="0.25" r="547" customHeight="1" ht="15.75">
      <c r="A547" s="11"/>
      <c r="B547" s="26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x14ac:dyDescent="0.25" r="548" customHeight="1" ht="15.75">
      <c r="A548" s="11"/>
      <c r="B548" s="26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x14ac:dyDescent="0.25" r="549" customHeight="1" ht="15.75">
      <c r="A549" s="11"/>
      <c r="B549" s="26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x14ac:dyDescent="0.25" r="550" customHeight="1" ht="15.75">
      <c r="A550" s="11"/>
      <c r="B550" s="26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x14ac:dyDescent="0.25" r="551" customHeight="1" ht="15.75">
      <c r="A551" s="11"/>
      <c r="B551" s="26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x14ac:dyDescent="0.25" r="552" customHeight="1" ht="15.75">
      <c r="A552" s="11"/>
      <c r="B552" s="26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x14ac:dyDescent="0.25" r="553" customHeight="1" ht="15.75">
      <c r="A553" s="11"/>
      <c r="B553" s="26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x14ac:dyDescent="0.25" r="554" customHeight="1" ht="15.75">
      <c r="A554" s="11"/>
      <c r="B554" s="26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x14ac:dyDescent="0.25" r="555" customHeight="1" ht="15.75">
      <c r="A555" s="11"/>
      <c r="B555" s="26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x14ac:dyDescent="0.25" r="556" customHeight="1" ht="15.75">
      <c r="A556" s="11"/>
      <c r="B556" s="26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x14ac:dyDescent="0.25" r="557" customHeight="1" ht="15.75">
      <c r="A557" s="11"/>
      <c r="B557" s="26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x14ac:dyDescent="0.25" r="558" customHeight="1" ht="15.75">
      <c r="A558" s="11"/>
      <c r="B558" s="26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x14ac:dyDescent="0.25" r="559" customHeight="1" ht="15.75">
      <c r="A559" s="11"/>
      <c r="B559" s="26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x14ac:dyDescent="0.25" r="560" customHeight="1" ht="15.75">
      <c r="A560" s="11"/>
      <c r="B560" s="26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x14ac:dyDescent="0.25" r="561" customHeight="1" ht="15.75">
      <c r="A561" s="11"/>
      <c r="B561" s="26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x14ac:dyDescent="0.25" r="562" customHeight="1" ht="15.75">
      <c r="A562" s="11"/>
      <c r="B562" s="26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x14ac:dyDescent="0.25" r="563" customHeight="1" ht="15.75">
      <c r="A563" s="11"/>
      <c r="B563" s="26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x14ac:dyDescent="0.25" r="564" customHeight="1" ht="15.75">
      <c r="A564" s="11"/>
      <c r="B564" s="26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x14ac:dyDescent="0.25" r="565" customHeight="1" ht="15.75">
      <c r="A565" s="11"/>
      <c r="B565" s="26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x14ac:dyDescent="0.25" r="566" customHeight="1" ht="15.75">
      <c r="A566" s="11"/>
      <c r="B566" s="26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x14ac:dyDescent="0.25" r="567" customHeight="1" ht="15.75">
      <c r="A567" s="11"/>
      <c r="B567" s="26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x14ac:dyDescent="0.25" r="568" customHeight="1" ht="15.75">
      <c r="A568" s="11"/>
      <c r="B568" s="26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x14ac:dyDescent="0.25" r="569" customHeight="1" ht="15.75">
      <c r="A569" s="11"/>
      <c r="B569" s="26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x14ac:dyDescent="0.25" r="570" customHeight="1" ht="15.75">
      <c r="A570" s="11"/>
      <c r="B570" s="26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x14ac:dyDescent="0.25" r="571" customHeight="1" ht="15.75">
      <c r="A571" s="11"/>
      <c r="B571" s="26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x14ac:dyDescent="0.25" r="572" customHeight="1" ht="15.75">
      <c r="A572" s="11"/>
      <c r="B572" s="26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x14ac:dyDescent="0.25" r="573" customHeight="1" ht="15.75">
      <c r="A573" s="11"/>
      <c r="B573" s="26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x14ac:dyDescent="0.25" r="574" customHeight="1" ht="15.75">
      <c r="A574" s="11"/>
      <c r="B574" s="26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x14ac:dyDescent="0.25" r="575" customHeight="1" ht="15.75">
      <c r="A575" s="11"/>
      <c r="B575" s="26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x14ac:dyDescent="0.25" r="576" customHeight="1" ht="15.75">
      <c r="A576" s="11"/>
      <c r="B576" s="26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x14ac:dyDescent="0.25" r="577" customHeight="1" ht="15.75">
      <c r="A577" s="11"/>
      <c r="B577" s="26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x14ac:dyDescent="0.25" r="578" customHeight="1" ht="15.75">
      <c r="A578" s="11"/>
      <c r="B578" s="26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x14ac:dyDescent="0.25" r="579" customHeight="1" ht="15.75">
      <c r="A579" s="11"/>
      <c r="B579" s="26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x14ac:dyDescent="0.25" r="580" customHeight="1" ht="15.75">
      <c r="A580" s="11"/>
      <c r="B580" s="26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x14ac:dyDescent="0.25" r="581" customHeight="1" ht="15.75">
      <c r="A581" s="11"/>
      <c r="B581" s="26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x14ac:dyDescent="0.25" r="582" customHeight="1" ht="15.75">
      <c r="A582" s="11"/>
      <c r="B582" s="26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x14ac:dyDescent="0.25" r="583" customHeight="1" ht="15.75">
      <c r="A583" s="11"/>
      <c r="B583" s="26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x14ac:dyDescent="0.25" r="584" customHeight="1" ht="15.75">
      <c r="A584" s="11"/>
      <c r="B584" s="26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x14ac:dyDescent="0.25" r="585" customHeight="1" ht="15.75">
      <c r="A585" s="11"/>
      <c r="B585" s="26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x14ac:dyDescent="0.25" r="586" customHeight="1" ht="15.75">
      <c r="A586" s="11"/>
      <c r="B586" s="26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x14ac:dyDescent="0.25" r="587" customHeight="1" ht="15.75">
      <c r="A587" s="11"/>
      <c r="B587" s="26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x14ac:dyDescent="0.25" r="588" customHeight="1" ht="15.75">
      <c r="A588" s="11"/>
      <c r="B588" s="26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x14ac:dyDescent="0.25" r="589" customHeight="1" ht="15.75">
      <c r="A589" s="11"/>
      <c r="B589" s="26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x14ac:dyDescent="0.25" r="590" customHeight="1" ht="15.75">
      <c r="A590" s="11"/>
      <c r="B590" s="26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x14ac:dyDescent="0.25" r="591" customHeight="1" ht="15.75">
      <c r="A591" s="11"/>
      <c r="B591" s="26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x14ac:dyDescent="0.25" r="592" customHeight="1" ht="15.75">
      <c r="A592" s="11"/>
      <c r="B592" s="26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x14ac:dyDescent="0.25" r="593" customHeight="1" ht="15.75">
      <c r="A593" s="11"/>
      <c r="B593" s="26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x14ac:dyDescent="0.25" r="594" customHeight="1" ht="15.75">
      <c r="A594" s="11"/>
      <c r="B594" s="26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x14ac:dyDescent="0.25" r="595" customHeight="1" ht="15.75">
      <c r="A595" s="11"/>
      <c r="B595" s="26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x14ac:dyDescent="0.25" r="596" customHeight="1" ht="15.75">
      <c r="A596" s="11"/>
      <c r="B596" s="26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x14ac:dyDescent="0.25" r="597" customHeight="1" ht="15.75">
      <c r="A597" s="11"/>
      <c r="B597" s="26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x14ac:dyDescent="0.25" r="598" customHeight="1" ht="15.75">
      <c r="A598" s="11"/>
      <c r="B598" s="26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x14ac:dyDescent="0.25" r="599" customHeight="1" ht="15.75">
      <c r="A599" s="11"/>
      <c r="B599" s="26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x14ac:dyDescent="0.25" r="600" customHeight="1" ht="15.75">
      <c r="A600" s="11"/>
      <c r="B600" s="26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x14ac:dyDescent="0.25" r="601" customHeight="1" ht="15.75">
      <c r="A601" s="11"/>
      <c r="B601" s="26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x14ac:dyDescent="0.25" r="602" customHeight="1" ht="15.75">
      <c r="A602" s="11"/>
      <c r="B602" s="26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x14ac:dyDescent="0.25" r="603" customHeight="1" ht="15.75">
      <c r="A603" s="11"/>
      <c r="B603" s="26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x14ac:dyDescent="0.25" r="604" customHeight="1" ht="15.75">
      <c r="A604" s="11"/>
      <c r="B604" s="26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x14ac:dyDescent="0.25" r="605" customHeight="1" ht="15.75">
      <c r="A605" s="11"/>
      <c r="B605" s="26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x14ac:dyDescent="0.25" r="606" customHeight="1" ht="15.75">
      <c r="A606" s="11"/>
      <c r="B606" s="26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x14ac:dyDescent="0.25" r="607" customHeight="1" ht="15.75">
      <c r="A607" s="11"/>
      <c r="B607" s="26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x14ac:dyDescent="0.25" r="608" customHeight="1" ht="15.75">
      <c r="A608" s="11"/>
      <c r="B608" s="26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x14ac:dyDescent="0.25" r="609" customHeight="1" ht="15.75">
      <c r="A609" s="11"/>
      <c r="B609" s="26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x14ac:dyDescent="0.25" r="610" customHeight="1" ht="15.75">
      <c r="A610" s="11"/>
      <c r="B610" s="26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x14ac:dyDescent="0.25" r="611" customHeight="1" ht="15.75">
      <c r="A611" s="11"/>
      <c r="B611" s="26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x14ac:dyDescent="0.25" r="612" customHeight="1" ht="15.75">
      <c r="A612" s="11"/>
      <c r="B612" s="26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x14ac:dyDescent="0.25" r="613" customHeight="1" ht="15.75">
      <c r="A613" s="11"/>
      <c r="B613" s="26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x14ac:dyDescent="0.25" r="614" customHeight="1" ht="15.75">
      <c r="A614" s="11"/>
      <c r="B614" s="26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x14ac:dyDescent="0.25" r="615" customHeight="1" ht="15.75">
      <c r="A615" s="11"/>
      <c r="B615" s="26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x14ac:dyDescent="0.25" r="616" customHeight="1" ht="15.75">
      <c r="A616" s="11"/>
      <c r="B616" s="26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x14ac:dyDescent="0.25" r="617" customHeight="1" ht="15.75">
      <c r="A617" s="11"/>
      <c r="B617" s="26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x14ac:dyDescent="0.25" r="618" customHeight="1" ht="15.75">
      <c r="A618" s="11"/>
      <c r="B618" s="26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x14ac:dyDescent="0.25" r="619" customHeight="1" ht="15.75">
      <c r="A619" s="11"/>
      <c r="B619" s="26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x14ac:dyDescent="0.25" r="620" customHeight="1" ht="15.75">
      <c r="A620" s="11"/>
      <c r="B620" s="26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x14ac:dyDescent="0.25" r="621" customHeight="1" ht="15.75">
      <c r="A621" s="11"/>
      <c r="B621" s="26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x14ac:dyDescent="0.25" r="622" customHeight="1" ht="15.75">
      <c r="A622" s="11"/>
      <c r="B622" s="26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x14ac:dyDescent="0.25" r="623" customHeight="1" ht="15.75">
      <c r="A623" s="11"/>
      <c r="B623" s="26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x14ac:dyDescent="0.25" r="624" customHeight="1" ht="15.75">
      <c r="A624" s="11"/>
      <c r="B624" s="26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x14ac:dyDescent="0.25" r="625" customHeight="1" ht="15.75">
      <c r="A625" s="11"/>
      <c r="B625" s="26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x14ac:dyDescent="0.25" r="626" customHeight="1" ht="15.75">
      <c r="A626" s="11"/>
      <c r="B626" s="26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x14ac:dyDescent="0.25" r="627" customHeight="1" ht="15.75">
      <c r="A627" s="11"/>
      <c r="B627" s="26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x14ac:dyDescent="0.25" r="628" customHeight="1" ht="15.75">
      <c r="A628" s="11"/>
      <c r="B628" s="26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x14ac:dyDescent="0.25" r="629" customHeight="1" ht="15.75">
      <c r="A629" s="11"/>
      <c r="B629" s="26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x14ac:dyDescent="0.25" r="630" customHeight="1" ht="15.75">
      <c r="A630" s="11"/>
      <c r="B630" s="26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x14ac:dyDescent="0.25" r="631" customHeight="1" ht="15.75">
      <c r="A631" s="11"/>
      <c r="B631" s="26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x14ac:dyDescent="0.25" r="632" customHeight="1" ht="15.75">
      <c r="A632" s="11"/>
      <c r="B632" s="26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x14ac:dyDescent="0.25" r="633" customHeight="1" ht="15.75">
      <c r="A633" s="11"/>
      <c r="B633" s="26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x14ac:dyDescent="0.25" r="634" customHeight="1" ht="15.75">
      <c r="A634" s="11"/>
      <c r="B634" s="26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x14ac:dyDescent="0.25" r="635" customHeight="1" ht="15.75">
      <c r="A635" s="11"/>
      <c r="B635" s="26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x14ac:dyDescent="0.25" r="636" customHeight="1" ht="15.75">
      <c r="A636" s="11"/>
      <c r="B636" s="26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x14ac:dyDescent="0.25" r="637" customHeight="1" ht="15.75">
      <c r="A637" s="11"/>
      <c r="B637" s="26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x14ac:dyDescent="0.25" r="638" customHeight="1" ht="15.75">
      <c r="A638" s="11"/>
      <c r="B638" s="26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x14ac:dyDescent="0.25" r="639" customHeight="1" ht="15.75">
      <c r="A639" s="11"/>
      <c r="B639" s="26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x14ac:dyDescent="0.25" r="640" customHeight="1" ht="15.75">
      <c r="A640" s="11"/>
      <c r="B640" s="26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x14ac:dyDescent="0.25" r="641" customHeight="1" ht="15.75">
      <c r="A641" s="11"/>
      <c r="B641" s="26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x14ac:dyDescent="0.25" r="642" customHeight="1" ht="15.75">
      <c r="A642" s="11"/>
      <c r="B642" s="26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x14ac:dyDescent="0.25" r="643" customHeight="1" ht="15.75">
      <c r="A643" s="11"/>
      <c r="B643" s="26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x14ac:dyDescent="0.25" r="644" customHeight="1" ht="15.75">
      <c r="A644" s="11"/>
      <c r="B644" s="26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x14ac:dyDescent="0.25" r="645" customHeight="1" ht="15.75">
      <c r="A645" s="11"/>
      <c r="B645" s="26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x14ac:dyDescent="0.25" r="646" customHeight="1" ht="15.75">
      <c r="A646" s="11"/>
      <c r="B646" s="26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x14ac:dyDescent="0.25" r="647" customHeight="1" ht="15.75">
      <c r="A647" s="11"/>
      <c r="B647" s="26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x14ac:dyDescent="0.25" r="648" customHeight="1" ht="15.75">
      <c r="A648" s="11"/>
      <c r="B648" s="26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x14ac:dyDescent="0.25" r="649" customHeight="1" ht="15.75">
      <c r="A649" s="11"/>
      <c r="B649" s="26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x14ac:dyDescent="0.25" r="650" customHeight="1" ht="15.75">
      <c r="A650" s="11"/>
      <c r="B650" s="26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x14ac:dyDescent="0.25" r="651" customHeight="1" ht="15.75">
      <c r="A651" s="11"/>
      <c r="B651" s="26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x14ac:dyDescent="0.25" r="652" customHeight="1" ht="15.75">
      <c r="A652" s="11"/>
      <c r="B652" s="26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x14ac:dyDescent="0.25" r="653" customHeight="1" ht="15.75">
      <c r="A653" s="11"/>
      <c r="B653" s="26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x14ac:dyDescent="0.25" r="654" customHeight="1" ht="15.75">
      <c r="A654" s="11"/>
      <c r="B654" s="26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x14ac:dyDescent="0.25" r="655" customHeight="1" ht="15.75">
      <c r="A655" s="11"/>
      <c r="B655" s="26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x14ac:dyDescent="0.25" r="656" customHeight="1" ht="15.75">
      <c r="A656" s="11"/>
      <c r="B656" s="26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x14ac:dyDescent="0.25" r="657" customHeight="1" ht="15.75">
      <c r="A657" s="11"/>
      <c r="B657" s="26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x14ac:dyDescent="0.25" r="658" customHeight="1" ht="15.75">
      <c r="A658" s="11"/>
      <c r="B658" s="26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x14ac:dyDescent="0.25" r="659" customHeight="1" ht="15.75">
      <c r="A659" s="11"/>
      <c r="B659" s="26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x14ac:dyDescent="0.25" r="660" customHeight="1" ht="15.75">
      <c r="A660" s="11"/>
      <c r="B660" s="26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x14ac:dyDescent="0.25" r="661" customHeight="1" ht="15.75">
      <c r="A661" s="11"/>
      <c r="B661" s="26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x14ac:dyDescent="0.25" r="662" customHeight="1" ht="15.75">
      <c r="A662" s="11"/>
      <c r="B662" s="26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x14ac:dyDescent="0.25" r="663" customHeight="1" ht="15.75">
      <c r="A663" s="11"/>
      <c r="B663" s="26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x14ac:dyDescent="0.25" r="664" customHeight="1" ht="15.75">
      <c r="A664" s="11"/>
      <c r="B664" s="26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x14ac:dyDescent="0.25" r="665" customHeight="1" ht="15.75">
      <c r="A665" s="11"/>
      <c r="B665" s="26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x14ac:dyDescent="0.25" r="666" customHeight="1" ht="15.75">
      <c r="A666" s="11"/>
      <c r="B666" s="26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x14ac:dyDescent="0.25" r="667" customHeight="1" ht="15.75">
      <c r="A667" s="11"/>
      <c r="B667" s="26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x14ac:dyDescent="0.25" r="668" customHeight="1" ht="15.75">
      <c r="A668" s="11"/>
      <c r="B668" s="26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x14ac:dyDescent="0.25" r="669" customHeight="1" ht="15.75">
      <c r="A669" s="11"/>
      <c r="B669" s="26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x14ac:dyDescent="0.25" r="670" customHeight="1" ht="15.75">
      <c r="A670" s="11"/>
      <c r="B670" s="26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x14ac:dyDescent="0.25" r="671" customHeight="1" ht="15.75">
      <c r="A671" s="11"/>
      <c r="B671" s="26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x14ac:dyDescent="0.25" r="672" customHeight="1" ht="15.75">
      <c r="A672" s="11"/>
      <c r="B672" s="26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x14ac:dyDescent="0.25" r="673" customHeight="1" ht="15.75">
      <c r="A673" s="11"/>
      <c r="B673" s="26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x14ac:dyDescent="0.25" r="674" customHeight="1" ht="15.75">
      <c r="A674" s="11"/>
      <c r="B674" s="26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x14ac:dyDescent="0.25" r="675" customHeight="1" ht="15.75">
      <c r="A675" s="11"/>
      <c r="B675" s="26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x14ac:dyDescent="0.25" r="676" customHeight="1" ht="15.75">
      <c r="A676" s="11"/>
      <c r="B676" s="26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x14ac:dyDescent="0.25" r="677" customHeight="1" ht="15.75">
      <c r="A677" s="11"/>
      <c r="B677" s="26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x14ac:dyDescent="0.25" r="678" customHeight="1" ht="15.75">
      <c r="A678" s="11"/>
      <c r="B678" s="26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x14ac:dyDescent="0.25" r="679" customHeight="1" ht="15.75">
      <c r="A679" s="11"/>
      <c r="B679" s="26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x14ac:dyDescent="0.25" r="680" customHeight="1" ht="15.75">
      <c r="A680" s="11"/>
      <c r="B680" s="26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x14ac:dyDescent="0.25" r="681" customHeight="1" ht="15.75">
      <c r="A681" s="11"/>
      <c r="B681" s="26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x14ac:dyDescent="0.25" r="682" customHeight="1" ht="15.75">
      <c r="A682" s="11"/>
      <c r="B682" s="26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x14ac:dyDescent="0.25" r="683" customHeight="1" ht="15.75">
      <c r="A683" s="11"/>
      <c r="B683" s="26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x14ac:dyDescent="0.25" r="684" customHeight="1" ht="15.75">
      <c r="A684" s="11"/>
      <c r="B684" s="26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x14ac:dyDescent="0.25" r="685" customHeight="1" ht="15.75">
      <c r="A685" s="11"/>
      <c r="B685" s="26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x14ac:dyDescent="0.25" r="686" customHeight="1" ht="15.75">
      <c r="A686" s="11"/>
      <c r="B686" s="26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x14ac:dyDescent="0.25" r="687" customHeight="1" ht="15.75">
      <c r="A687" s="11"/>
      <c r="B687" s="26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x14ac:dyDescent="0.25" r="688" customHeight="1" ht="15.75">
      <c r="A688" s="11"/>
      <c r="B688" s="26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x14ac:dyDescent="0.25" r="689" customHeight="1" ht="15.75">
      <c r="A689" s="11"/>
      <c r="B689" s="26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x14ac:dyDescent="0.25" r="690" customHeight="1" ht="15.75">
      <c r="A690" s="11"/>
      <c r="B690" s="26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x14ac:dyDescent="0.25" r="691" customHeight="1" ht="15.75">
      <c r="A691" s="11"/>
      <c r="B691" s="26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x14ac:dyDescent="0.25" r="692" customHeight="1" ht="15.75">
      <c r="A692" s="11"/>
      <c r="B692" s="26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x14ac:dyDescent="0.25" r="693" customHeight="1" ht="15.75">
      <c r="A693" s="11"/>
      <c r="B693" s="26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x14ac:dyDescent="0.25" r="694" customHeight="1" ht="15.75">
      <c r="A694" s="11"/>
      <c r="B694" s="26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x14ac:dyDescent="0.25" r="695" customHeight="1" ht="15.75">
      <c r="A695" s="11"/>
      <c r="B695" s="26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x14ac:dyDescent="0.25" r="696" customHeight="1" ht="15.75">
      <c r="A696" s="11"/>
      <c r="B696" s="26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x14ac:dyDescent="0.25" r="697" customHeight="1" ht="15.75">
      <c r="A697" s="11"/>
      <c r="B697" s="26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x14ac:dyDescent="0.25" r="698" customHeight="1" ht="15.75">
      <c r="A698" s="11"/>
      <c r="B698" s="26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x14ac:dyDescent="0.25" r="699" customHeight="1" ht="15.75">
      <c r="A699" s="11"/>
      <c r="B699" s="26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x14ac:dyDescent="0.25" r="700" customHeight="1" ht="15.75">
      <c r="A700" s="11"/>
      <c r="B700" s="26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x14ac:dyDescent="0.25" r="701" customHeight="1" ht="15.75">
      <c r="A701" s="11"/>
      <c r="B701" s="26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x14ac:dyDescent="0.25" r="702" customHeight="1" ht="15.75">
      <c r="A702" s="11"/>
      <c r="B702" s="26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x14ac:dyDescent="0.25" r="703" customHeight="1" ht="15.75">
      <c r="A703" s="11"/>
      <c r="B703" s="26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x14ac:dyDescent="0.25" r="704" customHeight="1" ht="15.75">
      <c r="A704" s="11"/>
      <c r="B704" s="26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x14ac:dyDescent="0.25" r="705" customHeight="1" ht="15.75">
      <c r="A705" s="11"/>
      <c r="B705" s="26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x14ac:dyDescent="0.25" r="706" customHeight="1" ht="15.75">
      <c r="A706" s="11"/>
      <c r="B706" s="26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x14ac:dyDescent="0.25" r="707" customHeight="1" ht="15.75">
      <c r="A707" s="11"/>
      <c r="B707" s="26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x14ac:dyDescent="0.25" r="708" customHeight="1" ht="15.75">
      <c r="A708" s="11"/>
      <c r="B708" s="26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x14ac:dyDescent="0.25" r="709" customHeight="1" ht="15.75">
      <c r="A709" s="11"/>
      <c r="B709" s="26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x14ac:dyDescent="0.25" r="710" customHeight="1" ht="15.75">
      <c r="A710" s="11"/>
      <c r="B710" s="26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x14ac:dyDescent="0.25" r="711" customHeight="1" ht="15.75">
      <c r="A711" s="11"/>
      <c r="B711" s="26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x14ac:dyDescent="0.25" r="712" customHeight="1" ht="15.75">
      <c r="A712" s="11"/>
      <c r="B712" s="26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x14ac:dyDescent="0.25" r="713" customHeight="1" ht="15.75">
      <c r="A713" s="11"/>
      <c r="B713" s="26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x14ac:dyDescent="0.25" r="714" customHeight="1" ht="15.75">
      <c r="A714" s="11"/>
      <c r="B714" s="26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x14ac:dyDescent="0.25" r="715" customHeight="1" ht="15.75">
      <c r="A715" s="11"/>
      <c r="B715" s="26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x14ac:dyDescent="0.25" r="716" customHeight="1" ht="15.75">
      <c r="A716" s="11"/>
      <c r="B716" s="26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x14ac:dyDescent="0.25" r="717" customHeight="1" ht="15.75">
      <c r="A717" s="11"/>
      <c r="B717" s="26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x14ac:dyDescent="0.25" r="718" customHeight="1" ht="15.75">
      <c r="A718" s="11"/>
      <c r="B718" s="26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x14ac:dyDescent="0.25" r="719" customHeight="1" ht="15.75">
      <c r="A719" s="11"/>
      <c r="B719" s="26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x14ac:dyDescent="0.25" r="720" customHeight="1" ht="15.75">
      <c r="A720" s="11"/>
      <c r="B720" s="26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x14ac:dyDescent="0.25" r="721" customHeight="1" ht="15.75">
      <c r="A721" s="11"/>
      <c r="B721" s="26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x14ac:dyDescent="0.25" r="722" customHeight="1" ht="15.75">
      <c r="A722" s="11"/>
      <c r="B722" s="26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x14ac:dyDescent="0.25" r="723" customHeight="1" ht="15.75">
      <c r="A723" s="11"/>
      <c r="B723" s="26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x14ac:dyDescent="0.25" r="724" customHeight="1" ht="15.75">
      <c r="A724" s="11"/>
      <c r="B724" s="26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x14ac:dyDescent="0.25" r="725" customHeight="1" ht="15.75">
      <c r="A725" s="11"/>
      <c r="B725" s="26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x14ac:dyDescent="0.25" r="726" customHeight="1" ht="15.75">
      <c r="A726" s="11"/>
      <c r="B726" s="26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x14ac:dyDescent="0.25" r="727" customHeight="1" ht="15.75">
      <c r="A727" s="11"/>
      <c r="B727" s="26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x14ac:dyDescent="0.25" r="728" customHeight="1" ht="15.75">
      <c r="A728" s="11"/>
      <c r="B728" s="26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x14ac:dyDescent="0.25" r="729" customHeight="1" ht="15.75">
      <c r="A729" s="11"/>
      <c r="B729" s="26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x14ac:dyDescent="0.25" r="730" customHeight="1" ht="15.75">
      <c r="A730" s="11"/>
      <c r="B730" s="26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x14ac:dyDescent="0.25" r="731" customHeight="1" ht="15.75">
      <c r="A731" s="11"/>
      <c r="B731" s="26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x14ac:dyDescent="0.25" r="732" customHeight="1" ht="15.75">
      <c r="A732" s="11"/>
      <c r="B732" s="26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x14ac:dyDescent="0.25" r="733" customHeight="1" ht="15.75">
      <c r="A733" s="11"/>
      <c r="B733" s="26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x14ac:dyDescent="0.25" r="734" customHeight="1" ht="15.75">
      <c r="A734" s="11"/>
      <c r="B734" s="26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x14ac:dyDescent="0.25" r="735" customHeight="1" ht="15.75">
      <c r="A735" s="11"/>
      <c r="B735" s="26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x14ac:dyDescent="0.25" r="736" customHeight="1" ht="15.75">
      <c r="A736" s="11"/>
      <c r="B736" s="26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x14ac:dyDescent="0.25" r="737" customHeight="1" ht="15.75">
      <c r="A737" s="11"/>
      <c r="B737" s="26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x14ac:dyDescent="0.25" r="738" customHeight="1" ht="15.75">
      <c r="A738" s="11"/>
      <c r="B738" s="26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x14ac:dyDescent="0.25" r="739" customHeight="1" ht="15.75">
      <c r="A739" s="11"/>
      <c r="B739" s="26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x14ac:dyDescent="0.25" r="740" customHeight="1" ht="15.75">
      <c r="A740" s="11"/>
      <c r="B740" s="26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x14ac:dyDescent="0.25" r="741" customHeight="1" ht="15.75">
      <c r="A741" s="11"/>
      <c r="B741" s="26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x14ac:dyDescent="0.25" r="742" customHeight="1" ht="15.75">
      <c r="A742" s="11"/>
      <c r="B742" s="26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x14ac:dyDescent="0.25" r="743" customHeight="1" ht="15.75">
      <c r="A743" s="11"/>
      <c r="B743" s="26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x14ac:dyDescent="0.25" r="744" customHeight="1" ht="15.75">
      <c r="A744" s="11"/>
      <c r="B744" s="26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x14ac:dyDescent="0.25" r="745" customHeight="1" ht="15.7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x14ac:dyDescent="0.25" r="746" customHeight="1" ht="15.75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x14ac:dyDescent="0.25" r="747" customHeight="1" ht="15.75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x14ac:dyDescent="0.25" r="748" customHeight="1" ht="15.75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x14ac:dyDescent="0.25" r="749" customHeight="1" ht="15.75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x14ac:dyDescent="0.25" r="750" customHeight="1" ht="15.75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x14ac:dyDescent="0.25" r="751" customHeight="1" ht="15.75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x14ac:dyDescent="0.25" r="752" customHeight="1" ht="15.75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x14ac:dyDescent="0.25" r="753" customHeight="1" ht="15.75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x14ac:dyDescent="0.25" r="754" customHeight="1" ht="15.75">
      <c r="A754" s="11"/>
      <c r="B754" s="26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x14ac:dyDescent="0.25" r="755" customHeight="1" ht="15.75">
      <c r="A755" s="11"/>
      <c r="B755" s="26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x14ac:dyDescent="0.25" r="756" customHeight="1" ht="15.75">
      <c r="A756" s="11"/>
      <c r="B756" s="26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x14ac:dyDescent="0.25" r="757" customHeight="1" ht="15.75">
      <c r="A757" s="11"/>
      <c r="B757" s="26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x14ac:dyDescent="0.25" r="758" customHeight="1" ht="15.75">
      <c r="A758" s="11"/>
      <c r="B758" s="26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x14ac:dyDescent="0.25" r="759" customHeight="1" ht="15.75">
      <c r="A759" s="11"/>
      <c r="B759" s="26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x14ac:dyDescent="0.25" r="760" customHeight="1" ht="15.75">
      <c r="A760" s="11"/>
      <c r="B760" s="26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x14ac:dyDescent="0.25" r="761" customHeight="1" ht="15.75">
      <c r="A761" s="11"/>
      <c r="B761" s="26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x14ac:dyDescent="0.25" r="762" customHeight="1" ht="15.75">
      <c r="A762" s="11"/>
      <c r="B762" s="26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x14ac:dyDescent="0.25" r="763" customHeight="1" ht="15.75">
      <c r="A763" s="11"/>
      <c r="B763" s="26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x14ac:dyDescent="0.25" r="764" customHeight="1" ht="15.75">
      <c r="A764" s="11"/>
      <c r="B764" s="26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x14ac:dyDescent="0.25" r="765" customHeight="1" ht="15.75">
      <c r="A765" s="11"/>
      <c r="B765" s="26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x14ac:dyDescent="0.25" r="766" customHeight="1" ht="15.75">
      <c r="A766" s="11"/>
      <c r="B766" s="26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x14ac:dyDescent="0.25" r="767" customHeight="1" ht="15.75">
      <c r="A767" s="11"/>
      <c r="B767" s="26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x14ac:dyDescent="0.25" r="768" customHeight="1" ht="15.75">
      <c r="A768" s="11"/>
      <c r="B768" s="26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x14ac:dyDescent="0.25" r="769" customHeight="1" ht="15.75">
      <c r="A769" s="11"/>
      <c r="B769" s="26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x14ac:dyDescent="0.25" r="770" customHeight="1" ht="15.75">
      <c r="A770" s="11"/>
      <c r="B770" s="26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x14ac:dyDescent="0.25" r="771" customHeight="1" ht="15.75">
      <c r="A771" s="11"/>
      <c r="B771" s="26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x14ac:dyDescent="0.25" r="772" customHeight="1" ht="15.75">
      <c r="A772" s="11"/>
      <c r="B772" s="26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x14ac:dyDescent="0.25" r="773" customHeight="1" ht="15.75">
      <c r="A773" s="11"/>
      <c r="B773" s="26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x14ac:dyDescent="0.25" r="774" customHeight="1" ht="15.75">
      <c r="A774" s="11"/>
      <c r="B774" s="26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x14ac:dyDescent="0.25" r="775" customHeight="1" ht="15.75">
      <c r="A775" s="11"/>
      <c r="B775" s="26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x14ac:dyDescent="0.25" r="776" customHeight="1" ht="15.75">
      <c r="A776" s="11"/>
      <c r="B776" s="26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x14ac:dyDescent="0.25" r="777" customHeight="1" ht="15.75">
      <c r="A777" s="11"/>
      <c r="B777" s="26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x14ac:dyDescent="0.25" r="778" customHeight="1" ht="15.75">
      <c r="A778" s="11"/>
      <c r="B778" s="26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x14ac:dyDescent="0.25" r="779" customHeight="1" ht="15.75">
      <c r="A779" s="11"/>
      <c r="B779" s="26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x14ac:dyDescent="0.25" r="780" customHeight="1" ht="15.75">
      <c r="A780" s="11"/>
      <c r="B780" s="26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x14ac:dyDescent="0.25" r="781" customHeight="1" ht="15.75">
      <c r="A781" s="11"/>
      <c r="B781" s="26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x14ac:dyDescent="0.25" r="782" customHeight="1" ht="15.75">
      <c r="A782" s="11"/>
      <c r="B782" s="26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x14ac:dyDescent="0.25" r="783" customHeight="1" ht="15.75">
      <c r="A783" s="11"/>
      <c r="B783" s="26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x14ac:dyDescent="0.25" r="784" customHeight="1" ht="15.75">
      <c r="A784" s="11"/>
      <c r="B784" s="26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x14ac:dyDescent="0.25" r="785" customHeight="1" ht="15.75">
      <c r="A785" s="11"/>
      <c r="B785" s="26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x14ac:dyDescent="0.25" r="786" customHeight="1" ht="15.75">
      <c r="A786" s="11"/>
      <c r="B786" s="26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x14ac:dyDescent="0.25" r="787" customHeight="1" ht="15.75">
      <c r="A787" s="11"/>
      <c r="B787" s="26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x14ac:dyDescent="0.25" r="788" customHeight="1" ht="15.75">
      <c r="A788" s="11"/>
      <c r="B788" s="26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x14ac:dyDescent="0.25" r="789" customHeight="1" ht="15.75">
      <c r="A789" s="11"/>
      <c r="B789" s="26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x14ac:dyDescent="0.25" r="790" customHeight="1" ht="15.75">
      <c r="A790" s="11"/>
      <c r="B790" s="26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x14ac:dyDescent="0.25" r="791" customHeight="1" ht="15.75">
      <c r="A791" s="11"/>
      <c r="B791" s="26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x14ac:dyDescent="0.25" r="792" customHeight="1" ht="15.75">
      <c r="A792" s="11"/>
      <c r="B792" s="26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x14ac:dyDescent="0.25" r="793" customHeight="1" ht="15.75">
      <c r="A793" s="11"/>
      <c r="B793" s="26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x14ac:dyDescent="0.25" r="794" customHeight="1" ht="15.75">
      <c r="A794" s="11"/>
      <c r="B794" s="26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x14ac:dyDescent="0.25" r="795" customHeight="1" ht="15.75">
      <c r="A795" s="11"/>
      <c r="B795" s="26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x14ac:dyDescent="0.25" r="796" customHeight="1" ht="15.75">
      <c r="A796" s="11"/>
      <c r="B796" s="26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x14ac:dyDescent="0.25" r="797" customHeight="1" ht="15.75">
      <c r="A797" s="11"/>
      <c r="B797" s="26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x14ac:dyDescent="0.25" r="798" customHeight="1" ht="15.75">
      <c r="A798" s="11"/>
      <c r="B798" s="26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x14ac:dyDescent="0.25" r="799" customHeight="1" ht="15.75">
      <c r="A799" s="11"/>
      <c r="B799" s="26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x14ac:dyDescent="0.25" r="800" customHeight="1" ht="15.75">
      <c r="A800" s="11"/>
      <c r="B800" s="26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x14ac:dyDescent="0.25" r="801" customHeight="1" ht="15.75">
      <c r="A801" s="11"/>
      <c r="B801" s="26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x14ac:dyDescent="0.25" r="802" customHeight="1" ht="15.75">
      <c r="A802" s="11"/>
      <c r="B802" s="26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x14ac:dyDescent="0.25" r="803" customHeight="1" ht="15.75">
      <c r="A803" s="11"/>
      <c r="B803" s="26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x14ac:dyDescent="0.25" r="804" customHeight="1" ht="15.75">
      <c r="A804" s="11"/>
      <c r="B804" s="26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x14ac:dyDescent="0.25" r="805" customHeight="1" ht="15.75">
      <c r="A805" s="11"/>
      <c r="B805" s="26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x14ac:dyDescent="0.25" r="806" customHeight="1" ht="15.75">
      <c r="A806" s="11"/>
      <c r="B806" s="26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x14ac:dyDescent="0.25" r="807" customHeight="1" ht="15.75">
      <c r="A807" s="11"/>
      <c r="B807" s="26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x14ac:dyDescent="0.25" r="808" customHeight="1" ht="15.75">
      <c r="A808" s="11"/>
      <c r="B808" s="26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x14ac:dyDescent="0.25" r="809" customHeight="1" ht="15.75">
      <c r="A809" s="11"/>
      <c r="B809" s="26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x14ac:dyDescent="0.25" r="810" customHeight="1" ht="15.75">
      <c r="A810" s="11"/>
      <c r="B810" s="26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x14ac:dyDescent="0.25" r="811" customHeight="1" ht="15.75">
      <c r="A811" s="11"/>
      <c r="B811" s="26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x14ac:dyDescent="0.25" r="812" customHeight="1" ht="15.75">
      <c r="A812" s="11"/>
      <c r="B812" s="26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x14ac:dyDescent="0.25" r="813" customHeight="1" ht="15.75">
      <c r="A813" s="11"/>
      <c r="B813" s="26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x14ac:dyDescent="0.25" r="814" customHeight="1" ht="15.75">
      <c r="A814" s="11"/>
      <c r="B814" s="26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x14ac:dyDescent="0.25" r="815" customHeight="1" ht="15.75">
      <c r="A815" s="11"/>
      <c r="B815" s="26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x14ac:dyDescent="0.25" r="816" customHeight="1" ht="15.75">
      <c r="A816" s="11"/>
      <c r="B816" s="26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x14ac:dyDescent="0.25" r="817" customHeight="1" ht="15.75">
      <c r="A817" s="11"/>
      <c r="B817" s="26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x14ac:dyDescent="0.25" r="818" customHeight="1" ht="15.75">
      <c r="A818" s="11"/>
      <c r="B818" s="26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x14ac:dyDescent="0.25" r="819" customHeight="1" ht="15.75">
      <c r="A819" s="11"/>
      <c r="B819" s="26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x14ac:dyDescent="0.25" r="820" customHeight="1" ht="15.75">
      <c r="A820" s="11"/>
      <c r="B820" s="26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x14ac:dyDescent="0.25" r="821" customHeight="1" ht="15.75">
      <c r="A821" s="11"/>
      <c r="B821" s="26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x14ac:dyDescent="0.25" r="822" customHeight="1" ht="15.75">
      <c r="A822" s="11"/>
      <c r="B822" s="26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x14ac:dyDescent="0.25" r="823" customHeight="1" ht="15.75">
      <c r="A823" s="11"/>
      <c r="B823" s="26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x14ac:dyDescent="0.25" r="824" customHeight="1" ht="15.75">
      <c r="A824" s="11"/>
      <c r="B824" s="26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x14ac:dyDescent="0.25" r="825" customHeight="1" ht="15.75">
      <c r="A825" s="11"/>
      <c r="B825" s="26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x14ac:dyDescent="0.25" r="826" customHeight="1" ht="15.75">
      <c r="A826" s="11"/>
      <c r="B826" s="26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x14ac:dyDescent="0.25" r="827" customHeight="1" ht="15.75">
      <c r="A827" s="11"/>
      <c r="B827" s="26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x14ac:dyDescent="0.25" r="828" customHeight="1" ht="15.75">
      <c r="A828" s="11"/>
      <c r="B828" s="26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x14ac:dyDescent="0.25" r="829" customHeight="1" ht="15.75">
      <c r="A829" s="11"/>
      <c r="B829" s="26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x14ac:dyDescent="0.25" r="830" customHeight="1" ht="15.75">
      <c r="A830" s="11"/>
      <c r="B830" s="26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x14ac:dyDescent="0.25" r="831" customHeight="1" ht="15.75">
      <c r="A831" s="11"/>
      <c r="B831" s="26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x14ac:dyDescent="0.25" r="832" customHeight="1" ht="15.75">
      <c r="A832" s="11"/>
      <c r="B832" s="26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x14ac:dyDescent="0.25" r="833" customHeight="1" ht="15.75">
      <c r="A833" s="11"/>
      <c r="B833" s="26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x14ac:dyDescent="0.25" r="834" customHeight="1" ht="15.75">
      <c r="A834" s="11"/>
      <c r="B834" s="26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x14ac:dyDescent="0.25" r="835" customHeight="1" ht="15.75">
      <c r="A835" s="11"/>
      <c r="B835" s="26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x14ac:dyDescent="0.25" r="836" customHeight="1" ht="15.75">
      <c r="A836" s="11"/>
      <c r="B836" s="26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x14ac:dyDescent="0.25" r="837" customHeight="1" ht="15.75">
      <c r="A837" s="11"/>
      <c r="B837" s="26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x14ac:dyDescent="0.25" r="838" customHeight="1" ht="15.75">
      <c r="A838" s="11"/>
      <c r="B838" s="26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x14ac:dyDescent="0.25" r="839" customHeight="1" ht="15.75">
      <c r="A839" s="11"/>
      <c r="B839" s="26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x14ac:dyDescent="0.25" r="840" customHeight="1" ht="15.75">
      <c r="A840" s="11"/>
      <c r="B840" s="26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x14ac:dyDescent="0.25" r="841" customHeight="1" ht="15.75">
      <c r="A841" s="11"/>
      <c r="B841" s="26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x14ac:dyDescent="0.25" r="842" customHeight="1" ht="15.75">
      <c r="A842" s="11"/>
      <c r="B842" s="26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x14ac:dyDescent="0.25" r="843" customHeight="1" ht="15.75">
      <c r="A843" s="11"/>
      <c r="B843" s="26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x14ac:dyDescent="0.25" r="844" customHeight="1" ht="15.75">
      <c r="A844" s="11"/>
      <c r="B844" s="26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x14ac:dyDescent="0.25" r="845" customHeight="1" ht="15.75">
      <c r="A845" s="11"/>
      <c r="B845" s="26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x14ac:dyDescent="0.25" r="846" customHeight="1" ht="15.75">
      <c r="A846" s="11"/>
      <c r="B846" s="26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x14ac:dyDescent="0.25" r="847" customHeight="1" ht="15.75">
      <c r="A847" s="11"/>
      <c r="B847" s="26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x14ac:dyDescent="0.25" r="848" customHeight="1" ht="15.75">
      <c r="A848" s="11"/>
      <c r="B848" s="26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x14ac:dyDescent="0.25" r="849" customHeight="1" ht="15.75">
      <c r="A849" s="11"/>
      <c r="B849" s="26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x14ac:dyDescent="0.25" r="850" customHeight="1" ht="15.75">
      <c r="A850" s="11"/>
      <c r="B850" s="26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x14ac:dyDescent="0.25" r="851" customHeight="1" ht="15.75">
      <c r="A851" s="11"/>
      <c r="B851" s="26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x14ac:dyDescent="0.25" r="852" customHeight="1" ht="15.75">
      <c r="A852" s="11"/>
      <c r="B852" s="26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x14ac:dyDescent="0.25" r="853" customHeight="1" ht="15.75">
      <c r="A853" s="11"/>
      <c r="B853" s="26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x14ac:dyDescent="0.25" r="854" customHeight="1" ht="15.75">
      <c r="A854" s="11"/>
      <c r="B854" s="26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x14ac:dyDescent="0.25" r="855" customHeight="1" ht="15.75">
      <c r="A855" s="11"/>
      <c r="B855" s="26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x14ac:dyDescent="0.25" r="856" customHeight="1" ht="15.75">
      <c r="A856" s="11"/>
      <c r="B856" s="26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x14ac:dyDescent="0.25" r="857" customHeight="1" ht="15.75">
      <c r="A857" s="11"/>
      <c r="B857" s="26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x14ac:dyDescent="0.25" r="858" customHeight="1" ht="15.75">
      <c r="A858" s="11"/>
      <c r="B858" s="26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x14ac:dyDescent="0.25" r="859" customHeight="1" ht="15.75">
      <c r="A859" s="11"/>
      <c r="B859" s="26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x14ac:dyDescent="0.25" r="860" customHeight="1" ht="15.75">
      <c r="A860" s="11"/>
      <c r="B860" s="26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x14ac:dyDescent="0.25" r="861" customHeight="1" ht="15.75">
      <c r="A861" s="11"/>
      <c r="B861" s="26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x14ac:dyDescent="0.25" r="862" customHeight="1" ht="15.75">
      <c r="A862" s="11"/>
      <c r="B862" s="26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x14ac:dyDescent="0.25" r="863" customHeight="1" ht="15.75">
      <c r="A863" s="11"/>
      <c r="B863" s="26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x14ac:dyDescent="0.25" r="864" customHeight="1" ht="15.75">
      <c r="A864" s="11"/>
      <c r="B864" s="26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x14ac:dyDescent="0.25" r="865" customHeight="1" ht="15.75">
      <c r="A865" s="11"/>
      <c r="B865" s="26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x14ac:dyDescent="0.25" r="866" customHeight="1" ht="15.75">
      <c r="A866" s="11"/>
      <c r="B866" s="26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x14ac:dyDescent="0.25" r="867" customHeight="1" ht="15.75">
      <c r="A867" s="11"/>
      <c r="B867" s="26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x14ac:dyDescent="0.25" r="868" customHeight="1" ht="15.75">
      <c r="A868" s="11"/>
      <c r="B868" s="26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x14ac:dyDescent="0.25" r="869" customHeight="1" ht="15.75">
      <c r="A869" s="11"/>
      <c r="B869" s="26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x14ac:dyDescent="0.25" r="870" customHeight="1" ht="15.75">
      <c r="A870" s="11"/>
      <c r="B870" s="26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x14ac:dyDescent="0.25" r="871" customHeight="1" ht="15.75">
      <c r="A871" s="11"/>
      <c r="B871" s="26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x14ac:dyDescent="0.25" r="872" customHeight="1" ht="15.75">
      <c r="A872" s="11"/>
      <c r="B872" s="26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x14ac:dyDescent="0.25" r="873" customHeight="1" ht="15.75">
      <c r="A873" s="11"/>
      <c r="B873" s="26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x14ac:dyDescent="0.25" r="874" customHeight="1" ht="15.75">
      <c r="A874" s="11"/>
      <c r="B874" s="26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x14ac:dyDescent="0.25" r="875" customHeight="1" ht="15.75">
      <c r="A875" s="11"/>
      <c r="B875" s="26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x14ac:dyDescent="0.25" r="876" customHeight="1" ht="15.75">
      <c r="A876" s="11"/>
      <c r="B876" s="26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x14ac:dyDescent="0.25" r="877" customHeight="1" ht="15.75">
      <c r="A877" s="11"/>
      <c r="B877" s="26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x14ac:dyDescent="0.25" r="878" customHeight="1" ht="15.75">
      <c r="A878" s="11"/>
      <c r="B878" s="26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x14ac:dyDescent="0.25" r="879" customHeight="1" ht="15.75">
      <c r="A879" s="11"/>
      <c r="B879" s="26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x14ac:dyDescent="0.25" r="880" customHeight="1" ht="15.75">
      <c r="A880" s="11"/>
      <c r="B880" s="26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x14ac:dyDescent="0.25" r="881" customHeight="1" ht="15.75">
      <c r="A881" s="11"/>
      <c r="B881" s="26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x14ac:dyDescent="0.25" r="882" customHeight="1" ht="15.75">
      <c r="A882" s="11"/>
      <c r="B882" s="26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x14ac:dyDescent="0.25" r="883" customHeight="1" ht="15.75">
      <c r="A883" s="11"/>
      <c r="B883" s="26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x14ac:dyDescent="0.25" r="884" customHeight="1" ht="15.75">
      <c r="A884" s="11"/>
      <c r="B884" s="26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x14ac:dyDescent="0.25" r="885" customHeight="1" ht="15.75">
      <c r="A885" s="11"/>
      <c r="B885" s="26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x14ac:dyDescent="0.25" r="886" customHeight="1" ht="15.75">
      <c r="A886" s="11"/>
      <c r="B886" s="26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x14ac:dyDescent="0.25" r="887" customHeight="1" ht="15.75">
      <c r="A887" s="11"/>
      <c r="B887" s="26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x14ac:dyDescent="0.25" r="888" customHeight="1" ht="15.75">
      <c r="A888" s="11"/>
      <c r="B888" s="26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x14ac:dyDescent="0.25" r="889" customHeight="1" ht="15.75">
      <c r="A889" s="11"/>
      <c r="B889" s="26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x14ac:dyDescent="0.25" r="890" customHeight="1" ht="15.75">
      <c r="A890" s="11"/>
      <c r="B890" s="26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x14ac:dyDescent="0.25" r="891" customHeight="1" ht="15.75">
      <c r="A891" s="11"/>
      <c r="B891" s="26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x14ac:dyDescent="0.25" r="892" customHeight="1" ht="15.75">
      <c r="A892" s="11"/>
      <c r="B892" s="26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x14ac:dyDescent="0.25" r="893" customHeight="1" ht="15.75">
      <c r="A893" s="11"/>
      <c r="B893" s="26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x14ac:dyDescent="0.25" r="894" customHeight="1" ht="15.75">
      <c r="A894" s="11"/>
      <c r="B894" s="26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x14ac:dyDescent="0.25" r="895" customHeight="1" ht="15.75">
      <c r="A895" s="11"/>
      <c r="B895" s="26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x14ac:dyDescent="0.25" r="896" customHeight="1" ht="15.75">
      <c r="A896" s="11"/>
      <c r="B896" s="26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x14ac:dyDescent="0.25" r="897" customHeight="1" ht="15.75">
      <c r="A897" s="11"/>
      <c r="B897" s="26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x14ac:dyDescent="0.25" r="898" customHeight="1" ht="15.75">
      <c r="A898" s="11"/>
      <c r="B898" s="26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x14ac:dyDescent="0.25" r="899" customHeight="1" ht="15.75">
      <c r="A899" s="11"/>
      <c r="B899" s="26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x14ac:dyDescent="0.25" r="900" customHeight="1" ht="15.75">
      <c r="A900" s="11"/>
      <c r="B900" s="26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x14ac:dyDescent="0.25" r="901" customHeight="1" ht="15.75">
      <c r="A901" s="11"/>
      <c r="B901" s="26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x14ac:dyDescent="0.25" r="902" customHeight="1" ht="15.75">
      <c r="A902" s="11"/>
      <c r="B902" s="26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x14ac:dyDescent="0.25" r="903" customHeight="1" ht="15.75">
      <c r="A903" s="11"/>
      <c r="B903" s="26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x14ac:dyDescent="0.25" r="904" customHeight="1" ht="15.75">
      <c r="A904" s="11"/>
      <c r="B904" s="26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x14ac:dyDescent="0.25" r="905" customHeight="1" ht="15.75">
      <c r="A905" s="11"/>
      <c r="B905" s="26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x14ac:dyDescent="0.25" r="906" customHeight="1" ht="15.75">
      <c r="A906" s="11"/>
      <c r="B906" s="26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x14ac:dyDescent="0.25" r="907" customHeight="1" ht="15.75">
      <c r="A907" s="11"/>
      <c r="B907" s="26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x14ac:dyDescent="0.25" r="908" customHeight="1" ht="15.75">
      <c r="A908" s="11"/>
      <c r="B908" s="26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x14ac:dyDescent="0.25" r="909" customHeight="1" ht="15.75">
      <c r="A909" s="11"/>
      <c r="B909" s="26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x14ac:dyDescent="0.25" r="910" customHeight="1" ht="15.75">
      <c r="A910" s="11"/>
      <c r="B910" s="26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x14ac:dyDescent="0.25" r="911" customHeight="1" ht="15.75">
      <c r="A911" s="11"/>
      <c r="B911" s="26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x14ac:dyDescent="0.25" r="912" customHeight="1" ht="15.75">
      <c r="A912" s="11"/>
      <c r="B912" s="26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x14ac:dyDescent="0.25" r="913" customHeight="1" ht="15.75">
      <c r="A913" s="11"/>
      <c r="B913" s="26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x14ac:dyDescent="0.25" r="914" customHeight="1" ht="15.75">
      <c r="A914" s="11"/>
      <c r="B914" s="26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x14ac:dyDescent="0.25" r="915" customHeight="1" ht="15.75">
      <c r="A915" s="11"/>
      <c r="B915" s="26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x14ac:dyDescent="0.25" r="916" customHeight="1" ht="15.75">
      <c r="A916" s="11"/>
      <c r="B916" s="26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x14ac:dyDescent="0.25" r="917" customHeight="1" ht="15.75">
      <c r="A917" s="11"/>
      <c r="B917" s="26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x14ac:dyDescent="0.25" r="918" customHeight="1" ht="15.75">
      <c r="A918" s="11"/>
      <c r="B918" s="26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x14ac:dyDescent="0.25" r="919" customHeight="1" ht="15.75">
      <c r="A919" s="11"/>
      <c r="B919" s="26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x14ac:dyDescent="0.25" r="920" customHeight="1" ht="15.75">
      <c r="A920" s="11"/>
      <c r="B920" s="26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x14ac:dyDescent="0.25" r="921" customHeight="1" ht="15.75">
      <c r="A921" s="11"/>
      <c r="B921" s="26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x14ac:dyDescent="0.25" r="922" customHeight="1" ht="15.75">
      <c r="A922" s="11"/>
      <c r="B922" s="26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x14ac:dyDescent="0.25" r="923" customHeight="1" ht="15.75">
      <c r="A923" s="11"/>
      <c r="B923" s="26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x14ac:dyDescent="0.25" r="924" customHeight="1" ht="15.75">
      <c r="A924" s="11"/>
      <c r="B924" s="26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x14ac:dyDescent="0.25" r="925" customHeight="1" ht="15.75">
      <c r="A925" s="11"/>
      <c r="B925" s="26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x14ac:dyDescent="0.25" r="926" customHeight="1" ht="15.75">
      <c r="A926" s="11"/>
      <c r="B926" s="26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x14ac:dyDescent="0.25" r="927" customHeight="1" ht="15.75">
      <c r="A927" s="11"/>
      <c r="B927" s="26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x14ac:dyDescent="0.25" r="928" customHeight="1" ht="15.75">
      <c r="A928" s="11"/>
      <c r="B928" s="26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x14ac:dyDescent="0.25" r="929" customHeight="1" ht="15.75">
      <c r="A929" s="11"/>
      <c r="B929" s="26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x14ac:dyDescent="0.25" r="930" customHeight="1" ht="15.75">
      <c r="A930" s="11"/>
      <c r="B930" s="26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x14ac:dyDescent="0.25" r="931" customHeight="1" ht="15.75">
      <c r="A931" s="11"/>
      <c r="B931" s="26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x14ac:dyDescent="0.25" r="932" customHeight="1" ht="15.75">
      <c r="A932" s="11"/>
      <c r="B932" s="26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x14ac:dyDescent="0.25" r="933" customHeight="1" ht="15.75">
      <c r="A933" s="11"/>
      <c r="B933" s="26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x14ac:dyDescent="0.25" r="934" customHeight="1" ht="15.75">
      <c r="A934" s="11"/>
      <c r="B934" s="26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x14ac:dyDescent="0.25" r="935" customHeight="1" ht="15.75">
      <c r="A935" s="11"/>
      <c r="B935" s="26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x14ac:dyDescent="0.25" r="936" customHeight="1" ht="15.75">
      <c r="A936" s="11"/>
      <c r="B936" s="26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x14ac:dyDescent="0.25" r="937" customHeight="1" ht="15.75">
      <c r="A937" s="11"/>
      <c r="B937" s="26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x14ac:dyDescent="0.25" r="938" customHeight="1" ht="15.75">
      <c r="A938" s="11"/>
      <c r="B938" s="26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x14ac:dyDescent="0.25" r="939" customHeight="1" ht="15.75">
      <c r="A939" s="11"/>
      <c r="B939" s="26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x14ac:dyDescent="0.25" r="940" customHeight="1" ht="15.75">
      <c r="A940" s="11"/>
      <c r="B940" s="26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x14ac:dyDescent="0.25" r="941" customHeight="1" ht="15.75">
      <c r="A941" s="11"/>
      <c r="B941" s="26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x14ac:dyDescent="0.25" r="942" customHeight="1" ht="15.75">
      <c r="A942" s="11"/>
      <c r="B942" s="26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x14ac:dyDescent="0.25" r="943" customHeight="1" ht="15.75">
      <c r="A943" s="11"/>
      <c r="B943" s="26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x14ac:dyDescent="0.25" r="944" customHeight="1" ht="15.75">
      <c r="A944" s="11"/>
      <c r="B944" s="26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x14ac:dyDescent="0.25" r="945" customHeight="1" ht="15.75">
      <c r="A945" s="11"/>
      <c r="B945" s="26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x14ac:dyDescent="0.25" r="946" customHeight="1" ht="15.75">
      <c r="A946" s="11"/>
      <c r="B946" s="26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x14ac:dyDescent="0.25" r="947" customHeight="1" ht="15.75">
      <c r="A947" s="11"/>
      <c r="B947" s="26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x14ac:dyDescent="0.25" r="948" customHeight="1" ht="15.75">
      <c r="A948" s="11"/>
      <c r="B948" s="26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x14ac:dyDescent="0.25" r="949" customHeight="1" ht="15.75">
      <c r="A949" s="11"/>
      <c r="B949" s="26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x14ac:dyDescent="0.25" r="950" customHeight="1" ht="15.75">
      <c r="A950" s="11"/>
      <c r="B950" s="26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x14ac:dyDescent="0.25" r="951" customHeight="1" ht="15.75">
      <c r="A951" s="11"/>
      <c r="B951" s="26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x14ac:dyDescent="0.25" r="952" customHeight="1" ht="15.75">
      <c r="A952" s="11"/>
      <c r="B952" s="26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x14ac:dyDescent="0.25" r="953" customHeight="1" ht="15.75">
      <c r="A953" s="11"/>
      <c r="B953" s="26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x14ac:dyDescent="0.25" r="954" customHeight="1" ht="15.75">
      <c r="A954" s="11"/>
      <c r="B954" s="26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x14ac:dyDescent="0.25" r="955" customHeight="1" ht="15.75">
      <c r="A955" s="11"/>
      <c r="B955" s="26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x14ac:dyDescent="0.25" r="956" customHeight="1" ht="15.75">
      <c r="A956" s="11"/>
      <c r="B956" s="26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x14ac:dyDescent="0.25" r="957" customHeight="1" ht="15.75">
      <c r="A957" s="11"/>
      <c r="B957" s="26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x14ac:dyDescent="0.25" r="958" customHeight="1" ht="15.75">
      <c r="A958" s="11"/>
      <c r="B958" s="26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x14ac:dyDescent="0.25" r="959" customHeight="1" ht="15.75">
      <c r="A959" s="11"/>
      <c r="B959" s="26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x14ac:dyDescent="0.25" r="960" customHeight="1" ht="15.75">
      <c r="A960" s="11"/>
      <c r="B960" s="26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x14ac:dyDescent="0.25" r="961" customHeight="1" ht="15.75">
      <c r="A961" s="11"/>
      <c r="B961" s="26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x14ac:dyDescent="0.25" r="962" customHeight="1" ht="15.75">
      <c r="A962" s="11"/>
      <c r="B962" s="26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x14ac:dyDescent="0.25" r="963" customHeight="1" ht="15.75">
      <c r="A963" s="11"/>
      <c r="B963" s="26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x14ac:dyDescent="0.25" r="964" customHeight="1" ht="15.75">
      <c r="A964" s="11"/>
      <c r="B964" s="26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x14ac:dyDescent="0.25" r="965" customHeight="1" ht="15.75">
      <c r="A965" s="11"/>
      <c r="B965" s="26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x14ac:dyDescent="0.25" r="966" customHeight="1" ht="15.75">
      <c r="A966" s="11"/>
      <c r="B966" s="26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x14ac:dyDescent="0.25" r="967" customHeight="1" ht="15.75">
      <c r="A967" s="11"/>
      <c r="B967" s="26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x14ac:dyDescent="0.25" r="968" customHeight="1" ht="15.75">
      <c r="A968" s="11"/>
      <c r="B968" s="26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x14ac:dyDescent="0.25" r="969" customHeight="1" ht="15.75">
      <c r="A969" s="11"/>
      <c r="B969" s="26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x14ac:dyDescent="0.25" r="970" customHeight="1" ht="15.75">
      <c r="A970" s="11"/>
      <c r="B970" s="26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x14ac:dyDescent="0.25" r="971" customHeight="1" ht="15.75">
      <c r="A971" s="11"/>
      <c r="B971" s="26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x14ac:dyDescent="0.25" r="972" customHeight="1" ht="15.75">
      <c r="A972" s="11"/>
      <c r="B972" s="26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x14ac:dyDescent="0.25" r="973" customHeight="1" ht="15.75">
      <c r="A973" s="11"/>
      <c r="B973" s="26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x14ac:dyDescent="0.25" r="974" customHeight="1" ht="15.75">
      <c r="A974" s="11"/>
      <c r="B974" s="26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x14ac:dyDescent="0.25" r="975" customHeight="1" ht="15.75">
      <c r="A975" s="11"/>
      <c r="B975" s="26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x14ac:dyDescent="0.25" r="976" customHeight="1" ht="15.75">
      <c r="A976" s="11"/>
      <c r="B976" s="26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x14ac:dyDescent="0.25" r="977" customHeight="1" ht="15.75">
      <c r="A977" s="11"/>
      <c r="B977" s="26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x14ac:dyDescent="0.25" r="978" customHeight="1" ht="15.75">
      <c r="A978" s="11"/>
      <c r="B978" s="26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x14ac:dyDescent="0.25" r="979" customHeight="1" ht="15.75">
      <c r="A979" s="11"/>
      <c r="B979" s="26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x14ac:dyDescent="0.25" r="980" customHeight="1" ht="15.75">
      <c r="A980" s="11"/>
      <c r="B980" s="26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x14ac:dyDescent="0.25" r="981" customHeight="1" ht="15.75">
      <c r="A981" s="11"/>
      <c r="B981" s="26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x14ac:dyDescent="0.25" r="982" customHeight="1" ht="15.75">
      <c r="A982" s="11"/>
      <c r="B982" s="26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x14ac:dyDescent="0.25" r="983" customHeight="1" ht="15.75">
      <c r="A983" s="11"/>
      <c r="B983" s="26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x14ac:dyDescent="0.25" r="984" customHeight="1" ht="15.75">
      <c r="A984" s="11"/>
      <c r="B984" s="26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x14ac:dyDescent="0.25" r="985" customHeight="1" ht="15.75">
      <c r="A985" s="11"/>
      <c r="B985" s="26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x14ac:dyDescent="0.25" r="986" customHeight="1" ht="15.75">
      <c r="A986" s="11"/>
      <c r="B986" s="26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x14ac:dyDescent="0.25" r="987" customHeight="1" ht="15.75">
      <c r="A987" s="11"/>
      <c r="B987" s="26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x14ac:dyDescent="0.25" r="988" customHeight="1" ht="15.75">
      <c r="A988" s="11"/>
      <c r="B988" s="26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x14ac:dyDescent="0.25" r="989" customHeight="1" ht="15.75">
      <c r="A989" s="11"/>
      <c r="B989" s="26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x14ac:dyDescent="0.25" r="990" customHeight="1" ht="15.75">
      <c r="A990" s="11"/>
      <c r="B990" s="26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x14ac:dyDescent="0.25" r="991" customHeight="1" ht="15.75">
      <c r="A991" s="11"/>
      <c r="B991" s="26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x14ac:dyDescent="0.25" r="992" customHeight="1" ht="15.75">
      <c r="A992" s="11"/>
      <c r="B992" s="26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x14ac:dyDescent="0.25" r="993" customHeight="1" ht="15.75">
      <c r="A993" s="11"/>
      <c r="B993" s="26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x14ac:dyDescent="0.25" r="994" customHeight="1" ht="15.75">
      <c r="A994" s="11"/>
      <c r="B994" s="26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x14ac:dyDescent="0.25" r="995" customHeight="1" ht="15.75">
      <c r="A995" s="11"/>
      <c r="B995" s="26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x14ac:dyDescent="0.25" r="996" customHeight="1" ht="15.75">
      <c r="A996" s="11"/>
      <c r="B996" s="26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x14ac:dyDescent="0.25" r="997" customHeight="1" ht="15.75">
      <c r="A997" s="11"/>
      <c r="B997" s="26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x14ac:dyDescent="0.25" r="998" customHeight="1" ht="15.75">
      <c r="A998" s="11"/>
      <c r="B998" s="26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x14ac:dyDescent="0.25" r="999" customHeight="1" ht="15.75">
      <c r="A999" s="11"/>
      <c r="B999" s="26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x14ac:dyDescent="0.25" r="1000" customHeight="1" ht="15.75">
      <c r="A1000" s="11"/>
      <c r="B1000" s="26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mergeCells count="1">
    <mergeCell ref="B2:E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000"/>
  <sheetViews>
    <sheetView workbookViewId="0"/>
  </sheetViews>
  <sheetFormatPr defaultRowHeight="15" x14ac:dyDescent="0.25"/>
  <cols>
    <col min="1" max="1" style="12" width="32.57642857142857" customWidth="1" bestFit="1"/>
    <col min="2" max="2" style="12" width="14.43357142857143" customWidth="1" bestFit="1"/>
    <col min="3" max="3" style="12" width="35.29071428571429" customWidth="1" bestFit="1"/>
    <col min="4" max="4" style="13" width="52.29071428571429" customWidth="1" bestFit="1"/>
    <col min="5" max="5" style="13" width="72.005" customWidth="1" bestFit="1"/>
    <col min="6" max="6" style="13" width="35.57642857142857" customWidth="1" bestFit="1"/>
  </cols>
  <sheetData>
    <row x14ac:dyDescent="0.25" r="1" customHeight="1" ht="19.5" customFormat="1" s="1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</row>
    <row x14ac:dyDescent="0.25" r="2" customHeight="1" ht="19.5" customFormat="1" s="1" hidden="1">
      <c r="A2" s="5" t="s">
        <v>6</v>
      </c>
      <c r="B2" s="6"/>
      <c r="C2" s="6"/>
      <c r="D2" s="6"/>
      <c r="E2" s="6"/>
      <c r="F2" s="6"/>
    </row>
    <row x14ac:dyDescent="0.25" r="3" customHeight="1" ht="117">
      <c r="A3" s="7">
        <f>Mapeamento!N40&amp;". "&amp;Mapeamento!T40&amp;". "&amp;Mapeamento!X40&amp;". "&amp;Mapeamento!Z40&amp;". "&amp;Mapeamento!AA40&amp;". "&amp;Mapeamento!AB40&amp;". "&amp;Mapeamento!AC40&amp;". "&amp;Mapeamento!AD40&amp;". "&amp;Mapeamento!#REF!&amp;". "&amp;Mapeamento!AE40</f>
      </c>
      <c r="B3" s="7">
        <f>Mapeamento!G40&amp;". "&amp;Mapeamento!U40&amp;""</f>
      </c>
      <c r="C3" s="7">
        <f>Mapeamento!W40&amp;". "&amp;Mapeamento!AJ40&amp;". "&amp;Mapeamento!K40&amp;". "&amp;Mapeamento!L40&amp;". "&amp;Mapeamento!#REF!&amp;". "&amp;Mapeamento!AK40&amp;""</f>
      </c>
      <c r="D3" s="8">
        <f>Mapeamento!M40&amp;""</f>
      </c>
      <c r="E3" s="9">
        <f>Mapeamento!C40&amp;""</f>
      </c>
      <c r="F3" s="8">
        <f>Mapeamento!AP40&amp;""</f>
      </c>
    </row>
    <row x14ac:dyDescent="0.25" r="4" customHeight="1" ht="19.5" customFormat="1" s="1" hidden="1">
      <c r="A4" s="10">
        <f>Mapeamento!N41&amp;". "&amp;Mapeamento!T41&amp;". "&amp;Mapeamento!X41&amp;". "&amp;Mapeamento!Z41&amp;". "&amp;Mapeamento!AA41&amp;". "&amp;Mapeamento!AB41&amp;". "&amp;Mapeamento!AC41&amp;". "&amp;Mapeamento!AD41&amp;". "&amp;Mapeamento!#REF!&amp;". "&amp;Mapeamento!AE41</f>
      </c>
      <c r="B4" s="6"/>
      <c r="C4" s="6"/>
      <c r="D4" s="6"/>
      <c r="E4" s="6"/>
      <c r="F4" s="6"/>
    </row>
    <row x14ac:dyDescent="0.25" r="5" customHeight="1" ht="19.5">
      <c r="A5" s="7">
        <f>Mapeamento!N42&amp;". "&amp;Mapeamento!T42&amp;". "&amp;Mapeamento!X42&amp;". "&amp;Mapeamento!Z42&amp;". "&amp;Mapeamento!AA42&amp;". "&amp;Mapeamento!AB42&amp;". "&amp;Mapeamento!AC42&amp;". "&amp;Mapeamento!AD42&amp;". "&amp;Mapeamento!#REF!&amp;". "&amp;Mapeamento!AE42</f>
      </c>
      <c r="B5" s="7">
        <f>Mapeamento!G42&amp;". "&amp;Mapeamento!U42&amp;""</f>
      </c>
      <c r="C5" s="7">
        <f>Mapeamento!W42&amp;". "&amp;Mapeamento!AJ42&amp;". "&amp;Mapeamento!K42&amp;". "&amp;Mapeamento!L42&amp;". "&amp;Mapeamento!#REF!&amp;". "&amp;Mapeamento!AK42&amp;""</f>
      </c>
      <c r="D5" s="8">
        <f>Mapeamento!M42&amp;""</f>
      </c>
      <c r="E5" s="9">
        <f>Mapeamento!C42&amp;""</f>
      </c>
      <c r="F5" s="8">
        <f>Mapeamento!AP42&amp;""</f>
      </c>
    </row>
    <row x14ac:dyDescent="0.25" r="6" customHeight="1" ht="19.5">
      <c r="A6" s="7">
        <f>Mapeamento!N43&amp;". "&amp;Mapeamento!T43&amp;". "&amp;Mapeamento!X43&amp;". "&amp;Mapeamento!Z43&amp;". "&amp;Mapeamento!AA43&amp;". "&amp;Mapeamento!AB43&amp;". "&amp;Mapeamento!AC43&amp;". "&amp;Mapeamento!AD43&amp;". "&amp;Mapeamento!#REF!&amp;". "&amp;Mapeamento!AE43</f>
      </c>
      <c r="B6" s="7">
        <f>Mapeamento!G43&amp;". "&amp;Mapeamento!U43&amp;""</f>
      </c>
      <c r="C6" s="7">
        <f>Mapeamento!W43&amp;". "&amp;Mapeamento!AJ43&amp;". "&amp;Mapeamento!K43&amp;". "&amp;Mapeamento!L43&amp;". "&amp;Mapeamento!#REF!&amp;". "&amp;Mapeamento!AK43&amp;""</f>
      </c>
      <c r="D6" s="8">
        <f>Mapeamento!M43&amp;""</f>
      </c>
      <c r="E6" s="9">
        <f>Mapeamento!C43&amp;""</f>
      </c>
      <c r="F6" s="8">
        <f>Mapeamento!AP43&amp;""</f>
      </c>
    </row>
    <row x14ac:dyDescent="0.25" r="7" customHeight="1" ht="19.5">
      <c r="A7" s="7">
        <f>Mapeamento!N44&amp;". "&amp;Mapeamento!T44&amp;". "&amp;Mapeamento!X44&amp;". "&amp;Mapeamento!Z44&amp;". "&amp;Mapeamento!AA44&amp;". "&amp;Mapeamento!AB44&amp;". "&amp;Mapeamento!AC44&amp;". "&amp;Mapeamento!AD44&amp;". "&amp;Mapeamento!#REF!&amp;". "&amp;Mapeamento!AE44</f>
      </c>
      <c r="B7" s="7">
        <f>Mapeamento!G44&amp;". "&amp;Mapeamento!U44&amp;""</f>
      </c>
      <c r="C7" s="7">
        <f>Mapeamento!W44&amp;". "&amp;Mapeamento!AJ44&amp;". "&amp;Mapeamento!K44&amp;". "&amp;Mapeamento!L44&amp;". "&amp;Mapeamento!#REF!&amp;". "&amp;Mapeamento!AK44&amp;""</f>
      </c>
      <c r="D7" s="8">
        <f>Mapeamento!M44&amp;""</f>
      </c>
      <c r="E7" s="9">
        <f>Mapeamento!C44&amp;""</f>
      </c>
      <c r="F7" s="8">
        <f>Mapeamento!AP44&amp;""</f>
      </c>
    </row>
    <row x14ac:dyDescent="0.25" r="8" customHeight="1" ht="19.5" customFormat="1" s="1" hidden="1">
      <c r="A8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8" s="6"/>
      <c r="C8" s="6"/>
      <c r="D8" s="6"/>
      <c r="E8" s="6"/>
      <c r="F8" s="6"/>
    </row>
    <row x14ac:dyDescent="0.25" r="9" customHeight="1" ht="19.5" customFormat="1" s="1" hidden="1">
      <c r="A9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9" s="6"/>
      <c r="C9" s="6"/>
      <c r="D9" s="6"/>
      <c r="E9" s="6"/>
      <c r="F9" s="6"/>
    </row>
    <row x14ac:dyDescent="0.25" r="10" customHeight="1" ht="19.5" customFormat="1" s="1" hidden="1">
      <c r="A10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10" s="6"/>
      <c r="C10" s="6"/>
      <c r="D10" s="6"/>
      <c r="E10" s="6"/>
      <c r="F10" s="6"/>
    </row>
    <row x14ac:dyDescent="0.25" r="11" customHeight="1" ht="19.5" customFormat="1" s="1" hidden="1">
      <c r="A11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11" s="6"/>
      <c r="C11" s="6"/>
      <c r="D11" s="6"/>
      <c r="E11" s="6"/>
      <c r="F11" s="6"/>
    </row>
    <row x14ac:dyDescent="0.25" r="12" customHeight="1" ht="19.5" customFormat="1" s="1" hidden="1">
      <c r="A12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12" s="6"/>
      <c r="C12" s="6"/>
      <c r="D12" s="6"/>
      <c r="E12" s="6"/>
      <c r="F12" s="6"/>
    </row>
    <row x14ac:dyDescent="0.25" r="13" customHeight="1" ht="19.5" customFormat="1" s="1" hidden="1">
      <c r="A13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13" s="6"/>
      <c r="C13" s="6"/>
      <c r="D13" s="6"/>
      <c r="E13" s="6"/>
      <c r="F13" s="6"/>
    </row>
    <row x14ac:dyDescent="0.25" r="14" customHeight="1" ht="19.5">
      <c r="A14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14" s="7">
        <f>Mapeamento!#REF!&amp;". "&amp;Mapeamento!#REF!&amp;""</f>
      </c>
      <c r="C14" s="7">
        <f>Mapeamento!#REF!&amp;". "&amp;Mapeamento!#REF!&amp;". "&amp;Mapeamento!#REF!&amp;". "&amp;Mapeamento!#REF!&amp;". "&amp;Mapeamento!#REF!&amp;". "&amp;Mapeamento!#REF!&amp;""</f>
      </c>
      <c r="D14" s="8">
        <f>Mapeamento!#REF!&amp;""</f>
      </c>
      <c r="E14" s="9">
        <f>Mapeamento!#REF!&amp;""</f>
      </c>
      <c r="F14" s="8">
        <f>Mapeamento!#REF!&amp;""</f>
      </c>
    </row>
    <row x14ac:dyDescent="0.25" r="15" customHeight="1" ht="19.5">
      <c r="A15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15" s="7">
        <f>Mapeamento!#REF!&amp;". "&amp;Mapeamento!#REF!&amp;""</f>
      </c>
      <c r="C15" s="7">
        <f>Mapeamento!#REF!&amp;". "&amp;Mapeamento!#REF!&amp;". "&amp;Mapeamento!#REF!&amp;". "&amp;Mapeamento!#REF!&amp;". "&amp;Mapeamento!#REF!&amp;". "&amp;Mapeamento!#REF!&amp;""</f>
      </c>
      <c r="D15" s="8">
        <f>Mapeamento!#REF!&amp;""</f>
      </c>
      <c r="E15" s="9">
        <f>Mapeamento!#REF!&amp;""</f>
      </c>
      <c r="F15" s="8">
        <f>Mapeamento!#REF!&amp;""</f>
      </c>
    </row>
    <row x14ac:dyDescent="0.25" r="16" customHeight="1" ht="19.5">
      <c r="A16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16" s="7">
        <f>Mapeamento!#REF!&amp;". "&amp;Mapeamento!#REF!&amp;""</f>
      </c>
      <c r="C16" s="7">
        <f>Mapeamento!#REF!&amp;". "&amp;Mapeamento!#REF!&amp;". "&amp;Mapeamento!#REF!&amp;". "&amp;Mapeamento!#REF!&amp;". "&amp;Mapeamento!#REF!&amp;". "&amp;Mapeamento!#REF!&amp;""</f>
      </c>
      <c r="D16" s="8">
        <f>Mapeamento!#REF!&amp;""</f>
      </c>
      <c r="E16" s="9">
        <f>Mapeamento!#REF!&amp;""</f>
      </c>
      <c r="F16" s="8">
        <f>Mapeamento!#REF!&amp;""</f>
      </c>
    </row>
    <row x14ac:dyDescent="0.25" r="17" customHeight="1" ht="19.5">
      <c r="A17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17" s="7">
        <f>Mapeamento!#REF!&amp;". "&amp;Mapeamento!#REF!&amp;""</f>
      </c>
      <c r="C17" s="7">
        <f>Mapeamento!#REF!&amp;". "&amp;Mapeamento!#REF!&amp;". "&amp;Mapeamento!#REF!&amp;". "&amp;Mapeamento!#REF!&amp;". "&amp;Mapeamento!#REF!&amp;". "&amp;Mapeamento!#REF!&amp;""</f>
      </c>
      <c r="D17" s="8">
        <f>Mapeamento!#REF!&amp;""</f>
      </c>
      <c r="E17" s="9">
        <f>Mapeamento!#REF!&amp;""</f>
      </c>
      <c r="F17" s="8">
        <f>Mapeamento!#REF!&amp;""</f>
      </c>
    </row>
    <row x14ac:dyDescent="0.25" r="18" customHeight="1" ht="19.5" customFormat="1" s="1" hidden="1">
      <c r="A18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18" s="6"/>
      <c r="C18" s="6"/>
      <c r="D18" s="6"/>
      <c r="E18" s="6"/>
      <c r="F18" s="6"/>
    </row>
    <row x14ac:dyDescent="0.25" r="19" customHeight="1" ht="19.5">
      <c r="A19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19" s="7">
        <f>Mapeamento!#REF!&amp;". "&amp;Mapeamento!#REF!&amp;""</f>
      </c>
      <c r="C19" s="7">
        <f>Mapeamento!#REF!&amp;". "&amp;Mapeamento!#REF!&amp;". "&amp;Mapeamento!#REF!&amp;". "&amp;Mapeamento!#REF!&amp;". "&amp;Mapeamento!#REF!&amp;". "&amp;Mapeamento!#REF!&amp;""</f>
      </c>
      <c r="D19" s="8">
        <f>Mapeamento!#REF!&amp;""</f>
      </c>
      <c r="E19" s="9">
        <f>Mapeamento!#REF!&amp;""</f>
      </c>
      <c r="F19" s="8">
        <f>Mapeamento!#REF!&amp;""</f>
      </c>
    </row>
    <row x14ac:dyDescent="0.25" r="20" customHeight="1" ht="19.5">
      <c r="A20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20" s="7">
        <f>Mapeamento!#REF!&amp;". "&amp;Mapeamento!#REF!&amp;""</f>
      </c>
      <c r="C20" s="7">
        <f>Mapeamento!#REF!&amp;". "&amp;Mapeamento!#REF!&amp;". "&amp;Mapeamento!#REF!&amp;". "&amp;Mapeamento!#REF!&amp;". "&amp;Mapeamento!#REF!&amp;". "&amp;Mapeamento!#REF!&amp;""</f>
      </c>
      <c r="D20" s="8">
        <f>Mapeamento!#REF!&amp;""</f>
      </c>
      <c r="E20" s="9">
        <f>Mapeamento!#REF!&amp;""</f>
      </c>
      <c r="F20" s="8">
        <f>Mapeamento!#REF!&amp;""</f>
      </c>
    </row>
    <row x14ac:dyDescent="0.25" r="21" customHeight="1" ht="19.5" customFormat="1" s="1" hidden="1">
      <c r="A21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21" s="6"/>
      <c r="C21" s="6"/>
      <c r="D21" s="6"/>
      <c r="E21" s="6"/>
      <c r="F21" s="6"/>
    </row>
    <row x14ac:dyDescent="0.25" r="22" customHeight="1" ht="19.5" customFormat="1" s="1" hidden="1">
      <c r="A22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22" s="6"/>
      <c r="C22" s="6"/>
      <c r="D22" s="6"/>
      <c r="E22" s="6"/>
      <c r="F22" s="6"/>
    </row>
    <row x14ac:dyDescent="0.25" r="23" customHeight="1" ht="19.5" customFormat="1" s="1" hidden="1">
      <c r="A23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23" s="6"/>
      <c r="C23" s="6"/>
      <c r="D23" s="6"/>
      <c r="E23" s="6"/>
      <c r="F23" s="6"/>
    </row>
    <row x14ac:dyDescent="0.25" r="24" customHeight="1" ht="19.5" customFormat="1" s="1" hidden="1">
      <c r="A24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24" s="6"/>
      <c r="C24" s="6"/>
      <c r="D24" s="6"/>
      <c r="E24" s="6"/>
      <c r="F24" s="6"/>
    </row>
    <row x14ac:dyDescent="0.25" r="25" customHeight="1" ht="19.5" customFormat="1" s="1" hidden="1">
      <c r="A25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25" s="6"/>
      <c r="C25" s="6"/>
      <c r="D25" s="6"/>
      <c r="E25" s="6"/>
      <c r="F25" s="6"/>
    </row>
    <row x14ac:dyDescent="0.25" r="26" customHeight="1" ht="19.5" customFormat="1" s="1" hidden="1">
      <c r="A26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26" s="6"/>
      <c r="C26" s="6"/>
      <c r="D26" s="6"/>
      <c r="E26" s="6"/>
      <c r="F26" s="6"/>
    </row>
    <row x14ac:dyDescent="0.25" r="27" customHeight="1" ht="15.75">
      <c r="A27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27" s="7">
        <f>Mapeamento!#REF!&amp;". "&amp;Mapeamento!#REF!&amp;""</f>
      </c>
      <c r="C27" s="7">
        <f>Mapeamento!#REF!&amp;". "&amp;Mapeamento!#REF!&amp;". "&amp;Mapeamento!#REF!&amp;". "&amp;Mapeamento!#REF!&amp;". "&amp;Mapeamento!#REF!&amp;". "&amp;Mapeamento!#REF!&amp;""</f>
      </c>
      <c r="D27" s="8">
        <f>Mapeamento!#REF!&amp;""</f>
      </c>
      <c r="E27" s="9">
        <f>Mapeamento!#REF!&amp;""</f>
      </c>
      <c r="F27" s="8">
        <f>Mapeamento!#REF!&amp;""</f>
      </c>
    </row>
    <row x14ac:dyDescent="0.25" r="28" customHeight="1" ht="15.75">
      <c r="A28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28" s="7">
        <f>Mapeamento!#REF!&amp;". "&amp;Mapeamento!#REF!&amp;""</f>
      </c>
      <c r="C28" s="7">
        <f>Mapeamento!#REF!&amp;". "&amp;Mapeamento!#REF!&amp;". "&amp;Mapeamento!#REF!&amp;". "&amp;Mapeamento!#REF!&amp;". "&amp;Mapeamento!#REF!&amp;". "&amp;Mapeamento!#REF!&amp;""</f>
      </c>
      <c r="D28" s="8">
        <f>Mapeamento!#REF!&amp;""</f>
      </c>
      <c r="E28" s="9">
        <f>Mapeamento!#REF!&amp;""</f>
      </c>
      <c r="F28" s="8">
        <f>Mapeamento!#REF!&amp;""</f>
      </c>
    </row>
    <row x14ac:dyDescent="0.25" r="29" customHeight="1" ht="15.75">
      <c r="A29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29" s="7">
        <f>Mapeamento!#REF!&amp;". "&amp;Mapeamento!#REF!&amp;""</f>
      </c>
      <c r="C29" s="7">
        <f>Mapeamento!#REF!&amp;". "&amp;Mapeamento!#REF!&amp;". "&amp;Mapeamento!#REF!&amp;". "&amp;Mapeamento!#REF!&amp;". "&amp;Mapeamento!#REF!&amp;". "&amp;Mapeamento!#REF!&amp;""</f>
      </c>
      <c r="D29" s="8">
        <f>Mapeamento!#REF!&amp;""</f>
      </c>
      <c r="E29" s="9">
        <f>Mapeamento!#REF!&amp;""</f>
      </c>
      <c r="F29" s="8">
        <f>Mapeamento!#REF!&amp;""</f>
      </c>
    </row>
    <row x14ac:dyDescent="0.25" r="30" customHeight="1" ht="15.75">
      <c r="A30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30" s="7">
        <f>Mapeamento!#REF!&amp;". "&amp;Mapeamento!#REF!&amp;""</f>
      </c>
      <c r="C30" s="7">
        <f>Mapeamento!#REF!&amp;". "&amp;Mapeamento!#REF!&amp;". "&amp;Mapeamento!#REF!&amp;". "&amp;Mapeamento!#REF!&amp;". "&amp;Mapeamento!#REF!&amp;". "&amp;Mapeamento!#REF!&amp;""</f>
      </c>
      <c r="D30" s="8">
        <f>Mapeamento!#REF!&amp;""</f>
      </c>
      <c r="E30" s="9">
        <f>Mapeamento!#REF!&amp;""</f>
      </c>
      <c r="F30" s="8">
        <f>Mapeamento!#REF!&amp;""</f>
      </c>
    </row>
    <row x14ac:dyDescent="0.25" r="31" customHeight="1" ht="15.75">
      <c r="A31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31" s="7">
        <f>Mapeamento!#REF!&amp;". "&amp;Mapeamento!#REF!&amp;""</f>
      </c>
      <c r="C31" s="7">
        <f>Mapeamento!#REF!&amp;". "&amp;Mapeamento!#REF!&amp;". "&amp;Mapeamento!#REF!&amp;". "&amp;Mapeamento!#REF!&amp;". "&amp;Mapeamento!#REF!&amp;". "&amp;Mapeamento!#REF!&amp;""</f>
      </c>
      <c r="D31" s="8">
        <f>Mapeamento!#REF!&amp;""</f>
      </c>
      <c r="E31" s="9">
        <f>Mapeamento!#REF!&amp;""</f>
      </c>
      <c r="F31" s="8">
        <f>Mapeamento!#REF!&amp;""</f>
      </c>
    </row>
    <row x14ac:dyDescent="0.25" r="32" customHeight="1" ht="19.5" customFormat="1" s="1" hidden="1">
      <c r="A32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32" s="6"/>
      <c r="C32" s="6"/>
      <c r="D32" s="6"/>
      <c r="E32" s="6"/>
      <c r="F32" s="6"/>
    </row>
    <row x14ac:dyDescent="0.25" r="33" customHeight="1" ht="19.5" customFormat="1" s="1" hidden="1">
      <c r="A33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33" s="6"/>
      <c r="C33" s="6"/>
      <c r="D33" s="6"/>
      <c r="E33" s="6"/>
      <c r="F33" s="6"/>
    </row>
    <row x14ac:dyDescent="0.25" r="34" customHeight="1" ht="19.5" customFormat="1" s="1" hidden="1">
      <c r="A34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34" s="6"/>
      <c r="C34" s="6"/>
      <c r="D34" s="6"/>
      <c r="E34" s="6"/>
      <c r="F34" s="6"/>
    </row>
    <row x14ac:dyDescent="0.25" r="35" customHeight="1" ht="15.75">
      <c r="A35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35" s="7">
        <f>Mapeamento!#REF!&amp;". "&amp;Mapeamento!#REF!&amp;""</f>
      </c>
      <c r="C35" s="7">
        <f>Mapeamento!#REF!&amp;". "&amp;Mapeamento!#REF!&amp;". "&amp;Mapeamento!#REF!&amp;". "&amp;Mapeamento!#REF!&amp;". "&amp;Mapeamento!#REF!&amp;". "&amp;Mapeamento!#REF!&amp;""</f>
      </c>
      <c r="D35" s="8">
        <f>Mapeamento!#REF!&amp;""</f>
      </c>
      <c r="E35" s="9">
        <f>Mapeamento!#REF!&amp;""</f>
      </c>
      <c r="F35" s="8">
        <f>Mapeamento!#REF!&amp;""</f>
      </c>
    </row>
    <row x14ac:dyDescent="0.25" r="36" customHeight="1" ht="15.75">
      <c r="A36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36" s="7">
        <f>Mapeamento!#REF!&amp;". "&amp;Mapeamento!#REF!&amp;""</f>
      </c>
      <c r="C36" s="7">
        <f>Mapeamento!#REF!&amp;". "&amp;Mapeamento!#REF!&amp;". "&amp;Mapeamento!#REF!&amp;". "&amp;Mapeamento!#REF!&amp;". "&amp;Mapeamento!#REF!&amp;". "&amp;Mapeamento!#REF!&amp;""</f>
      </c>
      <c r="D36" s="8">
        <f>Mapeamento!#REF!&amp;""</f>
      </c>
      <c r="E36" s="9">
        <f>Mapeamento!#REF!&amp;""</f>
      </c>
      <c r="F36" s="8">
        <f>Mapeamento!#REF!&amp;""</f>
      </c>
    </row>
    <row x14ac:dyDescent="0.25" r="37" customHeight="1" ht="15.75">
      <c r="A37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37" s="7">
        <f>Mapeamento!#REF!&amp;". "&amp;Mapeamento!#REF!&amp;""</f>
      </c>
      <c r="C37" s="7">
        <f>Mapeamento!#REF!&amp;". "&amp;Mapeamento!#REF!&amp;". "&amp;Mapeamento!#REF!&amp;". "&amp;Mapeamento!#REF!&amp;". "&amp;Mapeamento!#REF!&amp;". "&amp;Mapeamento!#REF!&amp;""</f>
      </c>
      <c r="D37" s="8">
        <f>Mapeamento!#REF!&amp;""</f>
      </c>
      <c r="E37" s="9">
        <f>Mapeamento!#REF!&amp;""</f>
      </c>
      <c r="F37" s="8">
        <f>Mapeamento!#REF!&amp;""</f>
      </c>
    </row>
    <row x14ac:dyDescent="0.25" r="38" customHeight="1" ht="15.75">
      <c r="A38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38" s="7">
        <f>Mapeamento!#REF!&amp;". "&amp;Mapeamento!#REF!&amp;""</f>
      </c>
      <c r="C38" s="7">
        <f>Mapeamento!#REF!&amp;". "&amp;Mapeamento!#REF!&amp;". "&amp;Mapeamento!#REF!&amp;". "&amp;Mapeamento!#REF!&amp;". "&amp;Mapeamento!#REF!&amp;". "&amp;Mapeamento!#REF!&amp;""</f>
      </c>
      <c r="D38" s="8">
        <f>Mapeamento!#REF!&amp;""</f>
      </c>
      <c r="E38" s="9">
        <f>Mapeamento!#REF!&amp;""</f>
      </c>
      <c r="F38" s="8">
        <f>Mapeamento!#REF!&amp;""</f>
      </c>
    </row>
    <row x14ac:dyDescent="0.25" r="39" customHeight="1" ht="15.75">
      <c r="A39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39" s="7">
        <f>Mapeamento!#REF!&amp;". "&amp;Mapeamento!#REF!&amp;""</f>
      </c>
      <c r="C39" s="7">
        <f>Mapeamento!#REF!&amp;". "&amp;Mapeamento!#REF!&amp;". "&amp;Mapeamento!#REF!&amp;". "&amp;Mapeamento!#REF!&amp;". "&amp;Mapeamento!#REF!&amp;". "&amp;Mapeamento!#REF!&amp;""</f>
      </c>
      <c r="D39" s="8">
        <f>Mapeamento!#REF!&amp;""</f>
      </c>
      <c r="E39" s="9">
        <f>Mapeamento!#REF!&amp;""</f>
      </c>
      <c r="F39" s="8">
        <f>Mapeamento!#REF!&amp;""</f>
      </c>
    </row>
    <row x14ac:dyDescent="0.25" r="40" customHeight="1" ht="15.75">
      <c r="A40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40" s="7">
        <f>Mapeamento!#REF!&amp;". "&amp;Mapeamento!#REF!&amp;""</f>
      </c>
      <c r="C40" s="7">
        <f>Mapeamento!#REF!&amp;". "&amp;Mapeamento!#REF!&amp;". "&amp;Mapeamento!#REF!&amp;". "&amp;Mapeamento!#REF!&amp;". "&amp;Mapeamento!#REF!&amp;". "&amp;Mapeamento!#REF!&amp;""</f>
      </c>
      <c r="D40" s="8">
        <f>Mapeamento!#REF!&amp;""</f>
      </c>
      <c r="E40" s="9">
        <f>Mapeamento!#REF!&amp;""</f>
      </c>
      <c r="F40" s="8">
        <f>Mapeamento!#REF!&amp;""</f>
      </c>
    </row>
    <row x14ac:dyDescent="0.25" r="41" customHeight="1" ht="19.5" customFormat="1" s="1" hidden="1">
      <c r="A41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41" s="6"/>
      <c r="C41" s="6"/>
      <c r="D41" s="6"/>
      <c r="E41" s="6"/>
      <c r="F41" s="6"/>
    </row>
    <row x14ac:dyDescent="0.25" r="42" customHeight="1" ht="19.5" customFormat="1" s="1" hidden="1">
      <c r="A42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42" s="6"/>
      <c r="C42" s="6"/>
      <c r="D42" s="6"/>
      <c r="E42" s="6"/>
      <c r="F42" s="6"/>
    </row>
    <row x14ac:dyDescent="0.25" r="43" customHeight="1" ht="15.75">
      <c r="A43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43" s="7">
        <f>Mapeamento!#REF!&amp;". "&amp;Mapeamento!#REF!&amp;""</f>
      </c>
      <c r="C43" s="7">
        <f>Mapeamento!#REF!&amp;". "&amp;Mapeamento!#REF!&amp;". "&amp;Mapeamento!#REF!&amp;". "&amp;Mapeamento!#REF!&amp;". "&amp;Mapeamento!#REF!&amp;". "&amp;Mapeamento!#REF!&amp;""</f>
      </c>
      <c r="D43" s="8">
        <f>Mapeamento!#REF!&amp;""</f>
      </c>
      <c r="E43" s="9">
        <f>Mapeamento!#REF!&amp;""</f>
      </c>
      <c r="F43" s="8">
        <f>Mapeamento!#REF!&amp;""</f>
      </c>
    </row>
    <row x14ac:dyDescent="0.25" r="44" customHeight="1" ht="19.5" customFormat="1" s="1" hidden="1">
      <c r="A44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44" s="6"/>
      <c r="C44" s="6"/>
      <c r="D44" s="6"/>
      <c r="E44" s="6"/>
      <c r="F44" s="6"/>
    </row>
    <row x14ac:dyDescent="0.25" r="45" customHeight="1" ht="19.5" customFormat="1" s="1" hidden="1">
      <c r="A45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45" s="6"/>
      <c r="C45" s="6"/>
      <c r="D45" s="6"/>
      <c r="E45" s="6"/>
      <c r="F45" s="6"/>
    </row>
    <row x14ac:dyDescent="0.25" r="46" customHeight="1" ht="19.5" customFormat="1" s="1" hidden="1">
      <c r="A46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46" s="6"/>
      <c r="C46" s="6"/>
      <c r="D46" s="6"/>
      <c r="E46" s="6"/>
      <c r="F46" s="6"/>
    </row>
    <row x14ac:dyDescent="0.25" r="47" customHeight="1" ht="19.5" customFormat="1" s="1" hidden="1">
      <c r="A47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47" s="6"/>
      <c r="C47" s="6"/>
      <c r="D47" s="6"/>
      <c r="E47" s="6"/>
      <c r="F47" s="6"/>
    </row>
    <row x14ac:dyDescent="0.25" r="48" customHeight="1" ht="19.5" customFormat="1" s="1" hidden="1">
      <c r="A48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48" s="6"/>
      <c r="C48" s="6"/>
      <c r="D48" s="6"/>
      <c r="E48" s="6"/>
      <c r="F48" s="6"/>
    </row>
    <row x14ac:dyDescent="0.25" r="49" customHeight="1" ht="15.75">
      <c r="A49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49" s="7">
        <f>Mapeamento!#REF!&amp;". "&amp;Mapeamento!#REF!&amp;""</f>
      </c>
      <c r="C49" s="7">
        <f>Mapeamento!#REF!&amp;". "&amp;Mapeamento!#REF!&amp;". "&amp;Mapeamento!#REF!&amp;". "&amp;Mapeamento!#REF!&amp;". "&amp;Mapeamento!#REF!&amp;". "&amp;Mapeamento!#REF!&amp;""</f>
      </c>
      <c r="D49" s="8">
        <f>Mapeamento!#REF!&amp;""</f>
      </c>
      <c r="E49" s="9">
        <f>Mapeamento!#REF!&amp;""</f>
      </c>
      <c r="F49" s="8">
        <f>Mapeamento!#REF!&amp;""</f>
      </c>
    </row>
    <row x14ac:dyDescent="0.25" r="50" customHeight="1" ht="15.75">
      <c r="A50" s="7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50" s="7">
        <f>Mapeamento!#REF!&amp;". "&amp;Mapeamento!#REF!&amp;""</f>
      </c>
      <c r="C50" s="7">
        <f>Mapeamento!#REF!&amp;". "&amp;Mapeamento!#REF!&amp;". "&amp;Mapeamento!#REF!&amp;". "&amp;Mapeamento!#REF!&amp;". "&amp;Mapeamento!#REF!&amp;". "&amp;Mapeamento!#REF!&amp;""</f>
      </c>
      <c r="D50" s="8">
        <f>Mapeamento!#REF!&amp;""</f>
      </c>
      <c r="E50" s="9">
        <f>Mapeamento!#REF!&amp;""</f>
      </c>
      <c r="F50" s="8">
        <f>Mapeamento!#REF!&amp;""</f>
      </c>
    </row>
    <row x14ac:dyDescent="0.25" r="51" customHeight="1" ht="19.5" customFormat="1" s="1" hidden="1">
      <c r="A51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51" s="6"/>
      <c r="C51" s="6"/>
      <c r="D51" s="6"/>
      <c r="E51" s="6"/>
      <c r="F51" s="6"/>
    </row>
    <row x14ac:dyDescent="0.25" r="52" customHeight="1" ht="19.5" customFormat="1" s="1" hidden="1">
      <c r="A52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52" s="6"/>
      <c r="C52" s="6"/>
      <c r="D52" s="6"/>
      <c r="E52" s="6"/>
      <c r="F52" s="6"/>
    </row>
    <row x14ac:dyDescent="0.25" r="53" customHeight="1" ht="19.5" customFormat="1" s="1" hidden="1">
      <c r="A53" s="10">
        <f>Mapeamento!#REF!&amp;". "&amp;Mapeamento!#REF!&amp;". "&amp;Mapeamento!#REF!&amp;". "&amp;Mapeamento!#REF!&amp;". "&amp;Mapeamento!#REF!&amp;". "&amp;Mapeamento!#REF!&amp;". "&amp;Mapeamento!#REF!&amp;". "&amp;Mapeamento!#REF!&amp;". "&amp;Mapeamento!#REF!&amp;". "&amp;Mapeamento!#REF!</f>
      </c>
      <c r="B53" s="6"/>
      <c r="C53" s="6"/>
      <c r="D53" s="6"/>
      <c r="E53" s="6"/>
      <c r="F53" s="6"/>
    </row>
    <row x14ac:dyDescent="0.25" r="54" customHeight="1" ht="15.75" customFormat="1" s="1">
      <c r="A54" s="5"/>
      <c r="B54" s="6"/>
      <c r="C54" s="6"/>
      <c r="D54" s="6"/>
      <c r="E54" s="6"/>
      <c r="F54" s="6"/>
    </row>
    <row x14ac:dyDescent="0.25" r="55" customHeight="1" ht="15.75" customFormat="1" s="1">
      <c r="A55" s="5"/>
      <c r="B55" s="6"/>
      <c r="C55" s="6"/>
      <c r="D55" s="6"/>
      <c r="E55" s="6"/>
      <c r="F55" s="6"/>
    </row>
    <row x14ac:dyDescent="0.25" r="56" customHeight="1" ht="15.75" customFormat="1" s="1">
      <c r="A56" s="5"/>
      <c r="B56" s="6"/>
      <c r="C56" s="6"/>
      <c r="D56" s="6"/>
      <c r="E56" s="6"/>
      <c r="F56" s="6"/>
    </row>
    <row x14ac:dyDescent="0.25" r="57" customHeight="1" ht="15.75" customFormat="1" s="1">
      <c r="A57" s="5"/>
      <c r="B57" s="6"/>
      <c r="C57" s="6"/>
      <c r="D57" s="6"/>
      <c r="E57" s="6"/>
      <c r="F57" s="6"/>
    </row>
    <row x14ac:dyDescent="0.25" r="58" customHeight="1" ht="15.75" customFormat="1" s="1">
      <c r="A58" s="5"/>
      <c r="B58" s="6"/>
      <c r="C58" s="6"/>
      <c r="D58" s="6"/>
      <c r="E58" s="6"/>
      <c r="F58" s="6"/>
    </row>
    <row x14ac:dyDescent="0.25" r="59" customHeight="1" ht="15.75" customFormat="1" s="1">
      <c r="A59" s="5"/>
      <c r="B59" s="6"/>
      <c r="C59" s="6"/>
      <c r="D59" s="6"/>
      <c r="E59" s="6"/>
      <c r="F59" s="6"/>
    </row>
    <row x14ac:dyDescent="0.25" r="60" customHeight="1" ht="15.75" customFormat="1" s="1">
      <c r="A60" s="5"/>
      <c r="B60" s="6"/>
      <c r="C60" s="6"/>
      <c r="D60" s="6"/>
      <c r="E60" s="6"/>
      <c r="F60" s="6"/>
    </row>
    <row x14ac:dyDescent="0.25" r="61" customHeight="1" ht="15.75" customFormat="1" s="1">
      <c r="A61" s="5"/>
      <c r="B61" s="6"/>
      <c r="C61" s="6"/>
      <c r="D61" s="6"/>
      <c r="E61" s="6"/>
      <c r="F61" s="6"/>
    </row>
    <row x14ac:dyDescent="0.25" r="62" customHeight="1" ht="15.75" customFormat="1" s="1">
      <c r="A62" s="5"/>
      <c r="B62" s="6"/>
      <c r="C62" s="6"/>
      <c r="D62" s="6"/>
      <c r="E62" s="6"/>
      <c r="F62" s="6"/>
    </row>
    <row x14ac:dyDescent="0.25" r="63" customHeight="1" ht="15.75" customFormat="1" s="1">
      <c r="A63" s="5"/>
      <c r="B63" s="6"/>
      <c r="C63" s="6"/>
      <c r="D63" s="6"/>
      <c r="E63" s="6"/>
      <c r="F63" s="6"/>
    </row>
    <row x14ac:dyDescent="0.25" r="64" customHeight="1" ht="15.75" customFormat="1" s="1">
      <c r="A64" s="5"/>
      <c r="B64" s="6"/>
      <c r="C64" s="6"/>
      <c r="D64" s="6"/>
      <c r="E64" s="6"/>
      <c r="F64" s="6"/>
    </row>
    <row x14ac:dyDescent="0.25" r="65" customHeight="1" ht="15.75" customFormat="1" s="1">
      <c r="A65" s="5"/>
      <c r="B65" s="6"/>
      <c r="C65" s="6"/>
      <c r="D65" s="6"/>
      <c r="E65" s="6"/>
      <c r="F65" s="6"/>
    </row>
    <row x14ac:dyDescent="0.25" r="66" customHeight="1" ht="15.75" customFormat="1" s="1">
      <c r="A66" s="5"/>
      <c r="B66" s="6"/>
      <c r="C66" s="6"/>
      <c r="D66" s="6"/>
      <c r="E66" s="6"/>
      <c r="F66" s="6"/>
    </row>
    <row x14ac:dyDescent="0.25" r="67" customHeight="1" ht="15.75" customFormat="1" s="1">
      <c r="A67" s="5"/>
      <c r="B67" s="6"/>
      <c r="C67" s="6"/>
      <c r="D67" s="6"/>
      <c r="E67" s="6"/>
      <c r="F67" s="6"/>
    </row>
    <row x14ac:dyDescent="0.25" r="68" customHeight="1" ht="15.75" customFormat="1" s="1">
      <c r="A68" s="5"/>
      <c r="B68" s="6"/>
      <c r="C68" s="6"/>
      <c r="D68" s="6"/>
      <c r="E68" s="6"/>
      <c r="F68" s="6"/>
    </row>
    <row x14ac:dyDescent="0.25" r="69" customHeight="1" ht="15.75" customFormat="1" s="1">
      <c r="A69" s="5"/>
      <c r="B69" s="6"/>
      <c r="C69" s="6"/>
      <c r="D69" s="6"/>
      <c r="E69" s="6"/>
      <c r="F69" s="6"/>
    </row>
    <row x14ac:dyDescent="0.25" r="70" customHeight="1" ht="15.75" customFormat="1" s="1">
      <c r="A70" s="5"/>
      <c r="B70" s="6"/>
      <c r="C70" s="6"/>
      <c r="D70" s="6"/>
      <c r="E70" s="6"/>
      <c r="F70" s="6"/>
    </row>
    <row x14ac:dyDescent="0.25" r="71" customHeight="1" ht="15.75" customFormat="1" s="1">
      <c r="A71" s="5"/>
      <c r="B71" s="6"/>
      <c r="C71" s="6"/>
      <c r="D71" s="6"/>
      <c r="E71" s="6"/>
      <c r="F71" s="6"/>
    </row>
    <row x14ac:dyDescent="0.25" r="72" customHeight="1" ht="15.75" customFormat="1" s="1">
      <c r="A72" s="5"/>
      <c r="B72" s="6"/>
      <c r="C72" s="6"/>
      <c r="D72" s="6"/>
      <c r="E72" s="6"/>
      <c r="F72" s="6"/>
    </row>
    <row x14ac:dyDescent="0.25" r="73" customHeight="1" ht="15.75" customFormat="1" s="1">
      <c r="A73" s="5"/>
      <c r="B73" s="6"/>
      <c r="C73" s="6"/>
      <c r="D73" s="6"/>
      <c r="E73" s="6"/>
      <c r="F73" s="6"/>
    </row>
    <row x14ac:dyDescent="0.25" r="74" customHeight="1" ht="15.75" customFormat="1" s="1">
      <c r="A74" s="5"/>
      <c r="B74" s="6"/>
      <c r="C74" s="6"/>
      <c r="D74" s="6"/>
      <c r="E74" s="6"/>
      <c r="F74" s="6"/>
    </row>
    <row x14ac:dyDescent="0.25" r="75" customHeight="1" ht="15.75" customFormat="1" s="1">
      <c r="A75" s="5"/>
      <c r="B75" s="6"/>
      <c r="C75" s="6"/>
      <c r="D75" s="6"/>
      <c r="E75" s="6"/>
      <c r="F75" s="6"/>
    </row>
    <row x14ac:dyDescent="0.25" r="76" customHeight="1" ht="15.75" customFormat="1" s="1">
      <c r="A76" s="5"/>
      <c r="B76" s="6"/>
      <c r="C76" s="6"/>
      <c r="D76" s="6"/>
      <c r="E76" s="6"/>
      <c r="F76" s="6"/>
    </row>
    <row x14ac:dyDescent="0.25" r="77" customHeight="1" ht="15.75" customFormat="1" s="1">
      <c r="A77" s="5"/>
      <c r="B77" s="6"/>
      <c r="C77" s="6"/>
      <c r="D77" s="6"/>
      <c r="E77" s="6"/>
      <c r="F77" s="6"/>
    </row>
    <row x14ac:dyDescent="0.25" r="78" customHeight="1" ht="15.75" customFormat="1" s="1">
      <c r="A78" s="5"/>
      <c r="B78" s="6"/>
      <c r="C78" s="6"/>
      <c r="D78" s="6"/>
      <c r="E78" s="6"/>
      <c r="F78" s="6"/>
    </row>
    <row x14ac:dyDescent="0.25" r="79" customHeight="1" ht="15.75" customFormat="1" s="1">
      <c r="A79" s="5"/>
      <c r="B79" s="6"/>
      <c r="C79" s="6"/>
      <c r="D79" s="6"/>
      <c r="E79" s="6"/>
      <c r="F79" s="6"/>
    </row>
    <row x14ac:dyDescent="0.25" r="80" customHeight="1" ht="15.75" customFormat="1" s="1">
      <c r="A80" s="5"/>
      <c r="B80" s="6"/>
      <c r="C80" s="6"/>
      <c r="D80" s="6"/>
      <c r="E80" s="6"/>
      <c r="F80" s="6"/>
    </row>
    <row x14ac:dyDescent="0.25" r="81" customHeight="1" ht="15.75" customFormat="1" s="1">
      <c r="A81" s="5"/>
      <c r="B81" s="6"/>
      <c r="C81" s="6"/>
      <c r="D81" s="6"/>
      <c r="E81" s="6"/>
      <c r="F81" s="6"/>
    </row>
    <row x14ac:dyDescent="0.25" r="82" customHeight="1" ht="15.75" customFormat="1" s="1">
      <c r="A82" s="5"/>
      <c r="B82" s="6"/>
      <c r="C82" s="6"/>
      <c r="D82" s="6"/>
      <c r="E82" s="6"/>
      <c r="F82" s="6"/>
    </row>
    <row x14ac:dyDescent="0.25" r="83" customHeight="1" ht="15.75" customFormat="1" s="1">
      <c r="A83" s="5"/>
      <c r="B83" s="6"/>
      <c r="C83" s="6"/>
      <c r="D83" s="6"/>
      <c r="E83" s="6"/>
      <c r="F83" s="6"/>
    </row>
    <row x14ac:dyDescent="0.25" r="84" customHeight="1" ht="15.75" customFormat="1" s="1">
      <c r="A84" s="5"/>
      <c r="B84" s="6"/>
      <c r="C84" s="6"/>
      <c r="D84" s="6"/>
      <c r="E84" s="6"/>
      <c r="F84" s="6"/>
    </row>
    <row x14ac:dyDescent="0.25" r="85" customHeight="1" ht="15.75" customFormat="1" s="1">
      <c r="A85" s="5"/>
      <c r="B85" s="6"/>
      <c r="C85" s="6"/>
      <c r="D85" s="6"/>
      <c r="E85" s="6"/>
      <c r="F85" s="6"/>
    </row>
    <row x14ac:dyDescent="0.25" r="86" customHeight="1" ht="15.75" customFormat="1" s="1">
      <c r="A86" s="5"/>
      <c r="B86" s="6"/>
      <c r="C86" s="6"/>
      <c r="D86" s="6"/>
      <c r="E86" s="6"/>
      <c r="F86" s="6"/>
    </row>
    <row x14ac:dyDescent="0.25" r="87" customHeight="1" ht="15.75" customFormat="1" s="1">
      <c r="A87" s="5"/>
      <c r="B87" s="6"/>
      <c r="C87" s="6"/>
      <c r="D87" s="6"/>
      <c r="E87" s="6"/>
      <c r="F87" s="6"/>
    </row>
    <row x14ac:dyDescent="0.25" r="88" customHeight="1" ht="15.75" customFormat="1" s="1">
      <c r="A88" s="5"/>
      <c r="B88" s="6"/>
      <c r="C88" s="6"/>
      <c r="D88" s="6"/>
      <c r="E88" s="6"/>
      <c r="F88" s="6"/>
    </row>
    <row x14ac:dyDescent="0.25" r="89" customHeight="1" ht="15.75" customFormat="1" s="1">
      <c r="A89" s="5"/>
      <c r="B89" s="6"/>
      <c r="C89" s="6"/>
      <c r="D89" s="6"/>
      <c r="E89" s="6"/>
      <c r="F89" s="6"/>
    </row>
    <row x14ac:dyDescent="0.25" r="90" customHeight="1" ht="15.75" customFormat="1" s="1">
      <c r="A90" s="5"/>
      <c r="B90" s="6"/>
      <c r="C90" s="6"/>
      <c r="D90" s="6"/>
      <c r="E90" s="6"/>
      <c r="F90" s="6"/>
    </row>
    <row x14ac:dyDescent="0.25" r="91" customHeight="1" ht="15.75" customFormat="1" s="1">
      <c r="A91" s="5"/>
      <c r="B91" s="6"/>
      <c r="C91" s="6"/>
      <c r="D91" s="6"/>
      <c r="E91" s="6"/>
      <c r="F91" s="6"/>
    </row>
    <row x14ac:dyDescent="0.25" r="92" customHeight="1" ht="15.75" customFormat="1" s="1">
      <c r="A92" s="5"/>
      <c r="B92" s="6"/>
      <c r="C92" s="6"/>
      <c r="D92" s="6"/>
      <c r="E92" s="6"/>
      <c r="F92" s="6"/>
    </row>
    <row x14ac:dyDescent="0.25" r="93" customHeight="1" ht="15.75" customFormat="1" s="1">
      <c r="A93" s="5"/>
      <c r="B93" s="6"/>
      <c r="C93" s="6"/>
      <c r="D93" s="6"/>
      <c r="E93" s="6"/>
      <c r="F93" s="6"/>
    </row>
    <row x14ac:dyDescent="0.25" r="94" customHeight="1" ht="15.75" customFormat="1" s="1">
      <c r="A94" s="5"/>
      <c r="B94" s="6"/>
      <c r="C94" s="6"/>
      <c r="D94" s="6"/>
      <c r="E94" s="6"/>
      <c r="F94" s="6"/>
    </row>
    <row x14ac:dyDescent="0.25" r="95" customHeight="1" ht="15.75" customFormat="1" s="1">
      <c r="A95" s="5"/>
      <c r="B95" s="6"/>
      <c r="C95" s="6"/>
      <c r="D95" s="6"/>
      <c r="E95" s="6"/>
      <c r="F95" s="6"/>
    </row>
    <row x14ac:dyDescent="0.25" r="96" customHeight="1" ht="15.75" customFormat="1" s="1">
      <c r="A96" s="5"/>
      <c r="B96" s="6"/>
      <c r="C96" s="6"/>
      <c r="D96" s="6"/>
      <c r="E96" s="6"/>
      <c r="F96" s="6"/>
    </row>
    <row x14ac:dyDescent="0.25" r="97" customHeight="1" ht="15.75" customFormat="1" s="1">
      <c r="A97" s="5"/>
      <c r="B97" s="6"/>
      <c r="C97" s="6"/>
      <c r="D97" s="6"/>
      <c r="E97" s="6"/>
      <c r="F97" s="6"/>
    </row>
    <row x14ac:dyDescent="0.25" r="98" customHeight="1" ht="15.75" customFormat="1" s="1">
      <c r="A98" s="5"/>
      <c r="B98" s="6"/>
      <c r="C98" s="6"/>
      <c r="D98" s="6"/>
      <c r="E98" s="6"/>
      <c r="F98" s="6"/>
    </row>
    <row x14ac:dyDescent="0.25" r="99" customHeight="1" ht="15.75" customFormat="1" s="1">
      <c r="A99" s="5"/>
      <c r="B99" s="6"/>
      <c r="C99" s="6"/>
      <c r="D99" s="6"/>
      <c r="E99" s="6"/>
      <c r="F99" s="6"/>
    </row>
    <row x14ac:dyDescent="0.25" r="100" customHeight="1" ht="15.75" customFormat="1" s="1">
      <c r="A100" s="5"/>
      <c r="B100" s="6"/>
      <c r="C100" s="6"/>
      <c r="D100" s="6"/>
      <c r="E100" s="6"/>
      <c r="F100" s="6"/>
    </row>
    <row x14ac:dyDescent="0.25" r="101" customHeight="1" ht="15.75" customFormat="1" s="1">
      <c r="A101" s="5"/>
      <c r="B101" s="6"/>
      <c r="C101" s="6"/>
      <c r="D101" s="6"/>
      <c r="E101" s="6"/>
      <c r="F101" s="6"/>
    </row>
    <row x14ac:dyDescent="0.25" r="102" customHeight="1" ht="15.75" customFormat="1" s="1">
      <c r="A102" s="5"/>
      <c r="B102" s="6"/>
      <c r="C102" s="6"/>
      <c r="D102" s="6"/>
      <c r="E102" s="6"/>
      <c r="F102" s="6"/>
    </row>
    <row x14ac:dyDescent="0.25" r="103" customHeight="1" ht="15.75" customFormat="1" s="1">
      <c r="A103" s="5"/>
      <c r="B103" s="6"/>
      <c r="C103" s="6"/>
      <c r="D103" s="6"/>
      <c r="E103" s="6"/>
      <c r="F103" s="6"/>
    </row>
    <row x14ac:dyDescent="0.25" r="104" customHeight="1" ht="15.75" customFormat="1" s="1">
      <c r="A104" s="5"/>
      <c r="B104" s="6"/>
      <c r="C104" s="6"/>
      <c r="D104" s="6"/>
      <c r="E104" s="6"/>
      <c r="F104" s="6"/>
    </row>
    <row x14ac:dyDescent="0.25" r="105" customHeight="1" ht="15.75" customFormat="1" s="1">
      <c r="A105" s="5"/>
      <c r="B105" s="6"/>
      <c r="C105" s="6"/>
      <c r="D105" s="6"/>
      <c r="E105" s="6"/>
      <c r="F105" s="6"/>
    </row>
    <row x14ac:dyDescent="0.25" r="106" customHeight="1" ht="15.75" customFormat="1" s="1">
      <c r="A106" s="5"/>
      <c r="B106" s="6"/>
      <c r="C106" s="6"/>
      <c r="D106" s="6"/>
      <c r="E106" s="6"/>
      <c r="F106" s="6"/>
    </row>
    <row x14ac:dyDescent="0.25" r="107" customHeight="1" ht="15.75" customFormat="1" s="1">
      <c r="A107" s="5"/>
      <c r="B107" s="6"/>
      <c r="C107" s="6"/>
      <c r="D107" s="6"/>
      <c r="E107" s="6"/>
      <c r="F107" s="6"/>
    </row>
    <row x14ac:dyDescent="0.25" r="108" customHeight="1" ht="15.75" customFormat="1" s="1">
      <c r="A108" s="5"/>
      <c r="B108" s="6"/>
      <c r="C108" s="6"/>
      <c r="D108" s="6"/>
      <c r="E108" s="6"/>
      <c r="F108" s="6"/>
    </row>
    <row x14ac:dyDescent="0.25" r="109" customHeight="1" ht="15.75" customFormat="1" s="1">
      <c r="A109" s="5"/>
      <c r="B109" s="6"/>
      <c r="C109" s="6"/>
      <c r="D109" s="6"/>
      <c r="E109" s="6"/>
      <c r="F109" s="6"/>
    </row>
    <row x14ac:dyDescent="0.25" r="110" customHeight="1" ht="15.75" customFormat="1" s="1">
      <c r="A110" s="5"/>
      <c r="B110" s="6"/>
      <c r="C110" s="6"/>
      <c r="D110" s="6"/>
      <c r="E110" s="6"/>
      <c r="F110" s="6"/>
    </row>
    <row x14ac:dyDescent="0.25" r="111" customHeight="1" ht="15.75" customFormat="1" s="1">
      <c r="A111" s="5"/>
      <c r="B111" s="6"/>
      <c r="C111" s="6"/>
      <c r="D111" s="6"/>
      <c r="E111" s="6"/>
      <c r="F111" s="6"/>
    </row>
    <row x14ac:dyDescent="0.25" r="112" customHeight="1" ht="15.75" customFormat="1" s="1">
      <c r="A112" s="5"/>
      <c r="B112" s="6"/>
      <c r="C112" s="6"/>
      <c r="D112" s="6"/>
      <c r="E112" s="6"/>
      <c r="F112" s="6"/>
    </row>
    <row x14ac:dyDescent="0.25" r="113" customHeight="1" ht="15.75" customFormat="1" s="1">
      <c r="A113" s="5"/>
      <c r="B113" s="6"/>
      <c r="C113" s="6"/>
      <c r="D113" s="6"/>
      <c r="E113" s="6"/>
      <c r="F113" s="6"/>
    </row>
    <row x14ac:dyDescent="0.25" r="114" customHeight="1" ht="15.75" customFormat="1" s="1">
      <c r="A114" s="5"/>
      <c r="B114" s="6"/>
      <c r="C114" s="6"/>
      <c r="D114" s="6"/>
      <c r="E114" s="6"/>
      <c r="F114" s="6"/>
    </row>
    <row x14ac:dyDescent="0.25" r="115" customHeight="1" ht="15.75" customFormat="1" s="1">
      <c r="A115" s="5"/>
      <c r="B115" s="6"/>
      <c r="C115" s="6"/>
      <c r="D115" s="6"/>
      <c r="E115" s="6"/>
      <c r="F115" s="6"/>
    </row>
    <row x14ac:dyDescent="0.25" r="116" customHeight="1" ht="15.75" customFormat="1" s="1">
      <c r="A116" s="5"/>
      <c r="B116" s="6"/>
      <c r="C116" s="6"/>
      <c r="D116" s="6"/>
      <c r="E116" s="6"/>
      <c r="F116" s="6"/>
    </row>
    <row x14ac:dyDescent="0.25" r="117" customHeight="1" ht="15.75" customFormat="1" s="1">
      <c r="A117" s="5"/>
      <c r="B117" s="6"/>
      <c r="C117" s="6"/>
      <c r="D117" s="6"/>
      <c r="E117" s="6"/>
      <c r="F117" s="6"/>
    </row>
    <row x14ac:dyDescent="0.25" r="118" customHeight="1" ht="15.75" customFormat="1" s="1">
      <c r="A118" s="5"/>
      <c r="B118" s="6"/>
      <c r="C118" s="6"/>
      <c r="D118" s="6"/>
      <c r="E118" s="6"/>
      <c r="F118" s="6"/>
    </row>
    <row x14ac:dyDescent="0.25" r="119" customHeight="1" ht="15.75" customFormat="1" s="1">
      <c r="A119" s="5"/>
      <c r="B119" s="6"/>
      <c r="C119" s="6"/>
      <c r="D119" s="6"/>
      <c r="E119" s="6"/>
      <c r="F119" s="6"/>
    </row>
    <row x14ac:dyDescent="0.25" r="120" customHeight="1" ht="15.75" customFormat="1" s="1">
      <c r="A120" s="5"/>
      <c r="B120" s="6"/>
      <c r="C120" s="6"/>
      <c r="D120" s="6"/>
      <c r="E120" s="6"/>
      <c r="F120" s="6"/>
    </row>
    <row x14ac:dyDescent="0.25" r="121" customHeight="1" ht="15.75" customFormat="1" s="1">
      <c r="A121" s="5"/>
      <c r="B121" s="6"/>
      <c r="C121" s="6"/>
      <c r="D121" s="6"/>
      <c r="E121" s="6"/>
      <c r="F121" s="6"/>
    </row>
    <row x14ac:dyDescent="0.25" r="122" customHeight="1" ht="15.75" customFormat="1" s="1">
      <c r="A122" s="5"/>
      <c r="B122" s="6"/>
      <c r="C122" s="6"/>
      <c r="D122" s="6"/>
      <c r="E122" s="6"/>
      <c r="F122" s="6"/>
    </row>
    <row x14ac:dyDescent="0.25" r="123" customHeight="1" ht="15.75" customFormat="1" s="1">
      <c r="A123" s="5"/>
      <c r="B123" s="6"/>
      <c r="C123" s="6"/>
      <c r="D123" s="6"/>
      <c r="E123" s="6"/>
      <c r="F123" s="6"/>
    </row>
    <row x14ac:dyDescent="0.25" r="124" customHeight="1" ht="15.75" customFormat="1" s="1">
      <c r="A124" s="5"/>
      <c r="B124" s="6"/>
      <c r="C124" s="6"/>
      <c r="D124" s="6"/>
      <c r="E124" s="6"/>
      <c r="F124" s="6"/>
    </row>
    <row x14ac:dyDescent="0.25" r="125" customHeight="1" ht="15.75" customFormat="1" s="1">
      <c r="A125" s="5"/>
      <c r="B125" s="6"/>
      <c r="C125" s="6"/>
      <c r="D125" s="6"/>
      <c r="E125" s="6"/>
      <c r="F125" s="6"/>
    </row>
    <row x14ac:dyDescent="0.25" r="126" customHeight="1" ht="15.75" customFormat="1" s="1">
      <c r="A126" s="5"/>
      <c r="B126" s="6"/>
      <c r="C126" s="6"/>
      <c r="D126" s="6"/>
      <c r="E126" s="6"/>
      <c r="F126" s="6"/>
    </row>
    <row x14ac:dyDescent="0.25" r="127" customHeight="1" ht="15.75" customFormat="1" s="1">
      <c r="A127" s="5"/>
      <c r="B127" s="6"/>
      <c r="C127" s="6"/>
      <c r="D127" s="6"/>
      <c r="E127" s="6"/>
      <c r="F127" s="6"/>
    </row>
    <row x14ac:dyDescent="0.25" r="128" customHeight="1" ht="15.75" customFormat="1" s="1">
      <c r="A128" s="5"/>
      <c r="B128" s="6"/>
      <c r="C128" s="6"/>
      <c r="D128" s="6"/>
      <c r="E128" s="6"/>
      <c r="F128" s="6"/>
    </row>
    <row x14ac:dyDescent="0.25" r="129" customHeight="1" ht="15.75" customFormat="1" s="1">
      <c r="A129" s="5"/>
      <c r="B129" s="6"/>
      <c r="C129" s="6"/>
      <c r="D129" s="6"/>
      <c r="E129" s="6"/>
      <c r="F129" s="6"/>
    </row>
    <row x14ac:dyDescent="0.25" r="130" customHeight="1" ht="15.75" customFormat="1" s="1">
      <c r="A130" s="5"/>
      <c r="B130" s="6"/>
      <c r="C130" s="6"/>
      <c r="D130" s="6"/>
      <c r="E130" s="6"/>
      <c r="F130" s="6"/>
    </row>
    <row x14ac:dyDescent="0.25" r="131" customHeight="1" ht="15.75" customFormat="1" s="1">
      <c r="A131" s="5"/>
      <c r="B131" s="6"/>
      <c r="C131" s="6"/>
      <c r="D131" s="6"/>
      <c r="E131" s="6"/>
      <c r="F131" s="6"/>
    </row>
    <row x14ac:dyDescent="0.25" r="132" customHeight="1" ht="15.75" customFormat="1" s="1">
      <c r="A132" s="5"/>
      <c r="B132" s="6"/>
      <c r="C132" s="6"/>
      <c r="D132" s="6"/>
      <c r="E132" s="6"/>
      <c r="F132" s="6"/>
    </row>
    <row x14ac:dyDescent="0.25" r="133" customHeight="1" ht="15.75" customFormat="1" s="1">
      <c r="A133" s="5"/>
      <c r="B133" s="6"/>
      <c r="C133" s="6"/>
      <c r="D133" s="6"/>
      <c r="E133" s="6"/>
      <c r="F133" s="6"/>
    </row>
    <row x14ac:dyDescent="0.25" r="134" customHeight="1" ht="15.75" customFormat="1" s="1">
      <c r="A134" s="5"/>
      <c r="B134" s="6"/>
      <c r="C134" s="6"/>
      <c r="D134" s="6"/>
      <c r="E134" s="6"/>
      <c r="F134" s="6"/>
    </row>
    <row x14ac:dyDescent="0.25" r="135" customHeight="1" ht="15.75" customFormat="1" s="1">
      <c r="A135" s="5"/>
      <c r="B135" s="6"/>
      <c r="C135" s="6"/>
      <c r="D135" s="6"/>
      <c r="E135" s="6"/>
      <c r="F135" s="6"/>
    </row>
    <row x14ac:dyDescent="0.25" r="136" customHeight="1" ht="15.75" customFormat="1" s="1">
      <c r="A136" s="5"/>
      <c r="B136" s="6"/>
      <c r="C136" s="6"/>
      <c r="D136" s="6"/>
      <c r="E136" s="6"/>
      <c r="F136" s="6"/>
    </row>
    <row x14ac:dyDescent="0.25" r="137" customHeight="1" ht="15.75" customFormat="1" s="1">
      <c r="A137" s="5"/>
      <c r="B137" s="6"/>
      <c r="C137" s="6"/>
      <c r="D137" s="6"/>
      <c r="E137" s="6"/>
      <c r="F137" s="6"/>
    </row>
    <row x14ac:dyDescent="0.25" r="138" customHeight="1" ht="15.75" customFormat="1" s="1">
      <c r="A138" s="5"/>
      <c r="B138" s="6"/>
      <c r="C138" s="6"/>
      <c r="D138" s="6"/>
      <c r="E138" s="6"/>
      <c r="F138" s="6"/>
    </row>
    <row x14ac:dyDescent="0.25" r="139" customHeight="1" ht="15.75" customFormat="1" s="1">
      <c r="A139" s="5"/>
      <c r="B139" s="6"/>
      <c r="C139" s="6"/>
      <c r="D139" s="6"/>
      <c r="E139" s="6"/>
      <c r="F139" s="6"/>
    </row>
    <row x14ac:dyDescent="0.25" r="140" customHeight="1" ht="15.75" customFormat="1" s="1">
      <c r="A140" s="5"/>
      <c r="B140" s="6"/>
      <c r="C140" s="6"/>
      <c r="D140" s="6"/>
      <c r="E140" s="6"/>
      <c r="F140" s="6"/>
    </row>
    <row x14ac:dyDescent="0.25" r="141" customHeight="1" ht="15.75" customFormat="1" s="1">
      <c r="A141" s="5"/>
      <c r="B141" s="6"/>
      <c r="C141" s="6"/>
      <c r="D141" s="6"/>
      <c r="E141" s="6"/>
      <c r="F141" s="6"/>
    </row>
    <row x14ac:dyDescent="0.25" r="142" customHeight="1" ht="15.75" customFormat="1" s="1">
      <c r="A142" s="5"/>
      <c r="B142" s="6"/>
      <c r="C142" s="6"/>
      <c r="D142" s="6"/>
      <c r="E142" s="6"/>
      <c r="F142" s="6"/>
    </row>
    <row x14ac:dyDescent="0.25" r="143" customHeight="1" ht="15.75" customFormat="1" s="1">
      <c r="A143" s="5"/>
      <c r="B143" s="6"/>
      <c r="C143" s="6"/>
      <c r="D143" s="6"/>
      <c r="E143" s="6"/>
      <c r="F143" s="6"/>
    </row>
    <row x14ac:dyDescent="0.25" r="144" customHeight="1" ht="15.75" customFormat="1" s="1">
      <c r="A144" s="5"/>
      <c r="B144" s="6"/>
      <c r="C144" s="6"/>
      <c r="D144" s="6"/>
      <c r="E144" s="6"/>
      <c r="F144" s="6"/>
    </row>
    <row x14ac:dyDescent="0.25" r="145" customHeight="1" ht="15.75" customFormat="1" s="1">
      <c r="A145" s="5"/>
      <c r="B145" s="6"/>
      <c r="C145" s="6"/>
      <c r="D145" s="6"/>
      <c r="E145" s="6"/>
      <c r="F145" s="6"/>
    </row>
    <row x14ac:dyDescent="0.25" r="146" customHeight="1" ht="15.75" customFormat="1" s="1">
      <c r="A146" s="5"/>
      <c r="B146" s="6"/>
      <c r="C146" s="6"/>
      <c r="D146" s="6"/>
      <c r="E146" s="6"/>
      <c r="F146" s="6"/>
    </row>
    <row x14ac:dyDescent="0.25" r="147" customHeight="1" ht="15.75" customFormat="1" s="1">
      <c r="A147" s="5"/>
      <c r="B147" s="6"/>
      <c r="C147" s="6"/>
      <c r="D147" s="6"/>
      <c r="E147" s="6"/>
      <c r="F147" s="6"/>
    </row>
    <row x14ac:dyDescent="0.25" r="148" customHeight="1" ht="15.75" customFormat="1" s="1">
      <c r="A148" s="5"/>
      <c r="B148" s="6"/>
      <c r="C148" s="6"/>
      <c r="D148" s="6"/>
      <c r="E148" s="6"/>
      <c r="F148" s="6"/>
    </row>
    <row x14ac:dyDescent="0.25" r="149" customHeight="1" ht="15.75" customFormat="1" s="1">
      <c r="A149" s="5"/>
      <c r="B149" s="6"/>
      <c r="C149" s="6"/>
      <c r="D149" s="6"/>
      <c r="E149" s="6"/>
      <c r="F149" s="6"/>
    </row>
    <row x14ac:dyDescent="0.25" r="150" customHeight="1" ht="15.75" customFormat="1" s="1">
      <c r="A150" s="5"/>
      <c r="B150" s="6"/>
      <c r="C150" s="6"/>
      <c r="D150" s="6"/>
      <c r="E150" s="6"/>
      <c r="F150" s="6"/>
    </row>
    <row x14ac:dyDescent="0.25" r="151" customHeight="1" ht="15.75" customFormat="1" s="1">
      <c r="A151" s="5"/>
      <c r="B151" s="6"/>
      <c r="C151" s="6"/>
      <c r="D151" s="6"/>
      <c r="E151" s="6"/>
      <c r="F151" s="6"/>
    </row>
    <row x14ac:dyDescent="0.25" r="152" customHeight="1" ht="15.75" customFormat="1" s="1">
      <c r="A152" s="5"/>
      <c r="B152" s="6"/>
      <c r="C152" s="6"/>
      <c r="D152" s="6"/>
      <c r="E152" s="6"/>
      <c r="F152" s="6"/>
    </row>
    <row x14ac:dyDescent="0.25" r="153" customHeight="1" ht="15.75" customFormat="1" s="1">
      <c r="A153" s="5"/>
      <c r="B153" s="6"/>
      <c r="C153" s="6"/>
      <c r="D153" s="6"/>
      <c r="E153" s="6"/>
      <c r="F153" s="6"/>
    </row>
    <row x14ac:dyDescent="0.25" r="154" customHeight="1" ht="15.75" customFormat="1" s="1">
      <c r="A154" s="5"/>
      <c r="B154" s="6"/>
      <c r="C154" s="6"/>
      <c r="D154" s="6"/>
      <c r="E154" s="6"/>
      <c r="F154" s="6"/>
    </row>
    <row x14ac:dyDescent="0.25" r="155" customHeight="1" ht="15.75" customFormat="1" s="1">
      <c r="A155" s="5"/>
      <c r="B155" s="6"/>
      <c r="C155" s="6"/>
      <c r="D155" s="6"/>
      <c r="E155" s="6"/>
      <c r="F155" s="6"/>
    </row>
    <row x14ac:dyDescent="0.25" r="156" customHeight="1" ht="15.75" customFormat="1" s="1">
      <c r="A156" s="5"/>
      <c r="B156" s="6"/>
      <c r="C156" s="6"/>
      <c r="D156" s="6"/>
      <c r="E156" s="6"/>
      <c r="F156" s="6"/>
    </row>
    <row x14ac:dyDescent="0.25" r="157" customHeight="1" ht="15.75" customFormat="1" s="1">
      <c r="A157" s="5"/>
      <c r="B157" s="6"/>
      <c r="C157" s="6"/>
      <c r="D157" s="6"/>
      <c r="E157" s="6"/>
      <c r="F157" s="6"/>
    </row>
    <row x14ac:dyDescent="0.25" r="158" customHeight="1" ht="15.75" customFormat="1" s="1">
      <c r="A158" s="5"/>
      <c r="B158" s="6"/>
      <c r="C158" s="6"/>
      <c r="D158" s="6"/>
      <c r="E158" s="6"/>
      <c r="F158" s="6"/>
    </row>
    <row x14ac:dyDescent="0.25" r="159" customHeight="1" ht="15.75" customFormat="1" s="1">
      <c r="A159" s="5"/>
      <c r="B159" s="6"/>
      <c r="C159" s="6"/>
      <c r="D159" s="6"/>
      <c r="E159" s="6"/>
      <c r="F159" s="6"/>
    </row>
    <row x14ac:dyDescent="0.25" r="160" customHeight="1" ht="15.75" customFormat="1" s="1">
      <c r="A160" s="5"/>
      <c r="B160" s="6"/>
      <c r="C160" s="6"/>
      <c r="D160" s="6"/>
      <c r="E160" s="6"/>
      <c r="F160" s="6"/>
    </row>
    <row x14ac:dyDescent="0.25" r="161" customHeight="1" ht="15.75" customFormat="1" s="1">
      <c r="A161" s="5"/>
      <c r="B161" s="6"/>
      <c r="C161" s="6"/>
      <c r="D161" s="6"/>
      <c r="E161" s="6"/>
      <c r="F161" s="6"/>
    </row>
    <row x14ac:dyDescent="0.25" r="162" customHeight="1" ht="15.75" customFormat="1" s="1">
      <c r="A162" s="5"/>
      <c r="B162" s="6"/>
      <c r="C162" s="6"/>
      <c r="D162" s="6"/>
      <c r="E162" s="6"/>
      <c r="F162" s="6"/>
    </row>
    <row x14ac:dyDescent="0.25" r="163" customHeight="1" ht="15.75" customFormat="1" s="1">
      <c r="A163" s="5"/>
      <c r="B163" s="6"/>
      <c r="C163" s="6"/>
      <c r="D163" s="6"/>
      <c r="E163" s="6"/>
      <c r="F163" s="6"/>
    </row>
    <row x14ac:dyDescent="0.25" r="164" customHeight="1" ht="15.75" customFormat="1" s="1">
      <c r="A164" s="5"/>
      <c r="B164" s="6"/>
      <c r="C164" s="6"/>
      <c r="D164" s="6"/>
      <c r="E164" s="6"/>
      <c r="F164" s="6"/>
    </row>
    <row x14ac:dyDescent="0.25" r="165" customHeight="1" ht="15.75" customFormat="1" s="1">
      <c r="A165" s="5"/>
      <c r="B165" s="6"/>
      <c r="C165" s="6"/>
      <c r="D165" s="6"/>
      <c r="E165" s="6"/>
      <c r="F165" s="6"/>
    </row>
    <row x14ac:dyDescent="0.25" r="166" customHeight="1" ht="15.75" customFormat="1" s="1">
      <c r="A166" s="5"/>
      <c r="B166" s="6"/>
      <c r="C166" s="6"/>
      <c r="D166" s="6"/>
      <c r="E166" s="6"/>
      <c r="F166" s="6"/>
    </row>
    <row x14ac:dyDescent="0.25" r="167" customHeight="1" ht="15.75" customFormat="1" s="1">
      <c r="A167" s="5"/>
      <c r="B167" s="6"/>
      <c r="C167" s="6"/>
      <c r="D167" s="6"/>
      <c r="E167" s="6"/>
      <c r="F167" s="6"/>
    </row>
    <row x14ac:dyDescent="0.25" r="168" customHeight="1" ht="15.75" customFormat="1" s="1">
      <c r="A168" s="5"/>
      <c r="B168" s="6"/>
      <c r="C168" s="6"/>
      <c r="D168" s="6"/>
      <c r="E168" s="6"/>
      <c r="F168" s="6"/>
    </row>
    <row x14ac:dyDescent="0.25" r="169" customHeight="1" ht="15.75" customFormat="1" s="1">
      <c r="A169" s="5"/>
      <c r="B169" s="6"/>
      <c r="C169" s="6"/>
      <c r="D169" s="6"/>
      <c r="E169" s="6"/>
      <c r="F169" s="6"/>
    </row>
    <row x14ac:dyDescent="0.25" r="170" customHeight="1" ht="15.75" customFormat="1" s="1">
      <c r="A170" s="5"/>
      <c r="B170" s="6"/>
      <c r="C170" s="6"/>
      <c r="D170" s="6"/>
      <c r="E170" s="6"/>
      <c r="F170" s="6"/>
    </row>
    <row x14ac:dyDescent="0.25" r="171" customHeight="1" ht="15.75" customFormat="1" s="1">
      <c r="A171" s="5"/>
      <c r="B171" s="6"/>
      <c r="C171" s="6"/>
      <c r="D171" s="6"/>
      <c r="E171" s="6"/>
      <c r="F171" s="6"/>
    </row>
    <row x14ac:dyDescent="0.25" r="172" customHeight="1" ht="15.75" customFormat="1" s="1">
      <c r="A172" s="5"/>
      <c r="B172" s="6"/>
      <c r="C172" s="6"/>
      <c r="D172" s="6"/>
      <c r="E172" s="6"/>
      <c r="F172" s="6"/>
    </row>
    <row x14ac:dyDescent="0.25" r="173" customHeight="1" ht="15.75" customFormat="1" s="1">
      <c r="A173" s="5"/>
      <c r="B173" s="6"/>
      <c r="C173" s="6"/>
      <c r="D173" s="6"/>
      <c r="E173" s="6"/>
      <c r="F173" s="6"/>
    </row>
    <row x14ac:dyDescent="0.25" r="174" customHeight="1" ht="15.75" customFormat="1" s="1">
      <c r="A174" s="5"/>
      <c r="B174" s="6"/>
      <c r="C174" s="6"/>
      <c r="D174" s="6"/>
      <c r="E174" s="6"/>
      <c r="F174" s="6"/>
    </row>
    <row x14ac:dyDescent="0.25" r="175" customHeight="1" ht="15.75" customFormat="1" s="1">
      <c r="A175" s="5"/>
      <c r="B175" s="6"/>
      <c r="C175" s="6"/>
      <c r="D175" s="6"/>
      <c r="E175" s="6"/>
      <c r="F175" s="6"/>
    </row>
    <row x14ac:dyDescent="0.25" r="176" customHeight="1" ht="15.75" customFormat="1" s="1">
      <c r="A176" s="5"/>
      <c r="B176" s="6"/>
      <c r="C176" s="6"/>
      <c r="D176" s="6"/>
      <c r="E176" s="6"/>
      <c r="F176" s="6"/>
    </row>
    <row x14ac:dyDescent="0.25" r="177" customHeight="1" ht="15.75" customFormat="1" s="1">
      <c r="A177" s="5"/>
      <c r="B177" s="6"/>
      <c r="C177" s="6"/>
      <c r="D177" s="6"/>
      <c r="E177" s="6"/>
      <c r="F177" s="6"/>
    </row>
    <row x14ac:dyDescent="0.25" r="178" customHeight="1" ht="15.75" customFormat="1" s="1">
      <c r="A178" s="5"/>
      <c r="B178" s="6"/>
      <c r="C178" s="6"/>
      <c r="D178" s="6"/>
      <c r="E178" s="6"/>
      <c r="F178" s="6"/>
    </row>
    <row x14ac:dyDescent="0.25" r="179" customHeight="1" ht="15.75" customFormat="1" s="1">
      <c r="A179" s="5"/>
      <c r="B179" s="6"/>
      <c r="C179" s="6"/>
      <c r="D179" s="6"/>
      <c r="E179" s="6"/>
      <c r="F179" s="6"/>
    </row>
    <row x14ac:dyDescent="0.25" r="180" customHeight="1" ht="15.75" customFormat="1" s="1">
      <c r="A180" s="5"/>
      <c r="B180" s="6"/>
      <c r="C180" s="6"/>
      <c r="D180" s="6"/>
      <c r="E180" s="6"/>
      <c r="F180" s="6"/>
    </row>
    <row x14ac:dyDescent="0.25" r="181" customHeight="1" ht="15.75" customFormat="1" s="1">
      <c r="A181" s="5"/>
      <c r="B181" s="6"/>
      <c r="C181" s="6"/>
      <c r="D181" s="6"/>
      <c r="E181" s="6"/>
      <c r="F181" s="6"/>
    </row>
    <row x14ac:dyDescent="0.25" r="182" customHeight="1" ht="15.75" customFormat="1" s="1">
      <c r="A182" s="5"/>
      <c r="B182" s="6"/>
      <c r="C182" s="6"/>
      <c r="D182" s="6"/>
      <c r="E182" s="6"/>
      <c r="F182" s="6"/>
    </row>
    <row x14ac:dyDescent="0.25" r="183" customHeight="1" ht="15.75" customFormat="1" s="1">
      <c r="A183" s="5"/>
      <c r="B183" s="6"/>
      <c r="C183" s="6"/>
      <c r="D183" s="6"/>
      <c r="E183" s="6"/>
      <c r="F183" s="6"/>
    </row>
    <row x14ac:dyDescent="0.25" r="184" customHeight="1" ht="15.75" customFormat="1" s="1">
      <c r="A184" s="5"/>
      <c r="B184" s="6"/>
      <c r="C184" s="6"/>
      <c r="D184" s="6"/>
      <c r="E184" s="6"/>
      <c r="F184" s="6"/>
    </row>
    <row x14ac:dyDescent="0.25" r="185" customHeight="1" ht="15.75" customFormat="1" s="1">
      <c r="A185" s="5"/>
      <c r="B185" s="6"/>
      <c r="C185" s="6"/>
      <c r="D185" s="6"/>
      <c r="E185" s="6"/>
      <c r="F185" s="6"/>
    </row>
    <row x14ac:dyDescent="0.25" r="186" customHeight="1" ht="15.75" customFormat="1" s="1">
      <c r="A186" s="5"/>
      <c r="B186" s="6"/>
      <c r="C186" s="6"/>
      <c r="D186" s="6"/>
      <c r="E186" s="6"/>
      <c r="F186" s="6"/>
    </row>
    <row x14ac:dyDescent="0.25" r="187" customHeight="1" ht="15.75" customFormat="1" s="1">
      <c r="A187" s="5"/>
      <c r="B187" s="6"/>
      <c r="C187" s="6"/>
      <c r="D187" s="6"/>
      <c r="E187" s="6"/>
      <c r="F187" s="6"/>
    </row>
    <row x14ac:dyDescent="0.25" r="188" customHeight="1" ht="15.75" customFormat="1" s="1">
      <c r="A188" s="5"/>
      <c r="B188" s="6"/>
      <c r="C188" s="6"/>
      <c r="D188" s="6"/>
      <c r="E188" s="6"/>
      <c r="F188" s="6"/>
    </row>
    <row x14ac:dyDescent="0.25" r="189" customHeight="1" ht="15.75" customFormat="1" s="1">
      <c r="A189" s="5"/>
      <c r="B189" s="6"/>
      <c r="C189" s="6"/>
      <c r="D189" s="6"/>
      <c r="E189" s="6"/>
      <c r="F189" s="6"/>
    </row>
    <row x14ac:dyDescent="0.25" r="190" customHeight="1" ht="15.75" customFormat="1" s="1">
      <c r="A190" s="5"/>
      <c r="B190" s="6"/>
      <c r="C190" s="6"/>
      <c r="D190" s="6"/>
      <c r="E190" s="6"/>
      <c r="F190" s="6"/>
    </row>
    <row x14ac:dyDescent="0.25" r="191" customHeight="1" ht="15.75" customFormat="1" s="1">
      <c r="A191" s="5"/>
      <c r="B191" s="6"/>
      <c r="C191" s="6"/>
      <c r="D191" s="6"/>
      <c r="E191" s="6"/>
      <c r="F191" s="6"/>
    </row>
    <row x14ac:dyDescent="0.25" r="192" customHeight="1" ht="15.75" customFormat="1" s="1">
      <c r="A192" s="5"/>
      <c r="B192" s="6"/>
      <c r="C192" s="6"/>
      <c r="D192" s="6"/>
      <c r="E192" s="6"/>
      <c r="F192" s="6"/>
    </row>
    <row x14ac:dyDescent="0.25" r="193" customHeight="1" ht="15.75" customFormat="1" s="1">
      <c r="A193" s="5"/>
      <c r="B193" s="6"/>
      <c r="C193" s="6"/>
      <c r="D193" s="6"/>
      <c r="E193" s="6"/>
      <c r="F193" s="6"/>
    </row>
    <row x14ac:dyDescent="0.25" r="194" customHeight="1" ht="15.75" customFormat="1" s="1">
      <c r="A194" s="5"/>
      <c r="B194" s="6"/>
      <c r="C194" s="6"/>
      <c r="D194" s="6"/>
      <c r="E194" s="6"/>
      <c r="F194" s="6"/>
    </row>
    <row x14ac:dyDescent="0.25" r="195" customHeight="1" ht="15.75" customFormat="1" s="1">
      <c r="A195" s="5"/>
      <c r="B195" s="6"/>
      <c r="C195" s="6"/>
      <c r="D195" s="6"/>
      <c r="E195" s="6"/>
      <c r="F195" s="6"/>
    </row>
    <row x14ac:dyDescent="0.25" r="196" customHeight="1" ht="15.75" customFormat="1" s="1">
      <c r="A196" s="5"/>
      <c r="B196" s="6"/>
      <c r="C196" s="6"/>
      <c r="D196" s="6"/>
      <c r="E196" s="6"/>
      <c r="F196" s="6"/>
    </row>
    <row x14ac:dyDescent="0.25" r="197" customHeight="1" ht="15.75" customFormat="1" s="1">
      <c r="A197" s="5"/>
      <c r="B197" s="6"/>
      <c r="C197" s="6"/>
      <c r="D197" s="6"/>
      <c r="E197" s="6"/>
      <c r="F197" s="6"/>
    </row>
    <row x14ac:dyDescent="0.25" r="198" customHeight="1" ht="15.75" customFormat="1" s="1">
      <c r="A198" s="5"/>
      <c r="B198" s="6"/>
      <c r="C198" s="6"/>
      <c r="D198" s="6"/>
      <c r="E198" s="6"/>
      <c r="F198" s="6"/>
    </row>
    <row x14ac:dyDescent="0.25" r="199" customHeight="1" ht="15.75" customFormat="1" s="1">
      <c r="A199" s="5"/>
      <c r="B199" s="6"/>
      <c r="C199" s="6"/>
      <c r="D199" s="6"/>
      <c r="E199" s="6"/>
      <c r="F199" s="6"/>
    </row>
    <row x14ac:dyDescent="0.25" r="200" customHeight="1" ht="15.75" customFormat="1" s="1">
      <c r="A200" s="5"/>
      <c r="B200" s="6"/>
      <c r="C200" s="6"/>
      <c r="D200" s="6"/>
      <c r="E200" s="6"/>
      <c r="F200" s="6"/>
    </row>
    <row x14ac:dyDescent="0.25" r="201" customHeight="1" ht="15.75" customFormat="1" s="1">
      <c r="A201" s="5"/>
      <c r="B201" s="6"/>
      <c r="C201" s="6"/>
      <c r="D201" s="6"/>
      <c r="E201" s="6"/>
      <c r="F201" s="6"/>
    </row>
    <row x14ac:dyDescent="0.25" r="202" customHeight="1" ht="15.75" customFormat="1" s="1">
      <c r="A202" s="5"/>
      <c r="B202" s="6"/>
      <c r="C202" s="6"/>
      <c r="D202" s="6"/>
      <c r="E202" s="6"/>
      <c r="F202" s="6"/>
    </row>
    <row x14ac:dyDescent="0.25" r="203" customHeight="1" ht="15.75" customFormat="1" s="1">
      <c r="A203" s="5"/>
      <c r="B203" s="6"/>
      <c r="C203" s="6"/>
      <c r="D203" s="6"/>
      <c r="E203" s="6"/>
      <c r="F203" s="6"/>
    </row>
    <row x14ac:dyDescent="0.25" r="204" customHeight="1" ht="15.75" customFormat="1" s="1">
      <c r="A204" s="5"/>
      <c r="B204" s="6"/>
      <c r="C204" s="6"/>
      <c r="D204" s="6"/>
      <c r="E204" s="6"/>
      <c r="F204" s="6"/>
    </row>
    <row x14ac:dyDescent="0.25" r="205" customHeight="1" ht="15.75" customFormat="1" s="1">
      <c r="A205" s="5"/>
      <c r="B205" s="6"/>
      <c r="C205" s="6"/>
      <c r="D205" s="6"/>
      <c r="E205" s="6"/>
      <c r="F205" s="6"/>
    </row>
    <row x14ac:dyDescent="0.25" r="206" customHeight="1" ht="15.75" customFormat="1" s="1">
      <c r="A206" s="5"/>
      <c r="B206" s="6"/>
      <c r="C206" s="6"/>
      <c r="D206" s="6"/>
      <c r="E206" s="6"/>
      <c r="F206" s="6"/>
    </row>
    <row x14ac:dyDescent="0.25" r="207" customHeight="1" ht="15.75" customFormat="1" s="1">
      <c r="A207" s="5"/>
      <c r="B207" s="6"/>
      <c r="C207" s="6"/>
      <c r="D207" s="6"/>
      <c r="E207" s="6"/>
      <c r="F207" s="6"/>
    </row>
    <row x14ac:dyDescent="0.25" r="208" customHeight="1" ht="15.75" customFormat="1" s="1">
      <c r="A208" s="5"/>
      <c r="B208" s="6"/>
      <c r="C208" s="6"/>
      <c r="D208" s="6"/>
      <c r="E208" s="6"/>
      <c r="F208" s="6"/>
    </row>
    <row x14ac:dyDescent="0.25" r="209" customHeight="1" ht="15.75" customFormat="1" s="1">
      <c r="A209" s="5"/>
      <c r="B209" s="6"/>
      <c r="C209" s="6"/>
      <c r="D209" s="6"/>
      <c r="E209" s="6"/>
      <c r="F209" s="6"/>
    </row>
    <row x14ac:dyDescent="0.25" r="210" customHeight="1" ht="15.75" customFormat="1" s="1">
      <c r="A210" s="5"/>
      <c r="B210" s="6"/>
      <c r="C210" s="6"/>
      <c r="D210" s="6"/>
      <c r="E210" s="6"/>
      <c r="F210" s="6"/>
    </row>
    <row x14ac:dyDescent="0.25" r="211" customHeight="1" ht="15.75" customFormat="1" s="1">
      <c r="A211" s="5"/>
      <c r="B211" s="6"/>
      <c r="C211" s="6"/>
      <c r="D211" s="6"/>
      <c r="E211" s="6"/>
      <c r="F211" s="6"/>
    </row>
    <row x14ac:dyDescent="0.25" r="212" customHeight="1" ht="15.75" customFormat="1" s="1">
      <c r="A212" s="5"/>
      <c r="B212" s="6"/>
      <c r="C212" s="6"/>
      <c r="D212" s="6"/>
      <c r="E212" s="6"/>
      <c r="F212" s="6"/>
    </row>
    <row x14ac:dyDescent="0.25" r="213" customHeight="1" ht="15.75" customFormat="1" s="1">
      <c r="A213" s="5"/>
      <c r="B213" s="6"/>
      <c r="C213" s="6"/>
      <c r="D213" s="6"/>
      <c r="E213" s="6"/>
      <c r="F213" s="6"/>
    </row>
    <row x14ac:dyDescent="0.25" r="214" customHeight="1" ht="15.75" customFormat="1" s="1">
      <c r="A214" s="5"/>
      <c r="B214" s="6"/>
      <c r="C214" s="6"/>
      <c r="D214" s="6"/>
      <c r="E214" s="6"/>
      <c r="F214" s="6"/>
    </row>
    <row x14ac:dyDescent="0.25" r="215" customHeight="1" ht="15.75" customFormat="1" s="1">
      <c r="A215" s="5"/>
      <c r="B215" s="6"/>
      <c r="C215" s="6"/>
      <c r="D215" s="6"/>
      <c r="E215" s="6"/>
      <c r="F215" s="6"/>
    </row>
    <row x14ac:dyDescent="0.25" r="216" customHeight="1" ht="15.75" customFormat="1" s="1">
      <c r="A216" s="5"/>
      <c r="B216" s="6"/>
      <c r="C216" s="6"/>
      <c r="D216" s="6"/>
      <c r="E216" s="6"/>
      <c r="F216" s="6"/>
    </row>
    <row x14ac:dyDescent="0.25" r="217" customHeight="1" ht="15.75" customFormat="1" s="1">
      <c r="A217" s="5"/>
      <c r="B217" s="6"/>
      <c r="C217" s="6"/>
      <c r="D217" s="6"/>
      <c r="E217" s="6"/>
      <c r="F217" s="6"/>
    </row>
    <row x14ac:dyDescent="0.25" r="218" customHeight="1" ht="15.75" customFormat="1" s="1">
      <c r="A218" s="5"/>
      <c r="B218" s="6"/>
      <c r="C218" s="6"/>
      <c r="D218" s="6"/>
      <c r="E218" s="6"/>
      <c r="F218" s="6"/>
    </row>
    <row x14ac:dyDescent="0.25" r="219" customHeight="1" ht="15.75" customFormat="1" s="1">
      <c r="A219" s="5"/>
      <c r="B219" s="6"/>
      <c r="C219" s="6"/>
      <c r="D219" s="6"/>
      <c r="E219" s="6"/>
      <c r="F219" s="6"/>
    </row>
    <row x14ac:dyDescent="0.25" r="220" customHeight="1" ht="15.75" customFormat="1" s="1">
      <c r="A220" s="5"/>
      <c r="B220" s="6"/>
      <c r="C220" s="6"/>
      <c r="D220" s="6"/>
      <c r="E220" s="6"/>
      <c r="F220" s="6"/>
    </row>
    <row x14ac:dyDescent="0.25" r="221" customHeight="1" ht="15.75" customFormat="1" s="1">
      <c r="A221" s="5"/>
      <c r="B221" s="6"/>
      <c r="C221" s="6"/>
      <c r="D221" s="6"/>
      <c r="E221" s="6"/>
      <c r="F221" s="6"/>
    </row>
    <row x14ac:dyDescent="0.25" r="222" customHeight="1" ht="15.75" customFormat="1" s="1">
      <c r="A222" s="5"/>
      <c r="B222" s="6"/>
      <c r="C222" s="6"/>
      <c r="D222" s="6"/>
      <c r="E222" s="6"/>
      <c r="F222" s="6"/>
    </row>
    <row x14ac:dyDescent="0.25" r="223" customHeight="1" ht="15.75" customFormat="1" s="1">
      <c r="A223" s="5"/>
      <c r="B223" s="6"/>
      <c r="C223" s="6"/>
      <c r="D223" s="6"/>
      <c r="E223" s="6"/>
      <c r="F223" s="6"/>
    </row>
    <row x14ac:dyDescent="0.25" r="224" customHeight="1" ht="15.75" customFormat="1" s="1">
      <c r="A224" s="5"/>
      <c r="B224" s="6"/>
      <c r="C224" s="6"/>
      <c r="D224" s="6"/>
      <c r="E224" s="6"/>
      <c r="F224" s="6"/>
    </row>
    <row x14ac:dyDescent="0.25" r="225" customHeight="1" ht="15.75" customFormat="1" s="1">
      <c r="A225" s="5"/>
      <c r="B225" s="6"/>
      <c r="C225" s="6"/>
      <c r="D225" s="6"/>
      <c r="E225" s="6"/>
      <c r="F225" s="6"/>
    </row>
    <row x14ac:dyDescent="0.25" r="226" customHeight="1" ht="15.75" customFormat="1" s="1">
      <c r="A226" s="5"/>
      <c r="B226" s="6"/>
      <c r="C226" s="6"/>
      <c r="D226" s="6"/>
      <c r="E226" s="6"/>
      <c r="F226" s="6"/>
    </row>
    <row x14ac:dyDescent="0.25" r="227" customHeight="1" ht="15.75" customFormat="1" s="1">
      <c r="A227" s="5"/>
      <c r="B227" s="6"/>
      <c r="C227" s="6"/>
      <c r="D227" s="6"/>
      <c r="E227" s="6"/>
      <c r="F227" s="6"/>
    </row>
    <row x14ac:dyDescent="0.25" r="228" customHeight="1" ht="15.75" customFormat="1" s="1">
      <c r="A228" s="5"/>
      <c r="B228" s="6"/>
      <c r="C228" s="6"/>
      <c r="D228" s="6"/>
      <c r="E228" s="6"/>
      <c r="F228" s="6"/>
    </row>
    <row x14ac:dyDescent="0.25" r="229" customHeight="1" ht="15.75" customFormat="1" s="1">
      <c r="A229" s="5"/>
      <c r="B229" s="6"/>
      <c r="C229" s="6"/>
      <c r="D229" s="6"/>
      <c r="E229" s="6"/>
      <c r="F229" s="6"/>
    </row>
    <row x14ac:dyDescent="0.25" r="230" customHeight="1" ht="15.75" customFormat="1" s="1">
      <c r="A230" s="5"/>
      <c r="B230" s="6"/>
      <c r="C230" s="6"/>
      <c r="D230" s="6"/>
      <c r="E230" s="6"/>
      <c r="F230" s="6"/>
    </row>
    <row x14ac:dyDescent="0.25" r="231" customHeight="1" ht="15.75" customFormat="1" s="1">
      <c r="A231" s="5"/>
      <c r="B231" s="6"/>
      <c r="C231" s="6"/>
      <c r="D231" s="6"/>
      <c r="E231" s="6"/>
      <c r="F231" s="6"/>
    </row>
    <row x14ac:dyDescent="0.25" r="232" customHeight="1" ht="15.75" customFormat="1" s="1">
      <c r="A232" s="5"/>
      <c r="B232" s="6"/>
      <c r="C232" s="6"/>
      <c r="D232" s="6"/>
      <c r="E232" s="6"/>
      <c r="F232" s="6"/>
    </row>
    <row x14ac:dyDescent="0.25" r="233" customHeight="1" ht="15.75" customFormat="1" s="1">
      <c r="A233" s="5"/>
      <c r="B233" s="6"/>
      <c r="C233" s="6"/>
      <c r="D233" s="6"/>
      <c r="E233" s="6"/>
      <c r="F233" s="6"/>
    </row>
    <row x14ac:dyDescent="0.25" r="234" customHeight="1" ht="15.75" customFormat="1" s="1">
      <c r="A234" s="5"/>
      <c r="B234" s="6"/>
      <c r="C234" s="6"/>
      <c r="D234" s="6"/>
      <c r="E234" s="6"/>
      <c r="F234" s="6"/>
    </row>
    <row x14ac:dyDescent="0.25" r="235" customHeight="1" ht="15.75" customFormat="1" s="1">
      <c r="A235" s="5"/>
      <c r="B235" s="6"/>
      <c r="C235" s="6"/>
      <c r="D235" s="6"/>
      <c r="E235" s="6"/>
      <c r="F235" s="6"/>
    </row>
    <row x14ac:dyDescent="0.25" r="236" customHeight="1" ht="15.75" customFormat="1" s="1">
      <c r="A236" s="5"/>
      <c r="B236" s="6"/>
      <c r="C236" s="6"/>
      <c r="D236" s="6"/>
      <c r="E236" s="6"/>
      <c r="F236" s="6"/>
    </row>
    <row x14ac:dyDescent="0.25" r="237" customHeight="1" ht="15.75" customFormat="1" s="1">
      <c r="A237" s="5"/>
      <c r="B237" s="6"/>
      <c r="C237" s="6"/>
      <c r="D237" s="6"/>
      <c r="E237" s="6"/>
      <c r="F237" s="6"/>
    </row>
    <row x14ac:dyDescent="0.25" r="238" customHeight="1" ht="15.75" customFormat="1" s="1">
      <c r="A238" s="5"/>
      <c r="B238" s="6"/>
      <c r="C238" s="6"/>
      <c r="D238" s="6"/>
      <c r="E238" s="6"/>
      <c r="F238" s="6"/>
    </row>
    <row x14ac:dyDescent="0.25" r="239" customHeight="1" ht="15.75" customFormat="1" s="1">
      <c r="A239" s="5"/>
      <c r="B239" s="6"/>
      <c r="C239" s="6"/>
      <c r="D239" s="6"/>
      <c r="E239" s="6"/>
      <c r="F239" s="6"/>
    </row>
    <row x14ac:dyDescent="0.25" r="240" customHeight="1" ht="15.75" customFormat="1" s="1">
      <c r="A240" s="5"/>
      <c r="B240" s="6"/>
      <c r="C240" s="6"/>
      <c r="D240" s="6"/>
      <c r="E240" s="6"/>
      <c r="F240" s="6"/>
    </row>
    <row x14ac:dyDescent="0.25" r="241" customHeight="1" ht="15.75" customFormat="1" s="1">
      <c r="A241" s="5"/>
      <c r="B241" s="6"/>
      <c r="C241" s="6"/>
      <c r="D241" s="6"/>
      <c r="E241" s="6"/>
      <c r="F241" s="6"/>
    </row>
    <row x14ac:dyDescent="0.25" r="242" customHeight="1" ht="15.75" customFormat="1" s="1">
      <c r="A242" s="5"/>
      <c r="B242" s="6"/>
      <c r="C242" s="6"/>
      <c r="D242" s="6"/>
      <c r="E242" s="6"/>
      <c r="F242" s="6"/>
    </row>
    <row x14ac:dyDescent="0.25" r="243" customHeight="1" ht="15.75" customFormat="1" s="1">
      <c r="A243" s="5"/>
      <c r="B243" s="6"/>
      <c r="C243" s="6"/>
      <c r="D243" s="6"/>
      <c r="E243" s="6"/>
      <c r="F243" s="6"/>
    </row>
    <row x14ac:dyDescent="0.25" r="244" customHeight="1" ht="15.75" customFormat="1" s="1">
      <c r="A244" s="5"/>
      <c r="B244" s="6"/>
      <c r="C244" s="6"/>
      <c r="D244" s="6"/>
      <c r="E244" s="6"/>
      <c r="F244" s="6"/>
    </row>
    <row x14ac:dyDescent="0.25" r="245" customHeight="1" ht="15.75" customFormat="1" s="1">
      <c r="A245" s="5"/>
      <c r="B245" s="6"/>
      <c r="C245" s="6"/>
      <c r="D245" s="6"/>
      <c r="E245" s="6"/>
      <c r="F245" s="6"/>
    </row>
    <row x14ac:dyDescent="0.25" r="246" customHeight="1" ht="15.75" customFormat="1" s="1">
      <c r="A246" s="5"/>
      <c r="B246" s="6"/>
      <c r="C246" s="6"/>
      <c r="D246" s="6"/>
      <c r="E246" s="6"/>
      <c r="F246" s="6"/>
    </row>
    <row x14ac:dyDescent="0.25" r="247" customHeight="1" ht="15.75" customFormat="1" s="1">
      <c r="A247" s="5"/>
      <c r="B247" s="6"/>
      <c r="C247" s="6"/>
      <c r="D247" s="6"/>
      <c r="E247" s="6"/>
      <c r="F247" s="6"/>
    </row>
    <row x14ac:dyDescent="0.25" r="248" customHeight="1" ht="15.75" customFormat="1" s="1">
      <c r="A248" s="5"/>
      <c r="B248" s="6"/>
      <c r="C248" s="6"/>
      <c r="D248" s="6"/>
      <c r="E248" s="6"/>
      <c r="F248" s="6"/>
    </row>
    <row x14ac:dyDescent="0.25" r="249" customHeight="1" ht="15.75" customFormat="1" s="1">
      <c r="A249" s="5"/>
      <c r="B249" s="6"/>
      <c r="C249" s="6"/>
      <c r="D249" s="6"/>
      <c r="E249" s="6"/>
      <c r="F249" s="6"/>
    </row>
    <row x14ac:dyDescent="0.25" r="250" customHeight="1" ht="15.75" customFormat="1" s="1">
      <c r="A250" s="5"/>
      <c r="B250" s="6"/>
      <c r="C250" s="6"/>
      <c r="D250" s="6"/>
      <c r="E250" s="6"/>
      <c r="F250" s="6"/>
    </row>
    <row x14ac:dyDescent="0.25" r="251" customHeight="1" ht="15.75" customFormat="1" s="1">
      <c r="A251" s="5"/>
      <c r="B251" s="6"/>
      <c r="C251" s="6"/>
      <c r="D251" s="6"/>
      <c r="E251" s="6"/>
      <c r="F251" s="6"/>
    </row>
    <row x14ac:dyDescent="0.25" r="252" customHeight="1" ht="15.75" customFormat="1" s="1">
      <c r="A252" s="5"/>
      <c r="B252" s="6"/>
      <c r="C252" s="6"/>
      <c r="D252" s="6"/>
      <c r="E252" s="6"/>
      <c r="F252" s="6"/>
    </row>
    <row x14ac:dyDescent="0.25" r="253" customHeight="1" ht="15.75" customFormat="1" s="1">
      <c r="A253" s="5"/>
      <c r="B253" s="6"/>
      <c r="C253" s="6"/>
      <c r="D253" s="6"/>
      <c r="E253" s="6"/>
      <c r="F253" s="6"/>
    </row>
    <row x14ac:dyDescent="0.25" r="254" customHeight="1" ht="15.75">
      <c r="A254" s="6"/>
      <c r="B254" s="6"/>
      <c r="C254" s="6"/>
      <c r="D254" s="11"/>
      <c r="E254" s="11"/>
      <c r="F254" s="11"/>
    </row>
    <row x14ac:dyDescent="0.25" r="255" customHeight="1" ht="15.75">
      <c r="A255" s="6"/>
      <c r="B255" s="6"/>
      <c r="C255" s="6"/>
      <c r="D255" s="11"/>
      <c r="E255" s="11"/>
      <c r="F255" s="11"/>
    </row>
    <row x14ac:dyDescent="0.25" r="256" customHeight="1" ht="15.75">
      <c r="A256" s="6"/>
      <c r="B256" s="6"/>
      <c r="C256" s="6"/>
      <c r="D256" s="11"/>
      <c r="E256" s="11"/>
      <c r="F256" s="11"/>
    </row>
    <row x14ac:dyDescent="0.25" r="257" customHeight="1" ht="15.75">
      <c r="A257" s="6"/>
      <c r="B257" s="6"/>
      <c r="C257" s="6"/>
      <c r="D257" s="11"/>
      <c r="E257" s="11"/>
      <c r="F257" s="11"/>
    </row>
    <row x14ac:dyDescent="0.25" r="258" customHeight="1" ht="15.75">
      <c r="A258" s="6"/>
      <c r="B258" s="6"/>
      <c r="C258" s="6"/>
      <c r="D258" s="11"/>
      <c r="E258" s="11"/>
      <c r="F258" s="11"/>
    </row>
    <row x14ac:dyDescent="0.25" r="259" customHeight="1" ht="15.75">
      <c r="A259" s="6"/>
      <c r="B259" s="6"/>
      <c r="C259" s="6"/>
      <c r="D259" s="11"/>
      <c r="E259" s="11"/>
      <c r="F259" s="11"/>
    </row>
    <row x14ac:dyDescent="0.25" r="260" customHeight="1" ht="15.75">
      <c r="A260" s="6"/>
      <c r="B260" s="6"/>
      <c r="C260" s="6"/>
      <c r="D260" s="11"/>
      <c r="E260" s="11"/>
      <c r="F260" s="11"/>
    </row>
    <row x14ac:dyDescent="0.25" r="261" customHeight="1" ht="15.75">
      <c r="A261" s="6"/>
      <c r="B261" s="6"/>
      <c r="C261" s="6"/>
      <c r="D261" s="11"/>
      <c r="E261" s="11"/>
      <c r="F261" s="11"/>
    </row>
    <row x14ac:dyDescent="0.25" r="262" customHeight="1" ht="15.75">
      <c r="A262" s="6"/>
      <c r="B262" s="6"/>
      <c r="C262" s="6"/>
      <c r="D262" s="11"/>
      <c r="E262" s="11"/>
      <c r="F262" s="11"/>
    </row>
    <row x14ac:dyDescent="0.25" r="263" customHeight="1" ht="15.75">
      <c r="A263" s="6"/>
      <c r="B263" s="6"/>
      <c r="C263" s="6"/>
      <c r="D263" s="11"/>
      <c r="E263" s="11"/>
      <c r="F263" s="11"/>
    </row>
    <row x14ac:dyDescent="0.25" r="264" customHeight="1" ht="15.75">
      <c r="A264" s="6"/>
      <c r="B264" s="6"/>
      <c r="C264" s="6"/>
      <c r="D264" s="11"/>
      <c r="E264" s="11"/>
      <c r="F264" s="11"/>
    </row>
    <row x14ac:dyDescent="0.25" r="265" customHeight="1" ht="15.75">
      <c r="A265" s="6"/>
      <c r="B265" s="6"/>
      <c r="C265" s="6"/>
      <c r="D265" s="11"/>
      <c r="E265" s="11"/>
      <c r="F265" s="11"/>
    </row>
    <row x14ac:dyDescent="0.25" r="266" customHeight="1" ht="15.75">
      <c r="A266" s="6"/>
      <c r="B266" s="6"/>
      <c r="C266" s="6"/>
      <c r="D266" s="11"/>
      <c r="E266" s="11"/>
      <c r="F266" s="11"/>
    </row>
    <row x14ac:dyDescent="0.25" r="267" customHeight="1" ht="15.75">
      <c r="A267" s="6"/>
      <c r="B267" s="6"/>
      <c r="C267" s="6"/>
      <c r="D267" s="11"/>
      <c r="E267" s="11"/>
      <c r="F267" s="11"/>
    </row>
    <row x14ac:dyDescent="0.25" r="268" customHeight="1" ht="15.75">
      <c r="A268" s="6"/>
      <c r="B268" s="6"/>
      <c r="C268" s="6"/>
      <c r="D268" s="11"/>
      <c r="E268" s="11"/>
      <c r="F268" s="11"/>
    </row>
    <row x14ac:dyDescent="0.25" r="269" customHeight="1" ht="15.75">
      <c r="A269" s="6"/>
      <c r="B269" s="6"/>
      <c r="C269" s="6"/>
      <c r="D269" s="11"/>
      <c r="E269" s="11"/>
      <c r="F269" s="11"/>
    </row>
    <row x14ac:dyDescent="0.25" r="270" customHeight="1" ht="15.75">
      <c r="A270" s="6"/>
      <c r="B270" s="6"/>
      <c r="C270" s="6"/>
      <c r="D270" s="11"/>
      <c r="E270" s="11"/>
      <c r="F270" s="11"/>
    </row>
    <row x14ac:dyDescent="0.25" r="271" customHeight="1" ht="15.75">
      <c r="A271" s="6"/>
      <c r="B271" s="6"/>
      <c r="C271" s="6"/>
      <c r="D271" s="11"/>
      <c r="E271" s="11"/>
      <c r="F271" s="11"/>
    </row>
    <row x14ac:dyDescent="0.25" r="272" customHeight="1" ht="15.75">
      <c r="A272" s="6"/>
      <c r="B272" s="6"/>
      <c r="C272" s="6"/>
      <c r="D272" s="11"/>
      <c r="E272" s="11"/>
      <c r="F272" s="11"/>
    </row>
    <row x14ac:dyDescent="0.25" r="273" customHeight="1" ht="15.75">
      <c r="A273" s="6"/>
      <c r="B273" s="6"/>
      <c r="C273" s="6"/>
      <c r="D273" s="11"/>
      <c r="E273" s="11"/>
      <c r="F273" s="11"/>
    </row>
    <row x14ac:dyDescent="0.25" r="274" customHeight="1" ht="15.75">
      <c r="A274" s="6"/>
      <c r="B274" s="6"/>
      <c r="C274" s="6"/>
      <c r="D274" s="11"/>
      <c r="E274" s="11"/>
      <c r="F274" s="11"/>
    </row>
    <row x14ac:dyDescent="0.25" r="275" customHeight="1" ht="15.75">
      <c r="A275" s="6"/>
      <c r="B275" s="6"/>
      <c r="C275" s="6"/>
      <c r="D275" s="11"/>
      <c r="E275" s="11"/>
      <c r="F275" s="11"/>
    </row>
    <row x14ac:dyDescent="0.25" r="276" customHeight="1" ht="15.75">
      <c r="A276" s="6"/>
      <c r="B276" s="6"/>
      <c r="C276" s="6"/>
      <c r="D276" s="11"/>
      <c r="E276" s="11"/>
      <c r="F276" s="11"/>
    </row>
    <row x14ac:dyDescent="0.25" r="277" customHeight="1" ht="15.75">
      <c r="A277" s="6"/>
      <c r="B277" s="6"/>
      <c r="C277" s="6"/>
      <c r="D277" s="11"/>
      <c r="E277" s="11"/>
      <c r="F277" s="11"/>
    </row>
    <row x14ac:dyDescent="0.25" r="278" customHeight="1" ht="15.75">
      <c r="A278" s="6"/>
      <c r="B278" s="6"/>
      <c r="C278" s="6"/>
      <c r="D278" s="11"/>
      <c r="E278" s="11"/>
      <c r="F278" s="11"/>
    </row>
    <row x14ac:dyDescent="0.25" r="279" customHeight="1" ht="15.75">
      <c r="A279" s="6"/>
      <c r="B279" s="6"/>
      <c r="C279" s="6"/>
      <c r="D279" s="11"/>
      <c r="E279" s="11"/>
      <c r="F279" s="11"/>
    </row>
    <row x14ac:dyDescent="0.25" r="280" customHeight="1" ht="15.75">
      <c r="A280" s="6"/>
      <c r="B280" s="6"/>
      <c r="C280" s="6"/>
      <c r="D280" s="11"/>
      <c r="E280" s="11"/>
      <c r="F280" s="11"/>
    </row>
    <row x14ac:dyDescent="0.25" r="281" customHeight="1" ht="15.75">
      <c r="A281" s="6"/>
      <c r="B281" s="6"/>
      <c r="C281" s="6"/>
      <c r="D281" s="11"/>
      <c r="E281" s="11"/>
      <c r="F281" s="11"/>
    </row>
    <row x14ac:dyDescent="0.25" r="282" customHeight="1" ht="15.75">
      <c r="A282" s="6"/>
      <c r="B282" s="6"/>
      <c r="C282" s="6"/>
      <c r="D282" s="11"/>
      <c r="E282" s="11"/>
      <c r="F282" s="11"/>
    </row>
    <row x14ac:dyDescent="0.25" r="283" customHeight="1" ht="15.75">
      <c r="A283" s="6"/>
      <c r="B283" s="6"/>
      <c r="C283" s="6"/>
      <c r="D283" s="11"/>
      <c r="E283" s="11"/>
      <c r="F283" s="11"/>
    </row>
    <row x14ac:dyDescent="0.25" r="284" customHeight="1" ht="15.75">
      <c r="A284" s="6"/>
      <c r="B284" s="6"/>
      <c r="C284" s="6"/>
      <c r="D284" s="11"/>
      <c r="E284" s="11"/>
      <c r="F284" s="11"/>
    </row>
    <row x14ac:dyDescent="0.25" r="285" customHeight="1" ht="15.75">
      <c r="A285" s="6"/>
      <c r="B285" s="6"/>
      <c r="C285" s="6"/>
      <c r="D285" s="11"/>
      <c r="E285" s="11"/>
      <c r="F285" s="11"/>
    </row>
    <row x14ac:dyDescent="0.25" r="286" customHeight="1" ht="15.75">
      <c r="A286" s="6"/>
      <c r="B286" s="6"/>
      <c r="C286" s="6"/>
      <c r="D286" s="11"/>
      <c r="E286" s="11"/>
      <c r="F286" s="11"/>
    </row>
    <row x14ac:dyDescent="0.25" r="287" customHeight="1" ht="15.75">
      <c r="A287" s="6"/>
      <c r="B287" s="6"/>
      <c r="C287" s="6"/>
      <c r="D287" s="11"/>
      <c r="E287" s="11"/>
      <c r="F287" s="11"/>
    </row>
    <row x14ac:dyDescent="0.25" r="288" customHeight="1" ht="15.75">
      <c r="A288" s="6"/>
      <c r="B288" s="6"/>
      <c r="C288" s="6"/>
      <c r="D288" s="11"/>
      <c r="E288" s="11"/>
      <c r="F288" s="11"/>
    </row>
    <row x14ac:dyDescent="0.25" r="289" customHeight="1" ht="15.75">
      <c r="A289" s="6"/>
      <c r="B289" s="6"/>
      <c r="C289" s="6"/>
      <c r="D289" s="11"/>
      <c r="E289" s="11"/>
      <c r="F289" s="11"/>
    </row>
    <row x14ac:dyDescent="0.25" r="290" customHeight="1" ht="15.75">
      <c r="A290" s="6"/>
      <c r="B290" s="6"/>
      <c r="C290" s="6"/>
      <c r="D290" s="11"/>
      <c r="E290" s="11"/>
      <c r="F290" s="11"/>
    </row>
    <row x14ac:dyDescent="0.25" r="291" customHeight="1" ht="15.75">
      <c r="A291" s="6"/>
      <c r="B291" s="6"/>
      <c r="C291" s="6"/>
      <c r="D291" s="11"/>
      <c r="E291" s="11"/>
      <c r="F291" s="11"/>
    </row>
    <row x14ac:dyDescent="0.25" r="292" customHeight="1" ht="15.75">
      <c r="A292" s="6"/>
      <c r="B292" s="6"/>
      <c r="C292" s="6"/>
      <c r="D292" s="11"/>
      <c r="E292" s="11"/>
      <c r="F292" s="11"/>
    </row>
    <row x14ac:dyDescent="0.25" r="293" customHeight="1" ht="15.75">
      <c r="A293" s="6"/>
      <c r="B293" s="6"/>
      <c r="C293" s="6"/>
      <c r="D293" s="11"/>
      <c r="E293" s="11"/>
      <c r="F293" s="11"/>
    </row>
    <row x14ac:dyDescent="0.25" r="294" customHeight="1" ht="15.75">
      <c r="A294" s="6"/>
      <c r="B294" s="6"/>
      <c r="C294" s="6"/>
      <c r="D294" s="11"/>
      <c r="E294" s="11"/>
      <c r="F294" s="11"/>
    </row>
    <row x14ac:dyDescent="0.25" r="295" customHeight="1" ht="15.75">
      <c r="A295" s="6"/>
      <c r="B295" s="6"/>
      <c r="C295" s="6"/>
      <c r="D295" s="11"/>
      <c r="E295" s="11"/>
      <c r="F295" s="11"/>
    </row>
    <row x14ac:dyDescent="0.25" r="296" customHeight="1" ht="15.75">
      <c r="A296" s="6"/>
      <c r="B296" s="6"/>
      <c r="C296" s="6"/>
      <c r="D296" s="11"/>
      <c r="E296" s="11"/>
      <c r="F296" s="11"/>
    </row>
    <row x14ac:dyDescent="0.25" r="297" customHeight="1" ht="15.75">
      <c r="A297" s="6"/>
      <c r="B297" s="6"/>
      <c r="C297" s="6"/>
      <c r="D297" s="11"/>
      <c r="E297" s="11"/>
      <c r="F297" s="11"/>
    </row>
    <row x14ac:dyDescent="0.25" r="298" customHeight="1" ht="15.75">
      <c r="A298" s="6"/>
      <c r="B298" s="6"/>
      <c r="C298" s="6"/>
      <c r="D298" s="11"/>
      <c r="E298" s="11"/>
      <c r="F298" s="11"/>
    </row>
    <row x14ac:dyDescent="0.25" r="299" customHeight="1" ht="15.75">
      <c r="A299" s="6"/>
      <c r="B299" s="6"/>
      <c r="C299" s="6"/>
      <c r="D299" s="11"/>
      <c r="E299" s="11"/>
      <c r="F299" s="11"/>
    </row>
    <row x14ac:dyDescent="0.25" r="300" customHeight="1" ht="15.75">
      <c r="A300" s="6"/>
      <c r="B300" s="6"/>
      <c r="C300" s="6"/>
      <c r="D300" s="11"/>
      <c r="E300" s="11"/>
      <c r="F300" s="11"/>
    </row>
    <row x14ac:dyDescent="0.25" r="301" customHeight="1" ht="15.75">
      <c r="A301" s="6"/>
      <c r="B301" s="6"/>
      <c r="C301" s="6"/>
      <c r="D301" s="11"/>
      <c r="E301" s="11"/>
      <c r="F301" s="11"/>
    </row>
    <row x14ac:dyDescent="0.25" r="302" customHeight="1" ht="15.75">
      <c r="A302" s="6"/>
      <c r="B302" s="6"/>
      <c r="C302" s="6"/>
      <c r="D302" s="11"/>
      <c r="E302" s="11"/>
      <c r="F302" s="11"/>
    </row>
    <row x14ac:dyDescent="0.25" r="303" customHeight="1" ht="15.75">
      <c r="A303" s="6"/>
      <c r="B303" s="6"/>
      <c r="C303" s="6"/>
      <c r="D303" s="11"/>
      <c r="E303" s="11"/>
      <c r="F303" s="11"/>
    </row>
    <row x14ac:dyDescent="0.25" r="304" customHeight="1" ht="15.75">
      <c r="A304" s="6"/>
      <c r="B304" s="6"/>
      <c r="C304" s="6"/>
      <c r="D304" s="11"/>
      <c r="E304" s="11"/>
      <c r="F304" s="11"/>
    </row>
    <row x14ac:dyDescent="0.25" r="305" customHeight="1" ht="15.75">
      <c r="A305" s="6"/>
      <c r="B305" s="6"/>
      <c r="C305" s="6"/>
      <c r="D305" s="11"/>
      <c r="E305" s="11"/>
      <c r="F305" s="11"/>
    </row>
    <row x14ac:dyDescent="0.25" r="306" customHeight="1" ht="15.75">
      <c r="A306" s="6"/>
      <c r="B306" s="6"/>
      <c r="C306" s="6"/>
      <c r="D306" s="11"/>
      <c r="E306" s="11"/>
      <c r="F306" s="11"/>
    </row>
    <row x14ac:dyDescent="0.25" r="307" customHeight="1" ht="15.75">
      <c r="A307" s="6"/>
      <c r="B307" s="6"/>
      <c r="C307" s="6"/>
      <c r="D307" s="11"/>
      <c r="E307" s="11"/>
      <c r="F307" s="11"/>
    </row>
    <row x14ac:dyDescent="0.25" r="308" customHeight="1" ht="15.75">
      <c r="A308" s="6"/>
      <c r="B308" s="6"/>
      <c r="C308" s="6"/>
      <c r="D308" s="11"/>
      <c r="E308" s="11"/>
      <c r="F308" s="11"/>
    </row>
    <row x14ac:dyDescent="0.25" r="309" customHeight="1" ht="15.75">
      <c r="A309" s="6"/>
      <c r="B309" s="6"/>
      <c r="C309" s="6"/>
      <c r="D309" s="11"/>
      <c r="E309" s="11"/>
      <c r="F309" s="11"/>
    </row>
    <row x14ac:dyDescent="0.25" r="310" customHeight="1" ht="15.75">
      <c r="A310" s="6"/>
      <c r="B310" s="6"/>
      <c r="C310" s="6"/>
      <c r="D310" s="11"/>
      <c r="E310" s="11"/>
      <c r="F310" s="11"/>
    </row>
    <row x14ac:dyDescent="0.25" r="311" customHeight="1" ht="15.75">
      <c r="A311" s="6"/>
      <c r="B311" s="6"/>
      <c r="C311" s="6"/>
      <c r="D311" s="11"/>
      <c r="E311" s="11"/>
      <c r="F311" s="11"/>
    </row>
    <row x14ac:dyDescent="0.25" r="312" customHeight="1" ht="15.75">
      <c r="A312" s="6"/>
      <c r="B312" s="6"/>
      <c r="C312" s="6"/>
      <c r="D312" s="11"/>
      <c r="E312" s="11"/>
      <c r="F312" s="11"/>
    </row>
    <row x14ac:dyDescent="0.25" r="313" customHeight="1" ht="15.75">
      <c r="A313" s="6"/>
      <c r="B313" s="6"/>
      <c r="C313" s="6"/>
      <c r="D313" s="11"/>
      <c r="E313" s="11"/>
      <c r="F313" s="11"/>
    </row>
    <row x14ac:dyDescent="0.25" r="314" customHeight="1" ht="15.75">
      <c r="A314" s="6"/>
      <c r="B314" s="6"/>
      <c r="C314" s="6"/>
      <c r="D314" s="11"/>
      <c r="E314" s="11"/>
      <c r="F314" s="11"/>
    </row>
    <row x14ac:dyDescent="0.25" r="315" customHeight="1" ht="15.75">
      <c r="A315" s="6"/>
      <c r="B315" s="6"/>
      <c r="C315" s="6"/>
      <c r="D315" s="11"/>
      <c r="E315" s="11"/>
      <c r="F315" s="11"/>
    </row>
    <row x14ac:dyDescent="0.25" r="316" customHeight="1" ht="15.75">
      <c r="A316" s="6"/>
      <c r="B316" s="6"/>
      <c r="C316" s="6"/>
      <c r="D316" s="11"/>
      <c r="E316" s="11"/>
      <c r="F316" s="11"/>
    </row>
    <row x14ac:dyDescent="0.25" r="317" customHeight="1" ht="15.75">
      <c r="A317" s="6"/>
      <c r="B317" s="6"/>
      <c r="C317" s="6"/>
      <c r="D317" s="11"/>
      <c r="E317" s="11"/>
      <c r="F317" s="11"/>
    </row>
    <row x14ac:dyDescent="0.25" r="318" customHeight="1" ht="15.75">
      <c r="A318" s="6"/>
      <c r="B318" s="6"/>
      <c r="C318" s="6"/>
      <c r="D318" s="11"/>
      <c r="E318" s="11"/>
      <c r="F318" s="11"/>
    </row>
    <row x14ac:dyDescent="0.25" r="319" customHeight="1" ht="15.75">
      <c r="A319" s="6"/>
      <c r="B319" s="6"/>
      <c r="C319" s="6"/>
      <c r="D319" s="11"/>
      <c r="E319" s="11"/>
      <c r="F319" s="11"/>
    </row>
    <row x14ac:dyDescent="0.25" r="320" customHeight="1" ht="15.75">
      <c r="A320" s="6"/>
      <c r="B320" s="6"/>
      <c r="C320" s="6"/>
      <c r="D320" s="11"/>
      <c r="E320" s="11"/>
      <c r="F320" s="11"/>
    </row>
    <row x14ac:dyDescent="0.25" r="321" customHeight="1" ht="15.75">
      <c r="A321" s="6"/>
      <c r="B321" s="6"/>
      <c r="C321" s="6"/>
      <c r="D321" s="11"/>
      <c r="E321" s="11"/>
      <c r="F321" s="11"/>
    </row>
    <row x14ac:dyDescent="0.25" r="322" customHeight="1" ht="15.75">
      <c r="A322" s="6"/>
      <c r="B322" s="6"/>
      <c r="C322" s="6"/>
      <c r="D322" s="11"/>
      <c r="E322" s="11"/>
      <c r="F322" s="11"/>
    </row>
    <row x14ac:dyDescent="0.25" r="323" customHeight="1" ht="15.75">
      <c r="A323" s="6"/>
      <c r="B323" s="6"/>
      <c r="C323" s="6"/>
      <c r="D323" s="11"/>
      <c r="E323" s="11"/>
      <c r="F323" s="11"/>
    </row>
    <row x14ac:dyDescent="0.25" r="324" customHeight="1" ht="15.75">
      <c r="A324" s="6"/>
      <c r="B324" s="6"/>
      <c r="C324" s="6"/>
      <c r="D324" s="11"/>
      <c r="E324" s="11"/>
      <c r="F324" s="11"/>
    </row>
    <row x14ac:dyDescent="0.25" r="325" customHeight="1" ht="15.75">
      <c r="A325" s="6"/>
      <c r="B325" s="6"/>
      <c r="C325" s="6"/>
      <c r="D325" s="11"/>
      <c r="E325" s="11"/>
      <c r="F325" s="11"/>
    </row>
    <row x14ac:dyDescent="0.25" r="326" customHeight="1" ht="15.75">
      <c r="A326" s="6"/>
      <c r="B326" s="6"/>
      <c r="C326" s="6"/>
      <c r="D326" s="11"/>
      <c r="E326" s="11"/>
      <c r="F326" s="11"/>
    </row>
    <row x14ac:dyDescent="0.25" r="327" customHeight="1" ht="15.75">
      <c r="A327" s="6"/>
      <c r="B327" s="6"/>
      <c r="C327" s="6"/>
      <c r="D327" s="11"/>
      <c r="E327" s="11"/>
      <c r="F327" s="11"/>
    </row>
    <row x14ac:dyDescent="0.25" r="328" customHeight="1" ht="15.75">
      <c r="A328" s="6"/>
      <c r="B328" s="6"/>
      <c r="C328" s="6"/>
      <c r="D328" s="11"/>
      <c r="E328" s="11"/>
      <c r="F328" s="11"/>
    </row>
    <row x14ac:dyDescent="0.25" r="329" customHeight="1" ht="15.75">
      <c r="A329" s="6"/>
      <c r="B329" s="6"/>
      <c r="C329" s="6"/>
      <c r="D329" s="11"/>
      <c r="E329" s="11"/>
      <c r="F329" s="11"/>
    </row>
    <row x14ac:dyDescent="0.25" r="330" customHeight="1" ht="15.75">
      <c r="A330" s="6"/>
      <c r="B330" s="6"/>
      <c r="C330" s="6"/>
      <c r="D330" s="11"/>
      <c r="E330" s="11"/>
      <c r="F330" s="11"/>
    </row>
    <row x14ac:dyDescent="0.25" r="331" customHeight="1" ht="15.75">
      <c r="A331" s="6"/>
      <c r="B331" s="6"/>
      <c r="C331" s="6"/>
      <c r="D331" s="11"/>
      <c r="E331" s="11"/>
      <c r="F331" s="11"/>
    </row>
    <row x14ac:dyDescent="0.25" r="332" customHeight="1" ht="15.75">
      <c r="A332" s="6"/>
      <c r="B332" s="6"/>
      <c r="C332" s="6"/>
      <c r="D332" s="11"/>
      <c r="E332" s="11"/>
      <c r="F332" s="11"/>
    </row>
    <row x14ac:dyDescent="0.25" r="333" customHeight="1" ht="15.75">
      <c r="A333" s="6"/>
      <c r="B333" s="6"/>
      <c r="C333" s="6"/>
      <c r="D333" s="11"/>
      <c r="E333" s="11"/>
      <c r="F333" s="11"/>
    </row>
    <row x14ac:dyDescent="0.25" r="334" customHeight="1" ht="15.75">
      <c r="A334" s="6"/>
      <c r="B334" s="6"/>
      <c r="C334" s="6"/>
      <c r="D334" s="11"/>
      <c r="E334" s="11"/>
      <c r="F334" s="11"/>
    </row>
    <row x14ac:dyDescent="0.25" r="335" customHeight="1" ht="15.75">
      <c r="A335" s="6"/>
      <c r="B335" s="6"/>
      <c r="C335" s="6"/>
      <c r="D335" s="11"/>
      <c r="E335" s="11"/>
      <c r="F335" s="11"/>
    </row>
    <row x14ac:dyDescent="0.25" r="336" customHeight="1" ht="15.75">
      <c r="A336" s="6"/>
      <c r="B336" s="6"/>
      <c r="C336" s="6"/>
      <c r="D336" s="11"/>
      <c r="E336" s="11"/>
      <c r="F336" s="11"/>
    </row>
    <row x14ac:dyDescent="0.25" r="337" customHeight="1" ht="15.75">
      <c r="A337" s="6"/>
      <c r="B337" s="6"/>
      <c r="C337" s="6"/>
      <c r="D337" s="11"/>
      <c r="E337" s="11"/>
      <c r="F337" s="11"/>
    </row>
    <row x14ac:dyDescent="0.25" r="338" customHeight="1" ht="15.75">
      <c r="A338" s="6"/>
      <c r="B338" s="6"/>
      <c r="C338" s="6"/>
      <c r="D338" s="11"/>
      <c r="E338" s="11"/>
      <c r="F338" s="11"/>
    </row>
    <row x14ac:dyDescent="0.25" r="339" customHeight="1" ht="15.75">
      <c r="A339" s="6"/>
      <c r="B339" s="6"/>
      <c r="C339" s="6"/>
      <c r="D339" s="11"/>
      <c r="E339" s="11"/>
      <c r="F339" s="11"/>
    </row>
    <row x14ac:dyDescent="0.25" r="340" customHeight="1" ht="15.75">
      <c r="A340" s="6"/>
      <c r="B340" s="6"/>
      <c r="C340" s="6"/>
      <c r="D340" s="11"/>
      <c r="E340" s="11"/>
      <c r="F340" s="11"/>
    </row>
    <row x14ac:dyDescent="0.25" r="341" customHeight="1" ht="15.75">
      <c r="A341" s="6"/>
      <c r="B341" s="6"/>
      <c r="C341" s="6"/>
      <c r="D341" s="11"/>
      <c r="E341" s="11"/>
      <c r="F341" s="11"/>
    </row>
    <row x14ac:dyDescent="0.25" r="342" customHeight="1" ht="15.75">
      <c r="A342" s="6"/>
      <c r="B342" s="6"/>
      <c r="C342" s="6"/>
      <c r="D342" s="11"/>
      <c r="E342" s="11"/>
      <c r="F342" s="11"/>
    </row>
    <row x14ac:dyDescent="0.25" r="343" customHeight="1" ht="15.75">
      <c r="A343" s="6"/>
      <c r="B343" s="6"/>
      <c r="C343" s="6"/>
      <c r="D343" s="11"/>
      <c r="E343" s="11"/>
      <c r="F343" s="11"/>
    </row>
    <row x14ac:dyDescent="0.25" r="344" customHeight="1" ht="15.75">
      <c r="A344" s="6"/>
      <c r="B344" s="6"/>
      <c r="C344" s="6"/>
      <c r="D344" s="11"/>
      <c r="E344" s="11"/>
      <c r="F344" s="11"/>
    </row>
    <row x14ac:dyDescent="0.25" r="345" customHeight="1" ht="15.75">
      <c r="A345" s="6"/>
      <c r="B345" s="6"/>
      <c r="C345" s="6"/>
      <c r="D345" s="11"/>
      <c r="E345" s="11"/>
      <c r="F345" s="11"/>
    </row>
    <row x14ac:dyDescent="0.25" r="346" customHeight="1" ht="15.75">
      <c r="A346" s="6"/>
      <c r="B346" s="6"/>
      <c r="C346" s="6"/>
      <c r="D346" s="11"/>
      <c r="E346" s="11"/>
      <c r="F346" s="11"/>
    </row>
    <row x14ac:dyDescent="0.25" r="347" customHeight="1" ht="15.75">
      <c r="A347" s="6"/>
      <c r="B347" s="6"/>
      <c r="C347" s="6"/>
      <c r="D347" s="11"/>
      <c r="E347" s="11"/>
      <c r="F347" s="11"/>
    </row>
    <row x14ac:dyDescent="0.25" r="348" customHeight="1" ht="15.75">
      <c r="A348" s="6"/>
      <c r="B348" s="6"/>
      <c r="C348" s="6"/>
      <c r="D348" s="11"/>
      <c r="E348" s="11"/>
      <c r="F348" s="11"/>
    </row>
    <row x14ac:dyDescent="0.25" r="349" customHeight="1" ht="15.75">
      <c r="A349" s="6"/>
      <c r="B349" s="6"/>
      <c r="C349" s="6"/>
      <c r="D349" s="11"/>
      <c r="E349" s="11"/>
      <c r="F349" s="11"/>
    </row>
    <row x14ac:dyDescent="0.25" r="350" customHeight="1" ht="15.75">
      <c r="A350" s="6"/>
      <c r="B350" s="6"/>
      <c r="C350" s="6"/>
      <c r="D350" s="11"/>
      <c r="E350" s="11"/>
      <c r="F350" s="11"/>
    </row>
    <row x14ac:dyDescent="0.25" r="351" customHeight="1" ht="15.75">
      <c r="A351" s="6"/>
      <c r="B351" s="6"/>
      <c r="C351" s="6"/>
      <c r="D351" s="11"/>
      <c r="E351" s="11"/>
      <c r="F351" s="11"/>
    </row>
    <row x14ac:dyDescent="0.25" r="352" customHeight="1" ht="15.75">
      <c r="A352" s="6"/>
      <c r="B352" s="6"/>
      <c r="C352" s="6"/>
      <c r="D352" s="11"/>
      <c r="E352" s="11"/>
      <c r="F352" s="11"/>
    </row>
    <row x14ac:dyDescent="0.25" r="353" customHeight="1" ht="15.75">
      <c r="A353" s="6"/>
      <c r="B353" s="6"/>
      <c r="C353" s="6"/>
      <c r="D353" s="11"/>
      <c r="E353" s="11"/>
      <c r="F353" s="11"/>
    </row>
    <row x14ac:dyDescent="0.25" r="354" customHeight="1" ht="15.75">
      <c r="A354" s="6"/>
      <c r="B354" s="6"/>
      <c r="C354" s="6"/>
      <c r="D354" s="11"/>
      <c r="E354" s="11"/>
      <c r="F354" s="11"/>
    </row>
    <row x14ac:dyDescent="0.25" r="355" customHeight="1" ht="15.75">
      <c r="A355" s="6"/>
      <c r="B355" s="6"/>
      <c r="C355" s="6"/>
      <c r="D355" s="11"/>
      <c r="E355" s="11"/>
      <c r="F355" s="11"/>
    </row>
    <row x14ac:dyDescent="0.25" r="356" customHeight="1" ht="15.75">
      <c r="A356" s="6"/>
      <c r="B356" s="6"/>
      <c r="C356" s="6"/>
      <c r="D356" s="11"/>
      <c r="E356" s="11"/>
      <c r="F356" s="11"/>
    </row>
    <row x14ac:dyDescent="0.25" r="357" customHeight="1" ht="15.75">
      <c r="A357" s="6"/>
      <c r="B357" s="6"/>
      <c r="C357" s="6"/>
      <c r="D357" s="11"/>
      <c r="E357" s="11"/>
      <c r="F357" s="11"/>
    </row>
    <row x14ac:dyDescent="0.25" r="358" customHeight="1" ht="15.75">
      <c r="A358" s="6"/>
      <c r="B358" s="6"/>
      <c r="C358" s="6"/>
      <c r="D358" s="11"/>
      <c r="E358" s="11"/>
      <c r="F358" s="11"/>
    </row>
    <row x14ac:dyDescent="0.25" r="359" customHeight="1" ht="15.75">
      <c r="A359" s="6"/>
      <c r="B359" s="6"/>
      <c r="C359" s="6"/>
      <c r="D359" s="11"/>
      <c r="E359" s="11"/>
      <c r="F359" s="11"/>
    </row>
    <row x14ac:dyDescent="0.25" r="360" customHeight="1" ht="15.75">
      <c r="A360" s="6"/>
      <c r="B360" s="6"/>
      <c r="C360" s="6"/>
      <c r="D360" s="11"/>
      <c r="E360" s="11"/>
      <c r="F360" s="11"/>
    </row>
    <row x14ac:dyDescent="0.25" r="361" customHeight="1" ht="15.75">
      <c r="A361" s="6"/>
      <c r="B361" s="6"/>
      <c r="C361" s="6"/>
      <c r="D361" s="11"/>
      <c r="E361" s="11"/>
      <c r="F361" s="11"/>
    </row>
    <row x14ac:dyDescent="0.25" r="362" customHeight="1" ht="15.75">
      <c r="A362" s="6"/>
      <c r="B362" s="6"/>
      <c r="C362" s="6"/>
      <c r="D362" s="11"/>
      <c r="E362" s="11"/>
      <c r="F362" s="11"/>
    </row>
    <row x14ac:dyDescent="0.25" r="363" customHeight="1" ht="15.75">
      <c r="A363" s="6"/>
      <c r="B363" s="6"/>
      <c r="C363" s="6"/>
      <c r="D363" s="11"/>
      <c r="E363" s="11"/>
      <c r="F363" s="11"/>
    </row>
    <row x14ac:dyDescent="0.25" r="364" customHeight="1" ht="15.75">
      <c r="A364" s="6"/>
      <c r="B364" s="6"/>
      <c r="C364" s="6"/>
      <c r="D364" s="11"/>
      <c r="E364" s="11"/>
      <c r="F364" s="11"/>
    </row>
    <row x14ac:dyDescent="0.25" r="365" customHeight="1" ht="15.75">
      <c r="A365" s="6"/>
      <c r="B365" s="6"/>
      <c r="C365" s="6"/>
      <c r="D365" s="11"/>
      <c r="E365" s="11"/>
      <c r="F365" s="11"/>
    </row>
    <row x14ac:dyDescent="0.25" r="366" customHeight="1" ht="15.75">
      <c r="A366" s="6"/>
      <c r="B366" s="6"/>
      <c r="C366" s="6"/>
      <c r="D366" s="11"/>
      <c r="E366" s="11"/>
      <c r="F366" s="11"/>
    </row>
    <row x14ac:dyDescent="0.25" r="367" customHeight="1" ht="15.75">
      <c r="A367" s="6"/>
      <c r="B367" s="6"/>
      <c r="C367" s="6"/>
      <c r="D367" s="11"/>
      <c r="E367" s="11"/>
      <c r="F367" s="11"/>
    </row>
    <row x14ac:dyDescent="0.25" r="368" customHeight="1" ht="15.75">
      <c r="A368" s="6"/>
      <c r="B368" s="6"/>
      <c r="C368" s="6"/>
      <c r="D368" s="11"/>
      <c r="E368" s="11"/>
      <c r="F368" s="11"/>
    </row>
    <row x14ac:dyDescent="0.25" r="369" customHeight="1" ht="15.75">
      <c r="A369" s="6"/>
      <c r="B369" s="6"/>
      <c r="C369" s="6"/>
      <c r="D369" s="11"/>
      <c r="E369" s="11"/>
      <c r="F369" s="11"/>
    </row>
    <row x14ac:dyDescent="0.25" r="370" customHeight="1" ht="15.75">
      <c r="A370" s="6"/>
      <c r="B370" s="6"/>
      <c r="C370" s="6"/>
      <c r="D370" s="11"/>
      <c r="E370" s="11"/>
      <c r="F370" s="11"/>
    </row>
    <row x14ac:dyDescent="0.25" r="371" customHeight="1" ht="15.75">
      <c r="A371" s="6"/>
      <c r="B371" s="6"/>
      <c r="C371" s="6"/>
      <c r="D371" s="11"/>
      <c r="E371" s="11"/>
      <c r="F371" s="11"/>
    </row>
    <row x14ac:dyDescent="0.25" r="372" customHeight="1" ht="15.75">
      <c r="A372" s="6"/>
      <c r="B372" s="6"/>
      <c r="C372" s="6"/>
      <c r="D372" s="11"/>
      <c r="E372" s="11"/>
      <c r="F372" s="11"/>
    </row>
    <row x14ac:dyDescent="0.25" r="373" customHeight="1" ht="15.75">
      <c r="A373" s="6"/>
      <c r="B373" s="6"/>
      <c r="C373" s="6"/>
      <c r="D373" s="11"/>
      <c r="E373" s="11"/>
      <c r="F373" s="11"/>
    </row>
    <row x14ac:dyDescent="0.25" r="374" customHeight="1" ht="15.75">
      <c r="A374" s="6"/>
      <c r="B374" s="6"/>
      <c r="C374" s="6"/>
      <c r="D374" s="11"/>
      <c r="E374" s="11"/>
      <c r="F374" s="11"/>
    </row>
    <row x14ac:dyDescent="0.25" r="375" customHeight="1" ht="15.75">
      <c r="A375" s="6"/>
      <c r="B375" s="6"/>
      <c r="C375" s="6"/>
      <c r="D375" s="11"/>
      <c r="E375" s="11"/>
      <c r="F375" s="11"/>
    </row>
    <row x14ac:dyDescent="0.25" r="376" customHeight="1" ht="15.75">
      <c r="A376" s="6"/>
      <c r="B376" s="6"/>
      <c r="C376" s="6"/>
      <c r="D376" s="11"/>
      <c r="E376" s="11"/>
      <c r="F376" s="11"/>
    </row>
    <row x14ac:dyDescent="0.25" r="377" customHeight="1" ht="15.75">
      <c r="A377" s="6"/>
      <c r="B377" s="6"/>
      <c r="C377" s="6"/>
      <c r="D377" s="11"/>
      <c r="E377" s="11"/>
      <c r="F377" s="11"/>
    </row>
    <row x14ac:dyDescent="0.25" r="378" customHeight="1" ht="15.75">
      <c r="A378" s="6"/>
      <c r="B378" s="6"/>
      <c r="C378" s="6"/>
      <c r="D378" s="11"/>
      <c r="E378" s="11"/>
      <c r="F378" s="11"/>
    </row>
    <row x14ac:dyDescent="0.25" r="379" customHeight="1" ht="15.75">
      <c r="A379" s="6"/>
      <c r="B379" s="6"/>
      <c r="C379" s="6"/>
      <c r="D379" s="11"/>
      <c r="E379" s="11"/>
      <c r="F379" s="11"/>
    </row>
    <row x14ac:dyDescent="0.25" r="380" customHeight="1" ht="15.75">
      <c r="A380" s="6"/>
      <c r="B380" s="6"/>
      <c r="C380" s="6"/>
      <c r="D380" s="11"/>
      <c r="E380" s="11"/>
      <c r="F380" s="11"/>
    </row>
    <row x14ac:dyDescent="0.25" r="381" customHeight="1" ht="15.75">
      <c r="A381" s="6"/>
      <c r="B381" s="6"/>
      <c r="C381" s="6"/>
      <c r="D381" s="11"/>
      <c r="E381" s="11"/>
      <c r="F381" s="11"/>
    </row>
    <row x14ac:dyDescent="0.25" r="382" customHeight="1" ht="15.75">
      <c r="A382" s="6"/>
      <c r="B382" s="6"/>
      <c r="C382" s="6"/>
      <c r="D382" s="11"/>
      <c r="E382" s="11"/>
      <c r="F382" s="11"/>
    </row>
    <row x14ac:dyDescent="0.25" r="383" customHeight="1" ht="15.75">
      <c r="A383" s="6"/>
      <c r="B383" s="6"/>
      <c r="C383" s="6"/>
      <c r="D383" s="11"/>
      <c r="E383" s="11"/>
      <c r="F383" s="11"/>
    </row>
    <row x14ac:dyDescent="0.25" r="384" customHeight="1" ht="15.75">
      <c r="A384" s="6"/>
      <c r="B384" s="6"/>
      <c r="C384" s="6"/>
      <c r="D384" s="11"/>
      <c r="E384" s="11"/>
      <c r="F384" s="11"/>
    </row>
    <row x14ac:dyDescent="0.25" r="385" customHeight="1" ht="15.75">
      <c r="A385" s="6"/>
      <c r="B385" s="6"/>
      <c r="C385" s="6"/>
      <c r="D385" s="11"/>
      <c r="E385" s="11"/>
      <c r="F385" s="11"/>
    </row>
    <row x14ac:dyDescent="0.25" r="386" customHeight="1" ht="15.75">
      <c r="A386" s="6"/>
      <c r="B386" s="6"/>
      <c r="C386" s="6"/>
      <c r="D386" s="11"/>
      <c r="E386" s="11"/>
      <c r="F386" s="11"/>
    </row>
    <row x14ac:dyDescent="0.25" r="387" customHeight="1" ht="15.75">
      <c r="A387" s="6"/>
      <c r="B387" s="6"/>
      <c r="C387" s="6"/>
      <c r="D387" s="11"/>
      <c r="E387" s="11"/>
      <c r="F387" s="11"/>
    </row>
    <row x14ac:dyDescent="0.25" r="388" customHeight="1" ht="15.75">
      <c r="A388" s="6"/>
      <c r="B388" s="6"/>
      <c r="C388" s="6"/>
      <c r="D388" s="11"/>
      <c r="E388" s="11"/>
      <c r="F388" s="11"/>
    </row>
    <row x14ac:dyDescent="0.25" r="389" customHeight="1" ht="15.75">
      <c r="A389" s="6"/>
      <c r="B389" s="6"/>
      <c r="C389" s="6"/>
      <c r="D389" s="11"/>
      <c r="E389" s="11"/>
      <c r="F389" s="11"/>
    </row>
    <row x14ac:dyDescent="0.25" r="390" customHeight="1" ht="15.75">
      <c r="A390" s="6"/>
      <c r="B390" s="6"/>
      <c r="C390" s="6"/>
      <c r="D390" s="11"/>
      <c r="E390" s="11"/>
      <c r="F390" s="11"/>
    </row>
    <row x14ac:dyDescent="0.25" r="391" customHeight="1" ht="15.75">
      <c r="A391" s="6"/>
      <c r="B391" s="6"/>
      <c r="C391" s="6"/>
      <c r="D391" s="11"/>
      <c r="E391" s="11"/>
      <c r="F391" s="11"/>
    </row>
    <row x14ac:dyDescent="0.25" r="392" customHeight="1" ht="15.75">
      <c r="A392" s="6"/>
      <c r="B392" s="6"/>
      <c r="C392" s="6"/>
      <c r="D392" s="11"/>
      <c r="E392" s="11"/>
      <c r="F392" s="11"/>
    </row>
    <row x14ac:dyDescent="0.25" r="393" customHeight="1" ht="15.75">
      <c r="A393" s="6"/>
      <c r="B393" s="6"/>
      <c r="C393" s="6"/>
      <c r="D393" s="11"/>
      <c r="E393" s="11"/>
      <c r="F393" s="11"/>
    </row>
    <row x14ac:dyDescent="0.25" r="394" customHeight="1" ht="15.75">
      <c r="A394" s="6"/>
      <c r="B394" s="6"/>
      <c r="C394" s="6"/>
      <c r="D394" s="11"/>
      <c r="E394" s="11"/>
      <c r="F394" s="11"/>
    </row>
    <row x14ac:dyDescent="0.25" r="395" customHeight="1" ht="15.75">
      <c r="A395" s="6"/>
      <c r="B395" s="6"/>
      <c r="C395" s="6"/>
      <c r="D395" s="11"/>
      <c r="E395" s="11"/>
      <c r="F395" s="11"/>
    </row>
    <row x14ac:dyDescent="0.25" r="396" customHeight="1" ht="15.75">
      <c r="A396" s="6"/>
      <c r="B396" s="6"/>
      <c r="C396" s="6"/>
      <c r="D396" s="11"/>
      <c r="E396" s="11"/>
      <c r="F396" s="11"/>
    </row>
    <row x14ac:dyDescent="0.25" r="397" customHeight="1" ht="15.75">
      <c r="A397" s="6"/>
      <c r="B397" s="6"/>
      <c r="C397" s="6"/>
      <c r="D397" s="11"/>
      <c r="E397" s="11"/>
      <c r="F397" s="11"/>
    </row>
    <row x14ac:dyDescent="0.25" r="398" customHeight="1" ht="15.75">
      <c r="A398" s="6"/>
      <c r="B398" s="6"/>
      <c r="C398" s="6"/>
      <c r="D398" s="11"/>
      <c r="E398" s="11"/>
      <c r="F398" s="11"/>
    </row>
    <row x14ac:dyDescent="0.25" r="399" customHeight="1" ht="15.75">
      <c r="A399" s="6"/>
      <c r="B399" s="6"/>
      <c r="C399" s="6"/>
      <c r="D399" s="11"/>
      <c r="E399" s="11"/>
      <c r="F399" s="11"/>
    </row>
    <row x14ac:dyDescent="0.25" r="400" customHeight="1" ht="15.75">
      <c r="A400" s="6"/>
      <c r="B400" s="6"/>
      <c r="C400" s="6"/>
      <c r="D400" s="11"/>
      <c r="E400" s="11"/>
      <c r="F400" s="11"/>
    </row>
    <row x14ac:dyDescent="0.25" r="401" customHeight="1" ht="15.75">
      <c r="A401" s="6"/>
      <c r="B401" s="6"/>
      <c r="C401" s="6"/>
      <c r="D401" s="11"/>
      <c r="E401" s="11"/>
      <c r="F401" s="11"/>
    </row>
    <row x14ac:dyDescent="0.25" r="402" customHeight="1" ht="15.75">
      <c r="A402" s="6"/>
      <c r="B402" s="6"/>
      <c r="C402" s="6"/>
      <c r="D402" s="11"/>
      <c r="E402" s="11"/>
      <c r="F402" s="11"/>
    </row>
    <row x14ac:dyDescent="0.25" r="403" customHeight="1" ht="15.75">
      <c r="A403" s="6"/>
      <c r="B403" s="6"/>
      <c r="C403" s="6"/>
      <c r="D403" s="11"/>
      <c r="E403" s="11"/>
      <c r="F403" s="11"/>
    </row>
    <row x14ac:dyDescent="0.25" r="404" customHeight="1" ht="15.75">
      <c r="A404" s="6"/>
      <c r="B404" s="6"/>
      <c r="C404" s="6"/>
      <c r="D404" s="11"/>
      <c r="E404" s="11"/>
      <c r="F404" s="11"/>
    </row>
    <row x14ac:dyDescent="0.25" r="405" customHeight="1" ht="15.75">
      <c r="A405" s="6"/>
      <c r="B405" s="6"/>
      <c r="C405" s="6"/>
      <c r="D405" s="11"/>
      <c r="E405" s="11"/>
      <c r="F405" s="11"/>
    </row>
    <row x14ac:dyDescent="0.25" r="406" customHeight="1" ht="15.75">
      <c r="A406" s="6"/>
      <c r="B406" s="6"/>
      <c r="C406" s="6"/>
      <c r="D406" s="11"/>
      <c r="E406" s="11"/>
      <c r="F406" s="11"/>
    </row>
    <row x14ac:dyDescent="0.25" r="407" customHeight="1" ht="15.75">
      <c r="A407" s="6"/>
      <c r="B407" s="6"/>
      <c r="C407" s="6"/>
      <c r="D407" s="11"/>
      <c r="E407" s="11"/>
      <c r="F407" s="11"/>
    </row>
    <row x14ac:dyDescent="0.25" r="408" customHeight="1" ht="15.75">
      <c r="A408" s="6"/>
      <c r="B408" s="6"/>
      <c r="C408" s="6"/>
      <c r="D408" s="11"/>
      <c r="E408" s="11"/>
      <c r="F408" s="11"/>
    </row>
    <row x14ac:dyDescent="0.25" r="409" customHeight="1" ht="15.75">
      <c r="A409" s="6"/>
      <c r="B409" s="6"/>
      <c r="C409" s="6"/>
      <c r="D409" s="11"/>
      <c r="E409" s="11"/>
      <c r="F409" s="11"/>
    </row>
    <row x14ac:dyDescent="0.25" r="410" customHeight="1" ht="15.75">
      <c r="A410" s="6"/>
      <c r="B410" s="6"/>
      <c r="C410" s="6"/>
      <c r="D410" s="11"/>
      <c r="E410" s="11"/>
      <c r="F410" s="11"/>
    </row>
    <row x14ac:dyDescent="0.25" r="411" customHeight="1" ht="15.75">
      <c r="A411" s="6"/>
      <c r="B411" s="6"/>
      <c r="C411" s="6"/>
      <c r="D411" s="11"/>
      <c r="E411" s="11"/>
      <c r="F411" s="11"/>
    </row>
    <row x14ac:dyDescent="0.25" r="412" customHeight="1" ht="15.75">
      <c r="A412" s="6"/>
      <c r="B412" s="6"/>
      <c r="C412" s="6"/>
      <c r="D412" s="11"/>
      <c r="E412" s="11"/>
      <c r="F412" s="11"/>
    </row>
    <row x14ac:dyDescent="0.25" r="413" customHeight="1" ht="15.75">
      <c r="A413" s="6"/>
      <c r="B413" s="6"/>
      <c r="C413" s="6"/>
      <c r="D413" s="11"/>
      <c r="E413" s="11"/>
      <c r="F413" s="11"/>
    </row>
    <row x14ac:dyDescent="0.25" r="414" customHeight="1" ht="15.75">
      <c r="A414" s="6"/>
      <c r="B414" s="6"/>
      <c r="C414" s="6"/>
      <c r="D414" s="11"/>
      <c r="E414" s="11"/>
      <c r="F414" s="11"/>
    </row>
    <row x14ac:dyDescent="0.25" r="415" customHeight="1" ht="15.75">
      <c r="A415" s="6"/>
      <c r="B415" s="6"/>
      <c r="C415" s="6"/>
      <c r="D415" s="11"/>
      <c r="E415" s="11"/>
      <c r="F415" s="11"/>
    </row>
    <row x14ac:dyDescent="0.25" r="416" customHeight="1" ht="15.75">
      <c r="A416" s="6"/>
      <c r="B416" s="6"/>
      <c r="C416" s="6"/>
      <c r="D416" s="11"/>
      <c r="E416" s="11"/>
      <c r="F416" s="11"/>
    </row>
    <row x14ac:dyDescent="0.25" r="417" customHeight="1" ht="15.75">
      <c r="A417" s="6"/>
      <c r="B417" s="6"/>
      <c r="C417" s="6"/>
      <c r="D417" s="11"/>
      <c r="E417" s="11"/>
      <c r="F417" s="11"/>
    </row>
    <row x14ac:dyDescent="0.25" r="418" customHeight="1" ht="15.75">
      <c r="A418" s="6"/>
      <c r="B418" s="6"/>
      <c r="C418" s="6"/>
      <c r="D418" s="11"/>
      <c r="E418" s="11"/>
      <c r="F418" s="11"/>
    </row>
    <row x14ac:dyDescent="0.25" r="419" customHeight="1" ht="15.75">
      <c r="A419" s="6"/>
      <c r="B419" s="6"/>
      <c r="C419" s="6"/>
      <c r="D419" s="11"/>
      <c r="E419" s="11"/>
      <c r="F419" s="11"/>
    </row>
    <row x14ac:dyDescent="0.25" r="420" customHeight="1" ht="15.75">
      <c r="A420" s="6"/>
      <c r="B420" s="6"/>
      <c r="C420" s="6"/>
      <c r="D420" s="11"/>
      <c r="E420" s="11"/>
      <c r="F420" s="11"/>
    </row>
    <row x14ac:dyDescent="0.25" r="421" customHeight="1" ht="15.75">
      <c r="A421" s="6"/>
      <c r="B421" s="6"/>
      <c r="C421" s="6"/>
      <c r="D421" s="11"/>
      <c r="E421" s="11"/>
      <c r="F421" s="11"/>
    </row>
    <row x14ac:dyDescent="0.25" r="422" customHeight="1" ht="15.75">
      <c r="A422" s="6"/>
      <c r="B422" s="6"/>
      <c r="C422" s="6"/>
      <c r="D422" s="11"/>
      <c r="E422" s="11"/>
      <c r="F422" s="11"/>
    </row>
    <row x14ac:dyDescent="0.25" r="423" customHeight="1" ht="15.75">
      <c r="A423" s="6"/>
      <c r="B423" s="6"/>
      <c r="C423" s="6"/>
      <c r="D423" s="11"/>
      <c r="E423" s="11"/>
      <c r="F423" s="11"/>
    </row>
    <row x14ac:dyDescent="0.25" r="424" customHeight="1" ht="15.75">
      <c r="A424" s="6"/>
      <c r="B424" s="6"/>
      <c r="C424" s="6"/>
      <c r="D424" s="11"/>
      <c r="E424" s="11"/>
      <c r="F424" s="11"/>
    </row>
    <row x14ac:dyDescent="0.25" r="425" customHeight="1" ht="15.75">
      <c r="A425" s="6"/>
      <c r="B425" s="6"/>
      <c r="C425" s="6"/>
      <c r="D425" s="11"/>
      <c r="E425" s="11"/>
      <c r="F425" s="11"/>
    </row>
    <row x14ac:dyDescent="0.25" r="426" customHeight="1" ht="15.75">
      <c r="A426" s="6"/>
      <c r="B426" s="6"/>
      <c r="C426" s="6"/>
      <c r="D426" s="11"/>
      <c r="E426" s="11"/>
      <c r="F426" s="11"/>
    </row>
    <row x14ac:dyDescent="0.25" r="427" customHeight="1" ht="15.75">
      <c r="A427" s="6"/>
      <c r="B427" s="6"/>
      <c r="C427" s="6"/>
      <c r="D427" s="11"/>
      <c r="E427" s="11"/>
      <c r="F427" s="11"/>
    </row>
    <row x14ac:dyDescent="0.25" r="428" customHeight="1" ht="15.75">
      <c r="A428" s="6"/>
      <c r="B428" s="6"/>
      <c r="C428" s="6"/>
      <c r="D428" s="11"/>
      <c r="E428" s="11"/>
      <c r="F428" s="11"/>
    </row>
    <row x14ac:dyDescent="0.25" r="429" customHeight="1" ht="15.75">
      <c r="A429" s="6"/>
      <c r="B429" s="6"/>
      <c r="C429" s="6"/>
      <c r="D429" s="11"/>
      <c r="E429" s="11"/>
      <c r="F429" s="11"/>
    </row>
    <row x14ac:dyDescent="0.25" r="430" customHeight="1" ht="15.75">
      <c r="A430" s="6"/>
      <c r="B430" s="6"/>
      <c r="C430" s="6"/>
      <c r="D430" s="11"/>
      <c r="E430" s="11"/>
      <c r="F430" s="11"/>
    </row>
    <row x14ac:dyDescent="0.25" r="431" customHeight="1" ht="15.75">
      <c r="A431" s="6"/>
      <c r="B431" s="6"/>
      <c r="C431" s="6"/>
      <c r="D431" s="11"/>
      <c r="E431" s="11"/>
      <c r="F431" s="11"/>
    </row>
    <row x14ac:dyDescent="0.25" r="432" customHeight="1" ht="15.75">
      <c r="A432" s="6"/>
      <c r="B432" s="6"/>
      <c r="C432" s="6"/>
      <c r="D432" s="11"/>
      <c r="E432" s="11"/>
      <c r="F432" s="11"/>
    </row>
    <row x14ac:dyDescent="0.25" r="433" customHeight="1" ht="15.75">
      <c r="A433" s="6"/>
      <c r="B433" s="6"/>
      <c r="C433" s="6"/>
      <c r="D433" s="11"/>
      <c r="E433" s="11"/>
      <c r="F433" s="11"/>
    </row>
    <row x14ac:dyDescent="0.25" r="434" customHeight="1" ht="15.75">
      <c r="A434" s="6"/>
      <c r="B434" s="6"/>
      <c r="C434" s="6"/>
      <c r="D434" s="11"/>
      <c r="E434" s="11"/>
      <c r="F434" s="11"/>
    </row>
    <row x14ac:dyDescent="0.25" r="435" customHeight="1" ht="15.75">
      <c r="A435" s="6"/>
      <c r="B435" s="6"/>
      <c r="C435" s="6"/>
      <c r="D435" s="11"/>
      <c r="E435" s="11"/>
      <c r="F435" s="11"/>
    </row>
    <row x14ac:dyDescent="0.25" r="436" customHeight="1" ht="15.75">
      <c r="A436" s="6"/>
      <c r="B436" s="6"/>
      <c r="C436" s="6"/>
      <c r="D436" s="11"/>
      <c r="E436" s="11"/>
      <c r="F436" s="11"/>
    </row>
    <row x14ac:dyDescent="0.25" r="437" customHeight="1" ht="15.75">
      <c r="A437" s="6"/>
      <c r="B437" s="6"/>
      <c r="C437" s="6"/>
      <c r="D437" s="11"/>
      <c r="E437" s="11"/>
      <c r="F437" s="11"/>
    </row>
    <row x14ac:dyDescent="0.25" r="438" customHeight="1" ht="15.75">
      <c r="A438" s="6"/>
      <c r="B438" s="6"/>
      <c r="C438" s="6"/>
      <c r="D438" s="11"/>
      <c r="E438" s="11"/>
      <c r="F438" s="11"/>
    </row>
    <row x14ac:dyDescent="0.25" r="439" customHeight="1" ht="15.75">
      <c r="A439" s="6"/>
      <c r="B439" s="6"/>
      <c r="C439" s="6"/>
      <c r="D439" s="11"/>
      <c r="E439" s="11"/>
      <c r="F439" s="11"/>
    </row>
    <row x14ac:dyDescent="0.25" r="440" customHeight="1" ht="15.75">
      <c r="A440" s="6"/>
      <c r="B440" s="6"/>
      <c r="C440" s="6"/>
      <c r="D440" s="11"/>
      <c r="E440" s="11"/>
      <c r="F440" s="11"/>
    </row>
    <row x14ac:dyDescent="0.25" r="441" customHeight="1" ht="15.75">
      <c r="A441" s="6"/>
      <c r="B441" s="6"/>
      <c r="C441" s="6"/>
      <c r="D441" s="11"/>
      <c r="E441" s="11"/>
      <c r="F441" s="11"/>
    </row>
    <row x14ac:dyDescent="0.25" r="442" customHeight="1" ht="15.75">
      <c r="A442" s="6"/>
      <c r="B442" s="6"/>
      <c r="C442" s="6"/>
      <c r="D442" s="11"/>
      <c r="E442" s="11"/>
      <c r="F442" s="11"/>
    </row>
    <row x14ac:dyDescent="0.25" r="443" customHeight="1" ht="15.75">
      <c r="A443" s="6"/>
      <c r="B443" s="6"/>
      <c r="C443" s="6"/>
      <c r="D443" s="11"/>
      <c r="E443" s="11"/>
      <c r="F443" s="11"/>
    </row>
    <row x14ac:dyDescent="0.25" r="444" customHeight="1" ht="15.75">
      <c r="A444" s="6"/>
      <c r="B444" s="6"/>
      <c r="C444" s="6"/>
      <c r="D444" s="11"/>
      <c r="E444" s="11"/>
      <c r="F444" s="11"/>
    </row>
    <row x14ac:dyDescent="0.25" r="445" customHeight="1" ht="15.75">
      <c r="A445" s="6"/>
      <c r="B445" s="6"/>
      <c r="C445" s="6"/>
      <c r="D445" s="11"/>
      <c r="E445" s="11"/>
      <c r="F445" s="11"/>
    </row>
    <row x14ac:dyDescent="0.25" r="446" customHeight="1" ht="15.75">
      <c r="A446" s="6"/>
      <c r="B446" s="6"/>
      <c r="C446" s="6"/>
      <c r="D446" s="11"/>
      <c r="E446" s="11"/>
      <c r="F446" s="11"/>
    </row>
    <row x14ac:dyDescent="0.25" r="447" customHeight="1" ht="15.75">
      <c r="A447" s="6"/>
      <c r="B447" s="6"/>
      <c r="C447" s="6"/>
      <c r="D447" s="11"/>
      <c r="E447" s="11"/>
      <c r="F447" s="11"/>
    </row>
    <row x14ac:dyDescent="0.25" r="448" customHeight="1" ht="15.75">
      <c r="A448" s="6"/>
      <c r="B448" s="6"/>
      <c r="C448" s="6"/>
      <c r="D448" s="11"/>
      <c r="E448" s="11"/>
      <c r="F448" s="11"/>
    </row>
    <row x14ac:dyDescent="0.25" r="449" customHeight="1" ht="15.75">
      <c r="A449" s="6"/>
      <c r="B449" s="6"/>
      <c r="C449" s="6"/>
      <c r="D449" s="11"/>
      <c r="E449" s="11"/>
      <c r="F449" s="11"/>
    </row>
    <row x14ac:dyDescent="0.25" r="450" customHeight="1" ht="15.75">
      <c r="A450" s="6"/>
      <c r="B450" s="6"/>
      <c r="C450" s="6"/>
      <c r="D450" s="11"/>
      <c r="E450" s="11"/>
      <c r="F450" s="11"/>
    </row>
    <row x14ac:dyDescent="0.25" r="451" customHeight="1" ht="15.75">
      <c r="A451" s="6"/>
      <c r="B451" s="6"/>
      <c r="C451" s="6"/>
      <c r="D451" s="11"/>
      <c r="E451" s="11"/>
      <c r="F451" s="11"/>
    </row>
    <row x14ac:dyDescent="0.25" r="452" customHeight="1" ht="15.75">
      <c r="A452" s="6"/>
      <c r="B452" s="6"/>
      <c r="C452" s="6"/>
      <c r="D452" s="11"/>
      <c r="E452" s="11"/>
      <c r="F452" s="11"/>
    </row>
    <row x14ac:dyDescent="0.25" r="453" customHeight="1" ht="15.75">
      <c r="A453" s="6"/>
      <c r="B453" s="6"/>
      <c r="C453" s="6"/>
      <c r="D453" s="11"/>
      <c r="E453" s="11"/>
      <c r="F453" s="11"/>
    </row>
    <row x14ac:dyDescent="0.25" r="454" customHeight="1" ht="15.75">
      <c r="A454" s="6"/>
      <c r="B454" s="6"/>
      <c r="C454" s="6"/>
      <c r="D454" s="11"/>
      <c r="E454" s="11"/>
      <c r="F454" s="11"/>
    </row>
    <row x14ac:dyDescent="0.25" r="455" customHeight="1" ht="15.75">
      <c r="A455" s="6"/>
      <c r="B455" s="6"/>
      <c r="C455" s="6"/>
      <c r="D455" s="11"/>
      <c r="E455" s="11"/>
      <c r="F455" s="11"/>
    </row>
    <row x14ac:dyDescent="0.25" r="456" customHeight="1" ht="15.75">
      <c r="A456" s="6"/>
      <c r="B456" s="6"/>
      <c r="C456" s="6"/>
      <c r="D456" s="11"/>
      <c r="E456" s="11"/>
      <c r="F456" s="11"/>
    </row>
    <row x14ac:dyDescent="0.25" r="457" customHeight="1" ht="15.75">
      <c r="A457" s="6"/>
      <c r="B457" s="6"/>
      <c r="C457" s="6"/>
      <c r="D457" s="11"/>
      <c r="E457" s="11"/>
      <c r="F457" s="11"/>
    </row>
    <row x14ac:dyDescent="0.25" r="458" customHeight="1" ht="15.75">
      <c r="A458" s="6"/>
      <c r="B458" s="6"/>
      <c r="C458" s="6"/>
      <c r="D458" s="11"/>
      <c r="E458" s="11"/>
      <c r="F458" s="11"/>
    </row>
    <row x14ac:dyDescent="0.25" r="459" customHeight="1" ht="15.75">
      <c r="A459" s="6"/>
      <c r="B459" s="6"/>
      <c r="C459" s="6"/>
      <c r="D459" s="11"/>
      <c r="E459" s="11"/>
      <c r="F459" s="11"/>
    </row>
    <row x14ac:dyDescent="0.25" r="460" customHeight="1" ht="15.75">
      <c r="A460" s="6"/>
      <c r="B460" s="6"/>
      <c r="C460" s="6"/>
      <c r="D460" s="11"/>
      <c r="E460" s="11"/>
      <c r="F460" s="11"/>
    </row>
    <row x14ac:dyDescent="0.25" r="461" customHeight="1" ht="15.75">
      <c r="A461" s="6"/>
      <c r="B461" s="6"/>
      <c r="C461" s="6"/>
      <c r="D461" s="11"/>
      <c r="E461" s="11"/>
      <c r="F461" s="11"/>
    </row>
    <row x14ac:dyDescent="0.25" r="462" customHeight="1" ht="15.75">
      <c r="A462" s="6"/>
      <c r="B462" s="6"/>
      <c r="C462" s="6"/>
      <c r="D462" s="11"/>
      <c r="E462" s="11"/>
      <c r="F462" s="11"/>
    </row>
    <row x14ac:dyDescent="0.25" r="463" customHeight="1" ht="15.75">
      <c r="A463" s="6"/>
      <c r="B463" s="6"/>
      <c r="C463" s="6"/>
      <c r="D463" s="11"/>
      <c r="E463" s="11"/>
      <c r="F463" s="11"/>
    </row>
    <row x14ac:dyDescent="0.25" r="464" customHeight="1" ht="15.75">
      <c r="A464" s="6"/>
      <c r="B464" s="6"/>
      <c r="C464" s="6"/>
      <c r="D464" s="11"/>
      <c r="E464" s="11"/>
      <c r="F464" s="11"/>
    </row>
    <row x14ac:dyDescent="0.25" r="465" customHeight="1" ht="15.75">
      <c r="A465" s="6"/>
      <c r="B465" s="6"/>
      <c r="C465" s="6"/>
      <c r="D465" s="11"/>
      <c r="E465" s="11"/>
      <c r="F465" s="11"/>
    </row>
    <row x14ac:dyDescent="0.25" r="466" customHeight="1" ht="15.75">
      <c r="A466" s="6"/>
      <c r="B466" s="6"/>
      <c r="C466" s="6"/>
      <c r="D466" s="11"/>
      <c r="E466" s="11"/>
      <c r="F466" s="11"/>
    </row>
    <row x14ac:dyDescent="0.25" r="467" customHeight="1" ht="15.75">
      <c r="A467" s="6"/>
      <c r="B467" s="6"/>
      <c r="C467" s="6"/>
      <c r="D467" s="11"/>
      <c r="E467" s="11"/>
      <c r="F467" s="11"/>
    </row>
    <row x14ac:dyDescent="0.25" r="468" customHeight="1" ht="15.75">
      <c r="A468" s="6"/>
      <c r="B468" s="6"/>
      <c r="C468" s="6"/>
      <c r="D468" s="11"/>
      <c r="E468" s="11"/>
      <c r="F468" s="11"/>
    </row>
    <row x14ac:dyDescent="0.25" r="469" customHeight="1" ht="15.75">
      <c r="A469" s="6"/>
      <c r="B469" s="6"/>
      <c r="C469" s="6"/>
      <c r="D469" s="11"/>
      <c r="E469" s="11"/>
      <c r="F469" s="11"/>
    </row>
    <row x14ac:dyDescent="0.25" r="470" customHeight="1" ht="15.75">
      <c r="A470" s="6"/>
      <c r="B470" s="6"/>
      <c r="C470" s="6"/>
      <c r="D470" s="11"/>
      <c r="E470" s="11"/>
      <c r="F470" s="11"/>
    </row>
    <row x14ac:dyDescent="0.25" r="471" customHeight="1" ht="15.75">
      <c r="A471" s="6"/>
      <c r="B471" s="6"/>
      <c r="C471" s="6"/>
      <c r="D471" s="11"/>
      <c r="E471" s="11"/>
      <c r="F471" s="11"/>
    </row>
    <row x14ac:dyDescent="0.25" r="472" customHeight="1" ht="15.75">
      <c r="A472" s="6"/>
      <c r="B472" s="6"/>
      <c r="C472" s="6"/>
      <c r="D472" s="11"/>
      <c r="E472" s="11"/>
      <c r="F472" s="11"/>
    </row>
    <row x14ac:dyDescent="0.25" r="473" customHeight="1" ht="15.75">
      <c r="A473" s="6"/>
      <c r="B473" s="6"/>
      <c r="C473" s="6"/>
      <c r="D473" s="11"/>
      <c r="E473" s="11"/>
      <c r="F473" s="11"/>
    </row>
    <row x14ac:dyDescent="0.25" r="474" customHeight="1" ht="15.75">
      <c r="A474" s="6"/>
      <c r="B474" s="6"/>
      <c r="C474" s="6"/>
      <c r="D474" s="11"/>
      <c r="E474" s="11"/>
      <c r="F474" s="11"/>
    </row>
    <row x14ac:dyDescent="0.25" r="475" customHeight="1" ht="15.75">
      <c r="A475" s="6"/>
      <c r="B475" s="6"/>
      <c r="C475" s="6"/>
      <c r="D475" s="11"/>
      <c r="E475" s="11"/>
      <c r="F475" s="11"/>
    </row>
    <row x14ac:dyDescent="0.25" r="476" customHeight="1" ht="15.75">
      <c r="A476" s="6"/>
      <c r="B476" s="6"/>
      <c r="C476" s="6"/>
      <c r="D476" s="11"/>
      <c r="E476" s="11"/>
      <c r="F476" s="11"/>
    </row>
    <row x14ac:dyDescent="0.25" r="477" customHeight="1" ht="15.75">
      <c r="A477" s="6"/>
      <c r="B477" s="6"/>
      <c r="C477" s="6"/>
      <c r="D477" s="11"/>
      <c r="E477" s="11"/>
      <c r="F477" s="11"/>
    </row>
    <row x14ac:dyDescent="0.25" r="478" customHeight="1" ht="15.75">
      <c r="A478" s="6"/>
      <c r="B478" s="6"/>
      <c r="C478" s="6"/>
      <c r="D478" s="11"/>
      <c r="E478" s="11"/>
      <c r="F478" s="11"/>
    </row>
    <row x14ac:dyDescent="0.25" r="479" customHeight="1" ht="15.75">
      <c r="A479" s="6"/>
      <c r="B479" s="6"/>
      <c r="C479" s="6"/>
      <c r="D479" s="11"/>
      <c r="E479" s="11"/>
      <c r="F479" s="11"/>
    </row>
    <row x14ac:dyDescent="0.25" r="480" customHeight="1" ht="15.75">
      <c r="A480" s="6"/>
      <c r="B480" s="6"/>
      <c r="C480" s="6"/>
      <c r="D480" s="11"/>
      <c r="E480" s="11"/>
      <c r="F480" s="11"/>
    </row>
    <row x14ac:dyDescent="0.25" r="481" customHeight="1" ht="15.75">
      <c r="A481" s="6"/>
      <c r="B481" s="6"/>
      <c r="C481" s="6"/>
      <c r="D481" s="11"/>
      <c r="E481" s="11"/>
      <c r="F481" s="11"/>
    </row>
    <row x14ac:dyDescent="0.25" r="482" customHeight="1" ht="15.75">
      <c r="A482" s="6"/>
      <c r="B482" s="6"/>
      <c r="C482" s="6"/>
      <c r="D482" s="11"/>
      <c r="E482" s="11"/>
      <c r="F482" s="11"/>
    </row>
    <row x14ac:dyDescent="0.25" r="483" customHeight="1" ht="15.75">
      <c r="A483" s="6"/>
      <c r="B483" s="6"/>
      <c r="C483" s="6"/>
      <c r="D483" s="11"/>
      <c r="E483" s="11"/>
      <c r="F483" s="11"/>
    </row>
    <row x14ac:dyDescent="0.25" r="484" customHeight="1" ht="15.75">
      <c r="A484" s="6"/>
      <c r="B484" s="6"/>
      <c r="C484" s="6"/>
      <c r="D484" s="11"/>
      <c r="E484" s="11"/>
      <c r="F484" s="11"/>
    </row>
    <row x14ac:dyDescent="0.25" r="485" customHeight="1" ht="15.75">
      <c r="A485" s="6"/>
      <c r="B485" s="6"/>
      <c r="C485" s="6"/>
      <c r="D485" s="11"/>
      <c r="E485" s="11"/>
      <c r="F485" s="11"/>
    </row>
    <row x14ac:dyDescent="0.25" r="486" customHeight="1" ht="15.75">
      <c r="A486" s="6"/>
      <c r="B486" s="6"/>
      <c r="C486" s="6"/>
      <c r="D486" s="11"/>
      <c r="E486" s="11"/>
      <c r="F486" s="11"/>
    </row>
    <row x14ac:dyDescent="0.25" r="487" customHeight="1" ht="15.75">
      <c r="A487" s="6"/>
      <c r="B487" s="6"/>
      <c r="C487" s="6"/>
      <c r="D487" s="11"/>
      <c r="E487" s="11"/>
      <c r="F487" s="11"/>
    </row>
    <row x14ac:dyDescent="0.25" r="488" customHeight="1" ht="15.75">
      <c r="A488" s="6"/>
      <c r="B488" s="6"/>
      <c r="C488" s="6"/>
      <c r="D488" s="11"/>
      <c r="E488" s="11"/>
      <c r="F488" s="11"/>
    </row>
    <row x14ac:dyDescent="0.25" r="489" customHeight="1" ht="15.75">
      <c r="A489" s="6"/>
      <c r="B489" s="6"/>
      <c r="C489" s="6"/>
      <c r="D489" s="11"/>
      <c r="E489" s="11"/>
      <c r="F489" s="11"/>
    </row>
    <row x14ac:dyDescent="0.25" r="490" customHeight="1" ht="15.75">
      <c r="A490" s="6"/>
      <c r="B490" s="6"/>
      <c r="C490" s="6"/>
      <c r="D490" s="11"/>
      <c r="E490" s="11"/>
      <c r="F490" s="11"/>
    </row>
    <row x14ac:dyDescent="0.25" r="491" customHeight="1" ht="15.75">
      <c r="A491" s="6"/>
      <c r="B491" s="6"/>
      <c r="C491" s="6"/>
      <c r="D491" s="11"/>
      <c r="E491" s="11"/>
      <c r="F491" s="11"/>
    </row>
    <row x14ac:dyDescent="0.25" r="492" customHeight="1" ht="15.75">
      <c r="A492" s="6"/>
      <c r="B492" s="6"/>
      <c r="C492" s="6"/>
      <c r="D492" s="11"/>
      <c r="E492" s="11"/>
      <c r="F492" s="11"/>
    </row>
    <row x14ac:dyDescent="0.25" r="493" customHeight="1" ht="15.75">
      <c r="A493" s="6"/>
      <c r="B493" s="6"/>
      <c r="C493" s="6"/>
      <c r="D493" s="11"/>
      <c r="E493" s="11"/>
      <c r="F493" s="11"/>
    </row>
    <row x14ac:dyDescent="0.25" r="494" customHeight="1" ht="15.75">
      <c r="A494" s="6"/>
      <c r="B494" s="6"/>
      <c r="C494" s="6"/>
      <c r="D494" s="11"/>
      <c r="E494" s="11"/>
      <c r="F494" s="11"/>
    </row>
    <row x14ac:dyDescent="0.25" r="495" customHeight="1" ht="15.75">
      <c r="A495" s="6"/>
      <c r="B495" s="6"/>
      <c r="C495" s="6"/>
      <c r="D495" s="11"/>
      <c r="E495" s="11"/>
      <c r="F495" s="11"/>
    </row>
    <row x14ac:dyDescent="0.25" r="496" customHeight="1" ht="15.75">
      <c r="A496" s="6"/>
      <c r="B496" s="6"/>
      <c r="C496" s="6"/>
      <c r="D496" s="11"/>
      <c r="E496" s="11"/>
      <c r="F496" s="11"/>
    </row>
    <row x14ac:dyDescent="0.25" r="497" customHeight="1" ht="15.75">
      <c r="A497" s="6"/>
      <c r="B497" s="6"/>
      <c r="C497" s="6"/>
      <c r="D497" s="11"/>
      <c r="E497" s="11"/>
      <c r="F497" s="11"/>
    </row>
    <row x14ac:dyDescent="0.25" r="498" customHeight="1" ht="15.75">
      <c r="A498" s="6"/>
      <c r="B498" s="6"/>
      <c r="C498" s="6"/>
      <c r="D498" s="11"/>
      <c r="E498" s="11"/>
      <c r="F498" s="11"/>
    </row>
    <row x14ac:dyDescent="0.25" r="499" customHeight="1" ht="15.75">
      <c r="A499" s="6"/>
      <c r="B499" s="6"/>
      <c r="C499" s="6"/>
      <c r="D499" s="11"/>
      <c r="E499" s="11"/>
      <c r="F499" s="11"/>
    </row>
    <row x14ac:dyDescent="0.25" r="500" customHeight="1" ht="15.75">
      <c r="A500" s="6"/>
      <c r="B500" s="6"/>
      <c r="C500" s="6"/>
      <c r="D500" s="11"/>
      <c r="E500" s="11"/>
      <c r="F500" s="11"/>
    </row>
    <row x14ac:dyDescent="0.25" r="501" customHeight="1" ht="15.75">
      <c r="A501" s="6"/>
      <c r="B501" s="6"/>
      <c r="C501" s="6"/>
      <c r="D501" s="11"/>
      <c r="E501" s="11"/>
      <c r="F501" s="11"/>
    </row>
    <row x14ac:dyDescent="0.25" r="502" customHeight="1" ht="15.75">
      <c r="A502" s="6"/>
      <c r="B502" s="6"/>
      <c r="C502" s="6"/>
      <c r="D502" s="11"/>
      <c r="E502" s="11"/>
      <c r="F502" s="11"/>
    </row>
    <row x14ac:dyDescent="0.25" r="503" customHeight="1" ht="15.75">
      <c r="A503" s="6"/>
      <c r="B503" s="6"/>
      <c r="C503" s="6"/>
      <c r="D503" s="11"/>
      <c r="E503" s="11"/>
      <c r="F503" s="11"/>
    </row>
    <row x14ac:dyDescent="0.25" r="504" customHeight="1" ht="15.75">
      <c r="A504" s="6"/>
      <c r="B504" s="6"/>
      <c r="C504" s="6"/>
      <c r="D504" s="11"/>
      <c r="E504" s="11"/>
      <c r="F504" s="11"/>
    </row>
    <row x14ac:dyDescent="0.25" r="505" customHeight="1" ht="15.75">
      <c r="A505" s="6"/>
      <c r="B505" s="6"/>
      <c r="C505" s="6"/>
      <c r="D505" s="11"/>
      <c r="E505" s="11"/>
      <c r="F505" s="11"/>
    </row>
    <row x14ac:dyDescent="0.25" r="506" customHeight="1" ht="15.75">
      <c r="A506" s="6"/>
      <c r="B506" s="6"/>
      <c r="C506" s="6"/>
      <c r="D506" s="11"/>
      <c r="E506" s="11"/>
      <c r="F506" s="11"/>
    </row>
    <row x14ac:dyDescent="0.25" r="507" customHeight="1" ht="15.75">
      <c r="A507" s="6"/>
      <c r="B507" s="6"/>
      <c r="C507" s="6"/>
      <c r="D507" s="11"/>
      <c r="E507" s="11"/>
      <c r="F507" s="11"/>
    </row>
    <row x14ac:dyDescent="0.25" r="508" customHeight="1" ht="15.75">
      <c r="A508" s="6"/>
      <c r="B508" s="6"/>
      <c r="C508" s="6"/>
      <c r="D508" s="11"/>
      <c r="E508" s="11"/>
      <c r="F508" s="11"/>
    </row>
    <row x14ac:dyDescent="0.25" r="509" customHeight="1" ht="15.75">
      <c r="A509" s="6"/>
      <c r="B509" s="6"/>
      <c r="C509" s="6"/>
      <c r="D509" s="11"/>
      <c r="E509" s="11"/>
      <c r="F509" s="11"/>
    </row>
    <row x14ac:dyDescent="0.25" r="510" customHeight="1" ht="15.75">
      <c r="A510" s="6"/>
      <c r="B510" s="6"/>
      <c r="C510" s="6"/>
      <c r="D510" s="11"/>
      <c r="E510" s="11"/>
      <c r="F510" s="11"/>
    </row>
    <row x14ac:dyDescent="0.25" r="511" customHeight="1" ht="15.75">
      <c r="A511" s="6"/>
      <c r="B511" s="6"/>
      <c r="C511" s="6"/>
      <c r="D511" s="11"/>
      <c r="E511" s="11"/>
      <c r="F511" s="11"/>
    </row>
    <row x14ac:dyDescent="0.25" r="512" customHeight="1" ht="15.75">
      <c r="A512" s="6"/>
      <c r="B512" s="6"/>
      <c r="C512" s="6"/>
      <c r="D512" s="11"/>
      <c r="E512" s="11"/>
      <c r="F512" s="11"/>
    </row>
    <row x14ac:dyDescent="0.25" r="513" customHeight="1" ht="15.75">
      <c r="A513" s="6"/>
      <c r="B513" s="6"/>
      <c r="C513" s="6"/>
      <c r="D513" s="11"/>
      <c r="E513" s="11"/>
      <c r="F513" s="11"/>
    </row>
    <row x14ac:dyDescent="0.25" r="514" customHeight="1" ht="15.75">
      <c r="A514" s="6"/>
      <c r="B514" s="6"/>
      <c r="C514" s="6"/>
      <c r="D514" s="11"/>
      <c r="E514" s="11"/>
      <c r="F514" s="11"/>
    </row>
    <row x14ac:dyDescent="0.25" r="515" customHeight="1" ht="15.75">
      <c r="A515" s="6"/>
      <c r="B515" s="6"/>
      <c r="C515" s="6"/>
      <c r="D515" s="11"/>
      <c r="E515" s="11"/>
      <c r="F515" s="11"/>
    </row>
    <row x14ac:dyDescent="0.25" r="516" customHeight="1" ht="15.75">
      <c r="A516" s="6"/>
      <c r="B516" s="6"/>
      <c r="C516" s="6"/>
      <c r="D516" s="11"/>
      <c r="E516" s="11"/>
      <c r="F516" s="11"/>
    </row>
    <row x14ac:dyDescent="0.25" r="517" customHeight="1" ht="15.75">
      <c r="A517" s="6"/>
      <c r="B517" s="6"/>
      <c r="C517" s="6"/>
      <c r="D517" s="11"/>
      <c r="E517" s="11"/>
      <c r="F517" s="11"/>
    </row>
    <row x14ac:dyDescent="0.25" r="518" customHeight="1" ht="15.75">
      <c r="A518" s="6"/>
      <c r="B518" s="6"/>
      <c r="C518" s="6"/>
      <c r="D518" s="11"/>
      <c r="E518" s="11"/>
      <c r="F518" s="11"/>
    </row>
    <row x14ac:dyDescent="0.25" r="519" customHeight="1" ht="15.75">
      <c r="A519" s="6"/>
      <c r="B519" s="6"/>
      <c r="C519" s="6"/>
      <c r="D519" s="11"/>
      <c r="E519" s="11"/>
      <c r="F519" s="11"/>
    </row>
    <row x14ac:dyDescent="0.25" r="520" customHeight="1" ht="15.75">
      <c r="A520" s="6"/>
      <c r="B520" s="6"/>
      <c r="C520" s="6"/>
      <c r="D520" s="11"/>
      <c r="E520" s="11"/>
      <c r="F520" s="11"/>
    </row>
    <row x14ac:dyDescent="0.25" r="521" customHeight="1" ht="15.75">
      <c r="A521" s="6"/>
      <c r="B521" s="6"/>
      <c r="C521" s="6"/>
      <c r="D521" s="11"/>
      <c r="E521" s="11"/>
      <c r="F521" s="11"/>
    </row>
    <row x14ac:dyDescent="0.25" r="522" customHeight="1" ht="15.75">
      <c r="A522" s="6"/>
      <c r="B522" s="6"/>
      <c r="C522" s="6"/>
      <c r="D522" s="11"/>
      <c r="E522" s="11"/>
      <c r="F522" s="11"/>
    </row>
    <row x14ac:dyDescent="0.25" r="523" customHeight="1" ht="15.75">
      <c r="A523" s="6"/>
      <c r="B523" s="6"/>
      <c r="C523" s="6"/>
      <c r="D523" s="11"/>
      <c r="E523" s="11"/>
      <c r="F523" s="11"/>
    </row>
    <row x14ac:dyDescent="0.25" r="524" customHeight="1" ht="15.75">
      <c r="A524" s="6"/>
      <c r="B524" s="6"/>
      <c r="C524" s="6"/>
      <c r="D524" s="11"/>
      <c r="E524" s="11"/>
      <c r="F524" s="11"/>
    </row>
    <row x14ac:dyDescent="0.25" r="525" customHeight="1" ht="15.75">
      <c r="A525" s="6"/>
      <c r="B525" s="6"/>
      <c r="C525" s="6"/>
      <c r="D525" s="11"/>
      <c r="E525" s="11"/>
      <c r="F525" s="11"/>
    </row>
    <row x14ac:dyDescent="0.25" r="526" customHeight="1" ht="15.75">
      <c r="A526" s="6"/>
      <c r="B526" s="6"/>
      <c r="C526" s="6"/>
      <c r="D526" s="11"/>
      <c r="E526" s="11"/>
      <c r="F526" s="11"/>
    </row>
    <row x14ac:dyDescent="0.25" r="527" customHeight="1" ht="15.75">
      <c r="A527" s="6"/>
      <c r="B527" s="6"/>
      <c r="C527" s="6"/>
      <c r="D527" s="11"/>
      <c r="E527" s="11"/>
      <c r="F527" s="11"/>
    </row>
    <row x14ac:dyDescent="0.25" r="528" customHeight="1" ht="15.75">
      <c r="A528" s="6"/>
      <c r="B528" s="6"/>
      <c r="C528" s="6"/>
      <c r="D528" s="11"/>
      <c r="E528" s="11"/>
      <c r="F528" s="11"/>
    </row>
    <row x14ac:dyDescent="0.25" r="529" customHeight="1" ht="15.75">
      <c r="A529" s="6"/>
      <c r="B529" s="6"/>
      <c r="C529" s="6"/>
      <c r="D529" s="11"/>
      <c r="E529" s="11"/>
      <c r="F529" s="11"/>
    </row>
    <row x14ac:dyDescent="0.25" r="530" customHeight="1" ht="15.75">
      <c r="A530" s="6"/>
      <c r="B530" s="6"/>
      <c r="C530" s="6"/>
      <c r="D530" s="11"/>
      <c r="E530" s="11"/>
      <c r="F530" s="11"/>
    </row>
    <row x14ac:dyDescent="0.25" r="531" customHeight="1" ht="15.75">
      <c r="A531" s="6"/>
      <c r="B531" s="6"/>
      <c r="C531" s="6"/>
      <c r="D531" s="11"/>
      <c r="E531" s="11"/>
      <c r="F531" s="11"/>
    </row>
    <row x14ac:dyDescent="0.25" r="532" customHeight="1" ht="15.75">
      <c r="A532" s="6"/>
      <c r="B532" s="6"/>
      <c r="C532" s="6"/>
      <c r="D532" s="11"/>
      <c r="E532" s="11"/>
      <c r="F532" s="11"/>
    </row>
    <row x14ac:dyDescent="0.25" r="533" customHeight="1" ht="15.75">
      <c r="A533" s="6"/>
      <c r="B533" s="6"/>
      <c r="C533" s="6"/>
      <c r="D533" s="11"/>
      <c r="E533" s="11"/>
      <c r="F533" s="11"/>
    </row>
    <row x14ac:dyDescent="0.25" r="534" customHeight="1" ht="15.75">
      <c r="A534" s="6"/>
      <c r="B534" s="6"/>
      <c r="C534" s="6"/>
      <c r="D534" s="11"/>
      <c r="E534" s="11"/>
      <c r="F534" s="11"/>
    </row>
    <row x14ac:dyDescent="0.25" r="535" customHeight="1" ht="15.75">
      <c r="A535" s="6"/>
      <c r="B535" s="6"/>
      <c r="C535" s="6"/>
      <c r="D535" s="11"/>
      <c r="E535" s="11"/>
      <c r="F535" s="11"/>
    </row>
    <row x14ac:dyDescent="0.25" r="536" customHeight="1" ht="15.75">
      <c r="A536" s="6"/>
      <c r="B536" s="6"/>
      <c r="C536" s="6"/>
      <c r="D536" s="11"/>
      <c r="E536" s="11"/>
      <c r="F536" s="11"/>
    </row>
    <row x14ac:dyDescent="0.25" r="537" customHeight="1" ht="15.75">
      <c r="A537" s="6"/>
      <c r="B537" s="6"/>
      <c r="C537" s="6"/>
      <c r="D537" s="11"/>
      <c r="E537" s="11"/>
      <c r="F537" s="11"/>
    </row>
    <row x14ac:dyDescent="0.25" r="538" customHeight="1" ht="15.75">
      <c r="A538" s="6"/>
      <c r="B538" s="6"/>
      <c r="C538" s="6"/>
      <c r="D538" s="11"/>
      <c r="E538" s="11"/>
      <c r="F538" s="11"/>
    </row>
    <row x14ac:dyDescent="0.25" r="539" customHeight="1" ht="15.75">
      <c r="A539" s="6"/>
      <c r="B539" s="6"/>
      <c r="C539" s="6"/>
      <c r="D539" s="11"/>
      <c r="E539" s="11"/>
      <c r="F539" s="11"/>
    </row>
    <row x14ac:dyDescent="0.25" r="540" customHeight="1" ht="15.75">
      <c r="A540" s="6"/>
      <c r="B540" s="6"/>
      <c r="C540" s="6"/>
      <c r="D540" s="11"/>
      <c r="E540" s="11"/>
      <c r="F540" s="11"/>
    </row>
    <row x14ac:dyDescent="0.25" r="541" customHeight="1" ht="15.75">
      <c r="A541" s="6"/>
      <c r="B541" s="6"/>
      <c r="C541" s="6"/>
      <c r="D541" s="11"/>
      <c r="E541" s="11"/>
      <c r="F541" s="11"/>
    </row>
    <row x14ac:dyDescent="0.25" r="542" customHeight="1" ht="15.75">
      <c r="A542" s="6"/>
      <c r="B542" s="6"/>
      <c r="C542" s="6"/>
      <c r="D542" s="11"/>
      <c r="E542" s="11"/>
      <c r="F542" s="11"/>
    </row>
    <row x14ac:dyDescent="0.25" r="543" customHeight="1" ht="15.75">
      <c r="A543" s="6"/>
      <c r="B543" s="6"/>
      <c r="C543" s="6"/>
      <c r="D543" s="11"/>
      <c r="E543" s="11"/>
      <c r="F543" s="11"/>
    </row>
    <row x14ac:dyDescent="0.25" r="544" customHeight="1" ht="15.75">
      <c r="A544" s="6"/>
      <c r="B544" s="6"/>
      <c r="C544" s="6"/>
      <c r="D544" s="11"/>
      <c r="E544" s="11"/>
      <c r="F544" s="11"/>
    </row>
    <row x14ac:dyDescent="0.25" r="545" customHeight="1" ht="15.75">
      <c r="A545" s="6"/>
      <c r="B545" s="6"/>
      <c r="C545" s="6"/>
      <c r="D545" s="11"/>
      <c r="E545" s="11"/>
      <c r="F545" s="11"/>
    </row>
    <row x14ac:dyDescent="0.25" r="546" customHeight="1" ht="15.75">
      <c r="A546" s="6"/>
      <c r="B546" s="6"/>
      <c r="C546" s="6"/>
      <c r="D546" s="11"/>
      <c r="E546" s="11"/>
      <c r="F546" s="11"/>
    </row>
    <row x14ac:dyDescent="0.25" r="547" customHeight="1" ht="15.75">
      <c r="A547" s="6"/>
      <c r="B547" s="6"/>
      <c r="C547" s="6"/>
      <c r="D547" s="11"/>
      <c r="E547" s="11"/>
      <c r="F547" s="11"/>
    </row>
    <row x14ac:dyDescent="0.25" r="548" customHeight="1" ht="15.75">
      <c r="A548" s="6"/>
      <c r="B548" s="6"/>
      <c r="C548" s="6"/>
      <c r="D548" s="11"/>
      <c r="E548" s="11"/>
      <c r="F548" s="11"/>
    </row>
    <row x14ac:dyDescent="0.25" r="549" customHeight="1" ht="15.75">
      <c r="A549" s="6"/>
      <c r="B549" s="6"/>
      <c r="C549" s="6"/>
      <c r="D549" s="11"/>
      <c r="E549" s="11"/>
      <c r="F549" s="11"/>
    </row>
    <row x14ac:dyDescent="0.25" r="550" customHeight="1" ht="15.75">
      <c r="A550" s="6"/>
      <c r="B550" s="6"/>
      <c r="C550" s="6"/>
      <c r="D550" s="11"/>
      <c r="E550" s="11"/>
      <c r="F550" s="11"/>
    </row>
    <row x14ac:dyDescent="0.25" r="551" customHeight="1" ht="15.75">
      <c r="A551" s="6"/>
      <c r="B551" s="6"/>
      <c r="C551" s="6"/>
      <c r="D551" s="11"/>
      <c r="E551" s="11"/>
      <c r="F551" s="11"/>
    </row>
    <row x14ac:dyDescent="0.25" r="552" customHeight="1" ht="15.75">
      <c r="A552" s="6"/>
      <c r="B552" s="6"/>
      <c r="C552" s="6"/>
      <c r="D552" s="11"/>
      <c r="E552" s="11"/>
      <c r="F552" s="11"/>
    </row>
    <row x14ac:dyDescent="0.25" r="553" customHeight="1" ht="15.75">
      <c r="A553" s="6"/>
      <c r="B553" s="6"/>
      <c r="C553" s="6"/>
      <c r="D553" s="11"/>
      <c r="E553" s="11"/>
      <c r="F553" s="11"/>
    </row>
    <row x14ac:dyDescent="0.25" r="554" customHeight="1" ht="15.75">
      <c r="A554" s="6"/>
      <c r="B554" s="6"/>
      <c r="C554" s="6"/>
      <c r="D554" s="11"/>
      <c r="E554" s="11"/>
      <c r="F554" s="11"/>
    </row>
    <row x14ac:dyDescent="0.25" r="555" customHeight="1" ht="15.75">
      <c r="A555" s="6"/>
      <c r="B555" s="6"/>
      <c r="C555" s="6"/>
      <c r="D555" s="11"/>
      <c r="E555" s="11"/>
      <c r="F555" s="11"/>
    </row>
    <row x14ac:dyDescent="0.25" r="556" customHeight="1" ht="15.75">
      <c r="A556" s="6"/>
      <c r="B556" s="6"/>
      <c r="C556" s="6"/>
      <c r="D556" s="11"/>
      <c r="E556" s="11"/>
      <c r="F556" s="11"/>
    </row>
    <row x14ac:dyDescent="0.25" r="557" customHeight="1" ht="15.75">
      <c r="A557" s="6"/>
      <c r="B557" s="6"/>
      <c r="C557" s="6"/>
      <c r="D557" s="11"/>
      <c r="E557" s="11"/>
      <c r="F557" s="11"/>
    </row>
    <row x14ac:dyDescent="0.25" r="558" customHeight="1" ht="15.75">
      <c r="A558" s="6"/>
      <c r="B558" s="6"/>
      <c r="C558" s="6"/>
      <c r="D558" s="11"/>
      <c r="E558" s="11"/>
      <c r="F558" s="11"/>
    </row>
    <row x14ac:dyDescent="0.25" r="559" customHeight="1" ht="15.75">
      <c r="A559" s="6"/>
      <c r="B559" s="6"/>
      <c r="C559" s="6"/>
      <c r="D559" s="11"/>
      <c r="E559" s="11"/>
      <c r="F559" s="11"/>
    </row>
    <row x14ac:dyDescent="0.25" r="560" customHeight="1" ht="15.75">
      <c r="A560" s="6"/>
      <c r="B560" s="6"/>
      <c r="C560" s="6"/>
      <c r="D560" s="11"/>
      <c r="E560" s="11"/>
      <c r="F560" s="11"/>
    </row>
    <row x14ac:dyDescent="0.25" r="561" customHeight="1" ht="15.75">
      <c r="A561" s="6"/>
      <c r="B561" s="6"/>
      <c r="C561" s="6"/>
      <c r="D561" s="11"/>
      <c r="E561" s="11"/>
      <c r="F561" s="11"/>
    </row>
    <row x14ac:dyDescent="0.25" r="562" customHeight="1" ht="15.75">
      <c r="A562" s="6"/>
      <c r="B562" s="6"/>
      <c r="C562" s="6"/>
      <c r="D562" s="11"/>
      <c r="E562" s="11"/>
      <c r="F562" s="11"/>
    </row>
    <row x14ac:dyDescent="0.25" r="563" customHeight="1" ht="15.75">
      <c r="A563" s="6"/>
      <c r="B563" s="6"/>
      <c r="C563" s="6"/>
      <c r="D563" s="11"/>
      <c r="E563" s="11"/>
      <c r="F563" s="11"/>
    </row>
    <row x14ac:dyDescent="0.25" r="564" customHeight="1" ht="15.75">
      <c r="A564" s="6"/>
      <c r="B564" s="6"/>
      <c r="C564" s="6"/>
      <c r="D564" s="11"/>
      <c r="E564" s="11"/>
      <c r="F564" s="11"/>
    </row>
    <row x14ac:dyDescent="0.25" r="565" customHeight="1" ht="15.75">
      <c r="A565" s="6"/>
      <c r="B565" s="6"/>
      <c r="C565" s="6"/>
      <c r="D565" s="11"/>
      <c r="E565" s="11"/>
      <c r="F565" s="11"/>
    </row>
    <row x14ac:dyDescent="0.25" r="566" customHeight="1" ht="15.75">
      <c r="A566" s="6"/>
      <c r="B566" s="6"/>
      <c r="C566" s="6"/>
      <c r="D566" s="11"/>
      <c r="E566" s="11"/>
      <c r="F566" s="11"/>
    </row>
    <row x14ac:dyDescent="0.25" r="567" customHeight="1" ht="15.75">
      <c r="A567" s="6"/>
      <c r="B567" s="6"/>
      <c r="C567" s="6"/>
      <c r="D567" s="11"/>
      <c r="E567" s="11"/>
      <c r="F567" s="11"/>
    </row>
    <row x14ac:dyDescent="0.25" r="568" customHeight="1" ht="15.75">
      <c r="A568" s="6"/>
      <c r="B568" s="6"/>
      <c r="C568" s="6"/>
      <c r="D568" s="11"/>
      <c r="E568" s="11"/>
      <c r="F568" s="11"/>
    </row>
    <row x14ac:dyDescent="0.25" r="569" customHeight="1" ht="15.75">
      <c r="A569" s="6"/>
      <c r="B569" s="6"/>
      <c r="C569" s="6"/>
      <c r="D569" s="11"/>
      <c r="E569" s="11"/>
      <c r="F569" s="11"/>
    </row>
    <row x14ac:dyDescent="0.25" r="570" customHeight="1" ht="15.75">
      <c r="A570" s="6"/>
      <c r="B570" s="6"/>
      <c r="C570" s="6"/>
      <c r="D570" s="11"/>
      <c r="E570" s="11"/>
      <c r="F570" s="11"/>
    </row>
    <row x14ac:dyDescent="0.25" r="571" customHeight="1" ht="15.75">
      <c r="A571" s="6"/>
      <c r="B571" s="6"/>
      <c r="C571" s="6"/>
      <c r="D571" s="11"/>
      <c r="E571" s="11"/>
      <c r="F571" s="11"/>
    </row>
    <row x14ac:dyDescent="0.25" r="572" customHeight="1" ht="15.75">
      <c r="A572" s="6"/>
      <c r="B572" s="6"/>
      <c r="C572" s="6"/>
      <c r="D572" s="11"/>
      <c r="E572" s="11"/>
      <c r="F572" s="11"/>
    </row>
    <row x14ac:dyDescent="0.25" r="573" customHeight="1" ht="15.75">
      <c r="A573" s="6"/>
      <c r="B573" s="6"/>
      <c r="C573" s="6"/>
      <c r="D573" s="11"/>
      <c r="E573" s="11"/>
      <c r="F573" s="11"/>
    </row>
    <row x14ac:dyDescent="0.25" r="574" customHeight="1" ht="15.75">
      <c r="A574" s="6"/>
      <c r="B574" s="6"/>
      <c r="C574" s="6"/>
      <c r="D574" s="11"/>
      <c r="E574" s="11"/>
      <c r="F574" s="11"/>
    </row>
    <row x14ac:dyDescent="0.25" r="575" customHeight="1" ht="15.75">
      <c r="A575" s="6"/>
      <c r="B575" s="6"/>
      <c r="C575" s="6"/>
      <c r="D575" s="11"/>
      <c r="E575" s="11"/>
      <c r="F575" s="11"/>
    </row>
    <row x14ac:dyDescent="0.25" r="576" customHeight="1" ht="15.75">
      <c r="A576" s="6"/>
      <c r="B576" s="6"/>
      <c r="C576" s="6"/>
      <c r="D576" s="11"/>
      <c r="E576" s="11"/>
      <c r="F576" s="11"/>
    </row>
    <row x14ac:dyDescent="0.25" r="577" customHeight="1" ht="15.75">
      <c r="A577" s="6"/>
      <c r="B577" s="6"/>
      <c r="C577" s="6"/>
      <c r="D577" s="11"/>
      <c r="E577" s="11"/>
      <c r="F577" s="11"/>
    </row>
    <row x14ac:dyDescent="0.25" r="578" customHeight="1" ht="15.75">
      <c r="A578" s="6"/>
      <c r="B578" s="6"/>
      <c r="C578" s="6"/>
      <c r="D578" s="11"/>
      <c r="E578" s="11"/>
      <c r="F578" s="11"/>
    </row>
    <row x14ac:dyDescent="0.25" r="579" customHeight="1" ht="15.75">
      <c r="A579" s="6"/>
      <c r="B579" s="6"/>
      <c r="C579" s="6"/>
      <c r="D579" s="11"/>
      <c r="E579" s="11"/>
      <c r="F579" s="11"/>
    </row>
    <row x14ac:dyDescent="0.25" r="580" customHeight="1" ht="15.75">
      <c r="A580" s="6"/>
      <c r="B580" s="6"/>
      <c r="C580" s="6"/>
      <c r="D580" s="11"/>
      <c r="E580" s="11"/>
      <c r="F580" s="11"/>
    </row>
    <row x14ac:dyDescent="0.25" r="581" customHeight="1" ht="15.75">
      <c r="A581" s="6"/>
      <c r="B581" s="6"/>
      <c r="C581" s="6"/>
      <c r="D581" s="11"/>
      <c r="E581" s="11"/>
      <c r="F581" s="11"/>
    </row>
    <row x14ac:dyDescent="0.25" r="582" customHeight="1" ht="15.75">
      <c r="A582" s="6"/>
      <c r="B582" s="6"/>
      <c r="C582" s="6"/>
      <c r="D582" s="11"/>
      <c r="E582" s="11"/>
      <c r="F582" s="11"/>
    </row>
    <row x14ac:dyDescent="0.25" r="583" customHeight="1" ht="15.75">
      <c r="A583" s="6"/>
      <c r="B583" s="6"/>
      <c r="C583" s="6"/>
      <c r="D583" s="11"/>
      <c r="E583" s="11"/>
      <c r="F583" s="11"/>
    </row>
    <row x14ac:dyDescent="0.25" r="584" customHeight="1" ht="15.75">
      <c r="A584" s="6"/>
      <c r="B584" s="6"/>
      <c r="C584" s="6"/>
      <c r="D584" s="11"/>
      <c r="E584" s="11"/>
      <c r="F584" s="11"/>
    </row>
    <row x14ac:dyDescent="0.25" r="585" customHeight="1" ht="15.75">
      <c r="A585" s="6"/>
      <c r="B585" s="6"/>
      <c r="C585" s="6"/>
      <c r="D585" s="11"/>
      <c r="E585" s="11"/>
      <c r="F585" s="11"/>
    </row>
    <row x14ac:dyDescent="0.25" r="586" customHeight="1" ht="15.75">
      <c r="A586" s="6"/>
      <c r="B586" s="6"/>
      <c r="C586" s="6"/>
      <c r="D586" s="11"/>
      <c r="E586" s="11"/>
      <c r="F586" s="11"/>
    </row>
    <row x14ac:dyDescent="0.25" r="587" customHeight="1" ht="15.75">
      <c r="A587" s="6"/>
      <c r="B587" s="6"/>
      <c r="C587" s="6"/>
      <c r="D587" s="11"/>
      <c r="E587" s="11"/>
      <c r="F587" s="11"/>
    </row>
    <row x14ac:dyDescent="0.25" r="588" customHeight="1" ht="15.75">
      <c r="A588" s="6"/>
      <c r="B588" s="6"/>
      <c r="C588" s="6"/>
      <c r="D588" s="11"/>
      <c r="E588" s="11"/>
      <c r="F588" s="11"/>
    </row>
    <row x14ac:dyDescent="0.25" r="589" customHeight="1" ht="15.75">
      <c r="A589" s="6"/>
      <c r="B589" s="6"/>
      <c r="C589" s="6"/>
      <c r="D589" s="11"/>
      <c r="E589" s="11"/>
      <c r="F589" s="11"/>
    </row>
    <row x14ac:dyDescent="0.25" r="590" customHeight="1" ht="15.75">
      <c r="A590" s="6"/>
      <c r="B590" s="6"/>
      <c r="C590" s="6"/>
      <c r="D590" s="11"/>
      <c r="E590" s="11"/>
      <c r="F590" s="11"/>
    </row>
    <row x14ac:dyDescent="0.25" r="591" customHeight="1" ht="15.75">
      <c r="A591" s="6"/>
      <c r="B591" s="6"/>
      <c r="C591" s="6"/>
      <c r="D591" s="11"/>
      <c r="E591" s="11"/>
      <c r="F591" s="11"/>
    </row>
    <row x14ac:dyDescent="0.25" r="592" customHeight="1" ht="15.75">
      <c r="A592" s="6"/>
      <c r="B592" s="6"/>
      <c r="C592" s="6"/>
      <c r="D592" s="11"/>
      <c r="E592" s="11"/>
      <c r="F592" s="11"/>
    </row>
    <row x14ac:dyDescent="0.25" r="593" customHeight="1" ht="15.75">
      <c r="A593" s="6"/>
      <c r="B593" s="6"/>
      <c r="C593" s="6"/>
      <c r="D593" s="11"/>
      <c r="E593" s="11"/>
      <c r="F593" s="11"/>
    </row>
    <row x14ac:dyDescent="0.25" r="594" customHeight="1" ht="15.75">
      <c r="A594" s="6"/>
      <c r="B594" s="6"/>
      <c r="C594" s="6"/>
      <c r="D594" s="11"/>
      <c r="E594" s="11"/>
      <c r="F594" s="11"/>
    </row>
    <row x14ac:dyDescent="0.25" r="595" customHeight="1" ht="15.75">
      <c r="A595" s="6"/>
      <c r="B595" s="6"/>
      <c r="C595" s="6"/>
      <c r="D595" s="11"/>
      <c r="E595" s="11"/>
      <c r="F595" s="11"/>
    </row>
    <row x14ac:dyDescent="0.25" r="596" customHeight="1" ht="15.75">
      <c r="A596" s="6"/>
      <c r="B596" s="6"/>
      <c r="C596" s="6"/>
      <c r="D596" s="11"/>
      <c r="E596" s="11"/>
      <c r="F596" s="11"/>
    </row>
    <row x14ac:dyDescent="0.25" r="597" customHeight="1" ht="15.75">
      <c r="A597" s="6"/>
      <c r="B597" s="6"/>
      <c r="C597" s="6"/>
      <c r="D597" s="11"/>
      <c r="E597" s="11"/>
      <c r="F597" s="11"/>
    </row>
    <row x14ac:dyDescent="0.25" r="598" customHeight="1" ht="15.75">
      <c r="A598" s="6"/>
      <c r="B598" s="6"/>
      <c r="C598" s="6"/>
      <c r="D598" s="11"/>
      <c r="E598" s="11"/>
      <c r="F598" s="11"/>
    </row>
    <row x14ac:dyDescent="0.25" r="599" customHeight="1" ht="15.75">
      <c r="A599" s="6"/>
      <c r="B599" s="6"/>
      <c r="C599" s="6"/>
      <c r="D599" s="11"/>
      <c r="E599" s="11"/>
      <c r="F599" s="11"/>
    </row>
    <row x14ac:dyDescent="0.25" r="600" customHeight="1" ht="15.75">
      <c r="A600" s="6"/>
      <c r="B600" s="6"/>
      <c r="C600" s="6"/>
      <c r="D600" s="11"/>
      <c r="E600" s="11"/>
      <c r="F600" s="11"/>
    </row>
    <row x14ac:dyDescent="0.25" r="601" customHeight="1" ht="15.75">
      <c r="A601" s="6"/>
      <c r="B601" s="6"/>
      <c r="C601" s="6"/>
      <c r="D601" s="11"/>
      <c r="E601" s="11"/>
      <c r="F601" s="11"/>
    </row>
    <row x14ac:dyDescent="0.25" r="602" customHeight="1" ht="15.75">
      <c r="A602" s="6"/>
      <c r="B602" s="6"/>
      <c r="C602" s="6"/>
      <c r="D602" s="11"/>
      <c r="E602" s="11"/>
      <c r="F602" s="11"/>
    </row>
    <row x14ac:dyDescent="0.25" r="603" customHeight="1" ht="15.75">
      <c r="A603" s="6"/>
      <c r="B603" s="6"/>
      <c r="C603" s="6"/>
      <c r="D603" s="11"/>
      <c r="E603" s="11"/>
      <c r="F603" s="11"/>
    </row>
    <row x14ac:dyDescent="0.25" r="604" customHeight="1" ht="15.75">
      <c r="A604" s="6"/>
      <c r="B604" s="6"/>
      <c r="C604" s="6"/>
      <c r="D604" s="11"/>
      <c r="E604" s="11"/>
      <c r="F604" s="11"/>
    </row>
    <row x14ac:dyDescent="0.25" r="605" customHeight="1" ht="15.75">
      <c r="A605" s="6"/>
      <c r="B605" s="6"/>
      <c r="C605" s="6"/>
      <c r="D605" s="11"/>
      <c r="E605" s="11"/>
      <c r="F605" s="11"/>
    </row>
    <row x14ac:dyDescent="0.25" r="606" customHeight="1" ht="15.75">
      <c r="A606" s="6"/>
      <c r="B606" s="6"/>
      <c r="C606" s="6"/>
      <c r="D606" s="11"/>
      <c r="E606" s="11"/>
      <c r="F606" s="11"/>
    </row>
    <row x14ac:dyDescent="0.25" r="607" customHeight="1" ht="15.75">
      <c r="A607" s="6"/>
      <c r="B607" s="6"/>
      <c r="C607" s="6"/>
      <c r="D607" s="11"/>
      <c r="E607" s="11"/>
      <c r="F607" s="11"/>
    </row>
    <row x14ac:dyDescent="0.25" r="608" customHeight="1" ht="15.75">
      <c r="A608" s="6"/>
      <c r="B608" s="6"/>
      <c r="C608" s="6"/>
      <c r="D608" s="11"/>
      <c r="E608" s="11"/>
      <c r="F608" s="11"/>
    </row>
    <row x14ac:dyDescent="0.25" r="609" customHeight="1" ht="15.75">
      <c r="A609" s="6"/>
      <c r="B609" s="6"/>
      <c r="C609" s="6"/>
      <c r="D609" s="11"/>
      <c r="E609" s="11"/>
      <c r="F609" s="11"/>
    </row>
    <row x14ac:dyDescent="0.25" r="610" customHeight="1" ht="15.75">
      <c r="A610" s="6"/>
      <c r="B610" s="6"/>
      <c r="C610" s="6"/>
      <c r="D610" s="11"/>
      <c r="E610" s="11"/>
      <c r="F610" s="11"/>
    </row>
    <row x14ac:dyDescent="0.25" r="611" customHeight="1" ht="15.75">
      <c r="A611" s="6"/>
      <c r="B611" s="6"/>
      <c r="C611" s="6"/>
      <c r="D611" s="11"/>
      <c r="E611" s="11"/>
      <c r="F611" s="11"/>
    </row>
    <row x14ac:dyDescent="0.25" r="612" customHeight="1" ht="15.75">
      <c r="A612" s="6"/>
      <c r="B612" s="6"/>
      <c r="C612" s="6"/>
      <c r="D612" s="11"/>
      <c r="E612" s="11"/>
      <c r="F612" s="11"/>
    </row>
    <row x14ac:dyDescent="0.25" r="613" customHeight="1" ht="15.75">
      <c r="A613" s="6"/>
      <c r="B613" s="6"/>
      <c r="C613" s="6"/>
      <c r="D613" s="11"/>
      <c r="E613" s="11"/>
      <c r="F613" s="11"/>
    </row>
    <row x14ac:dyDescent="0.25" r="614" customHeight="1" ht="15.75">
      <c r="A614" s="6"/>
      <c r="B614" s="6"/>
      <c r="C614" s="6"/>
      <c r="D614" s="11"/>
      <c r="E614" s="11"/>
      <c r="F614" s="11"/>
    </row>
    <row x14ac:dyDescent="0.25" r="615" customHeight="1" ht="15.75">
      <c r="A615" s="6"/>
      <c r="B615" s="6"/>
      <c r="C615" s="6"/>
      <c r="D615" s="11"/>
      <c r="E615" s="11"/>
      <c r="F615" s="11"/>
    </row>
    <row x14ac:dyDescent="0.25" r="616" customHeight="1" ht="15.75">
      <c r="A616" s="6"/>
      <c r="B616" s="6"/>
      <c r="C616" s="6"/>
      <c r="D616" s="11"/>
      <c r="E616" s="11"/>
      <c r="F616" s="11"/>
    </row>
    <row x14ac:dyDescent="0.25" r="617" customHeight="1" ht="15.75">
      <c r="A617" s="6"/>
      <c r="B617" s="6"/>
      <c r="C617" s="6"/>
      <c r="D617" s="11"/>
      <c r="E617" s="11"/>
      <c r="F617" s="11"/>
    </row>
    <row x14ac:dyDescent="0.25" r="618" customHeight="1" ht="15.75">
      <c r="A618" s="6"/>
      <c r="B618" s="6"/>
      <c r="C618" s="6"/>
      <c r="D618" s="11"/>
      <c r="E618" s="11"/>
      <c r="F618" s="11"/>
    </row>
    <row x14ac:dyDescent="0.25" r="619" customHeight="1" ht="15.75">
      <c r="A619" s="6"/>
      <c r="B619" s="6"/>
      <c r="C619" s="6"/>
      <c r="D619" s="11"/>
      <c r="E619" s="11"/>
      <c r="F619" s="11"/>
    </row>
    <row x14ac:dyDescent="0.25" r="620" customHeight="1" ht="15.75">
      <c r="A620" s="6"/>
      <c r="B620" s="6"/>
      <c r="C620" s="6"/>
      <c r="D620" s="11"/>
      <c r="E620" s="11"/>
      <c r="F620" s="11"/>
    </row>
    <row x14ac:dyDescent="0.25" r="621" customHeight="1" ht="15.75">
      <c r="A621" s="6"/>
      <c r="B621" s="6"/>
      <c r="C621" s="6"/>
      <c r="D621" s="11"/>
      <c r="E621" s="11"/>
      <c r="F621" s="11"/>
    </row>
    <row x14ac:dyDescent="0.25" r="622" customHeight="1" ht="15.75">
      <c r="A622" s="6"/>
      <c r="B622" s="6"/>
      <c r="C622" s="6"/>
      <c r="D622" s="11"/>
      <c r="E622" s="11"/>
      <c r="F622" s="11"/>
    </row>
    <row x14ac:dyDescent="0.25" r="623" customHeight="1" ht="15.75">
      <c r="A623" s="6"/>
      <c r="B623" s="6"/>
      <c r="C623" s="6"/>
      <c r="D623" s="11"/>
      <c r="E623" s="11"/>
      <c r="F623" s="11"/>
    </row>
    <row x14ac:dyDescent="0.25" r="624" customHeight="1" ht="15.75">
      <c r="A624" s="6"/>
      <c r="B624" s="6"/>
      <c r="C624" s="6"/>
      <c r="D624" s="11"/>
      <c r="E624" s="11"/>
      <c r="F624" s="11"/>
    </row>
    <row x14ac:dyDescent="0.25" r="625" customHeight="1" ht="15.75">
      <c r="A625" s="6"/>
      <c r="B625" s="6"/>
      <c r="C625" s="6"/>
      <c r="D625" s="11"/>
      <c r="E625" s="11"/>
      <c r="F625" s="11"/>
    </row>
    <row x14ac:dyDescent="0.25" r="626" customHeight="1" ht="15.75">
      <c r="A626" s="6"/>
      <c r="B626" s="6"/>
      <c r="C626" s="6"/>
      <c r="D626" s="11"/>
      <c r="E626" s="11"/>
      <c r="F626" s="11"/>
    </row>
    <row x14ac:dyDescent="0.25" r="627" customHeight="1" ht="15.75">
      <c r="A627" s="6"/>
      <c r="B627" s="6"/>
      <c r="C627" s="6"/>
      <c r="D627" s="11"/>
      <c r="E627" s="11"/>
      <c r="F627" s="11"/>
    </row>
    <row x14ac:dyDescent="0.25" r="628" customHeight="1" ht="15.75">
      <c r="A628" s="6"/>
      <c r="B628" s="6"/>
      <c r="C628" s="6"/>
      <c r="D628" s="11"/>
      <c r="E628" s="11"/>
      <c r="F628" s="11"/>
    </row>
    <row x14ac:dyDescent="0.25" r="629" customHeight="1" ht="15.75">
      <c r="A629" s="6"/>
      <c r="B629" s="6"/>
      <c r="C629" s="6"/>
      <c r="D629" s="11"/>
      <c r="E629" s="11"/>
      <c r="F629" s="11"/>
    </row>
    <row x14ac:dyDescent="0.25" r="630" customHeight="1" ht="15.75">
      <c r="A630" s="6"/>
      <c r="B630" s="6"/>
      <c r="C630" s="6"/>
      <c r="D630" s="11"/>
      <c r="E630" s="11"/>
      <c r="F630" s="11"/>
    </row>
    <row x14ac:dyDescent="0.25" r="631" customHeight="1" ht="15.75">
      <c r="A631" s="6"/>
      <c r="B631" s="6"/>
      <c r="C631" s="6"/>
      <c r="D631" s="11"/>
      <c r="E631" s="11"/>
      <c r="F631" s="11"/>
    </row>
    <row x14ac:dyDescent="0.25" r="632" customHeight="1" ht="15.75">
      <c r="A632" s="6"/>
      <c r="B632" s="6"/>
      <c r="C632" s="6"/>
      <c r="D632" s="11"/>
      <c r="E632" s="11"/>
      <c r="F632" s="11"/>
    </row>
    <row x14ac:dyDescent="0.25" r="633" customHeight="1" ht="15.75">
      <c r="A633" s="6"/>
      <c r="B633" s="6"/>
      <c r="C633" s="6"/>
      <c r="D633" s="11"/>
      <c r="E633" s="11"/>
      <c r="F633" s="11"/>
    </row>
    <row x14ac:dyDescent="0.25" r="634" customHeight="1" ht="15.75">
      <c r="A634" s="6"/>
      <c r="B634" s="6"/>
      <c r="C634" s="6"/>
      <c r="D634" s="11"/>
      <c r="E634" s="11"/>
      <c r="F634" s="11"/>
    </row>
    <row x14ac:dyDescent="0.25" r="635" customHeight="1" ht="15.75">
      <c r="A635" s="6"/>
      <c r="B635" s="6"/>
      <c r="C635" s="6"/>
      <c r="D635" s="11"/>
      <c r="E635" s="11"/>
      <c r="F635" s="11"/>
    </row>
    <row x14ac:dyDescent="0.25" r="636" customHeight="1" ht="15.75">
      <c r="A636" s="6"/>
      <c r="B636" s="6"/>
      <c r="C636" s="6"/>
      <c r="D636" s="11"/>
      <c r="E636" s="11"/>
      <c r="F636" s="11"/>
    </row>
    <row x14ac:dyDescent="0.25" r="637" customHeight="1" ht="15.75">
      <c r="A637" s="6"/>
      <c r="B637" s="6"/>
      <c r="C637" s="6"/>
      <c r="D637" s="11"/>
      <c r="E637" s="11"/>
      <c r="F637" s="11"/>
    </row>
    <row x14ac:dyDescent="0.25" r="638" customHeight="1" ht="15.75">
      <c r="A638" s="6"/>
      <c r="B638" s="6"/>
      <c r="C638" s="6"/>
      <c r="D638" s="11"/>
      <c r="E638" s="11"/>
      <c r="F638" s="11"/>
    </row>
    <row x14ac:dyDescent="0.25" r="639" customHeight="1" ht="15.75">
      <c r="A639" s="6"/>
      <c r="B639" s="6"/>
      <c r="C639" s="6"/>
      <c r="D639" s="11"/>
      <c r="E639" s="11"/>
      <c r="F639" s="11"/>
    </row>
    <row x14ac:dyDescent="0.25" r="640" customHeight="1" ht="15.75">
      <c r="A640" s="6"/>
      <c r="B640" s="6"/>
      <c r="C640" s="6"/>
      <c r="D640" s="11"/>
      <c r="E640" s="11"/>
      <c r="F640" s="11"/>
    </row>
    <row x14ac:dyDescent="0.25" r="641" customHeight="1" ht="15.75">
      <c r="A641" s="6"/>
      <c r="B641" s="6"/>
      <c r="C641" s="6"/>
      <c r="D641" s="11"/>
      <c r="E641" s="11"/>
      <c r="F641" s="11"/>
    </row>
    <row x14ac:dyDescent="0.25" r="642" customHeight="1" ht="15.75">
      <c r="A642" s="6"/>
      <c r="B642" s="6"/>
      <c r="C642" s="6"/>
      <c r="D642" s="11"/>
      <c r="E642" s="11"/>
      <c r="F642" s="11"/>
    </row>
    <row x14ac:dyDescent="0.25" r="643" customHeight="1" ht="15.75">
      <c r="A643" s="6"/>
      <c r="B643" s="6"/>
      <c r="C643" s="6"/>
      <c r="D643" s="11"/>
      <c r="E643" s="11"/>
      <c r="F643" s="11"/>
    </row>
    <row x14ac:dyDescent="0.25" r="644" customHeight="1" ht="15.75">
      <c r="A644" s="6"/>
      <c r="B644" s="6"/>
      <c r="C644" s="6"/>
      <c r="D644" s="11"/>
      <c r="E644" s="11"/>
      <c r="F644" s="11"/>
    </row>
    <row x14ac:dyDescent="0.25" r="645" customHeight="1" ht="15.75">
      <c r="A645" s="6"/>
      <c r="B645" s="6"/>
      <c r="C645" s="6"/>
      <c r="D645" s="11"/>
      <c r="E645" s="11"/>
      <c r="F645" s="11"/>
    </row>
    <row x14ac:dyDescent="0.25" r="646" customHeight="1" ht="15.75">
      <c r="A646" s="6"/>
      <c r="B646" s="6"/>
      <c r="C646" s="6"/>
      <c r="D646" s="11"/>
      <c r="E646" s="11"/>
      <c r="F646" s="11"/>
    </row>
    <row x14ac:dyDescent="0.25" r="647" customHeight="1" ht="15.75">
      <c r="A647" s="6"/>
      <c r="B647" s="6"/>
      <c r="C647" s="6"/>
      <c r="D647" s="11"/>
      <c r="E647" s="11"/>
      <c r="F647" s="11"/>
    </row>
    <row x14ac:dyDescent="0.25" r="648" customHeight="1" ht="15.75">
      <c r="A648" s="6"/>
      <c r="B648" s="6"/>
      <c r="C648" s="6"/>
      <c r="D648" s="11"/>
      <c r="E648" s="11"/>
      <c r="F648" s="11"/>
    </row>
    <row x14ac:dyDescent="0.25" r="649" customHeight="1" ht="15.75">
      <c r="A649" s="6"/>
      <c r="B649" s="6"/>
      <c r="C649" s="6"/>
      <c r="D649" s="11"/>
      <c r="E649" s="11"/>
      <c r="F649" s="11"/>
    </row>
    <row x14ac:dyDescent="0.25" r="650" customHeight="1" ht="15.75">
      <c r="A650" s="6"/>
      <c r="B650" s="6"/>
      <c r="C650" s="6"/>
      <c r="D650" s="11"/>
      <c r="E650" s="11"/>
      <c r="F650" s="11"/>
    </row>
    <row x14ac:dyDescent="0.25" r="651" customHeight="1" ht="15.75">
      <c r="A651" s="6"/>
      <c r="B651" s="6"/>
      <c r="C651" s="6"/>
      <c r="D651" s="11"/>
      <c r="E651" s="11"/>
      <c r="F651" s="11"/>
    </row>
    <row x14ac:dyDescent="0.25" r="652" customHeight="1" ht="15.75">
      <c r="A652" s="6"/>
      <c r="B652" s="6"/>
      <c r="C652" s="6"/>
      <c r="D652" s="11"/>
      <c r="E652" s="11"/>
      <c r="F652" s="11"/>
    </row>
    <row x14ac:dyDescent="0.25" r="653" customHeight="1" ht="15.75">
      <c r="A653" s="6"/>
      <c r="B653" s="6"/>
      <c r="C653" s="6"/>
      <c r="D653" s="11"/>
      <c r="E653" s="11"/>
      <c r="F653" s="11"/>
    </row>
    <row x14ac:dyDescent="0.25" r="654" customHeight="1" ht="15.75">
      <c r="A654" s="6"/>
      <c r="B654" s="6"/>
      <c r="C654" s="6"/>
      <c r="D654" s="11"/>
      <c r="E654" s="11"/>
      <c r="F654" s="11"/>
    </row>
    <row x14ac:dyDescent="0.25" r="655" customHeight="1" ht="15.75">
      <c r="A655" s="6"/>
      <c r="B655" s="6"/>
      <c r="C655" s="6"/>
      <c r="D655" s="11"/>
      <c r="E655" s="11"/>
      <c r="F655" s="11"/>
    </row>
    <row x14ac:dyDescent="0.25" r="656" customHeight="1" ht="15.75">
      <c r="A656" s="6"/>
      <c r="B656" s="6"/>
      <c r="C656" s="6"/>
      <c r="D656" s="11"/>
      <c r="E656" s="11"/>
      <c r="F656" s="11"/>
    </row>
    <row x14ac:dyDescent="0.25" r="657" customHeight="1" ht="15.75">
      <c r="A657" s="6"/>
      <c r="B657" s="6"/>
      <c r="C657" s="6"/>
      <c r="D657" s="11"/>
      <c r="E657" s="11"/>
      <c r="F657" s="11"/>
    </row>
    <row x14ac:dyDescent="0.25" r="658" customHeight="1" ht="15.75">
      <c r="A658" s="6"/>
      <c r="B658" s="6"/>
      <c r="C658" s="6"/>
      <c r="D658" s="11"/>
      <c r="E658" s="11"/>
      <c r="F658" s="11"/>
    </row>
    <row x14ac:dyDescent="0.25" r="659" customHeight="1" ht="15.75">
      <c r="A659" s="6"/>
      <c r="B659" s="6"/>
      <c r="C659" s="6"/>
      <c r="D659" s="11"/>
      <c r="E659" s="11"/>
      <c r="F659" s="11"/>
    </row>
    <row x14ac:dyDescent="0.25" r="660" customHeight="1" ht="15.75">
      <c r="A660" s="6"/>
      <c r="B660" s="6"/>
      <c r="C660" s="6"/>
      <c r="D660" s="11"/>
      <c r="E660" s="11"/>
      <c r="F660" s="11"/>
    </row>
    <row x14ac:dyDescent="0.25" r="661" customHeight="1" ht="15.75">
      <c r="A661" s="6"/>
      <c r="B661" s="6"/>
      <c r="C661" s="6"/>
      <c r="D661" s="11"/>
      <c r="E661" s="11"/>
      <c r="F661" s="11"/>
    </row>
    <row x14ac:dyDescent="0.25" r="662" customHeight="1" ht="15.75">
      <c r="A662" s="6"/>
      <c r="B662" s="6"/>
      <c r="C662" s="6"/>
      <c r="D662" s="11"/>
      <c r="E662" s="11"/>
      <c r="F662" s="11"/>
    </row>
    <row x14ac:dyDescent="0.25" r="663" customHeight="1" ht="15.75">
      <c r="A663" s="6"/>
      <c r="B663" s="6"/>
      <c r="C663" s="6"/>
      <c r="D663" s="11"/>
      <c r="E663" s="11"/>
      <c r="F663" s="11"/>
    </row>
    <row x14ac:dyDescent="0.25" r="664" customHeight="1" ht="15.75">
      <c r="A664" s="6"/>
      <c r="B664" s="6"/>
      <c r="C664" s="6"/>
      <c r="D664" s="11"/>
      <c r="E664" s="11"/>
      <c r="F664" s="11"/>
    </row>
    <row x14ac:dyDescent="0.25" r="665" customHeight="1" ht="15.75">
      <c r="A665" s="6"/>
      <c r="B665" s="6"/>
      <c r="C665" s="6"/>
      <c r="D665" s="11"/>
      <c r="E665" s="11"/>
      <c r="F665" s="11"/>
    </row>
    <row x14ac:dyDescent="0.25" r="666" customHeight="1" ht="15.75">
      <c r="A666" s="6"/>
      <c r="B666" s="6"/>
      <c r="C666" s="6"/>
      <c r="D666" s="11"/>
      <c r="E666" s="11"/>
      <c r="F666" s="11"/>
    </row>
    <row x14ac:dyDescent="0.25" r="667" customHeight="1" ht="15.75">
      <c r="A667" s="6"/>
      <c r="B667" s="6"/>
      <c r="C667" s="6"/>
      <c r="D667" s="11"/>
      <c r="E667" s="11"/>
      <c r="F667" s="11"/>
    </row>
    <row x14ac:dyDescent="0.25" r="668" customHeight="1" ht="15.75">
      <c r="A668" s="6"/>
      <c r="B668" s="6"/>
      <c r="C668" s="6"/>
      <c r="D668" s="11"/>
      <c r="E668" s="11"/>
      <c r="F668" s="11"/>
    </row>
    <row x14ac:dyDescent="0.25" r="669" customHeight="1" ht="15.75">
      <c r="A669" s="6"/>
      <c r="B669" s="6"/>
      <c r="C669" s="6"/>
      <c r="D669" s="11"/>
      <c r="E669" s="11"/>
      <c r="F669" s="11"/>
    </row>
    <row x14ac:dyDescent="0.25" r="670" customHeight="1" ht="15.75">
      <c r="A670" s="6"/>
      <c r="B670" s="6"/>
      <c r="C670" s="6"/>
      <c r="D670" s="11"/>
      <c r="E670" s="11"/>
      <c r="F670" s="11"/>
    </row>
    <row x14ac:dyDescent="0.25" r="671" customHeight="1" ht="15.75">
      <c r="A671" s="6"/>
      <c r="B671" s="6"/>
      <c r="C671" s="6"/>
      <c r="D671" s="11"/>
      <c r="E671" s="11"/>
      <c r="F671" s="11"/>
    </row>
    <row x14ac:dyDescent="0.25" r="672" customHeight="1" ht="15.75">
      <c r="A672" s="6"/>
      <c r="B672" s="6"/>
      <c r="C672" s="6"/>
      <c r="D672" s="11"/>
      <c r="E672" s="11"/>
      <c r="F672" s="11"/>
    </row>
    <row x14ac:dyDescent="0.25" r="673" customHeight="1" ht="15.75">
      <c r="A673" s="6"/>
      <c r="B673" s="6"/>
      <c r="C673" s="6"/>
      <c r="D673" s="11"/>
      <c r="E673" s="11"/>
      <c r="F673" s="11"/>
    </row>
    <row x14ac:dyDescent="0.25" r="674" customHeight="1" ht="15.75">
      <c r="A674" s="6"/>
      <c r="B674" s="6"/>
      <c r="C674" s="6"/>
      <c r="D674" s="11"/>
      <c r="E674" s="11"/>
      <c r="F674" s="11"/>
    </row>
    <row x14ac:dyDescent="0.25" r="675" customHeight="1" ht="15.75">
      <c r="A675" s="6"/>
      <c r="B675" s="6"/>
      <c r="C675" s="6"/>
      <c r="D675" s="11"/>
      <c r="E675" s="11"/>
      <c r="F675" s="11"/>
    </row>
    <row x14ac:dyDescent="0.25" r="676" customHeight="1" ht="15.75">
      <c r="A676" s="6"/>
      <c r="B676" s="6"/>
      <c r="C676" s="6"/>
      <c r="D676" s="11"/>
      <c r="E676" s="11"/>
      <c r="F676" s="11"/>
    </row>
    <row x14ac:dyDescent="0.25" r="677" customHeight="1" ht="15.75">
      <c r="A677" s="6"/>
      <c r="B677" s="6"/>
      <c r="C677" s="6"/>
      <c r="D677" s="11"/>
      <c r="E677" s="11"/>
      <c r="F677" s="11"/>
    </row>
    <row x14ac:dyDescent="0.25" r="678" customHeight="1" ht="15.75">
      <c r="A678" s="6"/>
      <c r="B678" s="6"/>
      <c r="C678" s="6"/>
      <c r="D678" s="11"/>
      <c r="E678" s="11"/>
      <c r="F678" s="11"/>
    </row>
    <row x14ac:dyDescent="0.25" r="679" customHeight="1" ht="15.75">
      <c r="A679" s="6"/>
      <c r="B679" s="6"/>
      <c r="C679" s="6"/>
      <c r="D679" s="11"/>
      <c r="E679" s="11"/>
      <c r="F679" s="11"/>
    </row>
    <row x14ac:dyDescent="0.25" r="680" customHeight="1" ht="15.75">
      <c r="A680" s="6"/>
      <c r="B680" s="6"/>
      <c r="C680" s="6"/>
      <c r="D680" s="11"/>
      <c r="E680" s="11"/>
      <c r="F680" s="11"/>
    </row>
    <row x14ac:dyDescent="0.25" r="681" customHeight="1" ht="15.75">
      <c r="A681" s="6"/>
      <c r="B681" s="6"/>
      <c r="C681" s="6"/>
      <c r="D681" s="11"/>
      <c r="E681" s="11"/>
      <c r="F681" s="11"/>
    </row>
    <row x14ac:dyDescent="0.25" r="682" customHeight="1" ht="15.75">
      <c r="A682" s="6"/>
      <c r="B682" s="6"/>
      <c r="C682" s="6"/>
      <c r="D682" s="11"/>
      <c r="E682" s="11"/>
      <c r="F682" s="11"/>
    </row>
    <row x14ac:dyDescent="0.25" r="683" customHeight="1" ht="15.75">
      <c r="A683" s="6"/>
      <c r="B683" s="6"/>
      <c r="C683" s="6"/>
      <c r="D683" s="11"/>
      <c r="E683" s="11"/>
      <c r="F683" s="11"/>
    </row>
    <row x14ac:dyDescent="0.25" r="684" customHeight="1" ht="15.75">
      <c r="A684" s="6"/>
      <c r="B684" s="6"/>
      <c r="C684" s="6"/>
      <c r="D684" s="11"/>
      <c r="E684" s="11"/>
      <c r="F684" s="11"/>
    </row>
    <row x14ac:dyDescent="0.25" r="685" customHeight="1" ht="15.75">
      <c r="A685" s="6"/>
      <c r="B685" s="6"/>
      <c r="C685" s="6"/>
      <c r="D685" s="11"/>
      <c r="E685" s="11"/>
      <c r="F685" s="11"/>
    </row>
    <row x14ac:dyDescent="0.25" r="686" customHeight="1" ht="15.75">
      <c r="A686" s="6"/>
      <c r="B686" s="6"/>
      <c r="C686" s="6"/>
      <c r="D686" s="11"/>
      <c r="E686" s="11"/>
      <c r="F686" s="11"/>
    </row>
    <row x14ac:dyDescent="0.25" r="687" customHeight="1" ht="15.75">
      <c r="A687" s="6"/>
      <c r="B687" s="6"/>
      <c r="C687" s="6"/>
      <c r="D687" s="11"/>
      <c r="E687" s="11"/>
      <c r="F687" s="11"/>
    </row>
    <row x14ac:dyDescent="0.25" r="688" customHeight="1" ht="15.75">
      <c r="A688" s="6"/>
      <c r="B688" s="6"/>
      <c r="C688" s="6"/>
      <c r="D688" s="11"/>
      <c r="E688" s="11"/>
      <c r="F688" s="11"/>
    </row>
    <row x14ac:dyDescent="0.25" r="689" customHeight="1" ht="15.75">
      <c r="A689" s="6"/>
      <c r="B689" s="6"/>
      <c r="C689" s="6"/>
      <c r="D689" s="11"/>
      <c r="E689" s="11"/>
      <c r="F689" s="11"/>
    </row>
    <row x14ac:dyDescent="0.25" r="690" customHeight="1" ht="15.75">
      <c r="A690" s="6"/>
      <c r="B690" s="6"/>
      <c r="C690" s="6"/>
      <c r="D690" s="11"/>
      <c r="E690" s="11"/>
      <c r="F690" s="11"/>
    </row>
    <row x14ac:dyDescent="0.25" r="691" customHeight="1" ht="15.75">
      <c r="A691" s="6"/>
      <c r="B691" s="6"/>
      <c r="C691" s="6"/>
      <c r="D691" s="11"/>
      <c r="E691" s="11"/>
      <c r="F691" s="11"/>
    </row>
    <row x14ac:dyDescent="0.25" r="692" customHeight="1" ht="15.75">
      <c r="A692" s="6"/>
      <c r="B692" s="6"/>
      <c r="C692" s="6"/>
      <c r="D692" s="11"/>
      <c r="E692" s="11"/>
      <c r="F692" s="11"/>
    </row>
    <row x14ac:dyDescent="0.25" r="693" customHeight="1" ht="15.75">
      <c r="A693" s="6"/>
      <c r="B693" s="6"/>
      <c r="C693" s="6"/>
      <c r="D693" s="11"/>
      <c r="E693" s="11"/>
      <c r="F693" s="11"/>
    </row>
    <row x14ac:dyDescent="0.25" r="694" customHeight="1" ht="15.75">
      <c r="A694" s="6"/>
      <c r="B694" s="6"/>
      <c r="C694" s="6"/>
      <c r="D694" s="11"/>
      <c r="E694" s="11"/>
      <c r="F694" s="11"/>
    </row>
    <row x14ac:dyDescent="0.25" r="695" customHeight="1" ht="15.75">
      <c r="A695" s="6"/>
      <c r="B695" s="6"/>
      <c r="C695" s="6"/>
      <c r="D695" s="11"/>
      <c r="E695" s="11"/>
      <c r="F695" s="11"/>
    </row>
    <row x14ac:dyDescent="0.25" r="696" customHeight="1" ht="15.75">
      <c r="A696" s="6"/>
      <c r="B696" s="6"/>
      <c r="C696" s="6"/>
      <c r="D696" s="11"/>
      <c r="E696" s="11"/>
      <c r="F696" s="11"/>
    </row>
    <row x14ac:dyDescent="0.25" r="697" customHeight="1" ht="15.75">
      <c r="A697" s="6"/>
      <c r="B697" s="6"/>
      <c r="C697" s="6"/>
      <c r="D697" s="11"/>
      <c r="E697" s="11"/>
      <c r="F697" s="11"/>
    </row>
    <row x14ac:dyDescent="0.25" r="698" customHeight="1" ht="15.75">
      <c r="A698" s="6"/>
      <c r="B698" s="6"/>
      <c r="C698" s="6"/>
      <c r="D698" s="11"/>
      <c r="E698" s="11"/>
      <c r="F698" s="11"/>
    </row>
    <row x14ac:dyDescent="0.25" r="699" customHeight="1" ht="15.75">
      <c r="A699" s="6"/>
      <c r="B699" s="6"/>
      <c r="C699" s="6"/>
      <c r="D699" s="11"/>
      <c r="E699" s="11"/>
      <c r="F699" s="11"/>
    </row>
    <row x14ac:dyDescent="0.25" r="700" customHeight="1" ht="15.75">
      <c r="A700" s="6"/>
      <c r="B700" s="6"/>
      <c r="C700" s="6"/>
      <c r="D700" s="11"/>
      <c r="E700" s="11"/>
      <c r="F700" s="11"/>
    </row>
    <row x14ac:dyDescent="0.25" r="701" customHeight="1" ht="15.75">
      <c r="A701" s="6"/>
      <c r="B701" s="6"/>
      <c r="C701" s="6"/>
      <c r="D701" s="11"/>
      <c r="E701" s="11"/>
      <c r="F701" s="11"/>
    </row>
    <row x14ac:dyDescent="0.25" r="702" customHeight="1" ht="15.75">
      <c r="A702" s="6"/>
      <c r="B702" s="6"/>
      <c r="C702" s="6"/>
      <c r="D702" s="11"/>
      <c r="E702" s="11"/>
      <c r="F702" s="11"/>
    </row>
    <row x14ac:dyDescent="0.25" r="703" customHeight="1" ht="15.75">
      <c r="A703" s="6"/>
      <c r="B703" s="6"/>
      <c r="C703" s="6"/>
      <c r="D703" s="11"/>
      <c r="E703" s="11"/>
      <c r="F703" s="11"/>
    </row>
    <row x14ac:dyDescent="0.25" r="704" customHeight="1" ht="15.75">
      <c r="A704" s="6"/>
      <c r="B704" s="6"/>
      <c r="C704" s="6"/>
      <c r="D704" s="11"/>
      <c r="E704" s="11"/>
      <c r="F704" s="11"/>
    </row>
    <row x14ac:dyDescent="0.25" r="705" customHeight="1" ht="15.75">
      <c r="A705" s="6"/>
      <c r="B705" s="6"/>
      <c r="C705" s="6"/>
      <c r="D705" s="11"/>
      <c r="E705" s="11"/>
      <c r="F705" s="11"/>
    </row>
    <row x14ac:dyDescent="0.25" r="706" customHeight="1" ht="15.75">
      <c r="A706" s="6"/>
      <c r="B706" s="6"/>
      <c r="C706" s="6"/>
      <c r="D706" s="11"/>
      <c r="E706" s="11"/>
      <c r="F706" s="11"/>
    </row>
    <row x14ac:dyDescent="0.25" r="707" customHeight="1" ht="15.75">
      <c r="A707" s="6"/>
      <c r="B707" s="6"/>
      <c r="C707" s="6"/>
      <c r="D707" s="11"/>
      <c r="E707" s="11"/>
      <c r="F707" s="11"/>
    </row>
    <row x14ac:dyDescent="0.25" r="708" customHeight="1" ht="15.75">
      <c r="A708" s="6"/>
      <c r="B708" s="6"/>
      <c r="C708" s="6"/>
      <c r="D708" s="11"/>
      <c r="E708" s="11"/>
      <c r="F708" s="11"/>
    </row>
    <row x14ac:dyDescent="0.25" r="709" customHeight="1" ht="15.75">
      <c r="A709" s="6"/>
      <c r="B709" s="6"/>
      <c r="C709" s="6"/>
      <c r="D709" s="11"/>
      <c r="E709" s="11"/>
      <c r="F709" s="11"/>
    </row>
    <row x14ac:dyDescent="0.25" r="710" customHeight="1" ht="15.75">
      <c r="A710" s="6"/>
      <c r="B710" s="6"/>
      <c r="C710" s="6"/>
      <c r="D710" s="11"/>
      <c r="E710" s="11"/>
      <c r="F710" s="11"/>
    </row>
    <row x14ac:dyDescent="0.25" r="711" customHeight="1" ht="15.75">
      <c r="A711" s="6"/>
      <c r="B711" s="6"/>
      <c r="C711" s="6"/>
      <c r="D711" s="11"/>
      <c r="E711" s="11"/>
      <c r="F711" s="11"/>
    </row>
    <row x14ac:dyDescent="0.25" r="712" customHeight="1" ht="15.75">
      <c r="A712" s="6"/>
      <c r="B712" s="6"/>
      <c r="C712" s="6"/>
      <c r="D712" s="11"/>
      <c r="E712" s="11"/>
      <c r="F712" s="11"/>
    </row>
    <row x14ac:dyDescent="0.25" r="713" customHeight="1" ht="15.75">
      <c r="A713" s="6"/>
      <c r="B713" s="6"/>
      <c r="C713" s="6"/>
      <c r="D713" s="11"/>
      <c r="E713" s="11"/>
      <c r="F713" s="11"/>
    </row>
    <row x14ac:dyDescent="0.25" r="714" customHeight="1" ht="15.75">
      <c r="A714" s="6"/>
      <c r="B714" s="6"/>
      <c r="C714" s="6"/>
      <c r="D714" s="11"/>
      <c r="E714" s="11"/>
      <c r="F714" s="11"/>
    </row>
    <row x14ac:dyDescent="0.25" r="715" customHeight="1" ht="15.75">
      <c r="A715" s="6"/>
      <c r="B715" s="6"/>
      <c r="C715" s="6"/>
      <c r="D715" s="11"/>
      <c r="E715" s="11"/>
      <c r="F715" s="11"/>
    </row>
    <row x14ac:dyDescent="0.25" r="716" customHeight="1" ht="15.75">
      <c r="A716" s="6"/>
      <c r="B716" s="6"/>
      <c r="C716" s="6"/>
      <c r="D716" s="11"/>
      <c r="E716" s="11"/>
      <c r="F716" s="11"/>
    </row>
    <row x14ac:dyDescent="0.25" r="717" customHeight="1" ht="15.75">
      <c r="A717" s="6"/>
      <c r="B717" s="6"/>
      <c r="C717" s="6"/>
      <c r="D717" s="11"/>
      <c r="E717" s="11"/>
      <c r="F717" s="11"/>
    </row>
    <row x14ac:dyDescent="0.25" r="718" customHeight="1" ht="15.75">
      <c r="A718" s="6"/>
      <c r="B718" s="6"/>
      <c r="C718" s="6"/>
      <c r="D718" s="11"/>
      <c r="E718" s="11"/>
      <c r="F718" s="11"/>
    </row>
    <row x14ac:dyDescent="0.25" r="719" customHeight="1" ht="15.75">
      <c r="A719" s="6"/>
      <c r="B719" s="6"/>
      <c r="C719" s="6"/>
      <c r="D719" s="11"/>
      <c r="E719" s="11"/>
      <c r="F719" s="11"/>
    </row>
    <row x14ac:dyDescent="0.25" r="720" customHeight="1" ht="15.75">
      <c r="A720" s="6"/>
      <c r="B720" s="6"/>
      <c r="C720" s="6"/>
      <c r="D720" s="11"/>
      <c r="E720" s="11"/>
      <c r="F720" s="11"/>
    </row>
    <row x14ac:dyDescent="0.25" r="721" customHeight="1" ht="15.75">
      <c r="A721" s="6"/>
      <c r="B721" s="6"/>
      <c r="C721" s="6"/>
      <c r="D721" s="11"/>
      <c r="E721" s="11"/>
      <c r="F721" s="11"/>
    </row>
    <row x14ac:dyDescent="0.25" r="722" customHeight="1" ht="15.75">
      <c r="A722" s="6"/>
      <c r="B722" s="6"/>
      <c r="C722" s="6"/>
      <c r="D722" s="11"/>
      <c r="E722" s="11"/>
      <c r="F722" s="11"/>
    </row>
    <row x14ac:dyDescent="0.25" r="723" customHeight="1" ht="15.75">
      <c r="A723" s="6"/>
      <c r="B723" s="6"/>
      <c r="C723" s="6"/>
      <c r="D723" s="11"/>
      <c r="E723" s="11"/>
      <c r="F723" s="11"/>
    </row>
    <row x14ac:dyDescent="0.25" r="724" customHeight="1" ht="15.75">
      <c r="A724" s="6"/>
      <c r="B724" s="6"/>
      <c r="C724" s="6"/>
      <c r="D724" s="11"/>
      <c r="E724" s="11"/>
      <c r="F724" s="11"/>
    </row>
    <row x14ac:dyDescent="0.25" r="725" customHeight="1" ht="15.75">
      <c r="A725" s="6"/>
      <c r="B725" s="6"/>
      <c r="C725" s="6"/>
      <c r="D725" s="11"/>
      <c r="E725" s="11"/>
      <c r="F725" s="11"/>
    </row>
    <row x14ac:dyDescent="0.25" r="726" customHeight="1" ht="15.75">
      <c r="A726" s="6"/>
      <c r="B726" s="6"/>
      <c r="C726" s="6"/>
      <c r="D726" s="11"/>
      <c r="E726" s="11"/>
      <c r="F726" s="11"/>
    </row>
    <row x14ac:dyDescent="0.25" r="727" customHeight="1" ht="15.75">
      <c r="A727" s="6"/>
      <c r="B727" s="6"/>
      <c r="C727" s="6"/>
      <c r="D727" s="11"/>
      <c r="E727" s="11"/>
      <c r="F727" s="11"/>
    </row>
    <row x14ac:dyDescent="0.25" r="728" customHeight="1" ht="15.75">
      <c r="A728" s="6"/>
      <c r="B728" s="6"/>
      <c r="C728" s="6"/>
      <c r="D728" s="11"/>
      <c r="E728" s="11"/>
      <c r="F728" s="11"/>
    </row>
    <row x14ac:dyDescent="0.25" r="729" customHeight="1" ht="15.75">
      <c r="A729" s="6"/>
      <c r="B729" s="6"/>
      <c r="C729" s="6"/>
      <c r="D729" s="11"/>
      <c r="E729" s="11"/>
      <c r="F729" s="11"/>
    </row>
    <row x14ac:dyDescent="0.25" r="730" customHeight="1" ht="15.75">
      <c r="A730" s="6"/>
      <c r="B730" s="6"/>
      <c r="C730" s="6"/>
      <c r="D730" s="11"/>
      <c r="E730" s="11"/>
      <c r="F730" s="11"/>
    </row>
    <row x14ac:dyDescent="0.25" r="731" customHeight="1" ht="15.75">
      <c r="A731" s="6"/>
      <c r="B731" s="6"/>
      <c r="C731" s="6"/>
      <c r="D731" s="11"/>
      <c r="E731" s="11"/>
      <c r="F731" s="11"/>
    </row>
    <row x14ac:dyDescent="0.25" r="732" customHeight="1" ht="15.75">
      <c r="A732" s="6"/>
      <c r="B732" s="6"/>
      <c r="C732" s="6"/>
      <c r="D732" s="11"/>
      <c r="E732" s="11"/>
      <c r="F732" s="11"/>
    </row>
    <row x14ac:dyDescent="0.25" r="733" customHeight="1" ht="15.75">
      <c r="A733" s="6"/>
      <c r="B733" s="6"/>
      <c r="C733" s="6"/>
      <c r="D733" s="11"/>
      <c r="E733" s="11"/>
      <c r="F733" s="11"/>
    </row>
    <row x14ac:dyDescent="0.25" r="734" customHeight="1" ht="15.75">
      <c r="A734" s="6"/>
      <c r="B734" s="6"/>
      <c r="C734" s="6"/>
      <c r="D734" s="11"/>
      <c r="E734" s="11"/>
      <c r="F734" s="11"/>
    </row>
    <row x14ac:dyDescent="0.25" r="735" customHeight="1" ht="15.75">
      <c r="A735" s="6"/>
      <c r="B735" s="6"/>
      <c r="C735" s="6"/>
      <c r="D735" s="11"/>
      <c r="E735" s="11"/>
      <c r="F735" s="11"/>
    </row>
    <row x14ac:dyDescent="0.25" r="736" customHeight="1" ht="15.75">
      <c r="A736" s="6"/>
      <c r="B736" s="6"/>
      <c r="C736" s="6"/>
      <c r="D736" s="11"/>
      <c r="E736" s="11"/>
      <c r="F736" s="11"/>
    </row>
    <row x14ac:dyDescent="0.25" r="737" customHeight="1" ht="15.75">
      <c r="A737" s="6"/>
      <c r="B737" s="6"/>
      <c r="C737" s="6"/>
      <c r="D737" s="11"/>
      <c r="E737" s="11"/>
      <c r="F737" s="11"/>
    </row>
    <row x14ac:dyDescent="0.25" r="738" customHeight="1" ht="15.75">
      <c r="A738" s="6"/>
      <c r="B738" s="6"/>
      <c r="C738" s="6"/>
      <c r="D738" s="11"/>
      <c r="E738" s="11"/>
      <c r="F738" s="11"/>
    </row>
    <row x14ac:dyDescent="0.25" r="739" customHeight="1" ht="15.75">
      <c r="A739" s="6"/>
      <c r="B739" s="6"/>
      <c r="C739" s="6"/>
      <c r="D739" s="11"/>
      <c r="E739" s="11"/>
      <c r="F739" s="11"/>
    </row>
    <row x14ac:dyDescent="0.25" r="740" customHeight="1" ht="15.75">
      <c r="A740" s="6"/>
      <c r="B740" s="6"/>
      <c r="C740" s="6"/>
      <c r="D740" s="11"/>
      <c r="E740" s="11"/>
      <c r="F740" s="11"/>
    </row>
    <row x14ac:dyDescent="0.25" r="741" customHeight="1" ht="15.75">
      <c r="A741" s="6"/>
      <c r="B741" s="6"/>
      <c r="C741" s="6"/>
      <c r="D741" s="11"/>
      <c r="E741" s="11"/>
      <c r="F741" s="11"/>
    </row>
    <row x14ac:dyDescent="0.25" r="742" customHeight="1" ht="15.75">
      <c r="A742" s="6"/>
      <c r="B742" s="6"/>
      <c r="C742" s="6"/>
      <c r="D742" s="11"/>
      <c r="E742" s="11"/>
      <c r="F742" s="11"/>
    </row>
    <row x14ac:dyDescent="0.25" r="743" customHeight="1" ht="15.75">
      <c r="A743" s="6"/>
      <c r="B743" s="6"/>
      <c r="C743" s="6"/>
      <c r="D743" s="11"/>
      <c r="E743" s="11"/>
      <c r="F743" s="11"/>
    </row>
    <row x14ac:dyDescent="0.25" r="744" customHeight="1" ht="15.75">
      <c r="A744" s="6"/>
      <c r="B744" s="6"/>
      <c r="C744" s="6"/>
      <c r="D744" s="11"/>
      <c r="E744" s="11"/>
      <c r="F744" s="11"/>
    </row>
    <row x14ac:dyDescent="0.25" r="745" customHeight="1" ht="15.75">
      <c r="A745" s="6"/>
      <c r="B745" s="6"/>
      <c r="C745" s="6"/>
      <c r="D745" s="11"/>
      <c r="E745" s="11"/>
      <c r="F745" s="11"/>
    </row>
    <row x14ac:dyDescent="0.25" r="746" customHeight="1" ht="15.75">
      <c r="A746" s="6"/>
      <c r="B746" s="6"/>
      <c r="C746" s="6"/>
      <c r="D746" s="11"/>
      <c r="E746" s="11"/>
      <c r="F746" s="11"/>
    </row>
    <row x14ac:dyDescent="0.25" r="747" customHeight="1" ht="15.75">
      <c r="A747" s="6"/>
      <c r="B747" s="6"/>
      <c r="C747" s="6"/>
      <c r="D747" s="11"/>
      <c r="E747" s="11"/>
      <c r="F747" s="11"/>
    </row>
    <row x14ac:dyDescent="0.25" r="748" customHeight="1" ht="15.75">
      <c r="A748" s="6"/>
      <c r="B748" s="6"/>
      <c r="C748" s="6"/>
      <c r="D748" s="11"/>
      <c r="E748" s="11"/>
      <c r="F748" s="11"/>
    </row>
    <row x14ac:dyDescent="0.25" r="749" customHeight="1" ht="15.75">
      <c r="A749" s="6"/>
      <c r="B749" s="6"/>
      <c r="C749" s="6"/>
      <c r="D749" s="11"/>
      <c r="E749" s="11"/>
      <c r="F749" s="11"/>
    </row>
    <row x14ac:dyDescent="0.25" r="750" customHeight="1" ht="15.75">
      <c r="A750" s="6"/>
      <c r="B750" s="6"/>
      <c r="C750" s="6"/>
      <c r="D750" s="11"/>
      <c r="E750" s="11"/>
      <c r="F750" s="11"/>
    </row>
    <row x14ac:dyDescent="0.25" r="751" customHeight="1" ht="15.75">
      <c r="A751" s="6"/>
      <c r="B751" s="6"/>
      <c r="C751" s="6"/>
      <c r="D751" s="11"/>
      <c r="E751" s="11"/>
      <c r="F751" s="11"/>
    </row>
    <row x14ac:dyDescent="0.25" r="752" customHeight="1" ht="15.75">
      <c r="A752" s="6"/>
      <c r="B752" s="6"/>
      <c r="C752" s="6"/>
      <c r="D752" s="11"/>
      <c r="E752" s="11"/>
      <c r="F752" s="11"/>
    </row>
    <row x14ac:dyDescent="0.25" r="753" customHeight="1" ht="15.75">
      <c r="A753" s="6"/>
      <c r="B753" s="6"/>
      <c r="C753" s="6"/>
      <c r="D753" s="11"/>
      <c r="E753" s="11"/>
      <c r="F753" s="11"/>
    </row>
    <row x14ac:dyDescent="0.25" r="754" customHeight="1" ht="15.75">
      <c r="A754" s="6"/>
      <c r="B754" s="6"/>
      <c r="C754" s="6"/>
      <c r="D754" s="11"/>
      <c r="E754" s="11"/>
      <c r="F754" s="11"/>
    </row>
    <row x14ac:dyDescent="0.25" r="755" customHeight="1" ht="15.75">
      <c r="A755" s="6"/>
      <c r="B755" s="6"/>
      <c r="C755" s="6"/>
      <c r="D755" s="11"/>
      <c r="E755" s="11"/>
      <c r="F755" s="11"/>
    </row>
    <row x14ac:dyDescent="0.25" r="756" customHeight="1" ht="15.75">
      <c r="A756" s="6"/>
      <c r="B756" s="6"/>
      <c r="C756" s="6"/>
      <c r="D756" s="11"/>
      <c r="E756" s="11"/>
      <c r="F756" s="11"/>
    </row>
    <row x14ac:dyDescent="0.25" r="757" customHeight="1" ht="15.75">
      <c r="A757" s="6"/>
      <c r="B757" s="6"/>
      <c r="C757" s="6"/>
      <c r="D757" s="11"/>
      <c r="E757" s="11"/>
      <c r="F757" s="11"/>
    </row>
    <row x14ac:dyDescent="0.25" r="758" customHeight="1" ht="15.75">
      <c r="A758" s="6"/>
      <c r="B758" s="6"/>
      <c r="C758" s="6"/>
      <c r="D758" s="11"/>
      <c r="E758" s="11"/>
      <c r="F758" s="11"/>
    </row>
    <row x14ac:dyDescent="0.25" r="759" customHeight="1" ht="15.75">
      <c r="A759" s="6"/>
      <c r="B759" s="6"/>
      <c r="C759" s="6"/>
      <c r="D759" s="11"/>
      <c r="E759" s="11"/>
      <c r="F759" s="11"/>
    </row>
    <row x14ac:dyDescent="0.25" r="760" customHeight="1" ht="15.75">
      <c r="A760" s="6"/>
      <c r="B760" s="6"/>
      <c r="C760" s="6"/>
      <c r="D760" s="11"/>
      <c r="E760" s="11"/>
      <c r="F760" s="11"/>
    </row>
    <row x14ac:dyDescent="0.25" r="761" customHeight="1" ht="15.75">
      <c r="A761" s="6"/>
      <c r="B761" s="6"/>
      <c r="C761" s="6"/>
      <c r="D761" s="11"/>
      <c r="E761" s="11"/>
      <c r="F761" s="11"/>
    </row>
    <row x14ac:dyDescent="0.25" r="762" customHeight="1" ht="15.75">
      <c r="A762" s="6"/>
      <c r="B762" s="6"/>
      <c r="C762" s="6"/>
      <c r="D762" s="11"/>
      <c r="E762" s="11"/>
      <c r="F762" s="11"/>
    </row>
    <row x14ac:dyDescent="0.25" r="763" customHeight="1" ht="15.75">
      <c r="A763" s="6"/>
      <c r="B763" s="6"/>
      <c r="C763" s="6"/>
      <c r="D763" s="11"/>
      <c r="E763" s="11"/>
      <c r="F763" s="11"/>
    </row>
    <row x14ac:dyDescent="0.25" r="764" customHeight="1" ht="15.75">
      <c r="A764" s="6"/>
      <c r="B764" s="6"/>
      <c r="C764" s="6"/>
      <c r="D764" s="11"/>
      <c r="E764" s="11"/>
      <c r="F764" s="11"/>
    </row>
    <row x14ac:dyDescent="0.25" r="765" customHeight="1" ht="15.75">
      <c r="A765" s="6"/>
      <c r="B765" s="6"/>
      <c r="C765" s="6"/>
      <c r="D765" s="11"/>
      <c r="E765" s="11"/>
      <c r="F765" s="11"/>
    </row>
    <row x14ac:dyDescent="0.25" r="766" customHeight="1" ht="15.75">
      <c r="A766" s="6"/>
      <c r="B766" s="6"/>
      <c r="C766" s="6"/>
      <c r="D766" s="11"/>
      <c r="E766" s="11"/>
      <c r="F766" s="11"/>
    </row>
    <row x14ac:dyDescent="0.25" r="767" customHeight="1" ht="15.75">
      <c r="A767" s="6"/>
      <c r="B767" s="6"/>
      <c r="C767" s="6"/>
      <c r="D767" s="11"/>
      <c r="E767" s="11"/>
      <c r="F767" s="11"/>
    </row>
    <row x14ac:dyDescent="0.25" r="768" customHeight="1" ht="15.75">
      <c r="A768" s="6"/>
      <c r="B768" s="6"/>
      <c r="C768" s="6"/>
      <c r="D768" s="11"/>
      <c r="E768" s="11"/>
      <c r="F768" s="11"/>
    </row>
    <row x14ac:dyDescent="0.25" r="769" customHeight="1" ht="15.75">
      <c r="A769" s="6"/>
      <c r="B769" s="6"/>
      <c r="C769" s="6"/>
      <c r="D769" s="11"/>
      <c r="E769" s="11"/>
      <c r="F769" s="11"/>
    </row>
    <row x14ac:dyDescent="0.25" r="770" customHeight="1" ht="15.75">
      <c r="A770" s="6"/>
      <c r="B770" s="6"/>
      <c r="C770" s="6"/>
      <c r="D770" s="11"/>
      <c r="E770" s="11"/>
      <c r="F770" s="11"/>
    </row>
    <row x14ac:dyDescent="0.25" r="771" customHeight="1" ht="15.75">
      <c r="A771" s="6"/>
      <c r="B771" s="6"/>
      <c r="C771" s="6"/>
      <c r="D771" s="11"/>
      <c r="E771" s="11"/>
      <c r="F771" s="11"/>
    </row>
    <row x14ac:dyDescent="0.25" r="772" customHeight="1" ht="15.75">
      <c r="A772" s="6"/>
      <c r="B772" s="6"/>
      <c r="C772" s="6"/>
      <c r="D772" s="11"/>
      <c r="E772" s="11"/>
      <c r="F772" s="11"/>
    </row>
    <row x14ac:dyDescent="0.25" r="773" customHeight="1" ht="15.75">
      <c r="A773" s="6"/>
      <c r="B773" s="6"/>
      <c r="C773" s="6"/>
      <c r="D773" s="11"/>
      <c r="E773" s="11"/>
      <c r="F773" s="11"/>
    </row>
    <row x14ac:dyDescent="0.25" r="774" customHeight="1" ht="15.75">
      <c r="A774" s="6"/>
      <c r="B774" s="6"/>
      <c r="C774" s="6"/>
      <c r="D774" s="11"/>
      <c r="E774" s="11"/>
      <c r="F774" s="11"/>
    </row>
    <row x14ac:dyDescent="0.25" r="775" customHeight="1" ht="15.75">
      <c r="A775" s="6"/>
      <c r="B775" s="6"/>
      <c r="C775" s="6"/>
      <c r="D775" s="11"/>
      <c r="E775" s="11"/>
      <c r="F775" s="11"/>
    </row>
    <row x14ac:dyDescent="0.25" r="776" customHeight="1" ht="15.75">
      <c r="A776" s="6"/>
      <c r="B776" s="6"/>
      <c r="C776" s="6"/>
      <c r="D776" s="11"/>
      <c r="E776" s="11"/>
      <c r="F776" s="11"/>
    </row>
    <row x14ac:dyDescent="0.25" r="777" customHeight="1" ht="15.75">
      <c r="A777" s="6"/>
      <c r="B777" s="6"/>
      <c r="C777" s="6"/>
      <c r="D777" s="11"/>
      <c r="E777" s="11"/>
      <c r="F777" s="11"/>
    </row>
    <row x14ac:dyDescent="0.25" r="778" customHeight="1" ht="15.75">
      <c r="A778" s="6"/>
      <c r="B778" s="6"/>
      <c r="C778" s="6"/>
      <c r="D778" s="11"/>
      <c r="E778" s="11"/>
      <c r="F778" s="11"/>
    </row>
    <row x14ac:dyDescent="0.25" r="779" customHeight="1" ht="15.75">
      <c r="A779" s="6"/>
      <c r="B779" s="6"/>
      <c r="C779" s="6"/>
      <c r="D779" s="11"/>
      <c r="E779" s="11"/>
      <c r="F779" s="11"/>
    </row>
    <row x14ac:dyDescent="0.25" r="780" customHeight="1" ht="15.75">
      <c r="A780" s="6"/>
      <c r="B780" s="6"/>
      <c r="C780" s="6"/>
      <c r="D780" s="11"/>
      <c r="E780" s="11"/>
      <c r="F780" s="11"/>
    </row>
    <row x14ac:dyDescent="0.25" r="781" customHeight="1" ht="15.75">
      <c r="A781" s="6"/>
      <c r="B781" s="6"/>
      <c r="C781" s="6"/>
      <c r="D781" s="11"/>
      <c r="E781" s="11"/>
      <c r="F781" s="11"/>
    </row>
    <row x14ac:dyDescent="0.25" r="782" customHeight="1" ht="15.75">
      <c r="A782" s="6"/>
      <c r="B782" s="6"/>
      <c r="C782" s="6"/>
      <c r="D782" s="11"/>
      <c r="E782" s="11"/>
      <c r="F782" s="11"/>
    </row>
    <row x14ac:dyDescent="0.25" r="783" customHeight="1" ht="15.75">
      <c r="A783" s="6"/>
      <c r="B783" s="6"/>
      <c r="C783" s="6"/>
      <c r="D783" s="11"/>
      <c r="E783" s="11"/>
      <c r="F783" s="11"/>
    </row>
    <row x14ac:dyDescent="0.25" r="784" customHeight="1" ht="15.75">
      <c r="A784" s="6"/>
      <c r="B784" s="6"/>
      <c r="C784" s="6"/>
      <c r="D784" s="11"/>
      <c r="E784" s="11"/>
      <c r="F784" s="11"/>
    </row>
    <row x14ac:dyDescent="0.25" r="785" customHeight="1" ht="15.75">
      <c r="A785" s="6"/>
      <c r="B785" s="6"/>
      <c r="C785" s="6"/>
      <c r="D785" s="11"/>
      <c r="E785" s="11"/>
      <c r="F785" s="11"/>
    </row>
    <row x14ac:dyDescent="0.25" r="786" customHeight="1" ht="15.75">
      <c r="A786" s="6"/>
      <c r="B786" s="6"/>
      <c r="C786" s="6"/>
      <c r="D786" s="11"/>
      <c r="E786" s="11"/>
      <c r="F786" s="11"/>
    </row>
    <row x14ac:dyDescent="0.25" r="787" customHeight="1" ht="15.75">
      <c r="A787" s="6"/>
      <c r="B787" s="6"/>
      <c r="C787" s="6"/>
      <c r="D787" s="11"/>
      <c r="E787" s="11"/>
      <c r="F787" s="11"/>
    </row>
    <row x14ac:dyDescent="0.25" r="788" customHeight="1" ht="15.75">
      <c r="A788" s="6"/>
      <c r="B788" s="6"/>
      <c r="C788" s="6"/>
      <c r="D788" s="11"/>
      <c r="E788" s="11"/>
      <c r="F788" s="11"/>
    </row>
    <row x14ac:dyDescent="0.25" r="789" customHeight="1" ht="15.75">
      <c r="A789" s="6"/>
      <c r="B789" s="6"/>
      <c r="C789" s="6"/>
      <c r="D789" s="11"/>
      <c r="E789" s="11"/>
      <c r="F789" s="11"/>
    </row>
    <row x14ac:dyDescent="0.25" r="790" customHeight="1" ht="15.75">
      <c r="A790" s="6"/>
      <c r="B790" s="6"/>
      <c r="C790" s="6"/>
      <c r="D790" s="11"/>
      <c r="E790" s="11"/>
      <c r="F790" s="11"/>
    </row>
    <row x14ac:dyDescent="0.25" r="791" customHeight="1" ht="15.75">
      <c r="A791" s="6"/>
      <c r="B791" s="6"/>
      <c r="C791" s="6"/>
      <c r="D791" s="11"/>
      <c r="E791" s="11"/>
      <c r="F791" s="11"/>
    </row>
    <row x14ac:dyDescent="0.25" r="792" customHeight="1" ht="15.75">
      <c r="A792" s="6"/>
      <c r="B792" s="6"/>
      <c r="C792" s="6"/>
      <c r="D792" s="11"/>
      <c r="E792" s="11"/>
      <c r="F792" s="11"/>
    </row>
    <row x14ac:dyDescent="0.25" r="793" customHeight="1" ht="15.75">
      <c r="A793" s="6"/>
      <c r="B793" s="6"/>
      <c r="C793" s="6"/>
      <c r="D793" s="11"/>
      <c r="E793" s="11"/>
      <c r="F793" s="11"/>
    </row>
    <row x14ac:dyDescent="0.25" r="794" customHeight="1" ht="15.75">
      <c r="A794" s="6"/>
      <c r="B794" s="6"/>
      <c r="C794" s="6"/>
      <c r="D794" s="11"/>
      <c r="E794" s="11"/>
      <c r="F794" s="11"/>
    </row>
    <row x14ac:dyDescent="0.25" r="795" customHeight="1" ht="15.75">
      <c r="A795" s="6"/>
      <c r="B795" s="6"/>
      <c r="C795" s="6"/>
      <c r="D795" s="11"/>
      <c r="E795" s="11"/>
      <c r="F795" s="11"/>
    </row>
    <row x14ac:dyDescent="0.25" r="796" customHeight="1" ht="15.75">
      <c r="A796" s="6"/>
      <c r="B796" s="6"/>
      <c r="C796" s="6"/>
      <c r="D796" s="11"/>
      <c r="E796" s="11"/>
      <c r="F796" s="11"/>
    </row>
    <row x14ac:dyDescent="0.25" r="797" customHeight="1" ht="15.75">
      <c r="A797" s="6"/>
      <c r="B797" s="6"/>
      <c r="C797" s="6"/>
      <c r="D797" s="11"/>
      <c r="E797" s="11"/>
      <c r="F797" s="11"/>
    </row>
    <row x14ac:dyDescent="0.25" r="798" customHeight="1" ht="15.75">
      <c r="A798" s="6"/>
      <c r="B798" s="6"/>
      <c r="C798" s="6"/>
      <c r="D798" s="11"/>
      <c r="E798" s="11"/>
      <c r="F798" s="11"/>
    </row>
    <row x14ac:dyDescent="0.25" r="799" customHeight="1" ht="15.75">
      <c r="A799" s="6"/>
      <c r="B799" s="6"/>
      <c r="C799" s="6"/>
      <c r="D799" s="11"/>
      <c r="E799" s="11"/>
      <c r="F799" s="11"/>
    </row>
    <row x14ac:dyDescent="0.25" r="800" customHeight="1" ht="15.75">
      <c r="A800" s="6"/>
      <c r="B800" s="6"/>
      <c r="C800" s="6"/>
      <c r="D800" s="11"/>
      <c r="E800" s="11"/>
      <c r="F800" s="11"/>
    </row>
    <row x14ac:dyDescent="0.25" r="801" customHeight="1" ht="15.75">
      <c r="A801" s="6"/>
      <c r="B801" s="6"/>
      <c r="C801" s="6"/>
      <c r="D801" s="11"/>
      <c r="E801" s="11"/>
      <c r="F801" s="11"/>
    </row>
    <row x14ac:dyDescent="0.25" r="802" customHeight="1" ht="15.75">
      <c r="A802" s="6"/>
      <c r="B802" s="6"/>
      <c r="C802" s="6"/>
      <c r="D802" s="11"/>
      <c r="E802" s="11"/>
      <c r="F802" s="11"/>
    </row>
    <row x14ac:dyDescent="0.25" r="803" customHeight="1" ht="15.75">
      <c r="A803" s="6"/>
      <c r="B803" s="6"/>
      <c r="C803" s="6"/>
      <c r="D803" s="11"/>
      <c r="E803" s="11"/>
      <c r="F803" s="11"/>
    </row>
    <row x14ac:dyDescent="0.25" r="804" customHeight="1" ht="15.75">
      <c r="A804" s="6"/>
      <c r="B804" s="6"/>
      <c r="C804" s="6"/>
      <c r="D804" s="11"/>
      <c r="E804" s="11"/>
      <c r="F804" s="11"/>
    </row>
    <row x14ac:dyDescent="0.25" r="805" customHeight="1" ht="15.75">
      <c r="A805" s="6"/>
      <c r="B805" s="6"/>
      <c r="C805" s="6"/>
      <c r="D805" s="11"/>
      <c r="E805" s="11"/>
      <c r="F805" s="11"/>
    </row>
    <row x14ac:dyDescent="0.25" r="806" customHeight="1" ht="15.75">
      <c r="A806" s="6"/>
      <c r="B806" s="6"/>
      <c r="C806" s="6"/>
      <c r="D806" s="11"/>
      <c r="E806" s="11"/>
      <c r="F806" s="11"/>
    </row>
    <row x14ac:dyDescent="0.25" r="807" customHeight="1" ht="15.75">
      <c r="A807" s="6"/>
      <c r="B807" s="6"/>
      <c r="C807" s="6"/>
      <c r="D807" s="11"/>
      <c r="E807" s="11"/>
      <c r="F807" s="11"/>
    </row>
    <row x14ac:dyDescent="0.25" r="808" customHeight="1" ht="15.75">
      <c r="A808" s="6"/>
      <c r="B808" s="6"/>
      <c r="C808" s="6"/>
      <c r="D808" s="11"/>
      <c r="E808" s="11"/>
      <c r="F808" s="11"/>
    </row>
    <row x14ac:dyDescent="0.25" r="809" customHeight="1" ht="15.75">
      <c r="A809" s="6"/>
      <c r="B809" s="6"/>
      <c r="C809" s="6"/>
      <c r="D809" s="11"/>
      <c r="E809" s="11"/>
      <c r="F809" s="11"/>
    </row>
    <row x14ac:dyDescent="0.25" r="810" customHeight="1" ht="15.75">
      <c r="A810" s="6"/>
      <c r="B810" s="6"/>
      <c r="C810" s="6"/>
      <c r="D810" s="11"/>
      <c r="E810" s="11"/>
      <c r="F810" s="11"/>
    </row>
    <row x14ac:dyDescent="0.25" r="811" customHeight="1" ht="15.75">
      <c r="A811" s="6"/>
      <c r="B811" s="6"/>
      <c r="C811" s="6"/>
      <c r="D811" s="11"/>
      <c r="E811" s="11"/>
      <c r="F811" s="11"/>
    </row>
    <row x14ac:dyDescent="0.25" r="812" customHeight="1" ht="15.75">
      <c r="A812" s="6"/>
      <c r="B812" s="6"/>
      <c r="C812" s="6"/>
      <c r="D812" s="11"/>
      <c r="E812" s="11"/>
      <c r="F812" s="11"/>
    </row>
    <row x14ac:dyDescent="0.25" r="813" customHeight="1" ht="15.75">
      <c r="A813" s="6"/>
      <c r="B813" s="6"/>
      <c r="C813" s="6"/>
      <c r="D813" s="11"/>
      <c r="E813" s="11"/>
      <c r="F813" s="11"/>
    </row>
    <row x14ac:dyDescent="0.25" r="814" customHeight="1" ht="15.75">
      <c r="A814" s="6"/>
      <c r="B814" s="6"/>
      <c r="C814" s="6"/>
      <c r="D814" s="11"/>
      <c r="E814" s="11"/>
      <c r="F814" s="11"/>
    </row>
    <row x14ac:dyDescent="0.25" r="815" customHeight="1" ht="15.75">
      <c r="A815" s="6"/>
      <c r="B815" s="6"/>
      <c r="C815" s="6"/>
      <c r="D815" s="11"/>
      <c r="E815" s="11"/>
      <c r="F815" s="11"/>
    </row>
    <row x14ac:dyDescent="0.25" r="816" customHeight="1" ht="15.75">
      <c r="A816" s="6"/>
      <c r="B816" s="6"/>
      <c r="C816" s="6"/>
      <c r="D816" s="11"/>
      <c r="E816" s="11"/>
      <c r="F816" s="11"/>
    </row>
    <row x14ac:dyDescent="0.25" r="817" customHeight="1" ht="15.75">
      <c r="A817" s="6"/>
      <c r="B817" s="6"/>
      <c r="C817" s="6"/>
      <c r="D817" s="11"/>
      <c r="E817" s="11"/>
      <c r="F817" s="11"/>
    </row>
    <row x14ac:dyDescent="0.25" r="818" customHeight="1" ht="15.75">
      <c r="A818" s="6"/>
      <c r="B818" s="6"/>
      <c r="C818" s="6"/>
      <c r="D818" s="11"/>
      <c r="E818" s="11"/>
      <c r="F818" s="11"/>
    </row>
    <row x14ac:dyDescent="0.25" r="819" customHeight="1" ht="15.75">
      <c r="A819" s="6"/>
      <c r="B819" s="6"/>
      <c r="C819" s="6"/>
      <c r="D819" s="11"/>
      <c r="E819" s="11"/>
      <c r="F819" s="11"/>
    </row>
    <row x14ac:dyDescent="0.25" r="820" customHeight="1" ht="15.75">
      <c r="A820" s="6"/>
      <c r="B820" s="6"/>
      <c r="C820" s="6"/>
      <c r="D820" s="11"/>
      <c r="E820" s="11"/>
      <c r="F820" s="11"/>
    </row>
    <row x14ac:dyDescent="0.25" r="821" customHeight="1" ht="15.75">
      <c r="A821" s="6"/>
      <c r="B821" s="6"/>
      <c r="C821" s="6"/>
      <c r="D821" s="11"/>
      <c r="E821" s="11"/>
      <c r="F821" s="11"/>
    </row>
    <row x14ac:dyDescent="0.25" r="822" customHeight="1" ht="15.75">
      <c r="A822" s="6"/>
      <c r="B822" s="6"/>
      <c r="C822" s="6"/>
      <c r="D822" s="11"/>
      <c r="E822" s="11"/>
      <c r="F822" s="11"/>
    </row>
    <row x14ac:dyDescent="0.25" r="823" customHeight="1" ht="15.75">
      <c r="A823" s="6"/>
      <c r="B823" s="6"/>
      <c r="C823" s="6"/>
      <c r="D823" s="11"/>
      <c r="E823" s="11"/>
      <c r="F823" s="11"/>
    </row>
    <row x14ac:dyDescent="0.25" r="824" customHeight="1" ht="15.75">
      <c r="A824" s="6"/>
      <c r="B824" s="6"/>
      <c r="C824" s="6"/>
      <c r="D824" s="11"/>
      <c r="E824" s="11"/>
      <c r="F824" s="11"/>
    </row>
    <row x14ac:dyDescent="0.25" r="825" customHeight="1" ht="15.75">
      <c r="A825" s="6"/>
      <c r="B825" s="6"/>
      <c r="C825" s="6"/>
      <c r="D825" s="11"/>
      <c r="E825" s="11"/>
      <c r="F825" s="11"/>
    </row>
    <row x14ac:dyDescent="0.25" r="826" customHeight="1" ht="15.75">
      <c r="A826" s="6"/>
      <c r="B826" s="6"/>
      <c r="C826" s="6"/>
      <c r="D826" s="11"/>
      <c r="E826" s="11"/>
      <c r="F826" s="11"/>
    </row>
    <row x14ac:dyDescent="0.25" r="827" customHeight="1" ht="15.75">
      <c r="A827" s="6"/>
      <c r="B827" s="6"/>
      <c r="C827" s="6"/>
      <c r="D827" s="11"/>
      <c r="E827" s="11"/>
      <c r="F827" s="11"/>
    </row>
    <row x14ac:dyDescent="0.25" r="828" customHeight="1" ht="15.75">
      <c r="A828" s="6"/>
      <c r="B828" s="6"/>
      <c r="C828" s="6"/>
      <c r="D828" s="11"/>
      <c r="E828" s="11"/>
      <c r="F828" s="11"/>
    </row>
    <row x14ac:dyDescent="0.25" r="829" customHeight="1" ht="15.75">
      <c r="A829" s="6"/>
      <c r="B829" s="6"/>
      <c r="C829" s="6"/>
      <c r="D829" s="11"/>
      <c r="E829" s="11"/>
      <c r="F829" s="11"/>
    </row>
    <row x14ac:dyDescent="0.25" r="830" customHeight="1" ht="15.75">
      <c r="A830" s="6"/>
      <c r="B830" s="6"/>
      <c r="C830" s="6"/>
      <c r="D830" s="11"/>
      <c r="E830" s="11"/>
      <c r="F830" s="11"/>
    </row>
    <row x14ac:dyDescent="0.25" r="831" customHeight="1" ht="15.75">
      <c r="A831" s="6"/>
      <c r="B831" s="6"/>
      <c r="C831" s="6"/>
      <c r="D831" s="11"/>
      <c r="E831" s="11"/>
      <c r="F831" s="11"/>
    </row>
    <row x14ac:dyDescent="0.25" r="832" customHeight="1" ht="15.75">
      <c r="A832" s="6"/>
      <c r="B832" s="6"/>
      <c r="C832" s="6"/>
      <c r="D832" s="11"/>
      <c r="E832" s="11"/>
      <c r="F832" s="11"/>
    </row>
    <row x14ac:dyDescent="0.25" r="833" customHeight="1" ht="15.75">
      <c r="A833" s="6"/>
      <c r="B833" s="6"/>
      <c r="C833" s="6"/>
      <c r="D833" s="11"/>
      <c r="E833" s="11"/>
      <c r="F833" s="11"/>
    </row>
    <row x14ac:dyDescent="0.25" r="834" customHeight="1" ht="15.75">
      <c r="A834" s="6"/>
      <c r="B834" s="6"/>
      <c r="C834" s="6"/>
      <c r="D834" s="11"/>
      <c r="E834" s="11"/>
      <c r="F834" s="11"/>
    </row>
    <row x14ac:dyDescent="0.25" r="835" customHeight="1" ht="15.75">
      <c r="A835" s="6"/>
      <c r="B835" s="6"/>
      <c r="C835" s="6"/>
      <c r="D835" s="11"/>
      <c r="E835" s="11"/>
      <c r="F835" s="11"/>
    </row>
    <row x14ac:dyDescent="0.25" r="836" customHeight="1" ht="15.75">
      <c r="A836" s="6"/>
      <c r="B836" s="6"/>
      <c r="C836" s="6"/>
      <c r="D836" s="11"/>
      <c r="E836" s="11"/>
      <c r="F836" s="11"/>
    </row>
    <row x14ac:dyDescent="0.25" r="837" customHeight="1" ht="15.75">
      <c r="A837" s="6"/>
      <c r="B837" s="6"/>
      <c r="C837" s="6"/>
      <c r="D837" s="11"/>
      <c r="E837" s="11"/>
      <c r="F837" s="11"/>
    </row>
    <row x14ac:dyDescent="0.25" r="838" customHeight="1" ht="15.75">
      <c r="A838" s="6"/>
      <c r="B838" s="6"/>
      <c r="C838" s="6"/>
      <c r="D838" s="11"/>
      <c r="E838" s="11"/>
      <c r="F838" s="11"/>
    </row>
    <row x14ac:dyDescent="0.25" r="839" customHeight="1" ht="15.75">
      <c r="A839" s="6"/>
      <c r="B839" s="6"/>
      <c r="C839" s="6"/>
      <c r="D839" s="11"/>
      <c r="E839" s="11"/>
      <c r="F839" s="11"/>
    </row>
    <row x14ac:dyDescent="0.25" r="840" customHeight="1" ht="15.75">
      <c r="A840" s="6"/>
      <c r="B840" s="6"/>
      <c r="C840" s="6"/>
      <c r="D840" s="11"/>
      <c r="E840" s="11"/>
      <c r="F840" s="11"/>
    </row>
    <row x14ac:dyDescent="0.25" r="841" customHeight="1" ht="15.75">
      <c r="A841" s="6"/>
      <c r="B841" s="6"/>
      <c r="C841" s="6"/>
      <c r="D841" s="11"/>
      <c r="E841" s="11"/>
      <c r="F841" s="11"/>
    </row>
    <row x14ac:dyDescent="0.25" r="842" customHeight="1" ht="15.75">
      <c r="A842" s="6"/>
      <c r="B842" s="6"/>
      <c r="C842" s="6"/>
      <c r="D842" s="11"/>
      <c r="E842" s="11"/>
      <c r="F842" s="11"/>
    </row>
    <row x14ac:dyDescent="0.25" r="843" customHeight="1" ht="15.75">
      <c r="A843" s="6"/>
      <c r="B843" s="6"/>
      <c r="C843" s="6"/>
      <c r="D843" s="11"/>
      <c r="E843" s="11"/>
      <c r="F843" s="11"/>
    </row>
    <row x14ac:dyDescent="0.25" r="844" customHeight="1" ht="15.75">
      <c r="A844" s="6"/>
      <c r="B844" s="6"/>
      <c r="C844" s="6"/>
      <c r="D844" s="11"/>
      <c r="E844" s="11"/>
      <c r="F844" s="11"/>
    </row>
    <row x14ac:dyDescent="0.25" r="845" customHeight="1" ht="15.75">
      <c r="A845" s="6"/>
      <c r="B845" s="6"/>
      <c r="C845" s="6"/>
      <c r="D845" s="11"/>
      <c r="E845" s="11"/>
      <c r="F845" s="11"/>
    </row>
    <row x14ac:dyDescent="0.25" r="846" customHeight="1" ht="15.75">
      <c r="A846" s="6"/>
      <c r="B846" s="6"/>
      <c r="C846" s="6"/>
      <c r="D846" s="11"/>
      <c r="E846" s="11"/>
      <c r="F846" s="11"/>
    </row>
    <row x14ac:dyDescent="0.25" r="847" customHeight="1" ht="15.75">
      <c r="A847" s="6"/>
      <c r="B847" s="6"/>
      <c r="C847" s="6"/>
      <c r="D847" s="11"/>
      <c r="E847" s="11"/>
      <c r="F847" s="11"/>
    </row>
    <row x14ac:dyDescent="0.25" r="848" customHeight="1" ht="15.75">
      <c r="A848" s="6"/>
      <c r="B848" s="6"/>
      <c r="C848" s="6"/>
      <c r="D848" s="11"/>
      <c r="E848" s="11"/>
      <c r="F848" s="11"/>
    </row>
    <row x14ac:dyDescent="0.25" r="849" customHeight="1" ht="15.75">
      <c r="A849" s="6"/>
      <c r="B849" s="6"/>
      <c r="C849" s="6"/>
      <c r="D849" s="11"/>
      <c r="E849" s="11"/>
      <c r="F849" s="11"/>
    </row>
    <row x14ac:dyDescent="0.25" r="850" customHeight="1" ht="15.75">
      <c r="A850" s="6"/>
      <c r="B850" s="6"/>
      <c r="C850" s="6"/>
      <c r="D850" s="11"/>
      <c r="E850" s="11"/>
      <c r="F850" s="11"/>
    </row>
    <row x14ac:dyDescent="0.25" r="851" customHeight="1" ht="15.75">
      <c r="A851" s="6"/>
      <c r="B851" s="6"/>
      <c r="C851" s="6"/>
      <c r="D851" s="11"/>
      <c r="E851" s="11"/>
      <c r="F851" s="11"/>
    </row>
    <row x14ac:dyDescent="0.25" r="852" customHeight="1" ht="15.75">
      <c r="A852" s="6"/>
      <c r="B852" s="6"/>
      <c r="C852" s="6"/>
      <c r="D852" s="11"/>
      <c r="E852" s="11"/>
      <c r="F852" s="11"/>
    </row>
    <row x14ac:dyDescent="0.25" r="853" customHeight="1" ht="15.75">
      <c r="A853" s="6"/>
      <c r="B853" s="6"/>
      <c r="C853" s="6"/>
      <c r="D853" s="11"/>
      <c r="E853" s="11"/>
      <c r="F853" s="11"/>
    </row>
    <row x14ac:dyDescent="0.25" r="854" customHeight="1" ht="15.75">
      <c r="A854" s="6"/>
      <c r="B854" s="6"/>
      <c r="C854" s="6"/>
      <c r="D854" s="11"/>
      <c r="E854" s="11"/>
      <c r="F854" s="11"/>
    </row>
    <row x14ac:dyDescent="0.25" r="855" customHeight="1" ht="15.75">
      <c r="A855" s="6"/>
      <c r="B855" s="6"/>
      <c r="C855" s="6"/>
      <c r="D855" s="11"/>
      <c r="E855" s="11"/>
      <c r="F855" s="11"/>
    </row>
    <row x14ac:dyDescent="0.25" r="856" customHeight="1" ht="15.75">
      <c r="A856" s="6"/>
      <c r="B856" s="6"/>
      <c r="C856" s="6"/>
      <c r="D856" s="11"/>
      <c r="E856" s="11"/>
      <c r="F856" s="11"/>
    </row>
    <row x14ac:dyDescent="0.25" r="857" customHeight="1" ht="15.75">
      <c r="A857" s="6"/>
      <c r="B857" s="6"/>
      <c r="C857" s="6"/>
      <c r="D857" s="11"/>
      <c r="E857" s="11"/>
      <c r="F857" s="11"/>
    </row>
    <row x14ac:dyDescent="0.25" r="858" customHeight="1" ht="15.75">
      <c r="A858" s="6"/>
      <c r="B858" s="6"/>
      <c r="C858" s="6"/>
      <c r="D858" s="11"/>
      <c r="E858" s="11"/>
      <c r="F858" s="11"/>
    </row>
    <row x14ac:dyDescent="0.25" r="859" customHeight="1" ht="15.75">
      <c r="A859" s="6"/>
      <c r="B859" s="6"/>
      <c r="C859" s="6"/>
      <c r="D859" s="11"/>
      <c r="E859" s="11"/>
      <c r="F859" s="11"/>
    </row>
    <row x14ac:dyDescent="0.25" r="860" customHeight="1" ht="15.75">
      <c r="A860" s="6"/>
      <c r="B860" s="6"/>
      <c r="C860" s="6"/>
      <c r="D860" s="11"/>
      <c r="E860" s="11"/>
      <c r="F860" s="11"/>
    </row>
    <row x14ac:dyDescent="0.25" r="861" customHeight="1" ht="15.75">
      <c r="A861" s="6"/>
      <c r="B861" s="6"/>
      <c r="C861" s="6"/>
      <c r="D861" s="11"/>
      <c r="E861" s="11"/>
      <c r="F861" s="11"/>
    </row>
    <row x14ac:dyDescent="0.25" r="862" customHeight="1" ht="15.75">
      <c r="A862" s="6"/>
      <c r="B862" s="6"/>
      <c r="C862" s="6"/>
      <c r="D862" s="11"/>
      <c r="E862" s="11"/>
      <c r="F862" s="11"/>
    </row>
    <row x14ac:dyDescent="0.25" r="863" customHeight="1" ht="15.75">
      <c r="A863" s="6"/>
      <c r="B863" s="6"/>
      <c r="C863" s="6"/>
      <c r="D863" s="11"/>
      <c r="E863" s="11"/>
      <c r="F863" s="11"/>
    </row>
    <row x14ac:dyDescent="0.25" r="864" customHeight="1" ht="15.75">
      <c r="A864" s="6"/>
      <c r="B864" s="6"/>
      <c r="C864" s="6"/>
      <c r="D864" s="11"/>
      <c r="E864" s="11"/>
      <c r="F864" s="11"/>
    </row>
    <row x14ac:dyDescent="0.25" r="865" customHeight="1" ht="15.75">
      <c r="A865" s="6"/>
      <c r="B865" s="6"/>
      <c r="C865" s="6"/>
      <c r="D865" s="11"/>
      <c r="E865" s="11"/>
      <c r="F865" s="11"/>
    </row>
    <row x14ac:dyDescent="0.25" r="866" customHeight="1" ht="15.75">
      <c r="A866" s="6"/>
      <c r="B866" s="6"/>
      <c r="C866" s="6"/>
      <c r="D866" s="11"/>
      <c r="E866" s="11"/>
      <c r="F866" s="11"/>
    </row>
    <row x14ac:dyDescent="0.25" r="867" customHeight="1" ht="15.75">
      <c r="A867" s="6"/>
      <c r="B867" s="6"/>
      <c r="C867" s="6"/>
      <c r="D867" s="11"/>
      <c r="E867" s="11"/>
      <c r="F867" s="11"/>
    </row>
    <row x14ac:dyDescent="0.25" r="868" customHeight="1" ht="15.75">
      <c r="A868" s="6"/>
      <c r="B868" s="6"/>
      <c r="C868" s="6"/>
      <c r="D868" s="11"/>
      <c r="E868" s="11"/>
      <c r="F868" s="11"/>
    </row>
    <row x14ac:dyDescent="0.25" r="869" customHeight="1" ht="15.75">
      <c r="A869" s="6"/>
      <c r="B869" s="6"/>
      <c r="C869" s="6"/>
      <c r="D869" s="11"/>
      <c r="E869" s="11"/>
      <c r="F869" s="11"/>
    </row>
    <row x14ac:dyDescent="0.25" r="870" customHeight="1" ht="15.75">
      <c r="A870" s="6"/>
      <c r="B870" s="6"/>
      <c r="C870" s="6"/>
      <c r="D870" s="11"/>
      <c r="E870" s="11"/>
      <c r="F870" s="11"/>
    </row>
    <row x14ac:dyDescent="0.25" r="871" customHeight="1" ht="15.75">
      <c r="A871" s="6"/>
      <c r="B871" s="6"/>
      <c r="C871" s="6"/>
      <c r="D871" s="11"/>
      <c r="E871" s="11"/>
      <c r="F871" s="11"/>
    </row>
    <row x14ac:dyDescent="0.25" r="872" customHeight="1" ht="15.75">
      <c r="A872" s="6"/>
      <c r="B872" s="6"/>
      <c r="C872" s="6"/>
      <c r="D872" s="11"/>
      <c r="E872" s="11"/>
      <c r="F872" s="11"/>
    </row>
    <row x14ac:dyDescent="0.25" r="873" customHeight="1" ht="15.75">
      <c r="A873" s="6"/>
      <c r="B873" s="6"/>
      <c r="C873" s="6"/>
      <c r="D873" s="11"/>
      <c r="E873" s="11"/>
      <c r="F873" s="11"/>
    </row>
    <row x14ac:dyDescent="0.25" r="874" customHeight="1" ht="15.75">
      <c r="A874" s="6"/>
      <c r="B874" s="6"/>
      <c r="C874" s="6"/>
      <c r="D874" s="11"/>
      <c r="E874" s="11"/>
      <c r="F874" s="11"/>
    </row>
    <row x14ac:dyDescent="0.25" r="875" customHeight="1" ht="15.75">
      <c r="A875" s="6"/>
      <c r="B875" s="6"/>
      <c r="C875" s="6"/>
      <c r="D875" s="11"/>
      <c r="E875" s="11"/>
      <c r="F875" s="11"/>
    </row>
    <row x14ac:dyDescent="0.25" r="876" customHeight="1" ht="15.75">
      <c r="A876" s="6"/>
      <c r="B876" s="6"/>
      <c r="C876" s="6"/>
      <c r="D876" s="11"/>
      <c r="E876" s="11"/>
      <c r="F876" s="11"/>
    </row>
    <row x14ac:dyDescent="0.25" r="877" customHeight="1" ht="15.75">
      <c r="A877" s="6"/>
      <c r="B877" s="6"/>
      <c r="C877" s="6"/>
      <c r="D877" s="11"/>
      <c r="E877" s="11"/>
      <c r="F877" s="11"/>
    </row>
    <row x14ac:dyDescent="0.25" r="878" customHeight="1" ht="15.75">
      <c r="A878" s="6"/>
      <c r="B878" s="6"/>
      <c r="C878" s="6"/>
      <c r="D878" s="11"/>
      <c r="E878" s="11"/>
      <c r="F878" s="11"/>
    </row>
    <row x14ac:dyDescent="0.25" r="879" customHeight="1" ht="15.75">
      <c r="A879" s="6"/>
      <c r="B879" s="6"/>
      <c r="C879" s="6"/>
      <c r="D879" s="11"/>
      <c r="E879" s="11"/>
      <c r="F879" s="11"/>
    </row>
    <row x14ac:dyDescent="0.25" r="880" customHeight="1" ht="15.75">
      <c r="A880" s="6"/>
      <c r="B880" s="6"/>
      <c r="C880" s="6"/>
      <c r="D880" s="11"/>
      <c r="E880" s="11"/>
      <c r="F880" s="11"/>
    </row>
    <row x14ac:dyDescent="0.25" r="881" customHeight="1" ht="15.75">
      <c r="A881" s="6"/>
      <c r="B881" s="6"/>
      <c r="C881" s="6"/>
      <c r="D881" s="11"/>
      <c r="E881" s="11"/>
      <c r="F881" s="11"/>
    </row>
    <row x14ac:dyDescent="0.25" r="882" customHeight="1" ht="15.75">
      <c r="A882" s="6"/>
      <c r="B882" s="6"/>
      <c r="C882" s="6"/>
      <c r="D882" s="11"/>
      <c r="E882" s="11"/>
      <c r="F882" s="11"/>
    </row>
    <row x14ac:dyDescent="0.25" r="883" customHeight="1" ht="15.75">
      <c r="A883" s="6"/>
      <c r="B883" s="6"/>
      <c r="C883" s="6"/>
      <c r="D883" s="11"/>
      <c r="E883" s="11"/>
      <c r="F883" s="11"/>
    </row>
    <row x14ac:dyDescent="0.25" r="884" customHeight="1" ht="15.75">
      <c r="A884" s="6"/>
      <c r="B884" s="6"/>
      <c r="C884" s="6"/>
      <c r="D884" s="11"/>
      <c r="E884" s="11"/>
      <c r="F884" s="11"/>
    </row>
    <row x14ac:dyDescent="0.25" r="885" customHeight="1" ht="15.75">
      <c r="A885" s="6"/>
      <c r="B885" s="6"/>
      <c r="C885" s="6"/>
      <c r="D885" s="11"/>
      <c r="E885" s="11"/>
      <c r="F885" s="11"/>
    </row>
    <row x14ac:dyDescent="0.25" r="886" customHeight="1" ht="15.75">
      <c r="A886" s="6"/>
      <c r="B886" s="6"/>
      <c r="C886" s="6"/>
      <c r="D886" s="11"/>
      <c r="E886" s="11"/>
      <c r="F886" s="11"/>
    </row>
    <row x14ac:dyDescent="0.25" r="887" customHeight="1" ht="15.75">
      <c r="A887" s="6"/>
      <c r="B887" s="6"/>
      <c r="C887" s="6"/>
      <c r="D887" s="11"/>
      <c r="E887" s="11"/>
      <c r="F887" s="11"/>
    </row>
    <row x14ac:dyDescent="0.25" r="888" customHeight="1" ht="15.75">
      <c r="A888" s="6"/>
      <c r="B888" s="6"/>
      <c r="C888" s="6"/>
      <c r="D888" s="11"/>
      <c r="E888" s="11"/>
      <c r="F888" s="11"/>
    </row>
    <row x14ac:dyDescent="0.25" r="889" customHeight="1" ht="15.75">
      <c r="A889" s="6"/>
      <c r="B889" s="6"/>
      <c r="C889" s="6"/>
      <c r="D889" s="11"/>
      <c r="E889" s="11"/>
      <c r="F889" s="11"/>
    </row>
    <row x14ac:dyDescent="0.25" r="890" customHeight="1" ht="15.75">
      <c r="A890" s="6"/>
      <c r="B890" s="6"/>
      <c r="C890" s="6"/>
      <c r="D890" s="11"/>
      <c r="E890" s="11"/>
      <c r="F890" s="11"/>
    </row>
    <row x14ac:dyDescent="0.25" r="891" customHeight="1" ht="15.75">
      <c r="A891" s="6"/>
      <c r="B891" s="6"/>
      <c r="C891" s="6"/>
      <c r="D891" s="11"/>
      <c r="E891" s="11"/>
      <c r="F891" s="11"/>
    </row>
    <row x14ac:dyDescent="0.25" r="892" customHeight="1" ht="15.75">
      <c r="A892" s="6"/>
      <c r="B892" s="6"/>
      <c r="C892" s="6"/>
      <c r="D892" s="11"/>
      <c r="E892" s="11"/>
      <c r="F892" s="11"/>
    </row>
    <row x14ac:dyDescent="0.25" r="893" customHeight="1" ht="15.75">
      <c r="A893" s="6"/>
      <c r="B893" s="6"/>
      <c r="C893" s="6"/>
      <c r="D893" s="11"/>
      <c r="E893" s="11"/>
      <c r="F893" s="11"/>
    </row>
    <row x14ac:dyDescent="0.25" r="894" customHeight="1" ht="15.75">
      <c r="A894" s="6"/>
      <c r="B894" s="6"/>
      <c r="C894" s="6"/>
      <c r="D894" s="11"/>
      <c r="E894" s="11"/>
      <c r="F894" s="11"/>
    </row>
    <row x14ac:dyDescent="0.25" r="895" customHeight="1" ht="15.75">
      <c r="A895" s="6"/>
      <c r="B895" s="6"/>
      <c r="C895" s="6"/>
      <c r="D895" s="11"/>
      <c r="E895" s="11"/>
      <c r="F895" s="11"/>
    </row>
    <row x14ac:dyDescent="0.25" r="896" customHeight="1" ht="15.75">
      <c r="A896" s="6"/>
      <c r="B896" s="6"/>
      <c r="C896" s="6"/>
      <c r="D896" s="11"/>
      <c r="E896" s="11"/>
      <c r="F896" s="11"/>
    </row>
    <row x14ac:dyDescent="0.25" r="897" customHeight="1" ht="15.75">
      <c r="A897" s="6"/>
      <c r="B897" s="6"/>
      <c r="C897" s="6"/>
      <c r="D897" s="11"/>
      <c r="E897" s="11"/>
      <c r="F897" s="11"/>
    </row>
    <row x14ac:dyDescent="0.25" r="898" customHeight="1" ht="15.75">
      <c r="A898" s="6"/>
      <c r="B898" s="6"/>
      <c r="C898" s="6"/>
      <c r="D898" s="11"/>
      <c r="E898" s="11"/>
      <c r="F898" s="11"/>
    </row>
    <row x14ac:dyDescent="0.25" r="899" customHeight="1" ht="15.75">
      <c r="A899" s="6"/>
      <c r="B899" s="6"/>
      <c r="C899" s="6"/>
      <c r="D899" s="11"/>
      <c r="E899" s="11"/>
      <c r="F899" s="11"/>
    </row>
    <row x14ac:dyDescent="0.25" r="900" customHeight="1" ht="15.75">
      <c r="A900" s="6"/>
      <c r="B900" s="6"/>
      <c r="C900" s="6"/>
      <c r="D900" s="11"/>
      <c r="E900" s="11"/>
      <c r="F900" s="11"/>
    </row>
    <row x14ac:dyDescent="0.25" r="901" customHeight="1" ht="15.75">
      <c r="A901" s="6"/>
      <c r="B901" s="6"/>
      <c r="C901" s="6"/>
      <c r="D901" s="11"/>
      <c r="E901" s="11"/>
      <c r="F901" s="11"/>
    </row>
    <row x14ac:dyDescent="0.25" r="902" customHeight="1" ht="15.75">
      <c r="A902" s="6"/>
      <c r="B902" s="6"/>
      <c r="C902" s="6"/>
      <c r="D902" s="11"/>
      <c r="E902" s="11"/>
      <c r="F902" s="11"/>
    </row>
    <row x14ac:dyDescent="0.25" r="903" customHeight="1" ht="15.75">
      <c r="A903" s="6"/>
      <c r="B903" s="6"/>
      <c r="C903" s="6"/>
      <c r="D903" s="11"/>
      <c r="E903" s="11"/>
      <c r="F903" s="11"/>
    </row>
    <row x14ac:dyDescent="0.25" r="904" customHeight="1" ht="15.75">
      <c r="A904" s="6"/>
      <c r="B904" s="6"/>
      <c r="C904" s="6"/>
      <c r="D904" s="11"/>
      <c r="E904" s="11"/>
      <c r="F904" s="11"/>
    </row>
    <row x14ac:dyDescent="0.25" r="905" customHeight="1" ht="15.75">
      <c r="A905" s="6"/>
      <c r="B905" s="6"/>
      <c r="C905" s="6"/>
      <c r="D905" s="11"/>
      <c r="E905" s="11"/>
      <c r="F905" s="11"/>
    </row>
    <row x14ac:dyDescent="0.25" r="906" customHeight="1" ht="15.75">
      <c r="A906" s="6"/>
      <c r="B906" s="6"/>
      <c r="C906" s="6"/>
      <c r="D906" s="11"/>
      <c r="E906" s="11"/>
      <c r="F906" s="11"/>
    </row>
    <row x14ac:dyDescent="0.25" r="907" customHeight="1" ht="15.75">
      <c r="A907" s="6"/>
      <c r="B907" s="6"/>
      <c r="C907" s="6"/>
      <c r="D907" s="11"/>
      <c r="E907" s="11"/>
      <c r="F907" s="11"/>
    </row>
    <row x14ac:dyDescent="0.25" r="908" customHeight="1" ht="15.75">
      <c r="A908" s="6"/>
      <c r="B908" s="6"/>
      <c r="C908" s="6"/>
      <c r="D908" s="11"/>
      <c r="E908" s="11"/>
      <c r="F908" s="11"/>
    </row>
    <row x14ac:dyDescent="0.25" r="909" customHeight="1" ht="15.75">
      <c r="A909" s="6"/>
      <c r="B909" s="6"/>
      <c r="C909" s="6"/>
      <c r="D909" s="11"/>
      <c r="E909" s="11"/>
      <c r="F909" s="11"/>
    </row>
    <row x14ac:dyDescent="0.25" r="910" customHeight="1" ht="15.75">
      <c r="A910" s="6"/>
      <c r="B910" s="6"/>
      <c r="C910" s="6"/>
      <c r="D910" s="11"/>
      <c r="E910" s="11"/>
      <c r="F910" s="11"/>
    </row>
    <row x14ac:dyDescent="0.25" r="911" customHeight="1" ht="15.75">
      <c r="A911" s="6"/>
      <c r="B911" s="6"/>
      <c r="C911" s="6"/>
      <c r="D911" s="11"/>
      <c r="E911" s="11"/>
      <c r="F911" s="11"/>
    </row>
    <row x14ac:dyDescent="0.25" r="912" customHeight="1" ht="15.75">
      <c r="A912" s="6"/>
      <c r="B912" s="6"/>
      <c r="C912" s="6"/>
      <c r="D912" s="11"/>
      <c r="E912" s="11"/>
      <c r="F912" s="11"/>
    </row>
    <row x14ac:dyDescent="0.25" r="913" customHeight="1" ht="15.75">
      <c r="A913" s="6"/>
      <c r="B913" s="6"/>
      <c r="C913" s="6"/>
      <c r="D913" s="11"/>
      <c r="E913" s="11"/>
      <c r="F913" s="11"/>
    </row>
    <row x14ac:dyDescent="0.25" r="914" customHeight="1" ht="15.75">
      <c r="A914" s="6"/>
      <c r="B914" s="6"/>
      <c r="C914" s="6"/>
      <c r="D914" s="11"/>
      <c r="E914" s="11"/>
      <c r="F914" s="11"/>
    </row>
    <row x14ac:dyDescent="0.25" r="915" customHeight="1" ht="15.75">
      <c r="A915" s="6"/>
      <c r="B915" s="6"/>
      <c r="C915" s="6"/>
      <c r="D915" s="11"/>
      <c r="E915" s="11"/>
      <c r="F915" s="11"/>
    </row>
    <row x14ac:dyDescent="0.25" r="916" customHeight="1" ht="15.75">
      <c r="A916" s="6"/>
      <c r="B916" s="6"/>
      <c r="C916" s="6"/>
      <c r="D916" s="11"/>
      <c r="E916" s="11"/>
      <c r="F916" s="11"/>
    </row>
    <row x14ac:dyDescent="0.25" r="917" customHeight="1" ht="15.75">
      <c r="A917" s="6"/>
      <c r="B917" s="6"/>
      <c r="C917" s="6"/>
      <c r="D917" s="11"/>
      <c r="E917" s="11"/>
      <c r="F917" s="11"/>
    </row>
    <row x14ac:dyDescent="0.25" r="918" customHeight="1" ht="15.75">
      <c r="A918" s="6"/>
      <c r="B918" s="6"/>
      <c r="C918" s="6"/>
      <c r="D918" s="11"/>
      <c r="E918" s="11"/>
      <c r="F918" s="11"/>
    </row>
    <row x14ac:dyDescent="0.25" r="919" customHeight="1" ht="15.75">
      <c r="A919" s="6"/>
      <c r="B919" s="6"/>
      <c r="C919" s="6"/>
      <c r="D919" s="11"/>
      <c r="E919" s="11"/>
      <c r="F919" s="11"/>
    </row>
    <row x14ac:dyDescent="0.25" r="920" customHeight="1" ht="15.75">
      <c r="A920" s="6"/>
      <c r="B920" s="6"/>
      <c r="C920" s="6"/>
      <c r="D920" s="11"/>
      <c r="E920" s="11"/>
      <c r="F920" s="11"/>
    </row>
    <row x14ac:dyDescent="0.25" r="921" customHeight="1" ht="15.75">
      <c r="A921" s="6"/>
      <c r="B921" s="6"/>
      <c r="C921" s="6"/>
      <c r="D921" s="11"/>
      <c r="E921" s="11"/>
      <c r="F921" s="11"/>
    </row>
    <row x14ac:dyDescent="0.25" r="922" customHeight="1" ht="15.75">
      <c r="A922" s="6"/>
      <c r="B922" s="6"/>
      <c r="C922" s="6"/>
      <c r="D922" s="11"/>
      <c r="E922" s="11"/>
      <c r="F922" s="11"/>
    </row>
    <row x14ac:dyDescent="0.25" r="923" customHeight="1" ht="15.75">
      <c r="A923" s="6"/>
      <c r="B923" s="6"/>
      <c r="C923" s="6"/>
      <c r="D923" s="11"/>
      <c r="E923" s="11"/>
      <c r="F923" s="11"/>
    </row>
    <row x14ac:dyDescent="0.25" r="924" customHeight="1" ht="15.75">
      <c r="A924" s="6"/>
      <c r="B924" s="6"/>
      <c r="C924" s="6"/>
      <c r="D924" s="11"/>
      <c r="E924" s="11"/>
      <c r="F924" s="11"/>
    </row>
    <row x14ac:dyDescent="0.25" r="925" customHeight="1" ht="15.75">
      <c r="A925" s="6"/>
      <c r="B925" s="6"/>
      <c r="C925" s="6"/>
      <c r="D925" s="11"/>
      <c r="E925" s="11"/>
      <c r="F925" s="11"/>
    </row>
    <row x14ac:dyDescent="0.25" r="926" customHeight="1" ht="15.75">
      <c r="A926" s="6"/>
      <c r="B926" s="6"/>
      <c r="C926" s="6"/>
      <c r="D926" s="11"/>
      <c r="E926" s="11"/>
      <c r="F926" s="11"/>
    </row>
    <row x14ac:dyDescent="0.25" r="927" customHeight="1" ht="15.75">
      <c r="A927" s="6"/>
      <c r="B927" s="6"/>
      <c r="C927" s="6"/>
      <c r="D927" s="11"/>
      <c r="E927" s="11"/>
      <c r="F927" s="11"/>
    </row>
    <row x14ac:dyDescent="0.25" r="928" customHeight="1" ht="15.75">
      <c r="A928" s="6"/>
      <c r="B928" s="6"/>
      <c r="C928" s="6"/>
      <c r="D928" s="11"/>
      <c r="E928" s="11"/>
      <c r="F928" s="11"/>
    </row>
    <row x14ac:dyDescent="0.25" r="929" customHeight="1" ht="15.75">
      <c r="A929" s="6"/>
      <c r="B929" s="6"/>
      <c r="C929" s="6"/>
      <c r="D929" s="11"/>
      <c r="E929" s="11"/>
      <c r="F929" s="11"/>
    </row>
    <row x14ac:dyDescent="0.25" r="930" customHeight="1" ht="15.75">
      <c r="A930" s="6"/>
      <c r="B930" s="6"/>
      <c r="C930" s="6"/>
      <c r="D930" s="11"/>
      <c r="E930" s="11"/>
      <c r="F930" s="11"/>
    </row>
    <row x14ac:dyDescent="0.25" r="931" customHeight="1" ht="15.75">
      <c r="A931" s="6"/>
      <c r="B931" s="6"/>
      <c r="C931" s="6"/>
      <c r="D931" s="11"/>
      <c r="E931" s="11"/>
      <c r="F931" s="11"/>
    </row>
    <row x14ac:dyDescent="0.25" r="932" customHeight="1" ht="15.75">
      <c r="A932" s="6"/>
      <c r="B932" s="6"/>
      <c r="C932" s="6"/>
      <c r="D932" s="11"/>
      <c r="E932" s="11"/>
      <c r="F932" s="11"/>
    </row>
    <row x14ac:dyDescent="0.25" r="933" customHeight="1" ht="15.75">
      <c r="A933" s="6"/>
      <c r="B933" s="6"/>
      <c r="C933" s="6"/>
      <c r="D933" s="11"/>
      <c r="E933" s="11"/>
      <c r="F933" s="11"/>
    </row>
    <row x14ac:dyDescent="0.25" r="934" customHeight="1" ht="15.75">
      <c r="A934" s="6"/>
      <c r="B934" s="6"/>
      <c r="C934" s="6"/>
      <c r="D934" s="11"/>
      <c r="E934" s="11"/>
      <c r="F934" s="11"/>
    </row>
    <row x14ac:dyDescent="0.25" r="935" customHeight="1" ht="15.75">
      <c r="A935" s="6"/>
      <c r="B935" s="6"/>
      <c r="C935" s="6"/>
      <c r="D935" s="11"/>
      <c r="E935" s="11"/>
      <c r="F935" s="11"/>
    </row>
    <row x14ac:dyDescent="0.25" r="936" customHeight="1" ht="15.75">
      <c r="A936" s="6"/>
      <c r="B936" s="6"/>
      <c r="C936" s="6"/>
      <c r="D936" s="11"/>
      <c r="E936" s="11"/>
      <c r="F936" s="11"/>
    </row>
    <row x14ac:dyDescent="0.25" r="937" customHeight="1" ht="15.75">
      <c r="A937" s="6"/>
      <c r="B937" s="6"/>
      <c r="C937" s="6"/>
      <c r="D937" s="11"/>
      <c r="E937" s="11"/>
      <c r="F937" s="11"/>
    </row>
    <row x14ac:dyDescent="0.25" r="938" customHeight="1" ht="15.75">
      <c r="A938" s="6"/>
      <c r="B938" s="6"/>
      <c r="C938" s="6"/>
      <c r="D938" s="11"/>
      <c r="E938" s="11"/>
      <c r="F938" s="11"/>
    </row>
    <row x14ac:dyDescent="0.25" r="939" customHeight="1" ht="15.75">
      <c r="A939" s="6"/>
      <c r="B939" s="6"/>
      <c r="C939" s="6"/>
      <c r="D939" s="11"/>
      <c r="E939" s="11"/>
      <c r="F939" s="11"/>
    </row>
    <row x14ac:dyDescent="0.25" r="940" customHeight="1" ht="15.75">
      <c r="A940" s="6"/>
      <c r="B940" s="6"/>
      <c r="C940" s="6"/>
      <c r="D940" s="11"/>
      <c r="E940" s="11"/>
      <c r="F940" s="11"/>
    </row>
    <row x14ac:dyDescent="0.25" r="941" customHeight="1" ht="15.75">
      <c r="A941" s="6"/>
      <c r="B941" s="6"/>
      <c r="C941" s="6"/>
      <c r="D941" s="11"/>
      <c r="E941" s="11"/>
      <c r="F941" s="11"/>
    </row>
    <row x14ac:dyDescent="0.25" r="942" customHeight="1" ht="15.75">
      <c r="A942" s="6"/>
      <c r="B942" s="6"/>
      <c r="C942" s="6"/>
      <c r="D942" s="11"/>
      <c r="E942" s="11"/>
      <c r="F942" s="11"/>
    </row>
    <row x14ac:dyDescent="0.25" r="943" customHeight="1" ht="15.75">
      <c r="A943" s="6"/>
      <c r="B943" s="6"/>
      <c r="C943" s="6"/>
      <c r="D943" s="11"/>
      <c r="E943" s="11"/>
      <c r="F943" s="11"/>
    </row>
    <row x14ac:dyDescent="0.25" r="944" customHeight="1" ht="15.75">
      <c r="A944" s="6"/>
      <c r="B944" s="6"/>
      <c r="C944" s="6"/>
      <c r="D944" s="11"/>
      <c r="E944" s="11"/>
      <c r="F944" s="11"/>
    </row>
    <row x14ac:dyDescent="0.25" r="945" customHeight="1" ht="15.75">
      <c r="A945" s="6"/>
      <c r="B945" s="6"/>
      <c r="C945" s="6"/>
      <c r="D945" s="11"/>
      <c r="E945" s="11"/>
      <c r="F945" s="11"/>
    </row>
    <row x14ac:dyDescent="0.25" r="946" customHeight="1" ht="15.75">
      <c r="A946" s="6"/>
      <c r="B946" s="6"/>
      <c r="C946" s="6"/>
      <c r="D946" s="11"/>
      <c r="E946" s="11"/>
      <c r="F946" s="11"/>
    </row>
    <row x14ac:dyDescent="0.25" r="947" customHeight="1" ht="15.75">
      <c r="A947" s="6"/>
      <c r="B947" s="6"/>
      <c r="C947" s="6"/>
      <c r="D947" s="11"/>
      <c r="E947" s="11"/>
      <c r="F947" s="11"/>
    </row>
    <row x14ac:dyDescent="0.25" r="948" customHeight="1" ht="15.75">
      <c r="A948" s="6"/>
      <c r="B948" s="6"/>
      <c r="C948" s="6"/>
      <c r="D948" s="11"/>
      <c r="E948" s="11"/>
      <c r="F948" s="11"/>
    </row>
    <row x14ac:dyDescent="0.25" r="949" customHeight="1" ht="15.75">
      <c r="A949" s="6"/>
      <c r="B949" s="6"/>
      <c r="C949" s="6"/>
      <c r="D949" s="11"/>
      <c r="E949" s="11"/>
      <c r="F949" s="11"/>
    </row>
    <row x14ac:dyDescent="0.25" r="950" customHeight="1" ht="15.75">
      <c r="A950" s="6"/>
      <c r="B950" s="6"/>
      <c r="C950" s="6"/>
      <c r="D950" s="11"/>
      <c r="E950" s="11"/>
      <c r="F950" s="11"/>
    </row>
    <row x14ac:dyDescent="0.25" r="951" customHeight="1" ht="15.75">
      <c r="A951" s="6"/>
      <c r="B951" s="6"/>
      <c r="C951" s="6"/>
      <c r="D951" s="11"/>
      <c r="E951" s="11"/>
      <c r="F951" s="11"/>
    </row>
    <row x14ac:dyDescent="0.25" r="952" customHeight="1" ht="15.75">
      <c r="A952" s="6"/>
      <c r="B952" s="6"/>
      <c r="C952" s="6"/>
      <c r="D952" s="11"/>
      <c r="E952" s="11"/>
      <c r="F952" s="11"/>
    </row>
    <row x14ac:dyDescent="0.25" r="953" customHeight="1" ht="15.75">
      <c r="A953" s="6"/>
      <c r="B953" s="6"/>
      <c r="C953" s="6"/>
      <c r="D953" s="11"/>
      <c r="E953" s="11"/>
      <c r="F953" s="11"/>
    </row>
    <row x14ac:dyDescent="0.25" r="954" customHeight="1" ht="15.75">
      <c r="A954" s="6"/>
      <c r="B954" s="6"/>
      <c r="C954" s="6"/>
      <c r="D954" s="11"/>
      <c r="E954" s="11"/>
      <c r="F954" s="11"/>
    </row>
    <row x14ac:dyDescent="0.25" r="955" customHeight="1" ht="15.75">
      <c r="A955" s="6"/>
      <c r="B955" s="6"/>
      <c r="C955" s="6"/>
      <c r="D955" s="11"/>
      <c r="E955" s="11"/>
      <c r="F955" s="11"/>
    </row>
    <row x14ac:dyDescent="0.25" r="956" customHeight="1" ht="15.75">
      <c r="A956" s="6"/>
      <c r="B956" s="6"/>
      <c r="C956" s="6"/>
      <c r="D956" s="11"/>
      <c r="E956" s="11"/>
      <c r="F956" s="11"/>
    </row>
    <row x14ac:dyDescent="0.25" r="957" customHeight="1" ht="15.75">
      <c r="A957" s="6"/>
      <c r="B957" s="6"/>
      <c r="C957" s="6"/>
      <c r="D957" s="11"/>
      <c r="E957" s="11"/>
      <c r="F957" s="11"/>
    </row>
    <row x14ac:dyDescent="0.25" r="958" customHeight="1" ht="15.75">
      <c r="A958" s="6"/>
      <c r="B958" s="6"/>
      <c r="C958" s="6"/>
      <c r="D958" s="11"/>
      <c r="E958" s="11"/>
      <c r="F958" s="11"/>
    </row>
    <row x14ac:dyDescent="0.25" r="959" customHeight="1" ht="15.75">
      <c r="A959" s="6"/>
      <c r="B959" s="6"/>
      <c r="C959" s="6"/>
      <c r="D959" s="11"/>
      <c r="E959" s="11"/>
      <c r="F959" s="11"/>
    </row>
    <row x14ac:dyDescent="0.25" r="960" customHeight="1" ht="15.75">
      <c r="A960" s="6"/>
      <c r="B960" s="6"/>
      <c r="C960" s="6"/>
      <c r="D960" s="11"/>
      <c r="E960" s="11"/>
      <c r="F960" s="11"/>
    </row>
    <row x14ac:dyDescent="0.25" r="961" customHeight="1" ht="15.75">
      <c r="A961" s="6"/>
      <c r="B961" s="6"/>
      <c r="C961" s="6"/>
      <c r="D961" s="11"/>
      <c r="E961" s="11"/>
      <c r="F961" s="11"/>
    </row>
    <row x14ac:dyDescent="0.25" r="962" customHeight="1" ht="15.75">
      <c r="A962" s="6"/>
      <c r="B962" s="6"/>
      <c r="C962" s="6"/>
      <c r="D962" s="11"/>
      <c r="E962" s="11"/>
      <c r="F962" s="11"/>
    </row>
    <row x14ac:dyDescent="0.25" r="963" customHeight="1" ht="15.75">
      <c r="A963" s="6"/>
      <c r="B963" s="6"/>
      <c r="C963" s="6"/>
      <c r="D963" s="11"/>
      <c r="E963" s="11"/>
      <c r="F963" s="11"/>
    </row>
    <row x14ac:dyDescent="0.25" r="964" customHeight="1" ht="15.75">
      <c r="A964" s="6"/>
      <c r="B964" s="6"/>
      <c r="C964" s="6"/>
      <c r="D964" s="11"/>
      <c r="E964" s="11"/>
      <c r="F964" s="11"/>
    </row>
    <row x14ac:dyDescent="0.25" r="965" customHeight="1" ht="15.75">
      <c r="A965" s="6"/>
      <c r="B965" s="6"/>
      <c r="C965" s="6"/>
      <c r="D965" s="11"/>
      <c r="E965" s="11"/>
      <c r="F965" s="11"/>
    </row>
    <row x14ac:dyDescent="0.25" r="966" customHeight="1" ht="15.75">
      <c r="A966" s="6"/>
      <c r="B966" s="6"/>
      <c r="C966" s="6"/>
      <c r="D966" s="11"/>
      <c r="E966" s="11"/>
      <c r="F966" s="11"/>
    </row>
    <row x14ac:dyDescent="0.25" r="967" customHeight="1" ht="15.75">
      <c r="A967" s="6"/>
      <c r="B967" s="6"/>
      <c r="C967" s="6"/>
      <c r="D967" s="11"/>
      <c r="E967" s="11"/>
      <c r="F967" s="11"/>
    </row>
    <row x14ac:dyDescent="0.25" r="968" customHeight="1" ht="15.75">
      <c r="A968" s="6"/>
      <c r="B968" s="6"/>
      <c r="C968" s="6"/>
      <c r="D968" s="11"/>
      <c r="E968" s="11"/>
      <c r="F968" s="11"/>
    </row>
    <row x14ac:dyDescent="0.25" r="969" customHeight="1" ht="15.75">
      <c r="A969" s="6"/>
      <c r="B969" s="6"/>
      <c r="C969" s="6"/>
      <c r="D969" s="11"/>
      <c r="E969" s="11"/>
      <c r="F969" s="11"/>
    </row>
    <row x14ac:dyDescent="0.25" r="970" customHeight="1" ht="15.75">
      <c r="A970" s="6"/>
      <c r="B970" s="6"/>
      <c r="C970" s="6"/>
      <c r="D970" s="11"/>
      <c r="E970" s="11"/>
      <c r="F970" s="11"/>
    </row>
    <row x14ac:dyDescent="0.25" r="971" customHeight="1" ht="15.75">
      <c r="A971" s="6"/>
      <c r="B971" s="6"/>
      <c r="C971" s="6"/>
      <c r="D971" s="11"/>
      <c r="E971" s="11"/>
      <c r="F971" s="11"/>
    </row>
    <row x14ac:dyDescent="0.25" r="972" customHeight="1" ht="15.75">
      <c r="A972" s="6"/>
      <c r="B972" s="6"/>
      <c r="C972" s="6"/>
      <c r="D972" s="11"/>
      <c r="E972" s="11"/>
      <c r="F972" s="11"/>
    </row>
    <row x14ac:dyDescent="0.25" r="973" customHeight="1" ht="15.75">
      <c r="A973" s="6"/>
      <c r="B973" s="6"/>
      <c r="C973" s="6"/>
      <c r="D973" s="11"/>
      <c r="E973" s="11"/>
      <c r="F973" s="11"/>
    </row>
    <row x14ac:dyDescent="0.25" r="974" customHeight="1" ht="15.75">
      <c r="A974" s="6"/>
      <c r="B974" s="6"/>
      <c r="C974" s="6"/>
      <c r="D974" s="11"/>
      <c r="E974" s="11"/>
      <c r="F974" s="11"/>
    </row>
    <row x14ac:dyDescent="0.25" r="975" customHeight="1" ht="15.75">
      <c r="A975" s="6"/>
      <c r="B975" s="6"/>
      <c r="C975" s="6"/>
      <c r="D975" s="11"/>
      <c r="E975" s="11"/>
      <c r="F975" s="11"/>
    </row>
    <row x14ac:dyDescent="0.25" r="976" customHeight="1" ht="15.75">
      <c r="A976" s="6"/>
      <c r="B976" s="6"/>
      <c r="C976" s="6"/>
      <c r="D976" s="11"/>
      <c r="E976" s="11"/>
      <c r="F976" s="11"/>
    </row>
    <row x14ac:dyDescent="0.25" r="977" customHeight="1" ht="15.75">
      <c r="A977" s="6"/>
      <c r="B977" s="6"/>
      <c r="C977" s="6"/>
      <c r="D977" s="11"/>
      <c r="E977" s="11"/>
      <c r="F977" s="11"/>
    </row>
    <row x14ac:dyDescent="0.25" r="978" customHeight="1" ht="15.75">
      <c r="A978" s="6"/>
      <c r="B978" s="6"/>
      <c r="C978" s="6"/>
      <c r="D978" s="11"/>
      <c r="E978" s="11"/>
      <c r="F978" s="11"/>
    </row>
    <row x14ac:dyDescent="0.25" r="979" customHeight="1" ht="15.75">
      <c r="A979" s="6"/>
      <c r="B979" s="6"/>
      <c r="C979" s="6"/>
      <c r="D979" s="11"/>
      <c r="E979" s="11"/>
      <c r="F979" s="11"/>
    </row>
    <row x14ac:dyDescent="0.25" r="980" customHeight="1" ht="15.75">
      <c r="A980" s="6"/>
      <c r="B980" s="6"/>
      <c r="C980" s="6"/>
      <c r="D980" s="11"/>
      <c r="E980" s="11"/>
      <c r="F980" s="11"/>
    </row>
    <row x14ac:dyDescent="0.25" r="981" customHeight="1" ht="15.75">
      <c r="A981" s="6"/>
      <c r="B981" s="6"/>
      <c r="C981" s="6"/>
      <c r="D981" s="11"/>
      <c r="E981" s="11"/>
      <c r="F981" s="11"/>
    </row>
    <row x14ac:dyDescent="0.25" r="982" customHeight="1" ht="15.75">
      <c r="A982" s="6"/>
      <c r="B982" s="6"/>
      <c r="C982" s="6"/>
      <c r="D982" s="11"/>
      <c r="E982" s="11"/>
      <c r="F982" s="11"/>
    </row>
    <row x14ac:dyDescent="0.25" r="983" customHeight="1" ht="15.75">
      <c r="A983" s="6"/>
      <c r="B983" s="6"/>
      <c r="C983" s="6"/>
      <c r="D983" s="11"/>
      <c r="E983" s="11"/>
      <c r="F983" s="11"/>
    </row>
    <row x14ac:dyDescent="0.25" r="984" customHeight="1" ht="15.75">
      <c r="A984" s="6"/>
      <c r="B984" s="6"/>
      <c r="C984" s="6"/>
      <c r="D984" s="11"/>
      <c r="E984" s="11"/>
      <c r="F984" s="11"/>
    </row>
    <row x14ac:dyDescent="0.25" r="985" customHeight="1" ht="15.75">
      <c r="A985" s="6"/>
      <c r="B985" s="6"/>
      <c r="C985" s="6"/>
      <c r="D985" s="11"/>
      <c r="E985" s="11"/>
      <c r="F985" s="11"/>
    </row>
    <row x14ac:dyDescent="0.25" r="986" customHeight="1" ht="15.75">
      <c r="A986" s="6"/>
      <c r="B986" s="6"/>
      <c r="C986" s="6"/>
      <c r="D986" s="11"/>
      <c r="E986" s="11"/>
      <c r="F986" s="11"/>
    </row>
    <row x14ac:dyDescent="0.25" r="987" customHeight="1" ht="15.75">
      <c r="A987" s="6"/>
      <c r="B987" s="6"/>
      <c r="C987" s="6"/>
      <c r="D987" s="11"/>
      <c r="E987" s="11"/>
      <c r="F987" s="11"/>
    </row>
    <row x14ac:dyDescent="0.25" r="988" customHeight="1" ht="15.75">
      <c r="A988" s="6"/>
      <c r="B988" s="6"/>
      <c r="C988" s="6"/>
      <c r="D988" s="11"/>
      <c r="E988" s="11"/>
      <c r="F988" s="11"/>
    </row>
    <row x14ac:dyDescent="0.25" r="989" customHeight="1" ht="15.75">
      <c r="A989" s="6"/>
      <c r="B989" s="6"/>
      <c r="C989" s="6"/>
      <c r="D989" s="11"/>
      <c r="E989" s="11"/>
      <c r="F989" s="11"/>
    </row>
    <row x14ac:dyDescent="0.25" r="990" customHeight="1" ht="15.75">
      <c r="A990" s="6"/>
      <c r="B990" s="6"/>
      <c r="C990" s="6"/>
      <c r="D990" s="11"/>
      <c r="E990" s="11"/>
      <c r="F990" s="11"/>
    </row>
    <row x14ac:dyDescent="0.25" r="991" customHeight="1" ht="15.75">
      <c r="A991" s="6"/>
      <c r="B991" s="6"/>
      <c r="C991" s="6"/>
      <c r="D991" s="11"/>
      <c r="E991" s="11"/>
      <c r="F991" s="11"/>
    </row>
    <row x14ac:dyDescent="0.25" r="992" customHeight="1" ht="15.75">
      <c r="A992" s="6"/>
      <c r="B992" s="6"/>
      <c r="C992" s="6"/>
      <c r="D992" s="11"/>
      <c r="E992" s="11"/>
      <c r="F992" s="11"/>
    </row>
    <row x14ac:dyDescent="0.25" r="993" customHeight="1" ht="15.75">
      <c r="A993" s="6"/>
      <c r="B993" s="6"/>
      <c r="C993" s="6"/>
      <c r="D993" s="11"/>
      <c r="E993" s="11"/>
      <c r="F993" s="11"/>
    </row>
    <row x14ac:dyDescent="0.25" r="994" customHeight="1" ht="15.75">
      <c r="A994" s="6"/>
      <c r="B994" s="6"/>
      <c r="C994" s="6"/>
      <c r="D994" s="11"/>
      <c r="E994" s="11"/>
      <c r="F994" s="11"/>
    </row>
    <row x14ac:dyDescent="0.25" r="995" customHeight="1" ht="15.75">
      <c r="A995" s="6"/>
      <c r="B995" s="6"/>
      <c r="C995" s="6"/>
      <c r="D995" s="11"/>
      <c r="E995" s="11"/>
      <c r="F995" s="11"/>
    </row>
    <row x14ac:dyDescent="0.25" r="996" customHeight="1" ht="15.75">
      <c r="A996" s="6"/>
      <c r="B996" s="6"/>
      <c r="C996" s="6"/>
      <c r="D996" s="11"/>
      <c r="E996" s="11"/>
      <c r="F996" s="11"/>
    </row>
    <row x14ac:dyDescent="0.25" r="997" customHeight="1" ht="15.75">
      <c r="A997" s="6"/>
      <c r="B997" s="6"/>
      <c r="C997" s="6"/>
      <c r="D997" s="11"/>
      <c r="E997" s="11"/>
      <c r="F997" s="11"/>
    </row>
    <row x14ac:dyDescent="0.25" r="998" customHeight="1" ht="15.75">
      <c r="A998" s="6"/>
      <c r="B998" s="6"/>
      <c r="C998" s="6"/>
      <c r="D998" s="11"/>
      <c r="E998" s="11"/>
      <c r="F998" s="11"/>
    </row>
    <row x14ac:dyDescent="0.25" r="999" customHeight="1" ht="15.75">
      <c r="A999" s="6"/>
      <c r="B999" s="6"/>
      <c r="C999" s="6"/>
      <c r="D999" s="11"/>
      <c r="E999" s="11"/>
      <c r="F999" s="11"/>
    </row>
    <row x14ac:dyDescent="0.25" r="1000" customHeight="1" ht="15.75">
      <c r="A1000" s="6"/>
      <c r="B1000" s="6"/>
      <c r="C1000" s="6"/>
      <c r="D1000" s="11"/>
      <c r="E1000" s="11"/>
      <c r="F1000" s="11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GUIDE</vt:lpstr>
      <vt:lpstr>Inf LGPD</vt:lpstr>
      <vt:lpstr>Introdução</vt:lpstr>
      <vt:lpstr>Base Legal</vt:lpstr>
      <vt:lpstr>Mapeamento</vt:lpstr>
      <vt:lpstr>Plan2</vt:lpstr>
      <vt:lpstr>Riscos e Recomendações</vt:lpstr>
      <vt:lpstr>Sistemas</vt:lpstr>
      <vt:lpstr>Estatisticas</vt:lpstr>
      <vt:lpstr>Dinamicas</vt:lpstr>
      <vt:lpstr>Classificação GAPS</vt:lpstr>
      <vt:lpstr>Tabela Dinâmica</vt:lpstr>
      <vt:lpstr>Plan6</vt:lpstr>
      <vt:lpstr>Plan1</vt:lpstr>
      <vt:lpstr>Áreas x Processos</vt:lpstr>
      <vt:lpstr>Sheet2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2026-06-22T14:49:43.275Z</dcterms:created>
  <dcterms:modified xsi:type="dcterms:W3CDTF">2026-06-22T14:49:43.275Z</dcterms:modified>
</cp:coreProperties>
</file>